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queryTables/queryTable1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24.xml" ContentType="application/vnd.openxmlformats-officedocument.spreadsheetml.queryTable+xml"/>
  <Override PartName="/xl/queryTables/queryTable25.xml" ContentType="application/vnd.openxmlformats-officedocument.spreadsheetml.queryTable+xml"/>
  <Override PartName="/xl/queryTables/queryTable26.xml" ContentType="application/vnd.openxmlformats-officedocument.spreadsheetml.queryTable+xml"/>
  <Override PartName="/xl/queryTables/queryTable27.xml" ContentType="application/vnd.openxmlformats-officedocument.spreadsheetml.queryTable+xml"/>
  <Override PartName="/xl/queryTables/queryTable28.xml" ContentType="application/vnd.openxmlformats-officedocument.spreadsheetml.queryTable+xml"/>
  <Override PartName="/xl/queryTables/queryTable29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30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firstSheet="5" activeTab="10"/>
  </bookViews>
  <sheets>
    <sheet name="低压_0.4s_10周期01" sheetId="1" r:id="rId1"/>
    <sheet name="常压阻尼温差01" sheetId="3" r:id="rId2"/>
    <sheet name="常压静止01" sheetId="7" r:id="rId3"/>
    <sheet name="常压阻尼温差01 (2)" sheetId="4" r:id="rId4"/>
    <sheet name="100低压_阻尼温差01 (3)" sheetId="5" r:id="rId5"/>
    <sheet name="300低压_阻尼温差01 (4)" sheetId="6" r:id="rId6"/>
    <sheet name="常压_a_20" sheetId="8" r:id="rId7"/>
    <sheet name="常压_a_20 (2)" sheetId="9" r:id="rId8"/>
    <sheet name="常压_b_20 (1)" sheetId="10" r:id="rId9"/>
    <sheet name="常压_b_20 (2)" sheetId="11" r:id="rId10"/>
    <sheet name="常压_b_20 (3)" sheetId="12" r:id="rId11"/>
  </sheets>
  <definedNames>
    <definedName name="ExternalData_1" localSheetId="0">低压_0.4s_10周期01!$B$1:$B$304</definedName>
    <definedName name="ExternalData_2" localSheetId="0">低压_0.4s_10周期01!$C$1:$C$304</definedName>
    <definedName name="ExternalData_1" localSheetId="1">常压阻尼温差01!$C$1:$C$871</definedName>
    <definedName name="ExternalData_1" localSheetId="3">'常压阻尼温差01 (2)'!#REF!</definedName>
    <definedName name="ExternalData_2" localSheetId="3">'常压阻尼温差01 (2)'!$A$2:$B$236</definedName>
    <definedName name="ExternalData_3" localSheetId="3">'常压阻尼温差01 (2)'!$C$2:$C$236</definedName>
    <definedName name="ExternalData_1" localSheetId="4">'100低压_阻尼温差01 (3)'!#REF!</definedName>
    <definedName name="ExternalData_2" localSheetId="4">'100低压_阻尼温差01 (3)'!$A$2:$B$236</definedName>
    <definedName name="ExternalData_3" localSheetId="4">'100低压_阻尼温差01 (3)'!$C$2:$C$236</definedName>
    <definedName name="ExternalData_4" localSheetId="4">'100低压_阻尼温差01 (3)'!#REF!</definedName>
    <definedName name="ExternalData_5" localSheetId="4">'100低压_阻尼温差01 (3)'!#REF!</definedName>
    <definedName name="ExternalData_1" localSheetId="5">'300低压_阻尼温差01 (4)'!#REF!</definedName>
    <definedName name="ExternalData_2" localSheetId="5">'300低压_阻尼温差01 (4)'!$A$2:$B$192</definedName>
    <definedName name="ExternalData_3" localSheetId="5">'300低压_阻尼温差01 (4)'!$C$2:$C$192</definedName>
    <definedName name="ExternalData_4" localSheetId="5">'300低压_阻尼温差01 (4)'!#REF!</definedName>
    <definedName name="ExternalData_5" localSheetId="5">'300低压_阻尼温差01 (4)'!#REF!</definedName>
    <definedName name="ExternalData_6" localSheetId="5">'300低压_阻尼温差01 (4)'!#REF!</definedName>
    <definedName name="ExternalData_7" localSheetId="5">'300低压_阻尼温差01 (4)'!#REF!</definedName>
    <definedName name="ExternalData_1" localSheetId="2">常压静止01!$C$1:$C$303</definedName>
    <definedName name="ExternalData_2" localSheetId="2">常压静止01!#REF!</definedName>
    <definedName name="ExternalData_3" localSheetId="2">常压静止01!#REF!</definedName>
    <definedName name="ExternalData_1" localSheetId="6">常压_a_20!#REF!</definedName>
    <definedName name="ExternalData_2" localSheetId="6">常压_a_20!$E$2:$F$192</definedName>
    <definedName name="ExternalData_3" localSheetId="6">常压_a_20!$G$2:$G$192</definedName>
    <definedName name="ExternalData_4" localSheetId="6">常压_a_20!#REF!</definedName>
    <definedName name="ExternalData_5" localSheetId="6">常压_a_20!#REF!</definedName>
    <definedName name="ExternalData_6" localSheetId="6">常压_a_20!#REF!</definedName>
    <definedName name="ExternalData_7" localSheetId="6">常压_a_20!#REF!</definedName>
    <definedName name="ExternalData_1_1" localSheetId="6">常压_a_20!$A$1:$B$1780</definedName>
    <definedName name="ExternalData_1_2" localSheetId="6">常压_a_20!$C$1:$C$1780</definedName>
    <definedName name="ExternalData_1" localSheetId="7">'常压_a_20 (2)'!#REF!</definedName>
    <definedName name="ExternalData_2" localSheetId="7">'常压_a_20 (2)'!$G$2:$H$192</definedName>
    <definedName name="ExternalData_3" localSheetId="7">'常压_a_20 (2)'!$I$2:$I$192</definedName>
    <definedName name="ExternalData_4" localSheetId="7">'常压_a_20 (2)'!#REF!</definedName>
    <definedName name="ExternalData_5" localSheetId="7">'常压_a_20 (2)'!#REF!</definedName>
    <definedName name="ExternalData_6" localSheetId="7">'常压_a_20 (2)'!#REF!</definedName>
    <definedName name="ExternalData_7" localSheetId="7">'常压_a_20 (2)'!#REF!</definedName>
    <definedName name="ExternalData_1_1" localSheetId="7">'常压_a_20 (2)'!$C$41:$D$1351</definedName>
    <definedName name="ExternalData_1_2" localSheetId="7">'常压_a_20 (2)'!$A$1:$B$1311</definedName>
    <definedName name="ExternalData_1" localSheetId="8">'常压_b_20 (1)'!#REF!</definedName>
    <definedName name="ExternalData_2" localSheetId="8">'常压_b_20 (1)'!$F$2:$G$192</definedName>
    <definedName name="ExternalData_3" localSheetId="8">'常压_b_20 (1)'!$H$2:$H$192</definedName>
    <definedName name="ExternalData_4" localSheetId="8">'常压_b_20 (1)'!#REF!</definedName>
    <definedName name="ExternalData_5" localSheetId="8">'常压_b_20 (1)'!#REF!</definedName>
    <definedName name="ExternalData_6" localSheetId="8">'常压_b_20 (1)'!#REF!</definedName>
    <definedName name="ExternalData_7" localSheetId="8">'常压_b_20 (1)'!#REF!</definedName>
    <definedName name="ExternalData_1_1" localSheetId="8">'常压_b_20 (1)'!$A$1:$B$667</definedName>
    <definedName name="ExternalData_1_2" localSheetId="8">'常压_b_20 (1)'!$C$1:$C$667</definedName>
    <definedName name="ExternalData_1" localSheetId="9">'常压_b_20 (2)'!#REF!</definedName>
    <definedName name="ExternalData_2" localSheetId="9">'常压_b_20 (2)'!$E$2:$F$192</definedName>
    <definedName name="ExternalData_3" localSheetId="9">'常压_b_20 (2)'!$G$2:$G$192</definedName>
    <definedName name="ExternalData_4" localSheetId="9">'常压_b_20 (2)'!#REF!</definedName>
    <definedName name="ExternalData_5" localSheetId="9">'常压_b_20 (2)'!#REF!</definedName>
    <definedName name="ExternalData_6" localSheetId="9">'常压_b_20 (2)'!#REF!</definedName>
    <definedName name="ExternalData_7" localSheetId="9">'常压_b_20 (2)'!#REF!</definedName>
    <definedName name="ExternalData_1_1" localSheetId="9">'常压_b_20 (2)'!$A$1:$B$2084</definedName>
    <definedName name="ExternalData_1_2" localSheetId="9">'常压_b_20 (2)'!$C$1:$C$2084</definedName>
    <definedName name="ExternalData_1" localSheetId="10">'常压_b_20 (3)'!#REF!</definedName>
    <definedName name="ExternalData_2" localSheetId="10">'常压_b_20 (3)'!$E$2:$F$192</definedName>
    <definedName name="ExternalData_3" localSheetId="10">'常压_b_20 (3)'!$G$2:$G$192</definedName>
    <definedName name="ExternalData_4" localSheetId="10">'常压_b_20 (3)'!#REF!</definedName>
    <definedName name="ExternalData_5" localSheetId="10">'常压_b_20 (3)'!#REF!</definedName>
    <definedName name="ExternalData_6" localSheetId="10">'常压_b_20 (3)'!#REF!</definedName>
    <definedName name="ExternalData_7" localSheetId="10">'常压_b_20 (3)'!#REF!</definedName>
    <definedName name="ExternalData_1_1" localSheetId="10">'常压_b_20 (3)'!$A$1:$B$1144</definedName>
    <definedName name="ExternalData_1_2" localSheetId="10">'常压_b_20 (3)'!$C$1:$C$1144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26_低压_10冲_luma" type="6" background="1" refreshedVersion="2" saveData="1">
    <textPr sourceFile="F:\温差力矩实验\26-3-27\26_低压_10冲_luma.txt">
      <textFields>
        <textField/>
      </textFields>
    </textPr>
  </connection>
  <connection id="2" name="26_低压_10冲_质量" type="6" background="1" refreshedVersion="2" saveData="1">
    <textPr sourceFile="F:\温差力矩实验\26-3-27\26_低压_10冲_质量.txt">
      <textFields>
        <textField/>
      </textFields>
    </textPr>
  </connection>
  <connection id="3" name="la" type="6" background="1" refreshedVersion="2" saveData="1">
    <textPr sourceFile="C:\Users\maco0tai\Desktop\la.txt">
      <textFields>
        <textField/>
      </textFields>
    </textPr>
  </connection>
  <connection id="4" name="la1" type="6" background="1" refreshedVersion="2" saveData="1">
    <textPr sourceFile="C:\Users\maco0tai\Desktop\la.txt">
      <textFields>
        <textField/>
      </textFields>
    </textPr>
  </connection>
  <connection id="5" name="la2" type="6" background="1" refreshedVersion="2" saveData="1">
    <textPr sourceFile="C:\Users\maco0tai\Desktop\la.txt">
      <textFields>
        <textField/>
      </textFields>
    </textPr>
  </connection>
  <connection id="6" name="la3" type="6" background="1" refreshedVersion="2" saveData="1">
    <textPr sourceFile="C:\Users\maco0tai\Desktop\la.txt">
      <textFields>
        <textField/>
      </textFields>
    </textPr>
  </connection>
  <connection id="7" name="la4" type="6" background="1" refreshedVersion="2" saveData="1">
    <textPr sourceFile="C:\Users\maco0tai\Desktop\la.txt">
      <textFields>
        <textField/>
      </textFields>
    </textPr>
  </connection>
  <connection id="8" name="la5" type="6" background="1" refreshedVersion="2" saveData="1">
    <textPr sourceFile="C:\Users\maco0tai\Desktop\la.txt">
      <textFields>
        <textField/>
      </textFields>
    </textPr>
  </connection>
  <connection id="9" name="la6" type="6" background="1" refreshedVersion="2" saveData="1">
    <textPr sourceFile="C:\Users\maco0tai\Desktop\la.txt">
      <textFields>
        <textField/>
      </textFields>
    </textPr>
  </connection>
  <connection id="10" name="laa" type="6" background="1" refreshedVersion="2" saveData="1">
    <textPr sourceFile="C:\Users\maco0tai\Desktop\laa.txt">
      <textFields>
        <textField/>
      </textFields>
    </textPr>
  </connection>
  <connection id="11" name="laa1" type="6" background="1" refreshedVersion="2" saveData="1">
    <textPr sourceFile="C:\Users\maco0tai\Desktop\laa.txt">
      <textFields>
        <textField/>
      </textFields>
    </textPr>
  </connection>
  <connection id="12" name="laa2" type="6" background="1" refreshedVersion="2" saveData="1">
    <textPr sourceFile="C:\Users\maco0tai\Desktop\laa.txt">
      <textFields>
        <textField/>
      </textFields>
    </textPr>
  </connection>
  <connection id="13" name="laa3" type="6" background="1" refreshedVersion="2" saveData="1">
    <textPr sourceFile="C:\Users\maco0tai\Desktop\laa.txt">
      <textFields>
        <textField/>
      </textFields>
    </textPr>
  </connection>
  <connection id="14" name="zhiliang" type="6" background="1" refreshedVersion="2" saveData="1">
    <textPr sourceFile="C:\Users\maco0tai\Desktop\zhiliang.txt">
      <textFields>
        <textField/>
      </textFields>
    </textPr>
  </connection>
  <connection id="15" name="供电" type="6" background="1" refreshedVersion="2" saveData="1">
    <textPr sourceFile="C:\Users\maco0tai\Documents\供电.txt">
      <textFields>
        <textField/>
      </textFields>
    </textPr>
  </connection>
  <connection id="16" name="供电1" type="6" background="1" refreshedVersion="2" saveData="1">
    <textPr sourceFile="C:\Users\maco0tai\Documents\供电.txt">
      <textFields>
        <textField/>
      </textFields>
    </textPr>
  </connection>
  <connection id="17" name="供电2" type="6" background="1" refreshedVersion="2" saveData="1">
    <textPr sourceFile="C:\Users\maco0tai\Desktop\供电.txt">
      <textFields>
        <textField/>
      </textFields>
    </textPr>
  </connection>
  <connection id="18" name="电" type="6" background="1" refreshedVersion="2" saveData="1">
    <textPr sourceFile="F:\温差力矩实验\电.txt">
      <textFields>
        <textField/>
      </textFields>
    </textPr>
  </connection>
  <connection id="19" name="电1" type="6" background="1" refreshedVersion="2" saveData="1">
    <textPr sourceFile="F:\温差力矩实验\电.txt">
      <textFields>
        <textField/>
      </textFields>
    </textPr>
  </connection>
  <connection id="20" name="电11" type="6" background="1" refreshedVersion="2" saveData="1">
    <textPr sourceFile="F:\温差力矩实验\电.txt">
      <textFields>
        <textField/>
      </textFields>
    </textPr>
  </connection>
  <connection id="21" name="电111" type="6" background="1" refreshedVersion="2" saveData="1">
    <textPr sourceFile="F:\温差力矩实验\电.txt">
      <textFields>
        <textField/>
      </textFields>
    </textPr>
  </connection>
  <connection id="22" name="电2" type="6" background="1" refreshedVersion="2" saveData="1">
    <textPr sourceFile="F:\温差力矩实验\电.txt">
      <textFields>
        <textField/>
      </textFields>
    </textPr>
  </connection>
  <connection id="23" name="电21" type="6" background="1" refreshedVersion="2" saveData="1">
    <textPr sourceFile="F:\温差力矩实验\电.txt">
      <textFields>
        <textField/>
      </textFields>
    </textPr>
  </connection>
  <connection id="24" name="电211" type="6" background="1" refreshedVersion="2" saveData="1">
    <textPr sourceFile="F:\温差力矩实验\电.txt">
      <textFields>
        <textField/>
      </textFields>
    </textPr>
  </connection>
  <connection id="25" name="电2111" type="6" background="1" refreshedVersion="2" saveData="1">
    <textPr sourceFile="F:\温差力矩实验\电.txt">
      <textFields>
        <textField/>
      </textFields>
    </textPr>
  </connection>
  <connection id="26" name="电21111" type="6" background="1" refreshedVersion="2" saveData="1">
    <textPr sourceFile="F:\温差力矩实验\电.txt">
      <textFields>
        <textField/>
      </textFields>
    </textPr>
  </connection>
  <connection id="27" name="电211111" type="6" background="1" refreshedVersion="2" saveData="1">
    <textPr sourceFile="F:\温差力矩实验\电.txt">
      <textFields>
        <textField/>
      </textFields>
    </textPr>
  </connection>
  <connection id="28" name="电2111111" type="6" background="1" refreshedVersion="2" saveData="1">
    <textPr sourceFile="F:\温差力矩实验\电.txt">
      <textFields>
        <textField/>
      </textFields>
    </textPr>
  </connection>
  <connection id="29" name="电21111111" type="6" background="1" refreshedVersion="2" saveData="1">
    <textPr sourceFile="F:\温差力矩实验\电.txt">
      <textFields>
        <textField/>
      </textFields>
    </textPr>
  </connection>
  <connection id="30" name="电3" type="6" background="1" refreshedVersion="2" saveData="1">
    <textPr sourceFile="F:\温差力矩实验\电.txt">
      <textFields>
        <textField/>
      </textFields>
    </textPr>
  </connection>
  <connection id="31" name="质量" type="6" background="1" refreshedVersion="2" saveData="1">
    <textPr sourceFile="C:\Users\maco0tai\Documents\质量.txt">
      <textFields>
        <textField/>
      </textFields>
    </textPr>
  </connection>
  <connection id="32" name="质量1" type="6" background="1" refreshedVersion="2" saveData="1">
    <textPr sourceFile="C:\Users\maco0tai\Documents\质量.txt">
      <textFields>
        <textField/>
      </textFields>
    </textPr>
  </connection>
  <connection id="33" name="质量2" type="6" background="1" refreshedVersion="2" saveData="1">
    <textPr sourceFile="C:\Users\maco0tai\Desktop\质量.txt">
      <textFields>
        <textField/>
      </textFields>
    </textPr>
  </connection>
  <connection id="34" name="质量A" type="6" background="1" refreshedVersion="2" saveData="1">
    <textPr sourceFile="F:\温差力矩实验\质量A.txt">
      <textFields>
        <textField/>
      </textFields>
    </textPr>
  </connection>
  <connection id="35" name="质量A1" type="6" background="1" refreshedVersion="2" saveData="1">
    <textPr sourceFile="F:\温差力矩实验\质量A.txt">
      <textFields>
        <textField/>
      </textFields>
    </textPr>
  </connection>
  <connection id="36" name="质量A11" type="6" background="1" refreshedVersion="2" saveData="1">
    <textPr sourceFile="F:\温差力矩实验\质量A.txt">
      <textFields>
        <textField/>
      </textFields>
    </textPr>
  </connection>
  <connection id="37" name="质量A111" type="6" background="1" refreshedVersion="2" saveData="1">
    <textPr sourceFile="F:\温差力矩实验\质量A.txt">
      <textFields>
        <textField/>
      </textFields>
    </textPr>
  </connection>
  <connection id="38" name="质量A1111" type="6" background="1" refreshedVersion="2" saveData="1">
    <textPr sourceFile="F:\温差力矩实验\质量A.txt">
      <textFields>
        <textField/>
      </textFields>
    </textPr>
  </connection>
  <connection id="39" name="质量A11111" type="6" background="1" refreshedVersion="2" saveData="1">
    <textPr sourceFile="F:\温差力矩实验\质量A.txt">
      <textFields>
        <textField/>
      </textFields>
    </textPr>
  </connection>
  <connection id="40" name="质量A111111" type="6" background="1" refreshedVersion="2" saveData="1">
    <textPr sourceFile="F:\温差力矩实验\质量A.txt">
      <textFields>
        <textField/>
      </textFields>
    </textPr>
  </connection>
  <connection id="41" name="质量A1111111" type="6" background="1" refreshedVersion="2" saveData="1">
    <textPr sourceFile="F:\温差力矩实验\质量A.txt">
      <textFields>
        <textField/>
      </textFields>
    </textPr>
  </connection>
</connections>
</file>

<file path=xl/sharedStrings.xml><?xml version="1.0" encoding="utf-8"?>
<sst xmlns="http://schemas.openxmlformats.org/spreadsheetml/2006/main" count="2673" uniqueCount="1833">
  <si>
    <t>质量 A</t>
  </si>
  <si>
    <t>区域 A</t>
  </si>
  <si>
    <t>时间</t>
  </si>
  <si>
    <t>运动曲线</t>
  </si>
  <si>
    <t>供电曲线</t>
  </si>
  <si>
    <t>t</t>
  </si>
  <si>
    <t>x</t>
  </si>
  <si>
    <t>luma</t>
  </si>
  <si>
    <t>原始数据</t>
  </si>
  <si>
    <t>3.232E-3</t>
  </si>
  <si>
    <t>4.267E-3</t>
  </si>
  <si>
    <t>5.672E-3</t>
  </si>
  <si>
    <t>6.758E-3</t>
  </si>
  <si>
    <t>8.072E-3</t>
  </si>
  <si>
    <t>9.199E-3</t>
  </si>
  <si>
    <t>1.018E-2</t>
  </si>
  <si>
    <t>1.114E-2</t>
  </si>
  <si>
    <t>1.209E-2</t>
  </si>
  <si>
    <t>1.282E-2</t>
  </si>
  <si>
    <t>1.339E-2</t>
  </si>
  <si>
    <t>1.370E-2</t>
  </si>
  <si>
    <t>1.392E-2</t>
  </si>
  <si>
    <t>1.395E-2</t>
  </si>
  <si>
    <t>1.384E-2</t>
  </si>
  <si>
    <t>1.356E-2</t>
  </si>
  <si>
    <t>1.298E-2</t>
  </si>
  <si>
    <t>1.233E-2</t>
  </si>
  <si>
    <t>1.146E-2</t>
  </si>
  <si>
    <t>1.049E-2</t>
  </si>
  <si>
    <t>9.566E-3</t>
  </si>
  <si>
    <t>8.520E-3</t>
  </si>
  <si>
    <t>7.268E-3</t>
  </si>
  <si>
    <t>6.116E-3</t>
  </si>
  <si>
    <t>5.037E-3</t>
  </si>
  <si>
    <t>3.918E-3</t>
  </si>
  <si>
    <t>2.996E-3</t>
  </si>
  <si>
    <t>2.196E-3</t>
  </si>
  <si>
    <t>1.683E-3</t>
  </si>
  <si>
    <t>1.392E-3</t>
  </si>
  <si>
    <t>2.084E-3</t>
  </si>
  <si>
    <t>1.638E-3</t>
  </si>
  <si>
    <t>1.869E-3</t>
  </si>
  <si>
    <t>1.359E-3</t>
  </si>
  <si>
    <t>1.296E-3</t>
  </si>
  <si>
    <t>1.919E-3</t>
  </si>
  <si>
    <t>2.869E-3</t>
  </si>
  <si>
    <t>3.922E-3</t>
  </si>
  <si>
    <t>5.051E-3</t>
  </si>
  <si>
    <t>6.114E-3</t>
  </si>
  <si>
    <t>7.042E-3</t>
  </si>
  <si>
    <t>7.837E-3</t>
  </si>
  <si>
    <t>8.623E-3</t>
  </si>
  <si>
    <t>9.191E-3</t>
  </si>
  <si>
    <t>9.634E-3</t>
  </si>
  <si>
    <t>9.900E-3</t>
  </si>
  <si>
    <t>1.003E-2</t>
  </si>
  <si>
    <t>1.001E-2</t>
  </si>
  <si>
    <t>9.947E-3</t>
  </si>
  <si>
    <t>9.741E-3</t>
  </si>
  <si>
    <t>9.272E-3</t>
  </si>
  <si>
    <t>8.695E-3</t>
  </si>
  <si>
    <t>8.024E-3</t>
  </si>
  <si>
    <t>7.221E-3</t>
  </si>
  <si>
    <t>6.303E-3</t>
  </si>
  <si>
    <t>5.243E-3</t>
  </si>
  <si>
    <t>4.254E-3</t>
  </si>
  <si>
    <t>3.144E-3</t>
  </si>
  <si>
    <t>2.205E-3</t>
  </si>
  <si>
    <t>1.270E-3</t>
  </si>
  <si>
    <t>4.819E-4</t>
  </si>
  <si>
    <t>1.216E-2</t>
  </si>
  <si>
    <t>2.498E-2</t>
  </si>
  <si>
    <t>3.822E-2</t>
  </si>
  <si>
    <t>5.147E-2</t>
  </si>
  <si>
    <t>6.216E-2</t>
  </si>
  <si>
    <t>6.439E-2</t>
  </si>
  <si>
    <t>5.691E-2</t>
  </si>
  <si>
    <t>4.802E-2</t>
  </si>
  <si>
    <t>3.796E-2</t>
  </si>
  <si>
    <t>2.692E-2</t>
  </si>
  <si>
    <t>1.538E-2</t>
  </si>
  <si>
    <t>3.649E-3</t>
  </si>
  <si>
    <t>1.073E-2</t>
  </si>
  <si>
    <t>2.104E-2</t>
  </si>
  <si>
    <t>3.093E-2</t>
  </si>
  <si>
    <t>3.992E-2</t>
  </si>
  <si>
    <t>4.786E-2</t>
  </si>
  <si>
    <t>5.425E-2</t>
  </si>
  <si>
    <t>5.896E-2</t>
  </si>
  <si>
    <t>6.234E-2</t>
  </si>
  <si>
    <t>6.400E-2</t>
  </si>
  <si>
    <t>6.402E-2</t>
  </si>
  <si>
    <t>6.251E-2</t>
  </si>
  <si>
    <t>5.951E-2</t>
  </si>
  <si>
    <t>5.516E-2</t>
  </si>
  <si>
    <t>4.934E-2</t>
  </si>
  <si>
    <t>4.212E-2</t>
  </si>
  <si>
    <t>3.400E-2</t>
  </si>
  <si>
    <t>2.517E-2</t>
  </si>
  <si>
    <t>1.539E-2</t>
  </si>
  <si>
    <t>5.749E-3</t>
  </si>
  <si>
    <t>1.570E-3</t>
  </si>
  <si>
    <t>6.566E-3</t>
  </si>
  <si>
    <t>1.096E-2</t>
  </si>
  <si>
    <t>1.459E-2</t>
  </si>
  <si>
    <t>1.766E-2</t>
  </si>
  <si>
    <t>1.993E-2</t>
  </si>
  <si>
    <t>2.122E-2</t>
  </si>
  <si>
    <t>2.167E-2</t>
  </si>
  <si>
    <t>2.131E-2</t>
  </si>
  <si>
    <t>2.019E-2</t>
  </si>
  <si>
    <t>1.857E-2</t>
  </si>
  <si>
    <t>1.646E-2</t>
  </si>
  <si>
    <t>1.428E-2</t>
  </si>
  <si>
    <t>1.211E-2</t>
  </si>
  <si>
    <t>1.035E-2</t>
  </si>
  <si>
    <t>9.182E-3</t>
  </si>
  <si>
    <t>8.312E-3</t>
  </si>
  <si>
    <t>8.627E-3</t>
  </si>
  <si>
    <t>9.430E-3</t>
  </si>
  <si>
    <t>1.068E-2</t>
  </si>
  <si>
    <t>1.368E-2</t>
  </si>
  <si>
    <t>1.508E-2</t>
  </si>
  <si>
    <t>1.612E-2</t>
  </si>
  <si>
    <t>1.680E-2</t>
  </si>
  <si>
    <t>1.693E-2</t>
  </si>
  <si>
    <t>1.645E-2</t>
  </si>
  <si>
    <t>1.562E-2</t>
  </si>
  <si>
    <t>1.450E-2</t>
  </si>
  <si>
    <t>1.317E-2</t>
  </si>
  <si>
    <t>1.195E-2</t>
  </si>
  <si>
    <t>1.029E-2</t>
  </si>
  <si>
    <t>1.008E-2</t>
  </si>
  <si>
    <t>1.020E-2</t>
  </si>
  <si>
    <t>1.066E-2</t>
  </si>
  <si>
    <t>1.153E-2</t>
  </si>
  <si>
    <t>1.247E-2</t>
  </si>
  <si>
    <t>1.359E-2</t>
  </si>
  <si>
    <t>1.461E-2</t>
  </si>
  <si>
    <t>1.544E-2</t>
  </si>
  <si>
    <t>1.604E-2</t>
  </si>
  <si>
    <t>1.607E-2</t>
  </si>
  <si>
    <t>1.584E-2</t>
  </si>
  <si>
    <t>1.518E-2</t>
  </si>
  <si>
    <t>1.430E-2</t>
  </si>
  <si>
    <t>1.328E-2</t>
  </si>
  <si>
    <t>1.248E-2</t>
  </si>
  <si>
    <t>1.175E-2</t>
  </si>
  <si>
    <t>1.129E-2</t>
  </si>
  <si>
    <t>1.115E-2</t>
  </si>
  <si>
    <t>1.136E-2</t>
  </si>
  <si>
    <t>1.181E-2</t>
  </si>
  <si>
    <t>1.253E-2</t>
  </si>
  <si>
    <t>1.330E-2</t>
  </si>
  <si>
    <t>1.420E-2</t>
  </si>
  <si>
    <t>1.500E-2</t>
  </si>
  <si>
    <t>1.549E-2</t>
  </si>
  <si>
    <t>1.576E-2</t>
  </si>
  <si>
    <t>1.553E-2</t>
  </si>
  <si>
    <t>1.511E-2</t>
  </si>
  <si>
    <t>1.448E-2</t>
  </si>
  <si>
    <t>1.363E-2</t>
  </si>
  <si>
    <t>1.221E-2</t>
  </si>
  <si>
    <t>1.176E-2</t>
  </si>
  <si>
    <t>1.157E-2</t>
  </si>
  <si>
    <t>1.166E-2</t>
  </si>
  <si>
    <t>1.249E-2</t>
  </si>
  <si>
    <t>1.308E-2</t>
  </si>
  <si>
    <t>1.372E-2</t>
  </si>
  <si>
    <t>1.441E-2</t>
  </si>
  <si>
    <t>1.486E-2</t>
  </si>
  <si>
    <t>1.507E-2</t>
  </si>
  <si>
    <t>1.506E-2</t>
  </si>
  <si>
    <t>1.467E-2</t>
  </si>
  <si>
    <t>1.425E-2</t>
  </si>
  <si>
    <t>1.360E-2</t>
  </si>
  <si>
    <t>1.291E-2</t>
  </si>
  <si>
    <t>1.251E-2</t>
  </si>
  <si>
    <t>1.208E-2</t>
  </si>
  <si>
    <t>1.194E-2</t>
  </si>
  <si>
    <t>1.189E-2</t>
  </si>
  <si>
    <t>1.210E-2</t>
  </si>
  <si>
    <t>1.261E-2</t>
  </si>
  <si>
    <t>1.364E-2</t>
  </si>
  <si>
    <t>1.417E-2</t>
  </si>
  <si>
    <t>1.460E-2</t>
  </si>
  <si>
    <t>1.457E-2</t>
  </si>
  <si>
    <t>1.442E-2</t>
  </si>
  <si>
    <t>1.399E-2</t>
  </si>
  <si>
    <t>1.342E-2</t>
  </si>
  <si>
    <t>1.290E-2</t>
  </si>
  <si>
    <t>1.219E-2</t>
  </si>
  <si>
    <t>1.215E-2</t>
  </si>
  <si>
    <t>1.238E-2</t>
  </si>
  <si>
    <t>1.270E-2</t>
  </si>
  <si>
    <t>1.314E-2</t>
  </si>
  <si>
    <t>1.357E-2</t>
  </si>
  <si>
    <t>1.397E-2</t>
  </si>
  <si>
    <t>1.431E-2</t>
  </si>
  <si>
    <t>1.411E-2</t>
  </si>
  <si>
    <t>1.371E-2</t>
  </si>
  <si>
    <t>1.331E-2</t>
  </si>
  <si>
    <t>1.292E-2</t>
  </si>
  <si>
    <t>1.254E-2</t>
  </si>
  <si>
    <t>1.224E-2</t>
  </si>
  <si>
    <t>1.226E-2</t>
  </si>
  <si>
    <t>1.284E-2</t>
  </si>
  <si>
    <t>1.320E-2</t>
  </si>
  <si>
    <t>1.355E-2</t>
  </si>
  <si>
    <t>1.382E-2</t>
  </si>
  <si>
    <t>1.387E-2</t>
  </si>
  <si>
    <t>1.321E-2</t>
  </si>
  <si>
    <t>1.267E-2</t>
  </si>
  <si>
    <t>1.198E-2</t>
  </si>
  <si>
    <t>1.072E-2</t>
  </si>
  <si>
    <t>1.024E-2</t>
  </si>
  <si>
    <t>9.871E-3</t>
  </si>
  <si>
    <t>9.636E-3</t>
  </si>
  <si>
    <t>9.415E-3</t>
  </si>
  <si>
    <t>9.322E-3</t>
  </si>
  <si>
    <t>9.324E-3</t>
  </si>
  <si>
    <t>9.392E-3</t>
  </si>
  <si>
    <t>9.568E-3</t>
  </si>
  <si>
    <t>9.836E-3</t>
  </si>
  <si>
    <t>1.000E-2</t>
  </si>
  <si>
    <t>1.022E-2</t>
  </si>
  <si>
    <t>1.030E-2</t>
  </si>
  <si>
    <t>1.058E-2</t>
  </si>
  <si>
    <t>1.089E-2</t>
  </si>
  <si>
    <t>1.128E-2</t>
  </si>
  <si>
    <t>1.172E-2</t>
  </si>
  <si>
    <t>1.202E-2</t>
  </si>
  <si>
    <t>1.186E-2</t>
  </si>
  <si>
    <t>1.142E-2</t>
  </si>
  <si>
    <t>1.104E-2</t>
  </si>
  <si>
    <t>1.082E-2</t>
  </si>
  <si>
    <t>1.099E-2</t>
  </si>
  <si>
    <t>1.130E-2</t>
  </si>
  <si>
    <t>1.167E-2</t>
  </si>
  <si>
    <t>1.197E-2</t>
  </si>
  <si>
    <t>1.190E-2</t>
  </si>
  <si>
    <t>1.160E-2</t>
  </si>
  <si>
    <t>1.124E-2</t>
  </si>
  <si>
    <t>1.097E-2</t>
  </si>
  <si>
    <t>1.081E-2</t>
  </si>
  <si>
    <t>1.118E-2</t>
  </si>
  <si>
    <t>1.159E-2</t>
  </si>
  <si>
    <t>1.185E-2</t>
  </si>
  <si>
    <t>1.188E-2</t>
  </si>
  <si>
    <t>1.148E-2</t>
  </si>
  <si>
    <t>1.112E-2</t>
  </si>
  <si>
    <t>1.076E-2</t>
  </si>
  <si>
    <t>1.108E-2</t>
  </si>
  <si>
    <t>1.133E-2</t>
  </si>
  <si>
    <t>1.156E-2</t>
  </si>
  <si>
    <t>1.173E-2</t>
  </si>
  <si>
    <t>1.158E-2</t>
  </si>
  <si>
    <t>1.141E-2</t>
  </si>
  <si>
    <t>1.109E-2</t>
  </si>
  <si>
    <t>1.088E-2</t>
  </si>
  <si>
    <t>1.080E-2</t>
  </si>
  <si>
    <t>1.084E-2</t>
  </si>
  <si>
    <t>1.094E-2</t>
  </si>
  <si>
    <t>1.125E-2</t>
  </si>
  <si>
    <t>1.162E-2</t>
  </si>
  <si>
    <t>1.163E-2</t>
  </si>
  <si>
    <t>1.147E-2</t>
  </si>
  <si>
    <t>1.116E-2</t>
  </si>
  <si>
    <t>1.092E-2</t>
  </si>
  <si>
    <t>1.040E-2</t>
  </si>
  <si>
    <t>9.595E-3</t>
  </si>
  <si>
    <t>9.300E-3</t>
  </si>
  <si>
    <t>9.259E-3</t>
  </si>
  <si>
    <t>9.355E-3</t>
  </si>
  <si>
    <t>9.616E-3</t>
  </si>
  <si>
    <t>1.053E-2</t>
  </si>
  <si>
    <t>1.149E-2</t>
  </si>
  <si>
    <t>1.048E-2</t>
  </si>
  <si>
    <t>1.012E-2</t>
  </si>
  <si>
    <t>9.785E-3</t>
  </si>
  <si>
    <t>9.602E-3</t>
  </si>
  <si>
    <t>9.668E-3</t>
  </si>
  <si>
    <t>1.009E-2</t>
  </si>
  <si>
    <t>1.277E-2</t>
  </si>
  <si>
    <t>1.294E-2</t>
  </si>
  <si>
    <t>1.287E-2</t>
  </si>
  <si>
    <t>1.246E-2</t>
  </si>
  <si>
    <t>1.037E-2</t>
  </si>
  <si>
    <t>9.990E-3</t>
  </si>
  <si>
    <t>9.920E-3</t>
  </si>
  <si>
    <t>1.005E-2</t>
  </si>
  <si>
    <t>1.042E-2</t>
  </si>
  <si>
    <t>1.110E-2</t>
  </si>
  <si>
    <t>1.180E-2</t>
  </si>
  <si>
    <t>1.235E-2</t>
  </si>
  <si>
    <t>1.271E-2</t>
  </si>
  <si>
    <t>1.205E-2</t>
  </si>
  <si>
    <t>1.143E-2</t>
  </si>
  <si>
    <t>1.010E-2</t>
  </si>
  <si>
    <t>1.034E-2</t>
  </si>
  <si>
    <t>1.086E-2</t>
  </si>
  <si>
    <t>1.152E-2</t>
  </si>
  <si>
    <t>1.199E-2</t>
  </si>
  <si>
    <t>1.231E-2</t>
  </si>
  <si>
    <t>1.242E-2</t>
  </si>
  <si>
    <t>1.241E-2</t>
  </si>
  <si>
    <t>1.063E-2</t>
  </si>
  <si>
    <t>9.931E-3</t>
  </si>
  <si>
    <t>9.342E-3</t>
  </si>
  <si>
    <t>8.979E-3</t>
  </si>
  <si>
    <t>8.809E-3</t>
  </si>
  <si>
    <t>9.017E-3</t>
  </si>
  <si>
    <t>9.495E-3</t>
  </si>
  <si>
    <t>1.011E-2</t>
  </si>
  <si>
    <t>1.203E-2</t>
  </si>
  <si>
    <t>1.045E-2</t>
  </si>
  <si>
    <t>9.951E-3</t>
  </si>
  <si>
    <t>9.536E-3</t>
  </si>
  <si>
    <t>9.296E-3</t>
  </si>
  <si>
    <t>9.312E-3</t>
  </si>
  <si>
    <t>9.610E-3</t>
  </si>
  <si>
    <t>1.033E-2</t>
  </si>
  <si>
    <t>1.132E-2</t>
  </si>
  <si>
    <t>1.222E-2</t>
  </si>
  <si>
    <t>1.288E-2</t>
  </si>
  <si>
    <t>1.220E-2</t>
  </si>
  <si>
    <t>1.047E-2</t>
  </si>
  <si>
    <t>9.794E-3</t>
  </si>
  <si>
    <t>9.559E-3</t>
  </si>
  <si>
    <t>9.605E-3</t>
  </si>
  <si>
    <t>1.165E-2</t>
  </si>
  <si>
    <t>1.297E-2</t>
  </si>
  <si>
    <t>1.302E-2</t>
  </si>
  <si>
    <t>1.255E-2</t>
  </si>
  <si>
    <t>1.183E-2</t>
  </si>
  <si>
    <t>9.792E-3</t>
  </si>
  <si>
    <t>9.688E-3</t>
  </si>
  <si>
    <t>9.827E-3</t>
  </si>
  <si>
    <t>1.107E-2</t>
  </si>
  <si>
    <t>1.178E-2</t>
  </si>
  <si>
    <t>1.236E-2</t>
  </si>
  <si>
    <t>1.266E-2</t>
  </si>
  <si>
    <t>1.174E-2</t>
  </si>
  <si>
    <t>1.098E-2</t>
  </si>
  <si>
    <t>1.025E-2</t>
  </si>
  <si>
    <t>9.837E-3</t>
  </si>
  <si>
    <t>9.538E-3</t>
  </si>
  <si>
    <t>9.658E-3</t>
  </si>
  <si>
    <t>1.064E-2</t>
  </si>
  <si>
    <t>1.227E-2</t>
  </si>
  <si>
    <t>1.232E-2</t>
  </si>
  <si>
    <t>1.103E-2</t>
  </si>
  <si>
    <t>1.031E-2</t>
  </si>
  <si>
    <t>9.829E-3</t>
  </si>
  <si>
    <t>9.563E-3</t>
  </si>
  <si>
    <t>9.597E-3</t>
  </si>
  <si>
    <t>9.935E-3</t>
  </si>
  <si>
    <t>1.201E-2</t>
  </si>
  <si>
    <t>1.212E-2</t>
  </si>
  <si>
    <t>9.724E-3</t>
  </si>
  <si>
    <t>9.268E-3</t>
  </si>
  <si>
    <t>8.815E-3</t>
  </si>
  <si>
    <t>8.718E-3</t>
  </si>
  <si>
    <t>8.912E-3</t>
  </si>
  <si>
    <t>9.388E-3</t>
  </si>
  <si>
    <t>9.968E-3</t>
  </si>
  <si>
    <t>1.079E-2</t>
  </si>
  <si>
    <t>1.061E-2</t>
  </si>
  <si>
    <t>9.866E-3</t>
  </si>
  <si>
    <t>9.444E-3</t>
  </si>
  <si>
    <t>9.169E-3</t>
  </si>
  <si>
    <t>9.143E-3</t>
  </si>
  <si>
    <t>9.478E-3</t>
  </si>
  <si>
    <t>1.123E-2</t>
  </si>
  <si>
    <t>1.299E-2</t>
  </si>
  <si>
    <t>1.135E-2</t>
  </si>
  <si>
    <t>1.041E-2</t>
  </si>
  <si>
    <t>9.725E-3</t>
  </si>
  <si>
    <t>9.403E-3</t>
  </si>
  <si>
    <t>9.364E-3</t>
  </si>
  <si>
    <t>9.721E-3</t>
  </si>
  <si>
    <t>1.304E-2</t>
  </si>
  <si>
    <t>1.004E-2</t>
  </si>
  <si>
    <t>9.513E-3</t>
  </si>
  <si>
    <t>9.408E-3</t>
  </si>
  <si>
    <t>9.576E-3</t>
  </si>
  <si>
    <t>1.006E-2</t>
  </si>
  <si>
    <t>1.228E-2</t>
  </si>
  <si>
    <t>1.264E-2</t>
  </si>
  <si>
    <t>1.237E-2</t>
  </si>
  <si>
    <t>1.170E-2</t>
  </si>
  <si>
    <t>1.100E-2</t>
  </si>
  <si>
    <t>1.021E-2</t>
  </si>
  <si>
    <t>9.435E-3</t>
  </si>
  <si>
    <t>9.572E-3</t>
  </si>
  <si>
    <t>9.887E-3</t>
  </si>
  <si>
    <t>1.060E-2</t>
  </si>
  <si>
    <t>1.131E-2</t>
  </si>
  <si>
    <t>1.239E-2</t>
  </si>
  <si>
    <t>1.214E-2</t>
  </si>
  <si>
    <t>1.090E-2</t>
  </si>
  <si>
    <t>1.013E-2</t>
  </si>
  <si>
    <t>9.594E-3</t>
  </si>
  <si>
    <t>9.263E-3</t>
  </si>
  <si>
    <t>9.255E-3</t>
  </si>
  <si>
    <t>9.580E-3</t>
  </si>
  <si>
    <t>1.187E-2</t>
  </si>
  <si>
    <t>1.077E-2</t>
  </si>
  <si>
    <t>9.983E-3</t>
  </si>
  <si>
    <t>1.067E-2</t>
  </si>
  <si>
    <t>1.122E-2</t>
  </si>
  <si>
    <t>1.200E-2</t>
  </si>
  <si>
    <t>1.272E-2</t>
  </si>
  <si>
    <t>1.340E-2</t>
  </si>
  <si>
    <t>1.389E-2</t>
  </si>
  <si>
    <t>1.408E-2</t>
  </si>
  <si>
    <t>1.279E-2</t>
  </si>
  <si>
    <t>1.164E-2</t>
  </si>
  <si>
    <t>1.244E-2</t>
  </si>
  <si>
    <t>1.335E-2</t>
  </si>
  <si>
    <t>1.337E-2</t>
  </si>
  <si>
    <t>1.168E-2</t>
  </si>
  <si>
    <t>1.138E-2</t>
  </si>
  <si>
    <t>1.182E-2</t>
  </si>
  <si>
    <t>1.276E-2</t>
  </si>
  <si>
    <t>1.306E-2</t>
  </si>
  <si>
    <t>1.257E-2</t>
  </si>
  <si>
    <t>1.213E-2</t>
  </si>
  <si>
    <t>1.230E-2</t>
  </si>
  <si>
    <t>1.293E-2</t>
  </si>
  <si>
    <t>1.309E-2</t>
  </si>
  <si>
    <t>1.139E-2</t>
  </si>
  <si>
    <t>1.117E-2</t>
  </si>
  <si>
    <t>1.126E-2</t>
  </si>
  <si>
    <t>1.127E-2</t>
  </si>
  <si>
    <t>1.154E-2</t>
  </si>
  <si>
    <t>1.145E-2</t>
  </si>
  <si>
    <t>1.161E-2</t>
  </si>
  <si>
    <t>1.150E-2</t>
  </si>
  <si>
    <t>1.206E-2</t>
  </si>
  <si>
    <t>1.229E-2</t>
  </si>
  <si>
    <t>1.217E-2</t>
  </si>
  <si>
    <t>1.179E-2</t>
  </si>
  <si>
    <t>1.169E-2</t>
  </si>
  <si>
    <t>1.171E-2</t>
  </si>
  <si>
    <t>1.196E-2</t>
  </si>
  <si>
    <t>1.207E-2</t>
  </si>
  <si>
    <t>1.218E-2</t>
  </si>
  <si>
    <t>1.204E-2</t>
  </si>
  <si>
    <t>1.192E-2</t>
  </si>
  <si>
    <t>1.177E-2</t>
  </si>
  <si>
    <t>1.223E-2</t>
  </si>
  <si>
    <t>1.191E-2</t>
  </si>
  <si>
    <t>1.184E-2</t>
  </si>
  <si>
    <t>1.193E-2</t>
  </si>
  <si>
    <t>1.225E-2</t>
  </si>
  <si>
    <t>2.675E-4</t>
  </si>
  <si>
    <t>2.763E-4</t>
  </si>
  <si>
    <t>2.886E-4</t>
  </si>
  <si>
    <t>2.949E-4</t>
  </si>
  <si>
    <t>2.636E-4</t>
  </si>
  <si>
    <t>2.614E-4</t>
  </si>
  <si>
    <t>2.713E-4</t>
  </si>
  <si>
    <t>2.347E-4</t>
  </si>
  <si>
    <t>2.333E-4</t>
  </si>
  <si>
    <t>2.483E-4</t>
  </si>
  <si>
    <t>2.931E-4</t>
  </si>
  <si>
    <t>2.722E-4</t>
  </si>
  <si>
    <t>2.420E-4</t>
  </si>
  <si>
    <t>2.914E-4</t>
  </si>
  <si>
    <t>2.959E-4</t>
  </si>
  <si>
    <t>2.878E-4</t>
  </si>
  <si>
    <t>2.570E-4</t>
  </si>
  <si>
    <t>2.580E-4</t>
  </si>
  <si>
    <t>2.339E-4</t>
  </si>
  <si>
    <t>2.408E-4</t>
  </si>
  <si>
    <t>2.514E-4</t>
  </si>
  <si>
    <t>2.536E-4</t>
  </si>
  <si>
    <t>2.928E-4</t>
  </si>
  <si>
    <t>2.691E-4</t>
  </si>
  <si>
    <t>1.811E-4</t>
  </si>
  <si>
    <t>1.868E-5</t>
  </si>
  <si>
    <t>1.313E-4</t>
  </si>
  <si>
    <t>5.961E-4</t>
  </si>
  <si>
    <t>1.105E-3</t>
  </si>
  <si>
    <t>1.606E-3</t>
  </si>
  <si>
    <t>1.857E-3</t>
  </si>
  <si>
    <t>1.924E-3</t>
  </si>
  <si>
    <t>1.782E-3</t>
  </si>
  <si>
    <t>1.346E-3</t>
  </si>
  <si>
    <t>9.568E-4</t>
  </si>
  <si>
    <t>2.848E-4</t>
  </si>
  <si>
    <t>2.390E-4</t>
  </si>
  <si>
    <t>9.825E-4</t>
  </si>
  <si>
    <t>1.582E-3</t>
  </si>
  <si>
    <t>2.201E-3</t>
  </si>
  <si>
    <t>2.694E-3</t>
  </si>
  <si>
    <t>2.777E-3</t>
  </si>
  <si>
    <t>2.634E-3</t>
  </si>
  <si>
    <t>2.083E-3</t>
  </si>
  <si>
    <t>1.339E-3</t>
  </si>
  <si>
    <t>8.272E-4</t>
  </si>
  <si>
    <t>1.249E-4</t>
  </si>
  <si>
    <t>3.083E-4</t>
  </si>
  <si>
    <t>1.023E-3</t>
  </si>
  <si>
    <t>1.553E-3</t>
  </si>
  <si>
    <t>2.113E-3</t>
  </si>
  <si>
    <t>2.614E-3</t>
  </si>
  <si>
    <t>2.835E-3</t>
  </si>
  <si>
    <t>2.756E-3</t>
  </si>
  <si>
    <t>2.391E-3</t>
  </si>
  <si>
    <t>1.847E-3</t>
  </si>
  <si>
    <t>1.276E-3</t>
  </si>
  <si>
    <t>8.347E-4</t>
  </si>
  <si>
    <t>3.537E-4</t>
  </si>
  <si>
    <t>4.835E-5</t>
  </si>
  <si>
    <t>1.970E-5</t>
  </si>
  <si>
    <t>2.730E-4</t>
  </si>
  <si>
    <t>7.066E-4</t>
  </si>
  <si>
    <t>1.242E-3</t>
  </si>
  <si>
    <t>1.611E-3</t>
  </si>
  <si>
    <t>1.980E-3</t>
  </si>
  <si>
    <t>2.218E-3</t>
  </si>
  <si>
    <t>2.438E-3</t>
  </si>
  <si>
    <t>2.358E-3</t>
  </si>
  <si>
    <t>2.171E-3</t>
  </si>
  <si>
    <t>1.799E-3</t>
  </si>
  <si>
    <t>1.450E-3</t>
  </si>
  <si>
    <t>1.236E-3</t>
  </si>
  <si>
    <t>9.964E-4</t>
  </si>
  <si>
    <t>8.457E-4</t>
  </si>
  <si>
    <t>5.996E-4</t>
  </si>
  <si>
    <t>5.814E-4</t>
  </si>
  <si>
    <t>6.730E-4</t>
  </si>
  <si>
    <t>8.432E-4</t>
  </si>
  <si>
    <t>1.026E-3</t>
  </si>
  <si>
    <t>1.289E-3</t>
  </si>
  <si>
    <t>1.573E-3</t>
  </si>
  <si>
    <t>1.950E-3</t>
  </si>
  <si>
    <t>2.248E-3</t>
  </si>
  <si>
    <t>2.502E-3</t>
  </si>
  <si>
    <t>2.439E-3</t>
  </si>
  <si>
    <t>2.314E-3</t>
  </si>
  <si>
    <t>2.118E-3</t>
  </si>
  <si>
    <t>1.691E-3</t>
  </si>
  <si>
    <t>1.271E-3</t>
  </si>
  <si>
    <t>9.120E-4</t>
  </si>
  <si>
    <t>5.852E-4</t>
  </si>
  <si>
    <t>3.591E-4</t>
  </si>
  <si>
    <t>3.350E-4</t>
  </si>
  <si>
    <t>4.443E-4</t>
  </si>
  <si>
    <t>7.259E-4</t>
  </si>
  <si>
    <t>1.093E-3</t>
  </si>
  <si>
    <t>1.651E-3</t>
  </si>
  <si>
    <t>2.116E-3</t>
  </si>
  <si>
    <t>2.553E-3</t>
  </si>
  <si>
    <t>2.678E-3</t>
  </si>
  <si>
    <t>2.731E-3</t>
  </si>
  <si>
    <t>2.623E-3</t>
  </si>
  <si>
    <t>2.207E-3</t>
  </si>
  <si>
    <t>1.793E-3</t>
  </si>
  <si>
    <t>1.245E-3</t>
  </si>
  <si>
    <t>7.447E-4</t>
  </si>
  <si>
    <t>4.036E-4</t>
  </si>
  <si>
    <t>2.719E-4</t>
  </si>
  <si>
    <t>3.066E-4</t>
  </si>
  <si>
    <t>4.950E-4</t>
  </si>
  <si>
    <t>1.016E-3</t>
  </si>
  <si>
    <t>1.584E-3</t>
  </si>
  <si>
    <t>2.016E-3</t>
  </si>
  <si>
    <t>2.427E-3</t>
  </si>
  <si>
    <t>2.696E-3</t>
  </si>
  <si>
    <t>2.826E-3</t>
  </si>
  <si>
    <t>2.768E-3</t>
  </si>
  <si>
    <t>2.552E-3</t>
  </si>
  <si>
    <t>2.053E-3</t>
  </si>
  <si>
    <t>1.595E-3</t>
  </si>
  <si>
    <t>1.215E-3</t>
  </si>
  <si>
    <t>9.327E-4</t>
  </si>
  <si>
    <t>7.893E-4</t>
  </si>
  <si>
    <t>6.635E-4</t>
  </si>
  <si>
    <t>7.704E-4</t>
  </si>
  <si>
    <t>9.466E-4</t>
  </si>
  <si>
    <t>1.280E-3</t>
  </si>
  <si>
    <t>1.636E-3</t>
  </si>
  <si>
    <t>1.972E-3</t>
  </si>
  <si>
    <t>2.261E-3</t>
  </si>
  <si>
    <t>2.522E-3</t>
  </si>
  <si>
    <t>2.490E-3</t>
  </si>
  <si>
    <t>2.338E-3</t>
  </si>
  <si>
    <t>2.105E-3</t>
  </si>
  <si>
    <t>1.813E-3</t>
  </si>
  <si>
    <t>1.596E-3</t>
  </si>
  <si>
    <t>1.342E-3</t>
  </si>
  <si>
    <t>1.177E-3</t>
  </si>
  <si>
    <t>1.025E-3</t>
  </si>
  <si>
    <t>1.050E-3</t>
  </si>
  <si>
    <t>1.189E-3</t>
  </si>
  <si>
    <t>1.386E-3</t>
  </si>
  <si>
    <t>1.926E-3</t>
  </si>
  <si>
    <t>2.263E-3</t>
  </si>
  <si>
    <t>2.619E-3</t>
  </si>
  <si>
    <t>2.772E-3</t>
  </si>
  <si>
    <t>2.792E-3</t>
  </si>
  <si>
    <t>2.640E-3</t>
  </si>
  <si>
    <t>2.425E-3</t>
  </si>
  <si>
    <t>2.076E-3</t>
  </si>
  <si>
    <t>1.647E-3</t>
  </si>
  <si>
    <t>1.323E-3</t>
  </si>
  <si>
    <t>1.011E-3</t>
  </si>
  <si>
    <t>8.655E-4</t>
  </si>
  <si>
    <t>7.879E-4</t>
  </si>
  <si>
    <t>9.764E-4</t>
  </si>
  <si>
    <t>1.645E-3</t>
  </si>
  <si>
    <t>2.131E-3</t>
  </si>
  <si>
    <t>2.542E-3</t>
  </si>
  <si>
    <t>2.790E-3</t>
  </si>
  <si>
    <t>2.906E-3</t>
  </si>
  <si>
    <t>2.799E-3</t>
  </si>
  <si>
    <t>2.601E-3</t>
  </si>
  <si>
    <t>1.777E-3</t>
  </si>
  <si>
    <t>1.436E-3</t>
  </si>
  <si>
    <t>1.269E-3</t>
  </si>
  <si>
    <t>1.227E-3</t>
  </si>
  <si>
    <t>1.440E-3</t>
  </si>
  <si>
    <t>1.822E-3</t>
  </si>
  <si>
    <t>2.184E-3</t>
  </si>
  <si>
    <t>2.637E-3</t>
  </si>
  <si>
    <t>2.875E-3</t>
  </si>
  <si>
    <t>2.845E-3</t>
  </si>
  <si>
    <t>2.712E-3</t>
  </si>
  <si>
    <t>2.443E-3</t>
  </si>
  <si>
    <t>2.046E-3</t>
  </si>
  <si>
    <t>1.394E-3</t>
  </si>
  <si>
    <t>1.380E-3</t>
  </si>
  <si>
    <t>1.500E-3</t>
  </si>
  <si>
    <t>1.737E-3</t>
  </si>
  <si>
    <t>2.092E-3</t>
  </si>
  <si>
    <t>2.409E-3</t>
  </si>
  <si>
    <t>2.602E-3</t>
  </si>
  <si>
    <t>2.605E-3</t>
  </si>
  <si>
    <t>2.632E-3</t>
  </si>
  <si>
    <t>2.466E-3</t>
  </si>
  <si>
    <t>1.728E-3</t>
  </si>
  <si>
    <t>1.363E-3</t>
  </si>
  <si>
    <t>1.313E-3</t>
  </si>
  <si>
    <t>1.254E-3</t>
  </si>
  <si>
    <t>1.360E-3</t>
  </si>
  <si>
    <t>1.689E-3</t>
  </si>
  <si>
    <t>1.953E-3</t>
  </si>
  <si>
    <t>2.211E-3</t>
  </si>
  <si>
    <t>2.383E-3</t>
  </si>
  <si>
    <t>2.394E-3</t>
  </si>
  <si>
    <t>2.216E-3</t>
  </si>
  <si>
    <t>1.977E-3</t>
  </si>
  <si>
    <t>1.629E-3</t>
  </si>
  <si>
    <t>1.344E-3</t>
  </si>
  <si>
    <t>1.247E-3</t>
  </si>
  <si>
    <t>1.173E-3</t>
  </si>
  <si>
    <t>1.266E-3</t>
  </si>
  <si>
    <t>1.406E-3</t>
  </si>
  <si>
    <t>1.746E-3</t>
  </si>
  <si>
    <t>1.957E-3</t>
  </si>
  <si>
    <t>2.063E-3</t>
  </si>
  <si>
    <t>1.921E-3</t>
  </si>
  <si>
    <t>1.741E-3</t>
  </si>
  <si>
    <t>1.388E-3</t>
  </si>
  <si>
    <t>1.167E-3</t>
  </si>
  <si>
    <t>9.967E-4</t>
  </si>
  <si>
    <t>9.649E-4</t>
  </si>
  <si>
    <t>1.131E-3</t>
  </si>
  <si>
    <t>1.295E-3</t>
  </si>
  <si>
    <t>1.478E-3</t>
  </si>
  <si>
    <t>1.736E-3</t>
  </si>
  <si>
    <t>1.787E-3</t>
  </si>
  <si>
    <t>1.871E-3</t>
  </si>
  <si>
    <t>1.816E-3</t>
  </si>
  <si>
    <t>1.627E-3</t>
  </si>
  <si>
    <t>1.358E-3</t>
  </si>
  <si>
    <t>1.144E-3</t>
  </si>
  <si>
    <t>9.601E-4</t>
  </si>
  <si>
    <t>9.685E-4</t>
  </si>
  <si>
    <t>1.095E-3</t>
  </si>
  <si>
    <t>1.220E-3</t>
  </si>
  <si>
    <t>1.443E-3</t>
  </si>
  <si>
    <t>1.650E-3</t>
  </si>
  <si>
    <t>1.763E-3</t>
  </si>
  <si>
    <t>1.829E-3</t>
  </si>
  <si>
    <t>1.795E-3</t>
  </si>
  <si>
    <t>1.656E-3</t>
  </si>
  <si>
    <t>1.391E-3</t>
  </si>
  <si>
    <t>1.157E-3</t>
  </si>
  <si>
    <t>1.004E-3</t>
  </si>
  <si>
    <t>9.760E-4</t>
  </si>
  <si>
    <t>1.085E-3</t>
  </si>
  <si>
    <t>1.201E-3</t>
  </si>
  <si>
    <t>1.378E-3</t>
  </si>
  <si>
    <t>1.581E-3</t>
  </si>
  <si>
    <t>1.662E-3</t>
  </si>
  <si>
    <t>1.558E-3</t>
  </si>
  <si>
    <t>1.468E-3</t>
  </si>
  <si>
    <t>1.293E-3</t>
  </si>
  <si>
    <t>1.075E-3</t>
  </si>
  <si>
    <t>9.011E-4</t>
  </si>
  <si>
    <t>7.953E-4</t>
  </si>
  <si>
    <t>8.054E-4</t>
  </si>
  <si>
    <t>8.729E-4</t>
  </si>
  <si>
    <t>1.255E-3</t>
  </si>
  <si>
    <t>1.195E-3</t>
  </si>
  <si>
    <t>1.083E-3</t>
  </si>
  <si>
    <t>9.366E-4</t>
  </si>
  <si>
    <t>8.138E-4</t>
  </si>
  <si>
    <t>6.441E-4</t>
  </si>
  <si>
    <t>6.079E-4</t>
  </si>
  <si>
    <t>6.430E-4</t>
  </si>
  <si>
    <t>7.744E-4</t>
  </si>
  <si>
    <t>8.643E-4</t>
  </si>
  <si>
    <t>1.015E-3</t>
  </si>
  <si>
    <t>1.151E-3</t>
  </si>
  <si>
    <t>1.152E-3</t>
  </si>
  <si>
    <t>1.123E-3</t>
  </si>
  <si>
    <t>9.096E-4</t>
  </si>
  <si>
    <t>8.008E-4</t>
  </si>
  <si>
    <t>6.325E-4</t>
  </si>
  <si>
    <t>6.168E-4</t>
  </si>
  <si>
    <t>6.769E-4</t>
  </si>
  <si>
    <t>7.695E-4</t>
  </si>
  <si>
    <t>8.463E-4</t>
  </si>
  <si>
    <t>9.888E-4</t>
  </si>
  <si>
    <t>优化数据</t>
  </si>
  <si>
    <t>运动数据</t>
  </si>
  <si>
    <t>供电数据</t>
  </si>
  <si>
    <t>2.200E-4</t>
  </si>
  <si>
    <t>4.539E-4</t>
  </si>
  <si>
    <t>1.854E-3</t>
  </si>
  <si>
    <t>3.572E-3</t>
  </si>
  <si>
    <t>5.636E-3</t>
  </si>
  <si>
    <t>7.874E-3</t>
  </si>
  <si>
    <t>1.496E-2</t>
  </si>
  <si>
    <t>1.551E-2</t>
  </si>
  <si>
    <t>1.439E-2</t>
  </si>
  <si>
    <t>1.303E-2</t>
  </si>
  <si>
    <t>8.971E-3</t>
  </si>
  <si>
    <t>6.861E-3</t>
  </si>
  <si>
    <t>4.993E-3</t>
  </si>
  <si>
    <t>3.274E-3</t>
  </si>
  <si>
    <t>2.123E-3</t>
  </si>
  <si>
    <t>1.527E-3</t>
  </si>
  <si>
    <t>1.571E-3</t>
  </si>
  <si>
    <t>2.250E-3</t>
  </si>
  <si>
    <t>3.565E-3</t>
  </si>
  <si>
    <t>5.300E-3</t>
  </si>
  <si>
    <t>7.219E-3</t>
  </si>
  <si>
    <t>9.292E-3</t>
  </si>
  <si>
    <t>1.375E-2</t>
  </si>
  <si>
    <t>1.427E-2</t>
  </si>
  <si>
    <t>1.422E-2</t>
  </si>
  <si>
    <t>1.234E-2</t>
  </si>
  <si>
    <t>8.711E-3</t>
  </si>
  <si>
    <t>6.815E-3</t>
  </si>
  <si>
    <t>5.014E-3</t>
  </si>
  <si>
    <t>3.665E-3</t>
  </si>
  <si>
    <t>2.716E-3</t>
  </si>
  <si>
    <t>2.311E-3</t>
  </si>
  <si>
    <t>2.393E-3</t>
  </si>
  <si>
    <t>2.805E-3</t>
  </si>
  <si>
    <t>3.450E-3</t>
  </si>
  <si>
    <t>4.268E-3</t>
  </si>
  <si>
    <t>4.852E-3</t>
  </si>
  <si>
    <t>5.184E-3</t>
  </si>
  <si>
    <t>5.513E-3</t>
  </si>
  <si>
    <t>5.553E-3</t>
  </si>
  <si>
    <t>5.506E-3</t>
  </si>
  <si>
    <t>4.045E-3</t>
  </si>
  <si>
    <t>2.859E-3</t>
  </si>
  <si>
    <t>7.225E-4</t>
  </si>
  <si>
    <t>2.654E-4</t>
  </si>
  <si>
    <t>2.515E-4</t>
  </si>
  <si>
    <t>6.557E-4</t>
  </si>
  <si>
    <t>1.805E-3</t>
  </si>
  <si>
    <t>2.767E-3</t>
  </si>
  <si>
    <t>3.907E-3</t>
  </si>
  <si>
    <t>4.719E-3</t>
  </si>
  <si>
    <t>5.204E-3</t>
  </si>
  <si>
    <t>5.297E-3</t>
  </si>
  <si>
    <t>4.980E-3</t>
  </si>
  <si>
    <t>4.335E-3</t>
  </si>
  <si>
    <t>3.383E-3</t>
  </si>
  <si>
    <t>2.429E-3</t>
  </si>
  <si>
    <t>1.136E-3</t>
  </si>
  <si>
    <t>1.086E-3</t>
  </si>
  <si>
    <t>1.512E-3</t>
  </si>
  <si>
    <t>2.337E-3</t>
  </si>
  <si>
    <t>3.161E-3</t>
  </si>
  <si>
    <t>4.024E-3</t>
  </si>
  <si>
    <t>4.680E-3</t>
  </si>
  <si>
    <t>4.929E-3</t>
  </si>
  <si>
    <t>4.870E-3</t>
  </si>
  <si>
    <t>4.541E-3</t>
  </si>
  <si>
    <t>3.895E-3</t>
  </si>
  <si>
    <t>3.041E-3</t>
  </si>
  <si>
    <t>1.779E-3</t>
  </si>
  <si>
    <t>1.565E-3</t>
  </si>
  <si>
    <t>1.633E-3</t>
  </si>
  <si>
    <t>2.026E-3</t>
  </si>
  <si>
    <t>2.675E-3</t>
  </si>
  <si>
    <t>3.506E-3</t>
  </si>
  <si>
    <t>4.175E-3</t>
  </si>
  <si>
    <t>4.586E-3</t>
  </si>
  <si>
    <t>4.683E-3</t>
  </si>
  <si>
    <t>4.516E-3</t>
  </si>
  <si>
    <t>4.177E-3</t>
  </si>
  <si>
    <t>3.447E-3</t>
  </si>
  <si>
    <t>2.747E-3</t>
  </si>
  <si>
    <t>2.150E-3</t>
  </si>
  <si>
    <t>1.835E-3</t>
  </si>
  <si>
    <t>1.790E-3</t>
  </si>
  <si>
    <t>1.992E-3</t>
  </si>
  <si>
    <t>2.353E-3</t>
  </si>
  <si>
    <t>3.015E-3</t>
  </si>
  <si>
    <t>3.757E-3</t>
  </si>
  <si>
    <t>4.296E-3</t>
  </si>
  <si>
    <t>4.588E-3</t>
  </si>
  <si>
    <t>4.592E-3</t>
  </si>
  <si>
    <t>4.355E-3</t>
  </si>
  <si>
    <t>3.882E-3</t>
  </si>
  <si>
    <t>3.263E-3</t>
  </si>
  <si>
    <t>2.589E-3</t>
  </si>
  <si>
    <t>2.193E-3</t>
  </si>
  <si>
    <t>1.995E-3</t>
  </si>
  <si>
    <t>2.023E-3</t>
  </si>
  <si>
    <t>2.283E-3</t>
  </si>
  <si>
    <t>2.762E-3</t>
  </si>
  <si>
    <t>3.420E-3</t>
  </si>
  <si>
    <t>4.020E-3</t>
  </si>
  <si>
    <t>4.387E-3</t>
  </si>
  <si>
    <t>4.498E-3</t>
  </si>
  <si>
    <t>4.389E-3</t>
  </si>
  <si>
    <t>4.128E-3</t>
  </si>
  <si>
    <t>3.559E-3</t>
  </si>
  <si>
    <t>2.924E-3</t>
  </si>
  <si>
    <t>2.504E-3</t>
  </si>
  <si>
    <t>2.156E-3</t>
  </si>
  <si>
    <t>2.164E-3</t>
  </si>
  <si>
    <t>2.325E-3</t>
  </si>
  <si>
    <t>2.580E-3</t>
  </si>
  <si>
    <t>3.083E-3</t>
  </si>
  <si>
    <t>3.716E-3</t>
  </si>
  <si>
    <t>4.097E-3</t>
  </si>
  <si>
    <t>4.283E-3</t>
  </si>
  <si>
    <t>4.331E-3</t>
  </si>
  <si>
    <t>4.176E-3</t>
  </si>
  <si>
    <t>3.721E-3</t>
  </si>
  <si>
    <t>3.252E-3</t>
  </si>
  <si>
    <t>2.719E-3</t>
  </si>
  <si>
    <t>2.401E-3</t>
  </si>
  <si>
    <t>2.199E-3</t>
  </si>
  <si>
    <t>2.300E-3</t>
  </si>
  <si>
    <t>2.532E-3</t>
  </si>
  <si>
    <t>2.824E-3</t>
  </si>
  <si>
    <t>3.278E-3</t>
  </si>
  <si>
    <t>3.722E-3</t>
  </si>
  <si>
    <t>4.016E-3</t>
  </si>
  <si>
    <t>4.113E-3</t>
  </si>
  <si>
    <t>3.975E-3</t>
  </si>
  <si>
    <t>3.760E-3</t>
  </si>
  <si>
    <t>3.324E-3</t>
  </si>
  <si>
    <t>2.788E-3</t>
  </si>
  <si>
    <t>2.444E-3</t>
  </si>
  <si>
    <t>2.224E-3</t>
  </si>
  <si>
    <t>2.251E-3</t>
  </si>
  <si>
    <t>2.424E-3</t>
  </si>
  <si>
    <t>2.684E-3</t>
  </si>
  <si>
    <t>3.115E-3</t>
  </si>
  <si>
    <t>3.543E-3</t>
  </si>
  <si>
    <t>3.845E-3</t>
  </si>
  <si>
    <t>4.032E-3</t>
  </si>
  <si>
    <t>4.014E-3</t>
  </si>
  <si>
    <t>3.807E-3</t>
  </si>
  <si>
    <t>3.438E-3</t>
  </si>
  <si>
    <t>3.075E-3</t>
  </si>
  <si>
    <t>2.750E-3</t>
  </si>
  <si>
    <t>2.448E-3</t>
  </si>
  <si>
    <t>2.483E-3</t>
  </si>
  <si>
    <t>2.660E-3</t>
  </si>
  <si>
    <t>3.415E-3</t>
  </si>
  <si>
    <t>3.750E-3</t>
  </si>
  <si>
    <t>3.824E-3</t>
  </si>
  <si>
    <t>3.742E-3</t>
  </si>
  <si>
    <t>3.588E-3</t>
  </si>
  <si>
    <t>3.403E-3</t>
  </si>
  <si>
    <t>2.722E-3</t>
  </si>
  <si>
    <t>2.512E-3</t>
  </si>
  <si>
    <t>2.446E-3</t>
  </si>
  <si>
    <t>2.557E-3</t>
  </si>
  <si>
    <t>2.798E-3</t>
  </si>
  <si>
    <t>3.121E-3</t>
  </si>
  <si>
    <t>3.471E-3</t>
  </si>
  <si>
    <t>3.707E-3</t>
  </si>
  <si>
    <t>3.684E-3</t>
  </si>
  <si>
    <t>3.566E-3</t>
  </si>
  <si>
    <t>3.321E-3</t>
  </si>
  <si>
    <t>2.997E-3</t>
  </si>
  <si>
    <t>2.740E-3</t>
  </si>
  <si>
    <t>2.379E-3</t>
  </si>
  <si>
    <t>2.533E-3</t>
  </si>
  <si>
    <t>2.994E-3</t>
  </si>
  <si>
    <t>3.347E-3</t>
  </si>
  <si>
    <t>3.516E-3</t>
  </si>
  <si>
    <t>3.616E-3</t>
  </si>
  <si>
    <t>3.530E-3</t>
  </si>
  <si>
    <t>3.373E-3</t>
  </si>
  <si>
    <t>3.071E-3</t>
  </si>
  <si>
    <t>2.879E-3</t>
  </si>
  <si>
    <t>2.613E-3</t>
  </si>
  <si>
    <t>2.599E-3</t>
  </si>
  <si>
    <t>2.673E-3</t>
  </si>
  <si>
    <t>2.757E-3</t>
  </si>
  <si>
    <t>2.917E-3</t>
  </si>
  <si>
    <t>3.094E-3</t>
  </si>
  <si>
    <t>3.327E-3</t>
  </si>
  <si>
    <t>3.463E-3</t>
  </si>
  <si>
    <t>3.576E-3</t>
  </si>
  <si>
    <t>3.535E-3</t>
  </si>
  <si>
    <t>3.399E-3</t>
  </si>
  <si>
    <t>3.138E-3</t>
  </si>
  <si>
    <t>2.809E-3</t>
  </si>
  <si>
    <t>2.699E-3</t>
  </si>
  <si>
    <t>2.816E-3</t>
  </si>
  <si>
    <t>2.949E-3</t>
  </si>
  <si>
    <t>3.073E-3</t>
  </si>
  <si>
    <t>3.348E-3</t>
  </si>
  <si>
    <t>3.433E-3</t>
  </si>
  <si>
    <t>3.553E-3</t>
  </si>
  <si>
    <t>3.568E-3</t>
  </si>
  <si>
    <t>3.283E-3</t>
  </si>
  <si>
    <t>3.084E-3</t>
  </si>
  <si>
    <t>2.940E-3</t>
  </si>
  <si>
    <t>2.737E-3</t>
  </si>
  <si>
    <t>2.706E-3</t>
  </si>
  <si>
    <t>2.787E-3</t>
  </si>
  <si>
    <t>2.895E-3</t>
  </si>
  <si>
    <t>2.771E-3</t>
  </si>
  <si>
    <t>5.561E-3</t>
  </si>
  <si>
    <t>8.133E-3</t>
  </si>
  <si>
    <t>1.316E-2</t>
  </si>
  <si>
    <t>9.802E-3</t>
  </si>
  <si>
    <t>7.661E-3</t>
  </si>
  <si>
    <t>5.058E-3</t>
  </si>
  <si>
    <t>1.970E-3</t>
  </si>
  <si>
    <t>9.778E-4</t>
  </si>
  <si>
    <t>3.676E-3</t>
  </si>
  <si>
    <t>6.178E-3</t>
  </si>
  <si>
    <t>8.245E-3</t>
  </si>
  <si>
    <t>9.821E-3</t>
  </si>
  <si>
    <t>1.074E-2</t>
  </si>
  <si>
    <t>9.016E-3</t>
  </si>
  <si>
    <t>7.226E-3</t>
  </si>
  <si>
    <t>2.434E-3</t>
  </si>
  <si>
    <t>6.939E-4</t>
  </si>
  <si>
    <t>3.104E-3</t>
  </si>
  <si>
    <t>5.292E-3</t>
  </si>
  <si>
    <t>7.128E-3</t>
  </si>
  <si>
    <t>8.463E-3</t>
  </si>
  <si>
    <t>9.523E-3</t>
  </si>
  <si>
    <t>8.653E-3</t>
  </si>
  <si>
    <t>7.368E-3</t>
  </si>
  <si>
    <t>5.692E-3</t>
  </si>
  <si>
    <t>3.696E-3</t>
  </si>
  <si>
    <t>1.485E-3</t>
  </si>
  <si>
    <t>6.819E-4</t>
  </si>
  <si>
    <t>2.085E-3</t>
  </si>
  <si>
    <t>3.277E-3</t>
  </si>
  <si>
    <t>4.017E-3</t>
  </si>
  <si>
    <t>4.312E-3</t>
  </si>
  <si>
    <t>4.142E-3</t>
  </si>
  <si>
    <t>3.626E-3</t>
  </si>
  <si>
    <t>2.555E-3</t>
  </si>
  <si>
    <t>1.355E-3</t>
  </si>
  <si>
    <t>1.065E-3</t>
  </si>
  <si>
    <t>2.132E-3</t>
  </si>
  <si>
    <t>3.642E-3</t>
  </si>
  <si>
    <t>3.770E-3</t>
  </si>
  <si>
    <t>3.558E-3</t>
  </si>
  <si>
    <t>2.851E-3</t>
  </si>
  <si>
    <t>1.879E-3</t>
  </si>
  <si>
    <t>7.740E-4</t>
  </si>
  <si>
    <t>5.400E-4</t>
  </si>
  <si>
    <t>2.367E-3</t>
  </si>
  <si>
    <t>2.962E-3</t>
  </si>
  <si>
    <t>3.163E-3</t>
  </si>
  <si>
    <t>3.027E-3</t>
  </si>
  <si>
    <t>2.633E-3</t>
  </si>
  <si>
    <t>1.834E-3</t>
  </si>
  <si>
    <t>8.666E-4</t>
  </si>
  <si>
    <t>6.866E-3</t>
  </si>
  <si>
    <t>1.336E-2</t>
  </si>
  <si>
    <t>2.003E-2</t>
  </si>
  <si>
    <t>2.529E-2</t>
  </si>
  <si>
    <t>3.205E-2</t>
  </si>
  <si>
    <t>3.634E-2</t>
  </si>
  <si>
    <t>4.314E-2</t>
  </si>
  <si>
    <t>4.843E-2</t>
  </si>
  <si>
    <t>5.215E-2</t>
  </si>
  <si>
    <t>5.635E-2</t>
  </si>
  <si>
    <t>6.020E-2</t>
  </si>
  <si>
    <t>6.324E-2</t>
  </si>
  <si>
    <t>6.600E-2</t>
  </si>
  <si>
    <t>6.836E-2</t>
  </si>
  <si>
    <t>7.028E-2</t>
  </si>
  <si>
    <t>7.101E-2</t>
  </si>
  <si>
    <t>7.164E-2</t>
  </si>
  <si>
    <t>7.157E-2</t>
  </si>
  <si>
    <t>7.072E-2</t>
  </si>
  <si>
    <t>7.050E-2</t>
  </si>
  <si>
    <t>6.871E-2</t>
  </si>
  <si>
    <t>6.295E-2</t>
  </si>
  <si>
    <t>5.836E-2</t>
  </si>
  <si>
    <t>5.569E-2</t>
  </si>
  <si>
    <t>5.111E-2</t>
  </si>
  <si>
    <t>4.549E-2</t>
  </si>
  <si>
    <t>3.925E-2</t>
  </si>
  <si>
    <t>3.536E-2</t>
  </si>
  <si>
    <t>2.967E-2</t>
  </si>
  <si>
    <t>2.431E-2</t>
  </si>
  <si>
    <t>1.810E-2</t>
  </si>
  <si>
    <t>6.249E-3</t>
  </si>
  <si>
    <t>5.045E-3</t>
  </si>
  <si>
    <t>1.757E-2</t>
  </si>
  <si>
    <t>2.271E-2</t>
  </si>
  <si>
    <t>2.782E-2</t>
  </si>
  <si>
    <t>3.295E-2</t>
  </si>
  <si>
    <t>3.803E-2</t>
  </si>
  <si>
    <t>4.433E-2</t>
  </si>
  <si>
    <t>4.814E-2</t>
  </si>
  <si>
    <t>5.320E-2</t>
  </si>
  <si>
    <t>5.727E-2</t>
  </si>
  <si>
    <t>6.065E-2</t>
  </si>
  <si>
    <t>6.580E-2</t>
  </si>
  <si>
    <t>6.853E-2</t>
  </si>
  <si>
    <t>6.907E-2</t>
  </si>
  <si>
    <t>6.956E-2</t>
  </si>
  <si>
    <t>6.958E-2</t>
  </si>
  <si>
    <t>6.838E-2</t>
  </si>
  <si>
    <t>6.764E-2</t>
  </si>
  <si>
    <t>6.603E-2</t>
  </si>
  <si>
    <t>6.451E-2</t>
  </si>
  <si>
    <t>6.156E-2</t>
  </si>
  <si>
    <t>5.851E-2</t>
  </si>
  <si>
    <t>5.531E-2</t>
  </si>
  <si>
    <t>5.081E-2</t>
  </si>
  <si>
    <t>4.681E-2</t>
  </si>
  <si>
    <t>4.298E-2</t>
  </si>
  <si>
    <t>3.707E-2</t>
  </si>
  <si>
    <t>3.090E-2</t>
  </si>
  <si>
    <t>2.495E-2</t>
  </si>
  <si>
    <t>2.026E-2</t>
  </si>
  <si>
    <t>8.884E-3</t>
  </si>
  <si>
    <t>3.635E-3</t>
  </si>
  <si>
    <t>6.848E-4</t>
  </si>
  <si>
    <t>7.586E-3</t>
  </si>
  <si>
    <t>1.759E-2</t>
  </si>
  <si>
    <t>2.280E-2</t>
  </si>
  <si>
    <t>2.784E-2</t>
  </si>
  <si>
    <t>3.282E-2</t>
  </si>
  <si>
    <t>3.665E-2</t>
  </si>
  <si>
    <t>4.049E-2</t>
  </si>
  <si>
    <t>4.370E-2</t>
  </si>
  <si>
    <t>4.700E-2</t>
  </si>
  <si>
    <t>5.056E-2</t>
  </si>
  <si>
    <t>5.306E-2</t>
  </si>
  <si>
    <t>5.399E-2</t>
  </si>
  <si>
    <t>5.530E-2</t>
  </si>
  <si>
    <t>5.707E-2</t>
  </si>
  <si>
    <t>5.648E-2</t>
  </si>
  <si>
    <t>5.657E-2</t>
  </si>
  <si>
    <t>5.585E-2</t>
  </si>
  <si>
    <t>5.574E-2</t>
  </si>
  <si>
    <t>5.310E-2</t>
  </si>
  <si>
    <t>4.880E-2</t>
  </si>
  <si>
    <t>4.560E-2</t>
  </si>
  <si>
    <t>4.308E-2</t>
  </si>
  <si>
    <t>4.007E-2</t>
  </si>
  <si>
    <t>3.563E-2</t>
  </si>
  <si>
    <t>3.237E-2</t>
  </si>
  <si>
    <t>2.841E-2</t>
  </si>
  <si>
    <t>2.521E-2</t>
  </si>
  <si>
    <t>2.101E-2</t>
  </si>
  <si>
    <t>1.638E-2</t>
  </si>
  <si>
    <t>9.872E-3</t>
  </si>
  <si>
    <t>5.073E-3</t>
  </si>
  <si>
    <t>1.897E-3</t>
  </si>
  <si>
    <t>2.257E-3</t>
  </si>
  <si>
    <t>4.959E-3</t>
  </si>
  <si>
    <t>8.499E-3</t>
  </si>
  <si>
    <t>2.248E-2</t>
  </si>
  <si>
    <t>2.378E-2</t>
  </si>
  <si>
    <t>2.512E-2</t>
  </si>
  <si>
    <t>2.774E-2</t>
  </si>
  <si>
    <t>2.802E-2</t>
  </si>
  <si>
    <t>2.983E-2</t>
  </si>
  <si>
    <t>3.063E-2</t>
  </si>
  <si>
    <t>3.039E-2</t>
  </si>
  <si>
    <t>3.042E-2</t>
  </si>
  <si>
    <t>3.040E-2</t>
  </si>
  <si>
    <t>3.032E-2</t>
  </si>
  <si>
    <t>2.898E-2</t>
  </si>
  <si>
    <t>2.771E-2</t>
  </si>
  <si>
    <t>2.694E-2</t>
  </si>
  <si>
    <t>2.511E-2</t>
  </si>
  <si>
    <t>1.780E-2</t>
  </si>
  <si>
    <t>1.608E-2</t>
  </si>
  <si>
    <t>1.071E-2</t>
  </si>
  <si>
    <t>8.060E-3</t>
  </si>
  <si>
    <t>4.960E-3</t>
  </si>
  <si>
    <t>9.379E-4</t>
  </si>
  <si>
    <t>2.428E-3</t>
  </si>
  <si>
    <t>4.005E-3</t>
  </si>
  <si>
    <t>5.674E-3</t>
  </si>
  <si>
    <t>1.140E-2</t>
  </si>
  <si>
    <t>1.505E-2</t>
  </si>
  <si>
    <t>1.567E-2</t>
  </si>
  <si>
    <t>1.760E-2</t>
  </si>
  <si>
    <t>1.769E-2</t>
  </si>
  <si>
    <t>1.876E-2</t>
  </si>
  <si>
    <t>1.949E-2</t>
  </si>
  <si>
    <t>1.962E-2</t>
  </si>
  <si>
    <t>1.954E-2</t>
  </si>
  <si>
    <t>1.955E-2</t>
  </si>
  <si>
    <t>1.956E-2</t>
  </si>
  <si>
    <t>1.977E-2</t>
  </si>
  <si>
    <t>1.889E-2</t>
  </si>
  <si>
    <t>1.826E-2</t>
  </si>
  <si>
    <t>1.765E-2</t>
  </si>
  <si>
    <t>1.631E-2</t>
  </si>
  <si>
    <t>1.520E-2</t>
  </si>
  <si>
    <t>1.315E-2</t>
  </si>
  <si>
    <t>9.360E-3</t>
  </si>
  <si>
    <t>6.928E-3</t>
  </si>
  <si>
    <t>4.958E-3</t>
  </si>
  <si>
    <t>3.762E-3</t>
  </si>
  <si>
    <t>2.281E-3</t>
  </si>
  <si>
    <t>5.409E-4</t>
  </si>
  <si>
    <t>6.041E-4</t>
  </si>
  <si>
    <t>3.454E-3</t>
  </si>
  <si>
    <t>5.028E-3</t>
  </si>
  <si>
    <t>6.634E-3</t>
  </si>
  <si>
    <t>7.532E-3</t>
  </si>
  <si>
    <t>8.616E-3</t>
  </si>
  <si>
    <t>9.937E-3</t>
  </si>
  <si>
    <t>1.113E-2</t>
  </si>
  <si>
    <t>1.258E-2</t>
  </si>
  <si>
    <t>1.446E-2</t>
  </si>
  <si>
    <t>1.443E-2</t>
  </si>
  <si>
    <t>1.409E-2</t>
  </si>
  <si>
    <t>1.381E-2</t>
  </si>
  <si>
    <t>1.260E-2</t>
  </si>
  <si>
    <t>1.016E-2</t>
  </si>
  <si>
    <t>8.117E-3</t>
  </si>
  <si>
    <t>7.430E-3</t>
  </si>
  <si>
    <t>6.295E-3</t>
  </si>
  <si>
    <t>4.921E-3</t>
  </si>
  <si>
    <t>3.924E-3</t>
  </si>
  <si>
    <t>2.491E-3</t>
  </si>
  <si>
    <t>1.244E-3</t>
  </si>
  <si>
    <t>1.041E-5</t>
  </si>
  <si>
    <t>9.882E-4</t>
  </si>
  <si>
    <t>2.378E-3</t>
  </si>
  <si>
    <t>2.516E-3</t>
  </si>
  <si>
    <t>3.804E-3</t>
  </si>
  <si>
    <t>5.033E-3</t>
  </si>
  <si>
    <t>6.329E-3</t>
  </si>
  <si>
    <t>8.227E-3</t>
  </si>
  <si>
    <t>8.920E-3</t>
  </si>
  <si>
    <t>1.065E-2</t>
  </si>
  <si>
    <t>1.250E-2</t>
  </si>
  <si>
    <t>1.144E-2</t>
  </si>
  <si>
    <t>9.877E-3</t>
  </si>
  <si>
    <t>9.965E-3</t>
  </si>
  <si>
    <t>8.101E-3</t>
  </si>
  <si>
    <t>7.509E-3</t>
  </si>
  <si>
    <t>7.413E-3</t>
  </si>
  <si>
    <t>5.271E-3</t>
  </si>
  <si>
    <t>4.851E-3</t>
  </si>
  <si>
    <t>4.258E-3</t>
  </si>
  <si>
    <t>3.193E-3</t>
  </si>
  <si>
    <t>1.442E-3</t>
  </si>
  <si>
    <t>2.515E-3</t>
  </si>
  <si>
    <t>2.862E-3</t>
  </si>
  <si>
    <t>3.999E-3</t>
  </si>
  <si>
    <t>4.864E-3</t>
  </si>
  <si>
    <t>6.324E-3</t>
  </si>
  <si>
    <t>6.740E-3</t>
  </si>
  <si>
    <t>7.563E-3</t>
  </si>
  <si>
    <t>8.945E-3</t>
  </si>
  <si>
    <t>9.442E-3</t>
  </si>
  <si>
    <t>9.891E-3</t>
  </si>
  <si>
    <t>1.069E-2</t>
  </si>
  <si>
    <t>9.852E-3</t>
  </si>
  <si>
    <t>9.988E-3</t>
  </si>
  <si>
    <t>8.456E-3</t>
  </si>
  <si>
    <t>7.506E-3</t>
  </si>
  <si>
    <t>7.404E-3</t>
  </si>
  <si>
    <t>7.162E-3</t>
  </si>
  <si>
    <t>5.438E-3</t>
  </si>
  <si>
    <t>4.936E-3</t>
  </si>
  <si>
    <t>4.206E-3</t>
  </si>
  <si>
    <t>3.174E-3</t>
  </si>
  <si>
    <t>2.324E-3</t>
  </si>
  <si>
    <t>1.181E-3</t>
  </si>
  <si>
    <t>4.841E-4</t>
  </si>
  <si>
    <t>4.511E-4</t>
  </si>
  <si>
    <t>2.274E-3</t>
  </si>
  <si>
    <t>2.823E-3</t>
  </si>
  <si>
    <t>3.725E-3</t>
  </si>
  <si>
    <t>4.926E-3</t>
  </si>
  <si>
    <t>5.053E-3</t>
  </si>
  <si>
    <t>6.184E-3</t>
  </si>
  <si>
    <t>7.297E-3</t>
  </si>
  <si>
    <t>7.411E-3</t>
  </si>
  <si>
    <t>7.496E-3</t>
  </si>
  <si>
    <t>8.764E-3</t>
  </si>
  <si>
    <t>9.697E-3</t>
  </si>
  <si>
    <t>9.961E-3</t>
  </si>
  <si>
    <t>9.984E-3</t>
  </si>
  <si>
    <t>9.959E-3</t>
  </si>
  <si>
    <t>1.002E-2</t>
  </si>
  <si>
    <t>8.689E-3</t>
  </si>
  <si>
    <t>8.796E-3</t>
  </si>
  <si>
    <t>7.591E-3</t>
  </si>
  <si>
    <t>7.476E-3</t>
  </si>
  <si>
    <t>7.275E-3</t>
  </si>
  <si>
    <t>6.323E-3</t>
  </si>
  <si>
    <t>5.034E-3</t>
  </si>
  <si>
    <t>5.102E-3</t>
  </si>
  <si>
    <t>3.483E-3</t>
  </si>
  <si>
    <t>2.990E-3</t>
  </si>
  <si>
    <t>2.482E-3</t>
  </si>
  <si>
    <t>1.208E-3</t>
  </si>
  <si>
    <t>1.252E-3</t>
  </si>
  <si>
    <t>7.341E-4</t>
  </si>
  <si>
    <t>7.271E-4</t>
  </si>
  <si>
    <t>1.886E-5</t>
  </si>
  <si>
    <t>3.503E-6</t>
  </si>
  <si>
    <t>5.459E-4</t>
  </si>
  <si>
    <t>1.250E-3</t>
  </si>
  <si>
    <t>1.213E-3</t>
  </si>
  <si>
    <t>2.316E-3</t>
  </si>
  <si>
    <t>2.481E-3</t>
  </si>
  <si>
    <t>2.529E-3</t>
  </si>
  <si>
    <t>3.823E-3</t>
  </si>
  <si>
    <t>3.780E-3</t>
  </si>
  <si>
    <t>5.537E-3</t>
  </si>
  <si>
    <t>5.586E-3</t>
  </si>
  <si>
    <t>6.353E-3</t>
  </si>
  <si>
    <t>6.687E-3</t>
  </si>
  <si>
    <t>7.051E-3</t>
  </si>
  <si>
    <t>7.534E-3</t>
  </si>
  <si>
    <t>7.443E-3</t>
  </si>
  <si>
    <t>7.483E-3</t>
  </si>
  <si>
    <t>8.709E-3</t>
  </si>
  <si>
    <t>8.729E-3</t>
  </si>
  <si>
    <t>8.767E-3</t>
  </si>
  <si>
    <t>8.747E-3</t>
  </si>
  <si>
    <t>8.754E-3</t>
  </si>
  <si>
    <t>8.741E-3</t>
  </si>
  <si>
    <t>7.497E-3</t>
  </si>
  <si>
    <t>7.571E-3</t>
  </si>
  <si>
    <t>7.512E-3</t>
  </si>
  <si>
    <t>7.569E-3</t>
  </si>
  <si>
    <t>7.155E-3</t>
  </si>
  <si>
    <t>6.357E-3</t>
  </si>
  <si>
    <t>5.224E-3</t>
  </si>
  <si>
    <t>5.198E-3</t>
  </si>
  <si>
    <t>5.031E-3</t>
  </si>
  <si>
    <t>4.198E-3</t>
  </si>
  <si>
    <t>3.637E-3</t>
  </si>
  <si>
    <t>2.679E-3</t>
  </si>
  <si>
    <t>2.455E-3</t>
  </si>
  <si>
    <t>2.449E-3</t>
  </si>
  <si>
    <t>2.282E-3</t>
  </si>
  <si>
    <t>2.365E-3</t>
  </si>
  <si>
    <t>2.384E-3</t>
  </si>
  <si>
    <t>2.416E-3</t>
  </si>
  <si>
    <t>2.398E-3</t>
  </si>
  <si>
    <t>2.433E-3</t>
  </si>
  <si>
    <t>2.685E-3</t>
  </si>
  <si>
    <t>3.631E-3</t>
  </si>
  <si>
    <t>3.911E-3</t>
  </si>
  <si>
    <t>3.417E-3</t>
  </si>
  <si>
    <t>4.887E-3</t>
  </si>
  <si>
    <t>4.950E-3</t>
  </si>
  <si>
    <t>4.932E-3</t>
  </si>
  <si>
    <t>5.069E-3</t>
  </si>
  <si>
    <t>6.298E-3</t>
  </si>
  <si>
    <t>7.225E-3</t>
  </si>
  <si>
    <t>7.303E-3</t>
  </si>
  <si>
    <t>7.313E-3</t>
  </si>
  <si>
    <t>7.175E-3</t>
  </si>
  <si>
    <t>7.349E-3</t>
  </si>
  <si>
    <t>7.362E-3</t>
  </si>
  <si>
    <t>7.330E-3</t>
  </si>
  <si>
    <t>7.326E-3</t>
  </si>
  <si>
    <t>7.163E-3</t>
  </si>
  <si>
    <t>7.447E-3</t>
  </si>
  <si>
    <t>7.427E-3</t>
  </si>
  <si>
    <t>6.417E-3</t>
  </si>
  <si>
    <t>6.451E-3</t>
  </si>
  <si>
    <t>6.457E-3</t>
  </si>
  <si>
    <t>5.396E-3</t>
  </si>
  <si>
    <t>4.964E-3</t>
  </si>
  <si>
    <t>4.635E-3</t>
  </si>
  <si>
    <t>4.911E-3</t>
  </si>
  <si>
    <t>4.010E-3</t>
  </si>
  <si>
    <t>3.784E-3</t>
  </si>
  <si>
    <t>3.062E-3</t>
  </si>
  <si>
    <t>2.431E-3</t>
  </si>
  <si>
    <t>2.287E-3</t>
  </si>
  <si>
    <t>2.328E-3</t>
  </si>
  <si>
    <t>2.326E-3</t>
  </si>
  <si>
    <t>2.475E-3</t>
  </si>
  <si>
    <t>2.981E-3</t>
  </si>
  <si>
    <t>3.773E-3</t>
  </si>
  <si>
    <t>4.905E-3</t>
  </si>
  <si>
    <t>4.917E-3</t>
  </si>
  <si>
    <t>4.978E-3</t>
  </si>
  <si>
    <t>5.440E-3</t>
  </si>
  <si>
    <t>6.161E-3</t>
  </si>
  <si>
    <t>6.444E-3</t>
  </si>
  <si>
    <t>6.314E-3</t>
  </si>
  <si>
    <t>6.832E-3</t>
  </si>
  <si>
    <t>7.293E-3</t>
  </si>
  <si>
    <t>6.995E-3</t>
  </si>
  <si>
    <t>7.220E-3</t>
  </si>
  <si>
    <t>7.022E-3</t>
  </si>
  <si>
    <t>7.431E-3</t>
  </si>
  <si>
    <t>7.306E-3</t>
  </si>
  <si>
    <t>6.919E-3</t>
  </si>
  <si>
    <t>7.444E-3</t>
  </si>
  <si>
    <t>7.400E-3</t>
  </si>
  <si>
    <t>6.849E-3</t>
  </si>
  <si>
    <t>6.037E-3</t>
  </si>
  <si>
    <t>6.106E-3</t>
  </si>
  <si>
    <t>5.104E-3</t>
  </si>
  <si>
    <t>4.903E-3</t>
  </si>
  <si>
    <t>4.809E-3</t>
  </si>
  <si>
    <t>4.956E-3</t>
  </si>
  <si>
    <t>4.875E-3</t>
  </si>
  <si>
    <t>3.546E-3</t>
  </si>
  <si>
    <t>3.880E-3</t>
  </si>
  <si>
    <t>2.959E-3</t>
  </si>
  <si>
    <t>2.495E-3</t>
  </si>
  <si>
    <t>2.404E-3</t>
  </si>
  <si>
    <t>2.408E-3</t>
  </si>
  <si>
    <t>2.594E-3</t>
  </si>
  <si>
    <t>2.459E-3</t>
  </si>
  <si>
    <t>3.620E-3</t>
  </si>
  <si>
    <t>3.803E-3</t>
  </si>
  <si>
    <t>4.804E-3</t>
  </si>
  <si>
    <t>4.989E-3</t>
  </si>
  <si>
    <t>6.309E-3</t>
  </si>
  <si>
    <t>6.354E-3</t>
  </si>
  <si>
    <t>6.719E-3</t>
  </si>
  <si>
    <t>6.706E-3</t>
  </si>
  <si>
    <t>6.860E-3</t>
  </si>
  <si>
    <t>7.406E-3</t>
  </si>
  <si>
    <t>7.510E-3</t>
  </si>
  <si>
    <t>7.507E-3</t>
  </si>
  <si>
    <t>7.437E-3</t>
  </si>
  <si>
    <t>7.338E-3</t>
  </si>
  <si>
    <t>7.125E-3</t>
  </si>
  <si>
    <t>6.356E-3</t>
  </si>
  <si>
    <t>6.316E-3</t>
  </si>
  <si>
    <t>6.355E-3</t>
  </si>
  <si>
    <t>4.832E-3</t>
  </si>
  <si>
    <t>5.272E-3</t>
  </si>
  <si>
    <t>4.879E-3</t>
  </si>
  <si>
    <t>3.816E-3</t>
  </si>
  <si>
    <t>3.468E-3</t>
  </si>
  <si>
    <t>3.473E-3</t>
  </si>
  <si>
    <t>2.548E-3</t>
  </si>
  <si>
    <t>2.496E-3</t>
  </si>
  <si>
    <t>2.422E-3</t>
  </si>
  <si>
    <t>2.371E-3</t>
  </si>
  <si>
    <t>2.303E-3</t>
  </si>
  <si>
    <t>2.539E-3</t>
  </si>
  <si>
    <t>2.558E-3</t>
  </si>
  <si>
    <t>3.276E-3</t>
  </si>
  <si>
    <t>3.491E-3</t>
  </si>
  <si>
    <t>4.816E-3</t>
  </si>
  <si>
    <t>4.767E-3</t>
  </si>
  <si>
    <t>4.883E-3</t>
  </si>
  <si>
    <t>4.922E-3</t>
  </si>
  <si>
    <t>5.165E-3</t>
  </si>
  <si>
    <t>5.616E-3</t>
  </si>
  <si>
    <t>6.321E-3</t>
  </si>
  <si>
    <t>6.761E-3</t>
  </si>
  <si>
    <t>6.521E-3</t>
  </si>
  <si>
    <t>7.558E-3</t>
  </si>
  <si>
    <t>7.514E-3</t>
  </si>
  <si>
    <t>7.602E-3</t>
  </si>
  <si>
    <t>7.523E-3</t>
  </si>
  <si>
    <t>7.440E-3</t>
  </si>
  <si>
    <t>6.843E-3</t>
  </si>
  <si>
    <t>6.104E-3</t>
  </si>
  <si>
    <t>6.055E-3</t>
  </si>
  <si>
    <t>6.076E-3</t>
  </si>
  <si>
    <t>5.367E-3</t>
  </si>
  <si>
    <t>5.009E-3</t>
  </si>
  <si>
    <t>4.963E-3</t>
  </si>
  <si>
    <t>4.679E-3</t>
  </si>
  <si>
    <t>3.763E-3</t>
  </si>
  <si>
    <t>3.517E-3</t>
  </si>
  <si>
    <t>3.908E-3</t>
  </si>
  <si>
    <t>2.978E-3</t>
  </si>
  <si>
    <t>2.561E-3</t>
  </si>
  <si>
    <t>2.520E-3</t>
  </si>
  <si>
    <t>2.442E-3</t>
  </si>
  <si>
    <t>2.418E-3</t>
  </si>
  <si>
    <t>2.412E-3</t>
  </si>
  <si>
    <t>2.435E-3</t>
  </si>
  <si>
    <t>2.672E-3</t>
  </si>
  <si>
    <t>2.464E-3</t>
  </si>
  <si>
    <t>2.403E-3</t>
  </si>
  <si>
    <t>2.468E-3</t>
  </si>
  <si>
    <t>2.667E-3</t>
  </si>
  <si>
    <t>3.815E-3</t>
  </si>
  <si>
    <t>3.834E-3</t>
  </si>
  <si>
    <t>3.541E-3</t>
  </si>
  <si>
    <t>4.886E-3</t>
  </si>
  <si>
    <t>4.979E-3</t>
  </si>
  <si>
    <t>5.019E-3</t>
  </si>
  <si>
    <t>6.173E-3</t>
  </si>
  <si>
    <t>6.869E-3</t>
  </si>
  <si>
    <t>6.911E-3</t>
  </si>
  <si>
    <t>7.014E-3</t>
  </si>
  <si>
    <t>7.500E-3</t>
  </si>
  <si>
    <t>7.416E-3</t>
  </si>
  <si>
    <t>7.526E-3</t>
  </si>
  <si>
    <t>7.463E-3</t>
  </si>
  <si>
    <t>7.595E-3</t>
  </si>
  <si>
    <t>7.570E-3</t>
  </si>
  <si>
    <t>7.030E-3</t>
  </si>
  <si>
    <t>6.010E-3</t>
  </si>
  <si>
    <t>6.328E-3</t>
  </si>
  <si>
    <t>5.063E-3</t>
  </si>
  <si>
    <t>5.059E-3</t>
  </si>
  <si>
    <t>4.907E-3</t>
  </si>
  <si>
    <t>4.684E-3</t>
  </si>
  <si>
    <t>3.682E-3</t>
  </si>
  <si>
    <t>3.333E-3</t>
  </si>
  <si>
    <t>2.650E-3</t>
  </si>
  <si>
    <t>2.414E-3</t>
  </si>
  <si>
    <t>2.227E-3</t>
  </si>
  <si>
    <t>2.437E-3</t>
  </si>
  <si>
    <t>2.471E-3</t>
  </si>
  <si>
    <t>2.363E-3</t>
  </si>
  <si>
    <t>2.426E-3</t>
  </si>
  <si>
    <t>2.479E-3</t>
  </si>
  <si>
    <t>2.330E-3</t>
  </si>
  <si>
    <t>2.524E-3</t>
  </si>
  <si>
    <t>2.626E-3</t>
  </si>
  <si>
    <t>3.673E-3</t>
  </si>
  <si>
    <t>3.703E-3</t>
  </si>
  <si>
    <t>3.645E-3</t>
  </si>
  <si>
    <t>3.956E-3</t>
  </si>
  <si>
    <t>4.845E-3</t>
  </si>
  <si>
    <t>4.941E-3</t>
  </si>
  <si>
    <t>5.025E-3</t>
  </si>
  <si>
    <t>5.984E-3</t>
  </si>
  <si>
    <t>6.366E-3</t>
  </si>
  <si>
    <t>6.164E-3</t>
  </si>
  <si>
    <t>6.596E-3</t>
  </si>
  <si>
    <t>7.366E-3</t>
  </si>
  <si>
    <t>7.222E-3</t>
  </si>
  <si>
    <t>7.418E-3</t>
  </si>
  <si>
    <t>7.459E-3</t>
  </si>
  <si>
    <t>7.424E-3</t>
  </si>
  <si>
    <t>7.420E-3</t>
  </si>
  <si>
    <t>7.309E-3</t>
  </si>
  <si>
    <t>7.252E-3</t>
  </si>
  <si>
    <t>6.370E-3</t>
  </si>
  <si>
    <t>6.332E-3</t>
  </si>
  <si>
    <t>5.604E-3</t>
  </si>
  <si>
    <t>4.997E-3</t>
  </si>
  <si>
    <t>4.850E-3</t>
  </si>
  <si>
    <t>4.869E-3</t>
  </si>
  <si>
    <t>3.630E-3</t>
  </si>
  <si>
    <t>3.621E-3</t>
  </si>
  <si>
    <t>3.580E-3</t>
  </si>
  <si>
    <t>3.462E-3</t>
  </si>
  <si>
    <t>2.677E-3</t>
  </si>
  <si>
    <t>2.451E-3</t>
  </si>
  <si>
    <t>2.521E-3</t>
  </si>
  <si>
    <t>2.389E-3</t>
  </si>
  <si>
    <t>2.368E-3</t>
  </si>
  <si>
    <t>2.531E-3</t>
  </si>
  <si>
    <t>2.499E-3</t>
  </si>
  <si>
    <t>2.984E-3</t>
  </si>
  <si>
    <t>3.801E-3</t>
  </si>
  <si>
    <t>3.754E-3</t>
  </si>
  <si>
    <t>4.827E-3</t>
  </si>
  <si>
    <t>4.904E-3</t>
  </si>
  <si>
    <t>4.895E-3</t>
  </si>
  <si>
    <t>4.780E-3</t>
  </si>
  <si>
    <t>5.087E-3</t>
  </si>
  <si>
    <t>4.906E-3</t>
  </si>
  <si>
    <t>5.123E-3</t>
  </si>
  <si>
    <t>6.059E-3</t>
  </si>
  <si>
    <t>6.409E-3</t>
  </si>
  <si>
    <t>6.378E-3</t>
  </si>
  <si>
    <t>6.337E-3</t>
  </si>
  <si>
    <t>6.327E-3</t>
  </si>
  <si>
    <t>6.338E-3</t>
  </si>
  <si>
    <t>6.346E-3</t>
  </si>
  <si>
    <t>6.313E-3</t>
  </si>
  <si>
    <t>6.290E-3</t>
  </si>
  <si>
    <t>5.652E-3</t>
  </si>
  <si>
    <t>4.967E-3</t>
  </si>
  <si>
    <t>4.826E-3</t>
  </si>
  <si>
    <t>4.820E-3</t>
  </si>
  <si>
    <t>5.022E-3</t>
  </si>
  <si>
    <t>4.897E-3</t>
  </si>
  <si>
    <t>4.311E-3</t>
  </si>
  <si>
    <t>3.768E-3</t>
  </si>
  <si>
    <t>3.839E-3</t>
  </si>
  <si>
    <t>3.822E-3</t>
  </si>
  <si>
    <t>3.848E-3</t>
  </si>
  <si>
    <t>3.808E-3</t>
  </si>
  <si>
    <t>3.813E-3</t>
  </si>
  <si>
    <t>3.841E-3</t>
  </si>
  <si>
    <t>3.835E-3</t>
  </si>
  <si>
    <t>3.799E-3</t>
  </si>
  <si>
    <t>3.825E-3</t>
  </si>
  <si>
    <t>4.781E-3</t>
  </si>
  <si>
    <t>4.871E-3</t>
  </si>
  <si>
    <t>4.838E-3</t>
  </si>
  <si>
    <t>4.954E-3</t>
  </si>
  <si>
    <t>5.007E-3</t>
  </si>
  <si>
    <t>4.975E-3</t>
  </si>
  <si>
    <t>5.055E-3</t>
  </si>
  <si>
    <t>5.057E-3</t>
  </si>
  <si>
    <t>5.030E-3</t>
  </si>
  <si>
    <t>5.233E-3</t>
  </si>
  <si>
    <t>5.546E-3</t>
  </si>
  <si>
    <t>5.554E-3</t>
  </si>
  <si>
    <t>5.574E-3</t>
  </si>
  <si>
    <t>5.127E-3</t>
  </si>
  <si>
    <t>5.609E-3</t>
  </si>
  <si>
    <t>4.971E-3</t>
  </si>
  <si>
    <t>4.957E-3</t>
  </si>
  <si>
    <t>4.998E-3</t>
  </si>
  <si>
    <t>4.817E-3</t>
  </si>
  <si>
    <t>5.038E-3</t>
  </si>
  <si>
    <t>4.981E-3</t>
  </si>
  <si>
    <t>4.688E-3</t>
  </si>
  <si>
    <t>4.686E-3</t>
  </si>
  <si>
    <t>4.598E-3</t>
  </si>
  <si>
    <t>3.830E-3</t>
  </si>
  <si>
    <t>3.787E-3</t>
  </si>
  <si>
    <t>3.776E-3</t>
  </si>
  <si>
    <t>3.786E-3</t>
  </si>
  <si>
    <t>3.793E-3</t>
  </si>
  <si>
    <t>3.798E-3</t>
  </si>
  <si>
    <t>3.817E-3</t>
  </si>
  <si>
    <t>4.721E-3</t>
  </si>
  <si>
    <t>5.090E-3</t>
  </si>
  <si>
    <t>4.935E-3</t>
  </si>
  <si>
    <t>4.938E-3</t>
  </si>
  <si>
    <t>4.861E-3</t>
  </si>
  <si>
    <t>4.968E-3</t>
  </si>
  <si>
    <t>5.042E-3</t>
  </si>
  <si>
    <t>5.096E-3</t>
  </si>
  <si>
    <t>5.263E-3</t>
  </si>
  <si>
    <t>5.291E-3</t>
  </si>
  <si>
    <t>5.270E-3</t>
  </si>
  <si>
    <t>5.160E-3</t>
  </si>
  <si>
    <t>5.117E-3</t>
  </si>
  <si>
    <t>5.000E-3</t>
  </si>
  <si>
    <t>4.855E-3</t>
  </si>
  <si>
    <t>4.834E-3</t>
  </si>
  <si>
    <t>4.602E-3</t>
  </si>
  <si>
    <t>4.821E-3</t>
  </si>
  <si>
    <t>4.866E-3</t>
  </si>
  <si>
    <t>3.633E-3</t>
  </si>
  <si>
    <t>3.606E-3</t>
  </si>
  <si>
    <t>3.718E-3</t>
  </si>
  <si>
    <t>3.634E-3</t>
  </si>
  <si>
    <t>3.551E-3</t>
  </si>
  <si>
    <t>3.493E-3</t>
  </si>
  <si>
    <t>3.459E-3</t>
  </si>
  <si>
    <t>3.690E-3</t>
  </si>
  <si>
    <t>3.545E-3</t>
  </si>
  <si>
    <t>4.628E-3</t>
  </si>
  <si>
    <t>4.298E-3</t>
  </si>
  <si>
    <t>4.690E-3</t>
  </si>
  <si>
    <t>4.868E-3</t>
  </si>
  <si>
    <t>4.825E-3</t>
  </si>
  <si>
    <t>4.892E-3</t>
  </si>
  <si>
    <t>4.973E-3</t>
  </si>
  <si>
    <t>5.002E-3</t>
  </si>
  <si>
    <t>5.060E-3</t>
  </si>
  <si>
    <t>5.376E-3</t>
  </si>
  <si>
    <t>6.466E-3</t>
  </si>
  <si>
    <t>6.330E-3</t>
  </si>
  <si>
    <t>6.307E-3</t>
  </si>
  <si>
    <t>6.292E-3</t>
  </si>
  <si>
    <t>6.287E-3</t>
  </si>
  <si>
    <t>6.301E-3</t>
  </si>
  <si>
    <t>5.129E-3</t>
  </si>
  <si>
    <t>5.026E-3</t>
  </si>
  <si>
    <t>4.843E-3</t>
  </si>
  <si>
    <t>4.710E-3</t>
  </si>
  <si>
    <t>4.775E-3</t>
  </si>
  <si>
    <t>4.829E-3</t>
  </si>
  <si>
    <t>4.418E-3</t>
  </si>
  <si>
    <t>4.130E-3</t>
  </si>
  <si>
    <t>3.658E-3</t>
  </si>
  <si>
    <t>3.698E-3</t>
  </si>
  <si>
    <t>3.744E-3</t>
  </si>
  <si>
    <t>3.338E-3</t>
  </si>
  <si>
    <t>3.513E-3</t>
  </si>
  <si>
    <t>3.402E-3</t>
  </si>
  <si>
    <t>3.366E-3</t>
  </si>
  <si>
    <t>3.372E-3</t>
  </si>
  <si>
    <t>3.358E-3</t>
  </si>
  <si>
    <t>3.663E-3</t>
  </si>
  <si>
    <t>3.701E-3</t>
  </si>
  <si>
    <t>3.720E-3</t>
  </si>
  <si>
    <t>4.880E-3</t>
  </si>
  <si>
    <t>5.023E-3</t>
  </si>
  <si>
    <t>5.194E-3</t>
  </si>
  <si>
    <t>5.122E-3</t>
  </si>
  <si>
    <t>4.807E-3</t>
  </si>
  <si>
    <t>5.016E-3</t>
  </si>
  <si>
    <t>6.152E-3</t>
  </si>
  <si>
    <t>6.201E-3</t>
  </si>
  <si>
    <t>6.209E-3</t>
  </si>
  <si>
    <t>6.276E-3</t>
  </si>
  <si>
    <t>6.067E-3</t>
  </si>
  <si>
    <t>6.070E-3</t>
  </si>
  <si>
    <t>6.061E-3</t>
  </si>
  <si>
    <t>6.054E-3</t>
  </si>
  <si>
    <t>6.066E-3</t>
  </si>
  <si>
    <t>6.236E-3</t>
  </si>
  <si>
    <t>4.833E-3</t>
  </si>
  <si>
    <t>4.888E-3</t>
  </si>
  <si>
    <t>5.077E-3</t>
  </si>
  <si>
    <t>5.021E-3</t>
  </si>
  <si>
    <t>4.792E-3</t>
  </si>
  <si>
    <t>4.285E-3</t>
  </si>
  <si>
    <t>3.648E-3</t>
  </si>
  <si>
    <t>3.639E-3</t>
  </si>
  <si>
    <t>3.805E-3</t>
  </si>
  <si>
    <t>3.534E-3</t>
  </si>
  <si>
    <t>2.570E-3</t>
  </si>
  <si>
    <t>2.546E-3</t>
  </si>
  <si>
    <t>2.511E-3</t>
  </si>
  <si>
    <t>2.474E-3</t>
  </si>
  <si>
    <t>2.654E-3</t>
  </si>
  <si>
    <t>3.364E-3</t>
  </si>
  <si>
    <t>3.747E-3</t>
  </si>
  <si>
    <t>3.761E-3</t>
  </si>
  <si>
    <t>3.547E-3</t>
  </si>
  <si>
    <t>4.102E-3</t>
  </si>
  <si>
    <t>4.991E-3</t>
  </si>
  <si>
    <t>4.920E-3</t>
  </si>
  <si>
    <t>4.949E-3</t>
  </si>
  <si>
    <t>4.970E-3</t>
  </si>
  <si>
    <t>5.175E-3</t>
  </si>
  <si>
    <t>6.473E-3</t>
  </si>
  <si>
    <t>6.360E-3</t>
  </si>
  <si>
    <t>6.363E-3</t>
  </si>
  <si>
    <t>6.336E-3</t>
  </si>
  <si>
    <t>6.364E-3</t>
  </si>
  <si>
    <t>6.362E-3</t>
  </si>
  <si>
    <t>5.540E-3</t>
  </si>
  <si>
    <t>5.374E-3</t>
  </si>
  <si>
    <t>5.091E-3</t>
  </si>
  <si>
    <t>4.878E-3</t>
  </si>
  <si>
    <t>4.876E-3</t>
  </si>
  <si>
    <t>4.261E-3</t>
  </si>
  <si>
    <t>3.502E-3</t>
  </si>
  <si>
    <t>3.928E-3</t>
  </si>
  <si>
    <t>3.906E-3</t>
  </si>
  <si>
    <t>3.272E-3</t>
  </si>
  <si>
    <t>3.258E-3</t>
  </si>
  <si>
    <t>3.201E-3</t>
  </si>
  <si>
    <t>3.209E-3</t>
  </si>
  <si>
    <t>4.018E-3</t>
  </si>
  <si>
    <t>3.985E-3</t>
  </si>
  <si>
    <t>3.769E-3</t>
  </si>
  <si>
    <t>4.007E-3</t>
  </si>
  <si>
    <t>4.844E-3</t>
  </si>
  <si>
    <t>4.837E-3</t>
  </si>
  <si>
    <t>5.017E-3</t>
  </si>
  <si>
    <t>4.793E-3</t>
  </si>
  <si>
    <t>4.896E-3</t>
  </si>
  <si>
    <t>5.027E-3</t>
  </si>
  <si>
    <t>5.040E-3</t>
  </si>
  <si>
    <t>5.342E-3</t>
  </si>
  <si>
    <t>5.081E-3</t>
  </si>
  <si>
    <t>5.338E-3</t>
  </si>
  <si>
    <t>5.290E-3</t>
  </si>
  <si>
    <t>5.146E-3</t>
  </si>
  <si>
    <t>5.075E-3</t>
  </si>
  <si>
    <t>5.099E-3</t>
  </si>
  <si>
    <t>5.404E-3</t>
  </si>
  <si>
    <t>5.065E-3</t>
  </si>
  <si>
    <t>5.035E-3</t>
  </si>
  <si>
    <t>4.874E-3</t>
  </si>
  <si>
    <t>4.740E-3</t>
  </si>
  <si>
    <t>3.598E-3</t>
  </si>
  <si>
    <t>3.407E-3</t>
  </si>
  <si>
    <t>3.739E-3</t>
  </si>
  <si>
    <t>3.727E-3</t>
  </si>
  <si>
    <t>3.794E-3</t>
  </si>
  <si>
    <t>3.829E-3</t>
  </si>
  <si>
    <t>3.810E-3</t>
  </si>
  <si>
    <t>3.846E-3</t>
  </si>
  <si>
    <t>3.859E-3</t>
  </si>
  <si>
    <t>3.560E-3</t>
  </si>
  <si>
    <t>3.968E-3</t>
  </si>
  <si>
    <t>3.795E-3</t>
  </si>
  <si>
    <t>4.769E-3</t>
  </si>
  <si>
    <t>4.947E-3</t>
  </si>
  <si>
    <t>4.948E-3</t>
  </si>
  <si>
    <t>4.942E-3</t>
  </si>
  <si>
    <t>4.916E-3</t>
  </si>
  <si>
    <t>4.810E-3</t>
  </si>
  <si>
    <t>4.801E-3</t>
  </si>
  <si>
    <t>4.778E-3</t>
  </si>
  <si>
    <t>4.803E-3</t>
  </si>
  <si>
    <t>5.020E-3</t>
  </si>
  <si>
    <t>4.915E-3</t>
  </si>
  <si>
    <t>4.819E-3</t>
  </si>
  <si>
    <t>4.642E-3</t>
  </si>
  <si>
    <t>4.872E-3</t>
  </si>
  <si>
    <t>4.626E-3</t>
  </si>
  <si>
    <t>4.671E-3</t>
  </si>
  <si>
    <t>4.614E-3</t>
  </si>
  <si>
    <t>4.645E-3</t>
  </si>
  <si>
    <t>4.755E-3</t>
  </si>
  <si>
    <t>4.699E-3</t>
  </si>
  <si>
    <t>4.655E-3</t>
  </si>
  <si>
    <t>4.863E-3</t>
  </si>
  <si>
    <t>4.884E-3</t>
  </si>
  <si>
    <t>4.828E-3</t>
  </si>
  <si>
    <t>4.836E-3</t>
  </si>
  <si>
    <t>4.889E-3</t>
  </si>
  <si>
    <t>4.796E-3</t>
  </si>
  <si>
    <t>4.800E-3</t>
  </si>
  <si>
    <t>4.822E-3</t>
  </si>
  <si>
    <t>4.854E-3</t>
  </si>
  <si>
    <t>4.808E-3</t>
  </si>
  <si>
    <t>4.812E-3</t>
  </si>
  <si>
    <t>4.805E-3</t>
  </si>
  <si>
    <t>4.813E-3</t>
  </si>
  <si>
    <t>4.774E-3</t>
  </si>
  <si>
    <t>4.762E-3</t>
  </si>
  <si>
    <t>4.786E-3</t>
  </si>
  <si>
    <t>5.013E-3</t>
  </si>
  <si>
    <t>4.961E-3</t>
  </si>
  <si>
    <t>4.984E-3</t>
  </si>
  <si>
    <t>4.919E-3</t>
  </si>
  <si>
    <t>4.965E-3</t>
  </si>
  <si>
    <t>4.794E-3</t>
  </si>
  <si>
    <t>3.840E-3</t>
  </si>
  <si>
    <t>3.885E-3</t>
  </si>
  <si>
    <t>4.776E-3</t>
  </si>
  <si>
    <t>4.611E-3</t>
  </si>
  <si>
    <t>4.223E-3</t>
  </si>
  <si>
    <t>4.338E-3</t>
  </si>
  <si>
    <t>4.294E-3</t>
  </si>
  <si>
    <t>4.317E-3</t>
  </si>
  <si>
    <t>4.752E-3</t>
  </si>
  <si>
    <t>4.677E-3</t>
  </si>
  <si>
    <t>4.835E-3</t>
  </si>
  <si>
    <t>4.806E-3</t>
  </si>
  <si>
    <t>4.664E-3</t>
  </si>
  <si>
    <t>4.955E-3</t>
  </si>
  <si>
    <t>4.840E-3</t>
  </si>
  <si>
    <t>4.717E-3</t>
  </si>
  <si>
    <t>4.759E-3</t>
  </si>
  <si>
    <t>4.795E-3</t>
  </si>
  <si>
    <t>4.790E-3</t>
  </si>
  <si>
    <t>4.799E-3</t>
  </si>
  <si>
    <t>4.839E-3</t>
  </si>
  <si>
    <t>5.024E-3</t>
  </si>
  <si>
    <t>4.859E-3</t>
  </si>
  <si>
    <t>4.748E-3</t>
  </si>
  <si>
    <t>4.824E-3</t>
  </si>
  <si>
    <t>4.732E-3</t>
  </si>
  <si>
    <t>4.865E-3</t>
  </si>
  <si>
    <t>4.842E-3</t>
  </si>
  <si>
    <t>4.857E-3</t>
  </si>
  <si>
    <t>4.691E-3</t>
  </si>
  <si>
    <t>4.814E-3</t>
  </si>
  <si>
    <t>4.779E-3</t>
  </si>
  <si>
    <t>4.994E-3</t>
  </si>
  <si>
    <t>4.848E-3</t>
  </si>
  <si>
    <t>4.858E-3</t>
  </si>
  <si>
    <t>4.918E-3</t>
  </si>
  <si>
    <t>4.853E-3</t>
  </si>
  <si>
    <t>4.747E-3</t>
  </si>
  <si>
    <t>4.913E-3</t>
  </si>
  <si>
    <t>4.860E-3</t>
  </si>
  <si>
    <t>4.862E-3</t>
  </si>
  <si>
    <t>4.425E-3</t>
  </si>
  <si>
    <t>4.716E-3</t>
  </si>
  <si>
    <t>5.011E-3</t>
  </si>
  <si>
    <t>4.940E-3</t>
  </si>
  <si>
    <t>4.668E-3</t>
  </si>
  <si>
    <t>4.945E-3</t>
  </si>
  <si>
    <t>4.909E-3</t>
  </si>
  <si>
    <t>4.969E-3</t>
  </si>
  <si>
    <t>4.962E-3</t>
  </si>
  <si>
    <t>4.885E-3</t>
  </si>
  <si>
    <t>4.976E-3</t>
  </si>
  <si>
    <t>4.999E-3</t>
  </si>
  <si>
    <t>4.873E-3</t>
  </si>
  <si>
    <t>4.750E-3</t>
  </si>
  <si>
    <t>4.660E-3</t>
  </si>
  <si>
    <t>4.723E-3</t>
  </si>
  <si>
    <t>4.798E-3</t>
  </si>
  <si>
    <t>4.939E-3</t>
  </si>
  <si>
    <t>4.943E-3</t>
  </si>
  <si>
    <t>4.983E-3</t>
  </si>
  <si>
    <t>5.005E-3</t>
  </si>
  <si>
    <t>5.036E-3</t>
  </si>
  <si>
    <t>4.777E-3</t>
  </si>
  <si>
    <t>4.894E-3</t>
  </si>
  <si>
    <t>4.893E-3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</si>
</sst>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);[Red]\(0\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177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left"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connections" Target="connections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ColorStyle" Target="colors5.xml"/><Relationship Id="rId2" Type="http://schemas.microsoft.com/office/2011/relationships/chartStyle" Target="style5.xml"/><Relationship Id="rId1" Type="http://schemas.openxmlformats.org/officeDocument/2006/relationships/chartUserShapes" Target="../drawings/drawing6.xml"/></Relationships>
</file>

<file path=xl/charts/_rels/chart6.xml.rels><?xml version="1.0" encoding="UTF-8" standalone="yes"?>
<Relationships xmlns="http://schemas.openxmlformats.org/package/2006/relationships"><Relationship Id="rId3" Type="http://schemas.microsoft.com/office/2011/relationships/chartColorStyle" Target="colors6.xml"/><Relationship Id="rId2" Type="http://schemas.microsoft.com/office/2011/relationships/chartStyle" Target="style6.xml"/><Relationship Id="rId1" Type="http://schemas.openxmlformats.org/officeDocument/2006/relationships/chartUserShapes" Target="../drawings/drawing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阻尼运动温差接入曲线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低压_0.4s_10周期01!$F$1:$F$2</c:f>
              <c:strCache>
                <c:ptCount val="1"/>
                <c:pt idx="0">
                  <c:v>运动曲线 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低压_0.4s_10周期01!$F$3:$F$304</c:f>
              <c:numCache>
                <c:formatCode>0.00E+00</c:formatCode>
                <c:ptCount val="302"/>
                <c:pt idx="0">
                  <c:v>5.551e-12</c:v>
                </c:pt>
                <c:pt idx="1">
                  <c:v>0.7944</c:v>
                </c:pt>
                <c:pt idx="2">
                  <c:v>2.556</c:v>
                </c:pt>
                <c:pt idx="3">
                  <c:v>1.98</c:v>
                </c:pt>
                <c:pt idx="4">
                  <c:v>1.709</c:v>
                </c:pt>
                <c:pt idx="5">
                  <c:v>1.224</c:v>
                </c:pt>
                <c:pt idx="6">
                  <c:v>3.35</c:v>
                </c:pt>
                <c:pt idx="7">
                  <c:v>2.083</c:v>
                </c:pt>
                <c:pt idx="8">
                  <c:v>-2.092</c:v>
                </c:pt>
                <c:pt idx="9">
                  <c:v>-4.431</c:v>
                </c:pt>
                <c:pt idx="10">
                  <c:v>-1.921</c:v>
                </c:pt>
                <c:pt idx="11">
                  <c:v>-4.333</c:v>
                </c:pt>
                <c:pt idx="12">
                  <c:v>-2.37</c:v>
                </c:pt>
                <c:pt idx="13">
                  <c:v>-0.19</c:v>
                </c:pt>
                <c:pt idx="14">
                  <c:v>0.3637</c:v>
                </c:pt>
                <c:pt idx="15">
                  <c:v>4.268</c:v>
                </c:pt>
                <c:pt idx="16">
                  <c:v>5.013</c:v>
                </c:pt>
                <c:pt idx="17">
                  <c:v>1.586</c:v>
                </c:pt>
                <c:pt idx="18">
                  <c:v>-0.6616</c:v>
                </c:pt>
                <c:pt idx="19">
                  <c:v>0.8565</c:v>
                </c:pt>
                <c:pt idx="20">
                  <c:v>-1.886</c:v>
                </c:pt>
                <c:pt idx="21">
                  <c:v>-2.13</c:v>
                </c:pt>
                <c:pt idx="22">
                  <c:v>-3.69</c:v>
                </c:pt>
                <c:pt idx="23">
                  <c:v>-2.998</c:v>
                </c:pt>
                <c:pt idx="24">
                  <c:v>-2.433</c:v>
                </c:pt>
                <c:pt idx="25">
                  <c:v>-0.1852</c:v>
                </c:pt>
                <c:pt idx="26">
                  <c:v>2.517</c:v>
                </c:pt>
                <c:pt idx="27">
                  <c:v>4.188</c:v>
                </c:pt>
                <c:pt idx="28">
                  <c:v>4.931</c:v>
                </c:pt>
                <c:pt idx="29">
                  <c:v>3.449</c:v>
                </c:pt>
                <c:pt idx="30">
                  <c:v>0.5003</c:v>
                </c:pt>
                <c:pt idx="31">
                  <c:v>-12.26</c:v>
                </c:pt>
                <c:pt idx="32">
                  <c:v>-32.22</c:v>
                </c:pt>
                <c:pt idx="33">
                  <c:v>-56.99</c:v>
                </c:pt>
                <c:pt idx="34">
                  <c:v>-75.42</c:v>
                </c:pt>
                <c:pt idx="35">
                  <c:v>-86.66</c:v>
                </c:pt>
                <c:pt idx="36">
                  <c:v>-85.19</c:v>
                </c:pt>
                <c:pt idx="37">
                  <c:v>-66.49</c:v>
                </c:pt>
                <c:pt idx="38">
                  <c:v>-16.82</c:v>
                </c:pt>
                <c:pt idx="39">
                  <c:v>31.27</c:v>
                </c:pt>
                <c:pt idx="40">
                  <c:v>79.41</c:v>
                </c:pt>
                <c:pt idx="41">
                  <c:v>114.9</c:v>
                </c:pt>
                <c:pt idx="42">
                  <c:v>134.6</c:v>
                </c:pt>
                <c:pt idx="43">
                  <c:v>121</c:v>
                </c:pt>
                <c:pt idx="44">
                  <c:v>87.26</c:v>
                </c:pt>
                <c:pt idx="45">
                  <c:v>27.48</c:v>
                </c:pt>
                <c:pt idx="46">
                  <c:v>-44.8</c:v>
                </c:pt>
                <c:pt idx="47">
                  <c:v>-108.7</c:v>
                </c:pt>
                <c:pt idx="48">
                  <c:v>-157.3</c:v>
                </c:pt>
                <c:pt idx="49">
                  <c:v>-178.3</c:v>
                </c:pt>
                <c:pt idx="50">
                  <c:v>-162.7</c:v>
                </c:pt>
                <c:pt idx="51">
                  <c:v>-120.6</c:v>
                </c:pt>
                <c:pt idx="52">
                  <c:v>-34.02</c:v>
                </c:pt>
                <c:pt idx="53">
                  <c:v>42.46</c:v>
                </c:pt>
                <c:pt idx="54">
                  <c:v>118</c:v>
                </c:pt>
                <c:pt idx="55">
                  <c:v>165.7</c:v>
                </c:pt>
                <c:pt idx="56">
                  <c:v>176.5</c:v>
                </c:pt>
                <c:pt idx="57">
                  <c:v>154.8</c:v>
                </c:pt>
                <c:pt idx="58">
                  <c:v>79.08</c:v>
                </c:pt>
                <c:pt idx="59">
                  <c:v>0.05505</c:v>
                </c:pt>
                <c:pt idx="60">
                  <c:v>-94.17</c:v>
                </c:pt>
                <c:pt idx="61">
                  <c:v>-173.1</c:v>
                </c:pt>
                <c:pt idx="62">
                  <c:v>-211.1</c:v>
                </c:pt>
                <c:pt idx="63">
                  <c:v>-213.4</c:v>
                </c:pt>
                <c:pt idx="64">
                  <c:v>-187.3</c:v>
                </c:pt>
                <c:pt idx="65">
                  <c:v>-112.1</c:v>
                </c:pt>
                <c:pt idx="66">
                  <c:v>0.1636</c:v>
                </c:pt>
                <c:pt idx="67">
                  <c:v>95.28</c:v>
                </c:pt>
                <c:pt idx="68">
                  <c:v>182.4</c:v>
                </c:pt>
                <c:pt idx="69">
                  <c:v>217.5</c:v>
                </c:pt>
                <c:pt idx="70">
                  <c:v>213.5</c:v>
                </c:pt>
                <c:pt idx="71">
                  <c:v>166.5</c:v>
                </c:pt>
                <c:pt idx="72">
                  <c:v>69.01</c:v>
                </c:pt>
                <c:pt idx="73">
                  <c:v>-31.29</c:v>
                </c:pt>
                <c:pt idx="74">
                  <c:v>-152.7</c:v>
                </c:pt>
                <c:pt idx="75">
                  <c:v>-231.5</c:v>
                </c:pt>
                <c:pt idx="76">
                  <c:v>-268.5</c:v>
                </c:pt>
                <c:pt idx="77">
                  <c:v>-259.9</c:v>
                </c:pt>
                <c:pt idx="78">
                  <c:v>-221.9</c:v>
                </c:pt>
                <c:pt idx="79">
                  <c:v>-124.3</c:v>
                </c:pt>
                <c:pt idx="80">
                  <c:v>-11.06</c:v>
                </c:pt>
                <c:pt idx="81">
                  <c:v>104.6</c:v>
                </c:pt>
                <c:pt idx="82">
                  <c:v>202</c:v>
                </c:pt>
                <c:pt idx="83">
                  <c:v>238.6</c:v>
                </c:pt>
                <c:pt idx="84">
                  <c:v>235.9</c:v>
                </c:pt>
                <c:pt idx="85">
                  <c:v>176.3</c:v>
                </c:pt>
                <c:pt idx="86">
                  <c:v>58.96</c:v>
                </c:pt>
                <c:pt idx="87">
                  <c:v>-64.12</c:v>
                </c:pt>
                <c:pt idx="88">
                  <c:v>-192.3</c:v>
                </c:pt>
                <c:pt idx="89">
                  <c:v>-264.7</c:v>
                </c:pt>
                <c:pt idx="90">
                  <c:v>-306.1</c:v>
                </c:pt>
                <c:pt idx="91">
                  <c:v>-281</c:v>
                </c:pt>
                <c:pt idx="92">
                  <c:v>-211.2</c:v>
                </c:pt>
                <c:pt idx="93">
                  <c:v>-94.35</c:v>
                </c:pt>
                <c:pt idx="94">
                  <c:v>38.92</c:v>
                </c:pt>
                <c:pt idx="95">
                  <c:v>169.1</c:v>
                </c:pt>
                <c:pt idx="96">
                  <c:v>258.8</c:v>
                </c:pt>
                <c:pt idx="97">
                  <c:v>293.3</c:v>
                </c:pt>
                <c:pt idx="98">
                  <c:v>263.7</c:v>
                </c:pt>
                <c:pt idx="99">
                  <c:v>170.3</c:v>
                </c:pt>
                <c:pt idx="100">
                  <c:v>39.41</c:v>
                </c:pt>
                <c:pt idx="101">
                  <c:v>-107.2</c:v>
                </c:pt>
                <c:pt idx="102">
                  <c:v>-245.5</c:v>
                </c:pt>
                <c:pt idx="103">
                  <c:v>-331.9</c:v>
                </c:pt>
                <c:pt idx="104">
                  <c:v>-355</c:v>
                </c:pt>
                <c:pt idx="105">
                  <c:v>-324.4</c:v>
                </c:pt>
                <c:pt idx="106">
                  <c:v>-215.7</c:v>
                </c:pt>
                <c:pt idx="107">
                  <c:v>-79.56</c:v>
                </c:pt>
                <c:pt idx="108">
                  <c:v>77.17</c:v>
                </c:pt>
                <c:pt idx="109">
                  <c:v>219.7</c:v>
                </c:pt>
                <c:pt idx="110">
                  <c:v>305.1</c:v>
                </c:pt>
                <c:pt idx="111">
                  <c:v>321.4</c:v>
                </c:pt>
                <c:pt idx="112">
                  <c:v>279.8</c:v>
                </c:pt>
                <c:pt idx="113">
                  <c:v>170.2</c:v>
                </c:pt>
                <c:pt idx="114">
                  <c:v>19.73</c:v>
                </c:pt>
                <c:pt idx="115">
                  <c:v>-145.4</c:v>
                </c:pt>
                <c:pt idx="116">
                  <c:v>-288.3</c:v>
                </c:pt>
                <c:pt idx="117">
                  <c:v>-366.3</c:v>
                </c:pt>
                <c:pt idx="118">
                  <c:v>-385.3</c:v>
                </c:pt>
                <c:pt idx="119">
                  <c:v>-338.5</c:v>
                </c:pt>
                <c:pt idx="120">
                  <c:v>-214.8</c:v>
                </c:pt>
                <c:pt idx="121">
                  <c:v>-57.2</c:v>
                </c:pt>
                <c:pt idx="122">
                  <c:v>111.1</c:v>
                </c:pt>
                <c:pt idx="123">
                  <c:v>261.5</c:v>
                </c:pt>
                <c:pt idx="124">
                  <c:v>353.5</c:v>
                </c:pt>
                <c:pt idx="125">
                  <c:v>358.3</c:v>
                </c:pt>
                <c:pt idx="126">
                  <c:v>299.2</c:v>
                </c:pt>
                <c:pt idx="127">
                  <c:v>168.8</c:v>
                </c:pt>
                <c:pt idx="128">
                  <c:v>6.063</c:v>
                </c:pt>
                <c:pt idx="129">
                  <c:v>-171.6</c:v>
                </c:pt>
                <c:pt idx="130">
                  <c:v>-321.8</c:v>
                </c:pt>
                <c:pt idx="131">
                  <c:v>-405.3</c:v>
                </c:pt>
                <c:pt idx="132">
                  <c:v>-406.6</c:v>
                </c:pt>
                <c:pt idx="133">
                  <c:v>-347.6</c:v>
                </c:pt>
                <c:pt idx="134">
                  <c:v>-210.7</c:v>
                </c:pt>
                <c:pt idx="135">
                  <c:v>-37.34</c:v>
                </c:pt>
                <c:pt idx="136">
                  <c:v>136.2</c:v>
                </c:pt>
                <c:pt idx="137">
                  <c:v>281.6</c:v>
                </c:pt>
                <c:pt idx="138">
                  <c:v>376.7</c:v>
                </c:pt>
                <c:pt idx="139">
                  <c:v>381.3</c:v>
                </c:pt>
                <c:pt idx="140">
                  <c:v>312.1</c:v>
                </c:pt>
                <c:pt idx="141">
                  <c:v>171.6</c:v>
                </c:pt>
                <c:pt idx="142">
                  <c:v>-1.415</c:v>
                </c:pt>
                <c:pt idx="143">
                  <c:v>-188.7</c:v>
                </c:pt>
                <c:pt idx="144">
                  <c:v>-332.3</c:v>
                </c:pt>
                <c:pt idx="145">
                  <c:v>-408.6</c:v>
                </c:pt>
                <c:pt idx="146">
                  <c:v>-415.9</c:v>
                </c:pt>
                <c:pt idx="147">
                  <c:v>-348.4</c:v>
                </c:pt>
                <c:pt idx="148">
                  <c:v>-204.2</c:v>
                </c:pt>
                <c:pt idx="149">
                  <c:v>-31.26</c:v>
                </c:pt>
                <c:pt idx="150">
                  <c:v>142.3</c:v>
                </c:pt>
                <c:pt idx="151">
                  <c:v>293.7</c:v>
                </c:pt>
                <c:pt idx="152">
                  <c:v>377.1</c:v>
                </c:pt>
                <c:pt idx="153">
                  <c:v>379.7</c:v>
                </c:pt>
                <c:pt idx="154">
                  <c:v>293.3</c:v>
                </c:pt>
                <c:pt idx="155">
                  <c:v>150.3</c:v>
                </c:pt>
                <c:pt idx="156">
                  <c:v>-14.36</c:v>
                </c:pt>
                <c:pt idx="157">
                  <c:v>-199.3</c:v>
                </c:pt>
                <c:pt idx="158">
                  <c:v>-340.5</c:v>
                </c:pt>
                <c:pt idx="159">
                  <c:v>-416.4</c:v>
                </c:pt>
                <c:pt idx="160">
                  <c:v>-416.4</c:v>
                </c:pt>
                <c:pt idx="161">
                  <c:v>-333</c:v>
                </c:pt>
                <c:pt idx="162">
                  <c:v>-198.4</c:v>
                </c:pt>
                <c:pt idx="163">
                  <c:v>-13.13</c:v>
                </c:pt>
                <c:pt idx="164">
                  <c:v>168.8</c:v>
                </c:pt>
                <c:pt idx="165">
                  <c:v>311.3</c:v>
                </c:pt>
                <c:pt idx="166">
                  <c:v>381.2</c:v>
                </c:pt>
                <c:pt idx="167">
                  <c:v>381.3</c:v>
                </c:pt>
                <c:pt idx="168">
                  <c:v>295.7</c:v>
                </c:pt>
                <c:pt idx="169">
                  <c:v>149</c:v>
                </c:pt>
                <c:pt idx="170">
                  <c:v>-29.05</c:v>
                </c:pt>
                <c:pt idx="171">
                  <c:v>-197.9</c:v>
                </c:pt>
                <c:pt idx="172">
                  <c:v>-296.3</c:v>
                </c:pt>
                <c:pt idx="173">
                  <c:v>-323.1</c:v>
                </c:pt>
                <c:pt idx="174">
                  <c:v>-292.4</c:v>
                </c:pt>
                <c:pt idx="175">
                  <c:v>-175.8</c:v>
                </c:pt>
                <c:pt idx="176">
                  <c:v>-11.03</c:v>
                </c:pt>
                <c:pt idx="177">
                  <c:v>148.8</c:v>
                </c:pt>
                <c:pt idx="178">
                  <c:v>263.6</c:v>
                </c:pt>
                <c:pt idx="179">
                  <c:v>328.8</c:v>
                </c:pt>
                <c:pt idx="180">
                  <c:v>327.3</c:v>
                </c:pt>
                <c:pt idx="181">
                  <c:v>241.1</c:v>
                </c:pt>
                <c:pt idx="182">
                  <c:v>114.3</c:v>
                </c:pt>
                <c:pt idx="183">
                  <c:v>-28.82</c:v>
                </c:pt>
                <c:pt idx="184">
                  <c:v>-176.4</c:v>
                </c:pt>
                <c:pt idx="185">
                  <c:v>-256.1</c:v>
                </c:pt>
                <c:pt idx="186">
                  <c:v>-276.1</c:v>
                </c:pt>
                <c:pt idx="187">
                  <c:v>-236.8</c:v>
                </c:pt>
                <c:pt idx="188">
                  <c:v>-126</c:v>
                </c:pt>
                <c:pt idx="189">
                  <c:v>12.52</c:v>
                </c:pt>
                <c:pt idx="190">
                  <c:v>145.9</c:v>
                </c:pt>
                <c:pt idx="191">
                  <c:v>248.8</c:v>
                </c:pt>
                <c:pt idx="192">
                  <c:v>300.2</c:v>
                </c:pt>
                <c:pt idx="193">
                  <c:v>278.1</c:v>
                </c:pt>
                <c:pt idx="194">
                  <c:v>199.6</c:v>
                </c:pt>
                <c:pt idx="195">
                  <c:v>75.28</c:v>
                </c:pt>
                <c:pt idx="196">
                  <c:v>-60.01</c:v>
                </c:pt>
                <c:pt idx="197">
                  <c:v>-177.1</c:v>
                </c:pt>
                <c:pt idx="198">
                  <c:v>-237</c:v>
                </c:pt>
                <c:pt idx="199">
                  <c:v>-248.9</c:v>
                </c:pt>
                <c:pt idx="200">
                  <c:v>-195.7</c:v>
                </c:pt>
                <c:pt idx="201">
                  <c:v>-92.64</c:v>
                </c:pt>
                <c:pt idx="202">
                  <c:v>37.5</c:v>
                </c:pt>
                <c:pt idx="203">
                  <c:v>153.1</c:v>
                </c:pt>
                <c:pt idx="204">
                  <c:v>226.1</c:v>
                </c:pt>
                <c:pt idx="205">
                  <c:v>247.5</c:v>
                </c:pt>
                <c:pt idx="206">
                  <c:v>213.2</c:v>
                </c:pt>
                <c:pt idx="207">
                  <c:v>126.8</c:v>
                </c:pt>
                <c:pt idx="208">
                  <c:v>9.088</c:v>
                </c:pt>
                <c:pt idx="209">
                  <c:v>-112.3</c:v>
                </c:pt>
                <c:pt idx="210">
                  <c:v>-207.8</c:v>
                </c:pt>
                <c:pt idx="211">
                  <c:v>-246.2</c:v>
                </c:pt>
                <c:pt idx="212">
                  <c:v>-228.6</c:v>
                </c:pt>
                <c:pt idx="213">
                  <c:v>-169.5</c:v>
                </c:pt>
                <c:pt idx="214">
                  <c:v>-54.4</c:v>
                </c:pt>
                <c:pt idx="215">
                  <c:v>62.4</c:v>
                </c:pt>
                <c:pt idx="216">
                  <c:v>145.3</c:v>
                </c:pt>
                <c:pt idx="217">
                  <c:v>191.6</c:v>
                </c:pt>
                <c:pt idx="218">
                  <c:v>182</c:v>
                </c:pt>
                <c:pt idx="219">
                  <c:v>128.3</c:v>
                </c:pt>
                <c:pt idx="220">
                  <c:v>27.73</c:v>
                </c:pt>
                <c:pt idx="221">
                  <c:v>-81.86</c:v>
                </c:pt>
                <c:pt idx="222">
                  <c:v>-176.9</c:v>
                </c:pt>
                <c:pt idx="223">
                  <c:v>-236.8</c:v>
                </c:pt>
                <c:pt idx="224">
                  <c:v>-250.2</c:v>
                </c:pt>
                <c:pt idx="225">
                  <c:v>-215</c:v>
                </c:pt>
                <c:pt idx="226">
                  <c:v>-131</c:v>
                </c:pt>
                <c:pt idx="227">
                  <c:v>-17.75</c:v>
                </c:pt>
                <c:pt idx="228">
                  <c:v>81.83</c:v>
                </c:pt>
                <c:pt idx="229">
                  <c:v>141.6</c:v>
                </c:pt>
                <c:pt idx="230">
                  <c:v>155.5</c:v>
                </c:pt>
                <c:pt idx="231">
                  <c:v>132</c:v>
                </c:pt>
                <c:pt idx="232">
                  <c:v>64.53</c:v>
                </c:pt>
                <c:pt idx="233">
                  <c:v>-39.83</c:v>
                </c:pt>
                <c:pt idx="234">
                  <c:v>-144.3</c:v>
                </c:pt>
                <c:pt idx="235">
                  <c:v>-211.7</c:v>
                </c:pt>
                <c:pt idx="236">
                  <c:v>-244.5</c:v>
                </c:pt>
                <c:pt idx="237">
                  <c:v>-230.4</c:v>
                </c:pt>
                <c:pt idx="238">
                  <c:v>-168.5</c:v>
                </c:pt>
                <c:pt idx="239">
                  <c:v>-70.06</c:v>
                </c:pt>
                <c:pt idx="240">
                  <c:v>19.17</c:v>
                </c:pt>
                <c:pt idx="241">
                  <c:v>89.85</c:v>
                </c:pt>
                <c:pt idx="242">
                  <c:v>124.6</c:v>
                </c:pt>
                <c:pt idx="243">
                  <c:v>117.7</c:v>
                </c:pt>
                <c:pt idx="244">
                  <c:v>69.21</c:v>
                </c:pt>
                <c:pt idx="245">
                  <c:v>-11.86</c:v>
                </c:pt>
                <c:pt idx="246">
                  <c:v>-107.6</c:v>
                </c:pt>
                <c:pt idx="247">
                  <c:v>-184.1</c:v>
                </c:pt>
                <c:pt idx="248">
                  <c:v>-221.3</c:v>
                </c:pt>
                <c:pt idx="249">
                  <c:v>-222.3</c:v>
                </c:pt>
                <c:pt idx="250">
                  <c:v>-184.4</c:v>
                </c:pt>
                <c:pt idx="251">
                  <c:v>-114.4</c:v>
                </c:pt>
                <c:pt idx="252">
                  <c:v>-23.16</c:v>
                </c:pt>
                <c:pt idx="253">
                  <c:v>50.33</c:v>
                </c:pt>
                <c:pt idx="254">
                  <c:v>98.21</c:v>
                </c:pt>
                <c:pt idx="255">
                  <c:v>99.48</c:v>
                </c:pt>
                <c:pt idx="256">
                  <c:v>69.39</c:v>
                </c:pt>
                <c:pt idx="257">
                  <c:v>0.5299</c:v>
                </c:pt>
                <c:pt idx="258">
                  <c:v>-96.34</c:v>
                </c:pt>
                <c:pt idx="259">
                  <c:v>-171.2</c:v>
                </c:pt>
                <c:pt idx="260">
                  <c:v>-217.2</c:v>
                </c:pt>
                <c:pt idx="261">
                  <c:v>-228.2</c:v>
                </c:pt>
                <c:pt idx="262">
                  <c:v>-204.9</c:v>
                </c:pt>
                <c:pt idx="263">
                  <c:v>-159.4</c:v>
                </c:pt>
                <c:pt idx="264">
                  <c:v>-75.23</c:v>
                </c:pt>
                <c:pt idx="265">
                  <c:v>0.708</c:v>
                </c:pt>
                <c:pt idx="266">
                  <c:v>59.34</c:v>
                </c:pt>
                <c:pt idx="267">
                  <c:v>76.79</c:v>
                </c:pt>
                <c:pt idx="268">
                  <c:v>63.56</c:v>
                </c:pt>
                <c:pt idx="269">
                  <c:v>8.797</c:v>
                </c:pt>
                <c:pt idx="270">
                  <c:v>-75.12</c:v>
                </c:pt>
                <c:pt idx="271">
                  <c:v>-162</c:v>
                </c:pt>
                <c:pt idx="272">
                  <c:v>-212.2</c:v>
                </c:pt>
                <c:pt idx="273">
                  <c:v>-239.1</c:v>
                </c:pt>
                <c:pt idx="274">
                  <c:v>-229.6</c:v>
                </c:pt>
                <c:pt idx="275">
                  <c:v>-188</c:v>
                </c:pt>
                <c:pt idx="276">
                  <c:v>-117.8</c:v>
                </c:pt>
                <c:pt idx="277">
                  <c:v>-36.89</c:v>
                </c:pt>
                <c:pt idx="278">
                  <c:v>20.9</c:v>
                </c:pt>
                <c:pt idx="279">
                  <c:v>44.53</c:v>
                </c:pt>
                <c:pt idx="280">
                  <c:v>42.27</c:v>
                </c:pt>
                <c:pt idx="281">
                  <c:v>4.626</c:v>
                </c:pt>
                <c:pt idx="282">
                  <c:v>-61.99</c:v>
                </c:pt>
                <c:pt idx="283">
                  <c:v>-138.7</c:v>
                </c:pt>
                <c:pt idx="284">
                  <c:v>-199.9</c:v>
                </c:pt>
                <c:pt idx="285">
                  <c:v>-226.9</c:v>
                </c:pt>
                <c:pt idx="286">
                  <c:v>-223.3</c:v>
                </c:pt>
                <c:pt idx="287">
                  <c:v>-200.7</c:v>
                </c:pt>
                <c:pt idx="288">
                  <c:v>-151.3</c:v>
                </c:pt>
                <c:pt idx="289">
                  <c:v>-74.68</c:v>
                </c:pt>
                <c:pt idx="290">
                  <c:v>-9.33</c:v>
                </c:pt>
                <c:pt idx="291">
                  <c:v>22.14</c:v>
                </c:pt>
                <c:pt idx="292">
                  <c:v>35.53</c:v>
                </c:pt>
                <c:pt idx="293">
                  <c:v>11.04</c:v>
                </c:pt>
                <c:pt idx="294">
                  <c:v>-46.86</c:v>
                </c:pt>
                <c:pt idx="295">
                  <c:v>-122.9</c:v>
                </c:pt>
                <c:pt idx="296">
                  <c:v>-182</c:v>
                </c:pt>
                <c:pt idx="297">
                  <c:v>-208.3</c:v>
                </c:pt>
                <c:pt idx="298">
                  <c:v>-219.4</c:v>
                </c:pt>
                <c:pt idx="299">
                  <c:v>-206.7</c:v>
                </c:pt>
                <c:pt idx="300">
                  <c:v>-164.2</c:v>
                </c:pt>
                <c:pt idx="301">
                  <c:v>-103.5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低压_0.4s_10周期01!$G$1:$G$2</c:f>
              <c:strCache>
                <c:ptCount val="1"/>
                <c:pt idx="0">
                  <c:v>供电曲线 luma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低压_0.4s_10周期01!$G$3:$G$304</c:f>
              <c:numCache>
                <c:formatCode>0_);[Red]\(0\)</c:formatCode>
                <c:ptCount val="3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200</c:v>
                </c:pt>
                <c:pt idx="44">
                  <c:v>200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200</c:v>
                </c:pt>
                <c:pt idx="58">
                  <c:v>200</c:v>
                </c:pt>
                <c:pt idx="59">
                  <c:v>200</c:v>
                </c:pt>
                <c:pt idx="60">
                  <c:v>200</c:v>
                </c:pt>
                <c:pt idx="61">
                  <c:v>200</c:v>
                </c:pt>
                <c:pt idx="62">
                  <c:v>200</c:v>
                </c:pt>
                <c:pt idx="63">
                  <c:v>200</c:v>
                </c:pt>
                <c:pt idx="64">
                  <c:v>200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200</c:v>
                </c:pt>
                <c:pt idx="72">
                  <c:v>200</c:v>
                </c:pt>
                <c:pt idx="73">
                  <c:v>200</c:v>
                </c:pt>
                <c:pt idx="74">
                  <c:v>200</c:v>
                </c:pt>
                <c:pt idx="75">
                  <c:v>200</c:v>
                </c:pt>
                <c:pt idx="76">
                  <c:v>200</c:v>
                </c:pt>
                <c:pt idx="77">
                  <c:v>200</c:v>
                </c:pt>
                <c:pt idx="78">
                  <c:v>200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200</c:v>
                </c:pt>
                <c:pt idx="86">
                  <c:v>200</c:v>
                </c:pt>
                <c:pt idx="87">
                  <c:v>200</c:v>
                </c:pt>
                <c:pt idx="88">
                  <c:v>200</c:v>
                </c:pt>
                <c:pt idx="89">
                  <c:v>200</c:v>
                </c:pt>
                <c:pt idx="90">
                  <c:v>200</c:v>
                </c:pt>
                <c:pt idx="91">
                  <c:v>200</c:v>
                </c:pt>
                <c:pt idx="92">
                  <c:v>200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200</c:v>
                </c:pt>
                <c:pt idx="100">
                  <c:v>200</c:v>
                </c:pt>
                <c:pt idx="101">
                  <c:v>200</c:v>
                </c:pt>
                <c:pt idx="102">
                  <c:v>200</c:v>
                </c:pt>
                <c:pt idx="103">
                  <c:v>200</c:v>
                </c:pt>
                <c:pt idx="104">
                  <c:v>200</c:v>
                </c:pt>
                <c:pt idx="105">
                  <c:v>200</c:v>
                </c:pt>
                <c:pt idx="106">
                  <c:v>200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200</c:v>
                </c:pt>
                <c:pt idx="114">
                  <c:v>200</c:v>
                </c:pt>
                <c:pt idx="115">
                  <c:v>200</c:v>
                </c:pt>
                <c:pt idx="116">
                  <c:v>200</c:v>
                </c:pt>
                <c:pt idx="117">
                  <c:v>200</c:v>
                </c:pt>
                <c:pt idx="118">
                  <c:v>200</c:v>
                </c:pt>
                <c:pt idx="119">
                  <c:v>200</c:v>
                </c:pt>
                <c:pt idx="120">
                  <c:v>200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200</c:v>
                </c:pt>
                <c:pt idx="128">
                  <c:v>200</c:v>
                </c:pt>
                <c:pt idx="129">
                  <c:v>200</c:v>
                </c:pt>
                <c:pt idx="130">
                  <c:v>200</c:v>
                </c:pt>
                <c:pt idx="131">
                  <c:v>200</c:v>
                </c:pt>
                <c:pt idx="132">
                  <c:v>200</c:v>
                </c:pt>
                <c:pt idx="133">
                  <c:v>200</c:v>
                </c:pt>
                <c:pt idx="134">
                  <c:v>200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200</c:v>
                </c:pt>
                <c:pt idx="142">
                  <c:v>200</c:v>
                </c:pt>
                <c:pt idx="143">
                  <c:v>200</c:v>
                </c:pt>
                <c:pt idx="144">
                  <c:v>200</c:v>
                </c:pt>
                <c:pt idx="145">
                  <c:v>200</c:v>
                </c:pt>
                <c:pt idx="146">
                  <c:v>200</c:v>
                </c:pt>
                <c:pt idx="147">
                  <c:v>200</c:v>
                </c:pt>
                <c:pt idx="148">
                  <c:v>200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200</c:v>
                </c:pt>
                <c:pt idx="156">
                  <c:v>200</c:v>
                </c:pt>
                <c:pt idx="157">
                  <c:v>200</c:v>
                </c:pt>
                <c:pt idx="158">
                  <c:v>200</c:v>
                </c:pt>
                <c:pt idx="159">
                  <c:v>200</c:v>
                </c:pt>
                <c:pt idx="160">
                  <c:v>200</c:v>
                </c:pt>
                <c:pt idx="161">
                  <c:v>200</c:v>
                </c:pt>
                <c:pt idx="162">
                  <c:v>200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2019280"/>
        <c:axId val="721308076"/>
      </c:lineChart>
      <c:catAx>
        <c:axId val="22019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1308076"/>
        <c:crosses val="autoZero"/>
        <c:auto val="1"/>
        <c:lblAlgn val="ctr"/>
        <c:lblOffset val="100"/>
        <c:noMultiLvlLbl val="0"/>
      </c:catAx>
      <c:valAx>
        <c:axId val="7213080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01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6fcb5aa-5d0c-40c2-b38a-ed29a49c30a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阻尼运动温差接入曲线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常压阻尼温差01!$F$1</c:f>
              <c:strCache>
                <c:ptCount val="1"/>
                <c:pt idx="0">
                  <c:v>运动曲线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常压阻尼温差01!$E$2:$E$871</c:f>
              <c:strCache>
                <c:ptCount val="870"/>
                <c:pt idx="0">
                  <c:v>t</c:v>
                </c:pt>
                <c:pt idx="1" c:formatCode="0.00_);[Red]\(0.00\)">
                  <c:v>0.00 </c:v>
                </c:pt>
                <c:pt idx="2" c:formatCode="0.00_);[Red]\(0.00\)">
                  <c:v>0.05 </c:v>
                </c:pt>
                <c:pt idx="3" c:formatCode="0.00_);[Red]\(0.00\)">
                  <c:v>0.10 </c:v>
                </c:pt>
                <c:pt idx="4" c:formatCode="0.00_);[Red]\(0.00\)">
                  <c:v>0.15 </c:v>
                </c:pt>
                <c:pt idx="5" c:formatCode="0.00_);[Red]\(0.00\)">
                  <c:v>0.20 </c:v>
                </c:pt>
                <c:pt idx="6" c:formatCode="0.00_);[Red]\(0.00\)">
                  <c:v>0.25 </c:v>
                </c:pt>
                <c:pt idx="7" c:formatCode="0.00_);[Red]\(0.00\)">
                  <c:v>0.30 </c:v>
                </c:pt>
                <c:pt idx="8" c:formatCode="0.00_);[Red]\(0.00\)">
                  <c:v>0.35 </c:v>
                </c:pt>
                <c:pt idx="9" c:formatCode="0.00_);[Red]\(0.00\)">
                  <c:v>0.40 </c:v>
                </c:pt>
                <c:pt idx="10" c:formatCode="0.00_);[Red]\(0.00\)">
                  <c:v>0.45 </c:v>
                </c:pt>
                <c:pt idx="11" c:formatCode="0.00_);[Red]\(0.00\)">
                  <c:v>0.50 </c:v>
                </c:pt>
                <c:pt idx="12" c:formatCode="0.00_);[Red]\(0.00\)">
                  <c:v>0.55 </c:v>
                </c:pt>
                <c:pt idx="13" c:formatCode="0.00_);[Red]\(0.00\)">
                  <c:v>0.60 </c:v>
                </c:pt>
                <c:pt idx="14" c:formatCode="0.00_);[Red]\(0.00\)">
                  <c:v>0.65 </c:v>
                </c:pt>
                <c:pt idx="15" c:formatCode="0.00_);[Red]\(0.00\)">
                  <c:v>0.70 </c:v>
                </c:pt>
                <c:pt idx="16" c:formatCode="0.00_);[Red]\(0.00\)">
                  <c:v>0.75 </c:v>
                </c:pt>
                <c:pt idx="17" c:formatCode="0.00_);[Red]\(0.00\)">
                  <c:v>0.80 </c:v>
                </c:pt>
                <c:pt idx="18" c:formatCode="0.00_);[Red]\(0.00\)">
                  <c:v>0.85 </c:v>
                </c:pt>
                <c:pt idx="19" c:formatCode="0.00_);[Red]\(0.00\)">
                  <c:v>0.90 </c:v>
                </c:pt>
                <c:pt idx="20" c:formatCode="0.00_);[Red]\(0.00\)">
                  <c:v>0.95 </c:v>
                </c:pt>
                <c:pt idx="21" c:formatCode="0.00_);[Red]\(0.00\)">
                  <c:v>1.00 </c:v>
                </c:pt>
                <c:pt idx="22" c:formatCode="0.00_);[Red]\(0.00\)">
                  <c:v>1.05 </c:v>
                </c:pt>
                <c:pt idx="23" c:formatCode="0.00_);[Red]\(0.00\)">
                  <c:v>1.10 </c:v>
                </c:pt>
                <c:pt idx="24" c:formatCode="0.00_);[Red]\(0.00\)">
                  <c:v>1.15 </c:v>
                </c:pt>
                <c:pt idx="25" c:formatCode="0.00_);[Red]\(0.00\)">
                  <c:v>1.20 </c:v>
                </c:pt>
                <c:pt idx="26" c:formatCode="0.00_);[Red]\(0.00\)">
                  <c:v>1.25 </c:v>
                </c:pt>
                <c:pt idx="27" c:formatCode="0.00_);[Red]\(0.00\)">
                  <c:v>1.30 </c:v>
                </c:pt>
                <c:pt idx="28" c:formatCode="0.00_);[Red]\(0.00\)">
                  <c:v>1.35 </c:v>
                </c:pt>
                <c:pt idx="29" c:formatCode="0.00_);[Red]\(0.00\)">
                  <c:v>1.40 </c:v>
                </c:pt>
                <c:pt idx="30" c:formatCode="0.00_);[Red]\(0.00\)">
                  <c:v>1.45 </c:v>
                </c:pt>
                <c:pt idx="31" c:formatCode="0.00_);[Red]\(0.00\)">
                  <c:v>1.50 </c:v>
                </c:pt>
                <c:pt idx="32" c:formatCode="0.00_);[Red]\(0.00\)">
                  <c:v>1.55 </c:v>
                </c:pt>
                <c:pt idx="33" c:formatCode="0.00_);[Red]\(0.00\)">
                  <c:v>1.60 </c:v>
                </c:pt>
                <c:pt idx="34" c:formatCode="0.00_);[Red]\(0.00\)">
                  <c:v>1.65 </c:v>
                </c:pt>
                <c:pt idx="35" c:formatCode="0.00_);[Red]\(0.00\)">
                  <c:v>1.70 </c:v>
                </c:pt>
                <c:pt idx="36" c:formatCode="0.00_);[Red]\(0.00\)">
                  <c:v>1.75 </c:v>
                </c:pt>
                <c:pt idx="37" c:formatCode="0.00_);[Red]\(0.00\)">
                  <c:v>1.80 </c:v>
                </c:pt>
                <c:pt idx="38" c:formatCode="0.00_);[Red]\(0.00\)">
                  <c:v>1.85 </c:v>
                </c:pt>
                <c:pt idx="39" c:formatCode="0.00_);[Red]\(0.00\)">
                  <c:v>1.90 </c:v>
                </c:pt>
                <c:pt idx="40" c:formatCode="0.00_);[Red]\(0.00\)">
                  <c:v>1.95 </c:v>
                </c:pt>
                <c:pt idx="41" c:formatCode="0.00_);[Red]\(0.00\)">
                  <c:v>2.00 </c:v>
                </c:pt>
                <c:pt idx="42" c:formatCode="0.00_);[Red]\(0.00\)">
                  <c:v>2.05 </c:v>
                </c:pt>
                <c:pt idx="43" c:formatCode="0.00_);[Red]\(0.00\)">
                  <c:v>2.10 </c:v>
                </c:pt>
                <c:pt idx="44" c:formatCode="0.00_);[Red]\(0.00\)">
                  <c:v>2.15 </c:v>
                </c:pt>
                <c:pt idx="45" c:formatCode="0.00_);[Red]\(0.00\)">
                  <c:v>2.20 </c:v>
                </c:pt>
                <c:pt idx="46" c:formatCode="0.00_);[Red]\(0.00\)">
                  <c:v>2.25 </c:v>
                </c:pt>
                <c:pt idx="47" c:formatCode="0.00_);[Red]\(0.00\)">
                  <c:v>2.30 </c:v>
                </c:pt>
                <c:pt idx="48" c:formatCode="0.00_);[Red]\(0.00\)">
                  <c:v>2.35 </c:v>
                </c:pt>
                <c:pt idx="49" c:formatCode="0.00_);[Red]\(0.00\)">
                  <c:v>2.40 </c:v>
                </c:pt>
                <c:pt idx="50" c:formatCode="0.00_);[Red]\(0.00\)">
                  <c:v>2.45 </c:v>
                </c:pt>
                <c:pt idx="51" c:formatCode="0.00_);[Red]\(0.00\)">
                  <c:v>2.50 </c:v>
                </c:pt>
                <c:pt idx="52" c:formatCode="0.00_);[Red]\(0.00\)">
                  <c:v>2.55 </c:v>
                </c:pt>
                <c:pt idx="53" c:formatCode="0.00_);[Red]\(0.00\)">
                  <c:v>2.60 </c:v>
                </c:pt>
                <c:pt idx="54" c:formatCode="0.00_);[Red]\(0.00\)">
                  <c:v>2.65 </c:v>
                </c:pt>
                <c:pt idx="55" c:formatCode="0.00_);[Red]\(0.00\)">
                  <c:v>2.70 </c:v>
                </c:pt>
                <c:pt idx="56" c:formatCode="0.00_);[Red]\(0.00\)">
                  <c:v>2.75 </c:v>
                </c:pt>
                <c:pt idx="57" c:formatCode="0.00_);[Red]\(0.00\)">
                  <c:v>2.80 </c:v>
                </c:pt>
                <c:pt idx="58" c:formatCode="0.00_);[Red]\(0.00\)">
                  <c:v>2.85 </c:v>
                </c:pt>
                <c:pt idx="59" c:formatCode="0.00_);[Red]\(0.00\)">
                  <c:v>2.90 </c:v>
                </c:pt>
                <c:pt idx="60" c:formatCode="0.00_);[Red]\(0.00\)">
                  <c:v>2.95 </c:v>
                </c:pt>
                <c:pt idx="61" c:formatCode="0.00_);[Red]\(0.00\)">
                  <c:v>3.00 </c:v>
                </c:pt>
                <c:pt idx="62" c:formatCode="0.00_);[Red]\(0.00\)">
                  <c:v>3.05 </c:v>
                </c:pt>
                <c:pt idx="63" c:formatCode="0.00_);[Red]\(0.00\)">
                  <c:v>3.10 </c:v>
                </c:pt>
                <c:pt idx="64" c:formatCode="0.00_);[Red]\(0.00\)">
                  <c:v>3.15 </c:v>
                </c:pt>
                <c:pt idx="65" c:formatCode="0.00_);[Red]\(0.00\)">
                  <c:v>3.20 </c:v>
                </c:pt>
                <c:pt idx="66" c:formatCode="0.00_);[Red]\(0.00\)">
                  <c:v>3.25 </c:v>
                </c:pt>
                <c:pt idx="67" c:formatCode="0.00_);[Red]\(0.00\)">
                  <c:v>3.30 </c:v>
                </c:pt>
                <c:pt idx="68" c:formatCode="0.00_);[Red]\(0.00\)">
                  <c:v>3.35 </c:v>
                </c:pt>
                <c:pt idx="69" c:formatCode="0.00_);[Red]\(0.00\)">
                  <c:v>3.40 </c:v>
                </c:pt>
                <c:pt idx="70" c:formatCode="0.00_);[Red]\(0.00\)">
                  <c:v>3.45 </c:v>
                </c:pt>
                <c:pt idx="71" c:formatCode="0.00_);[Red]\(0.00\)">
                  <c:v>3.50 </c:v>
                </c:pt>
                <c:pt idx="72" c:formatCode="0.00_);[Red]\(0.00\)">
                  <c:v>3.55 </c:v>
                </c:pt>
                <c:pt idx="73" c:formatCode="0.00_);[Red]\(0.00\)">
                  <c:v>3.60 </c:v>
                </c:pt>
                <c:pt idx="74" c:formatCode="0.00_);[Red]\(0.00\)">
                  <c:v>3.65 </c:v>
                </c:pt>
                <c:pt idx="75" c:formatCode="0.00_);[Red]\(0.00\)">
                  <c:v>3.70 </c:v>
                </c:pt>
                <c:pt idx="76" c:formatCode="0.00_);[Red]\(0.00\)">
                  <c:v>3.75 </c:v>
                </c:pt>
                <c:pt idx="77" c:formatCode="0.00_);[Red]\(0.00\)">
                  <c:v>3.80 </c:v>
                </c:pt>
                <c:pt idx="78" c:formatCode="0.00_);[Red]\(0.00\)">
                  <c:v>3.85 </c:v>
                </c:pt>
                <c:pt idx="79" c:formatCode="0.00_);[Red]\(0.00\)">
                  <c:v>3.90 </c:v>
                </c:pt>
                <c:pt idx="80" c:formatCode="0.00_);[Red]\(0.00\)">
                  <c:v>3.95 </c:v>
                </c:pt>
                <c:pt idx="81" c:formatCode="0.00_);[Red]\(0.00\)">
                  <c:v>4.00 </c:v>
                </c:pt>
                <c:pt idx="82" c:formatCode="0.00_);[Red]\(0.00\)">
                  <c:v>4.05 </c:v>
                </c:pt>
                <c:pt idx="83" c:formatCode="0.00_);[Red]\(0.00\)">
                  <c:v>4.10 </c:v>
                </c:pt>
                <c:pt idx="84" c:formatCode="0.00_);[Red]\(0.00\)">
                  <c:v>4.15 </c:v>
                </c:pt>
                <c:pt idx="85" c:formatCode="0.00_);[Red]\(0.00\)">
                  <c:v>4.20 </c:v>
                </c:pt>
                <c:pt idx="86" c:formatCode="0.00_);[Red]\(0.00\)">
                  <c:v>4.25 </c:v>
                </c:pt>
                <c:pt idx="87" c:formatCode="0.00_);[Red]\(0.00\)">
                  <c:v>4.30 </c:v>
                </c:pt>
                <c:pt idx="88" c:formatCode="0.00_);[Red]\(0.00\)">
                  <c:v>4.35 </c:v>
                </c:pt>
                <c:pt idx="89" c:formatCode="0.00_);[Red]\(0.00\)">
                  <c:v>4.40 </c:v>
                </c:pt>
                <c:pt idx="90" c:formatCode="0.00_);[Red]\(0.00\)">
                  <c:v>4.45 </c:v>
                </c:pt>
                <c:pt idx="91" c:formatCode="0.00_);[Red]\(0.00\)">
                  <c:v>4.50 </c:v>
                </c:pt>
                <c:pt idx="92" c:formatCode="0.00_);[Red]\(0.00\)">
                  <c:v>4.55 </c:v>
                </c:pt>
                <c:pt idx="93" c:formatCode="0.00_);[Red]\(0.00\)">
                  <c:v>4.60 </c:v>
                </c:pt>
                <c:pt idx="94" c:formatCode="0.00_);[Red]\(0.00\)">
                  <c:v>4.65 </c:v>
                </c:pt>
                <c:pt idx="95" c:formatCode="0.00_);[Red]\(0.00\)">
                  <c:v>4.70 </c:v>
                </c:pt>
                <c:pt idx="96" c:formatCode="0.00_);[Red]\(0.00\)">
                  <c:v>4.75 </c:v>
                </c:pt>
                <c:pt idx="97" c:formatCode="0.00_);[Red]\(0.00\)">
                  <c:v>4.80 </c:v>
                </c:pt>
                <c:pt idx="98" c:formatCode="0.00_);[Red]\(0.00\)">
                  <c:v>4.85 </c:v>
                </c:pt>
                <c:pt idx="99" c:formatCode="0.00_);[Red]\(0.00\)">
                  <c:v>4.90 </c:v>
                </c:pt>
                <c:pt idx="100" c:formatCode="0.00_);[Red]\(0.00\)">
                  <c:v>4.95 </c:v>
                </c:pt>
                <c:pt idx="101" c:formatCode="0.00_);[Red]\(0.00\)">
                  <c:v>5.00 </c:v>
                </c:pt>
                <c:pt idx="102" c:formatCode="0.00_);[Red]\(0.00\)">
                  <c:v>5.05 </c:v>
                </c:pt>
                <c:pt idx="103" c:formatCode="0.00_);[Red]\(0.00\)">
                  <c:v>5.10 </c:v>
                </c:pt>
                <c:pt idx="104" c:formatCode="0.00_);[Red]\(0.00\)">
                  <c:v>5.15 </c:v>
                </c:pt>
                <c:pt idx="105" c:formatCode="0.00_);[Red]\(0.00\)">
                  <c:v>5.20 </c:v>
                </c:pt>
                <c:pt idx="106" c:formatCode="0.00_);[Red]\(0.00\)">
                  <c:v>5.25 </c:v>
                </c:pt>
                <c:pt idx="107" c:formatCode="0.00_);[Red]\(0.00\)">
                  <c:v>5.30 </c:v>
                </c:pt>
                <c:pt idx="108" c:formatCode="0.00_);[Red]\(0.00\)">
                  <c:v>5.35 </c:v>
                </c:pt>
                <c:pt idx="109" c:formatCode="0.00_);[Red]\(0.00\)">
                  <c:v>5.40 </c:v>
                </c:pt>
                <c:pt idx="110" c:formatCode="0.00_);[Red]\(0.00\)">
                  <c:v>5.45 </c:v>
                </c:pt>
                <c:pt idx="111" c:formatCode="0.00_);[Red]\(0.00\)">
                  <c:v>5.50 </c:v>
                </c:pt>
                <c:pt idx="112" c:formatCode="0.00_);[Red]\(0.00\)">
                  <c:v>5.55 </c:v>
                </c:pt>
                <c:pt idx="113" c:formatCode="0.00_);[Red]\(0.00\)">
                  <c:v>5.60 </c:v>
                </c:pt>
                <c:pt idx="114" c:formatCode="0.00_);[Red]\(0.00\)">
                  <c:v>5.65 </c:v>
                </c:pt>
                <c:pt idx="115" c:formatCode="0.00_);[Red]\(0.00\)">
                  <c:v>5.70 </c:v>
                </c:pt>
                <c:pt idx="116" c:formatCode="0.00_);[Red]\(0.00\)">
                  <c:v>5.75 </c:v>
                </c:pt>
                <c:pt idx="117" c:formatCode="0.00_);[Red]\(0.00\)">
                  <c:v>5.80 </c:v>
                </c:pt>
                <c:pt idx="118" c:formatCode="0.00_);[Red]\(0.00\)">
                  <c:v>5.85 </c:v>
                </c:pt>
                <c:pt idx="119" c:formatCode="0.00_);[Red]\(0.00\)">
                  <c:v>5.90 </c:v>
                </c:pt>
                <c:pt idx="120" c:formatCode="0.00_);[Red]\(0.00\)">
                  <c:v>5.95 </c:v>
                </c:pt>
                <c:pt idx="121" c:formatCode="0.00_);[Red]\(0.00\)">
                  <c:v>6.00 </c:v>
                </c:pt>
                <c:pt idx="122" c:formatCode="0.00_);[Red]\(0.00\)">
                  <c:v>6.05 </c:v>
                </c:pt>
                <c:pt idx="123" c:formatCode="0.00_);[Red]\(0.00\)">
                  <c:v>6.10 </c:v>
                </c:pt>
                <c:pt idx="124" c:formatCode="0.00_);[Red]\(0.00\)">
                  <c:v>6.15 </c:v>
                </c:pt>
                <c:pt idx="125" c:formatCode="0.00_);[Red]\(0.00\)">
                  <c:v>6.20 </c:v>
                </c:pt>
                <c:pt idx="126" c:formatCode="0.00_);[Red]\(0.00\)">
                  <c:v>6.25 </c:v>
                </c:pt>
                <c:pt idx="127" c:formatCode="0.00_);[Red]\(0.00\)">
                  <c:v>6.30 </c:v>
                </c:pt>
                <c:pt idx="128" c:formatCode="0.00_);[Red]\(0.00\)">
                  <c:v>6.35 </c:v>
                </c:pt>
                <c:pt idx="129" c:formatCode="0.00_);[Red]\(0.00\)">
                  <c:v>6.40 </c:v>
                </c:pt>
                <c:pt idx="130" c:formatCode="0.00_);[Red]\(0.00\)">
                  <c:v>6.45 </c:v>
                </c:pt>
                <c:pt idx="131" c:formatCode="0.00_);[Red]\(0.00\)">
                  <c:v>6.50 </c:v>
                </c:pt>
                <c:pt idx="132" c:formatCode="0.00_);[Red]\(0.00\)">
                  <c:v>6.55 </c:v>
                </c:pt>
                <c:pt idx="133" c:formatCode="0.00_);[Red]\(0.00\)">
                  <c:v>6.60 </c:v>
                </c:pt>
                <c:pt idx="134" c:formatCode="0.00_);[Red]\(0.00\)">
                  <c:v>6.65 </c:v>
                </c:pt>
                <c:pt idx="135" c:formatCode="0.00_);[Red]\(0.00\)">
                  <c:v>6.70 </c:v>
                </c:pt>
                <c:pt idx="136" c:formatCode="0.00_);[Red]\(0.00\)">
                  <c:v>6.75 </c:v>
                </c:pt>
                <c:pt idx="137" c:formatCode="0.00_);[Red]\(0.00\)">
                  <c:v>6.80 </c:v>
                </c:pt>
                <c:pt idx="138" c:formatCode="0.00_);[Red]\(0.00\)">
                  <c:v>6.85 </c:v>
                </c:pt>
                <c:pt idx="139" c:formatCode="0.00_);[Red]\(0.00\)">
                  <c:v>6.90 </c:v>
                </c:pt>
                <c:pt idx="140" c:formatCode="0.00_);[Red]\(0.00\)">
                  <c:v>6.95 </c:v>
                </c:pt>
                <c:pt idx="141" c:formatCode="0.00_);[Red]\(0.00\)">
                  <c:v>7.00 </c:v>
                </c:pt>
                <c:pt idx="142" c:formatCode="0.00_);[Red]\(0.00\)">
                  <c:v>7.05 </c:v>
                </c:pt>
                <c:pt idx="143" c:formatCode="0.00_);[Red]\(0.00\)">
                  <c:v>7.10 </c:v>
                </c:pt>
                <c:pt idx="144" c:formatCode="0.00_);[Red]\(0.00\)">
                  <c:v>7.15 </c:v>
                </c:pt>
                <c:pt idx="145" c:formatCode="0.00_);[Red]\(0.00\)">
                  <c:v>7.20 </c:v>
                </c:pt>
                <c:pt idx="146" c:formatCode="0.00_);[Red]\(0.00\)">
                  <c:v>7.25 </c:v>
                </c:pt>
                <c:pt idx="147" c:formatCode="0.00_);[Red]\(0.00\)">
                  <c:v>7.30 </c:v>
                </c:pt>
                <c:pt idx="148" c:formatCode="0.00_);[Red]\(0.00\)">
                  <c:v>7.35 </c:v>
                </c:pt>
                <c:pt idx="149" c:formatCode="0.00_);[Red]\(0.00\)">
                  <c:v>7.40 </c:v>
                </c:pt>
                <c:pt idx="150" c:formatCode="0.00_);[Red]\(0.00\)">
                  <c:v>7.45 </c:v>
                </c:pt>
                <c:pt idx="151" c:formatCode="0.00_);[Red]\(0.00\)">
                  <c:v>7.50 </c:v>
                </c:pt>
                <c:pt idx="152" c:formatCode="0.00_);[Red]\(0.00\)">
                  <c:v>7.55 </c:v>
                </c:pt>
                <c:pt idx="153" c:formatCode="0.00_);[Red]\(0.00\)">
                  <c:v>7.60 </c:v>
                </c:pt>
                <c:pt idx="154" c:formatCode="0.00_);[Red]\(0.00\)">
                  <c:v>7.65 </c:v>
                </c:pt>
                <c:pt idx="155" c:formatCode="0.00_);[Red]\(0.00\)">
                  <c:v>7.70 </c:v>
                </c:pt>
                <c:pt idx="156" c:formatCode="0.00_);[Red]\(0.00\)">
                  <c:v>7.75 </c:v>
                </c:pt>
                <c:pt idx="157" c:formatCode="0.00_);[Red]\(0.00\)">
                  <c:v>7.80 </c:v>
                </c:pt>
                <c:pt idx="158" c:formatCode="0.00_);[Red]\(0.00\)">
                  <c:v>7.85 </c:v>
                </c:pt>
                <c:pt idx="159" c:formatCode="0.00_);[Red]\(0.00\)">
                  <c:v>7.90 </c:v>
                </c:pt>
                <c:pt idx="160" c:formatCode="0.00_);[Red]\(0.00\)">
                  <c:v>7.95 </c:v>
                </c:pt>
                <c:pt idx="161" c:formatCode="0.00_);[Red]\(0.00\)">
                  <c:v>8.00 </c:v>
                </c:pt>
                <c:pt idx="162" c:formatCode="0.00_);[Red]\(0.00\)">
                  <c:v>8.05 </c:v>
                </c:pt>
                <c:pt idx="163" c:formatCode="0.00_);[Red]\(0.00\)">
                  <c:v>8.10 </c:v>
                </c:pt>
                <c:pt idx="164" c:formatCode="0.00_);[Red]\(0.00\)">
                  <c:v>8.15 </c:v>
                </c:pt>
                <c:pt idx="165" c:formatCode="0.00_);[Red]\(0.00\)">
                  <c:v>8.20 </c:v>
                </c:pt>
                <c:pt idx="166" c:formatCode="0.00_);[Red]\(0.00\)">
                  <c:v>8.25 </c:v>
                </c:pt>
                <c:pt idx="167" c:formatCode="0.00_);[Red]\(0.00\)">
                  <c:v>8.30 </c:v>
                </c:pt>
                <c:pt idx="168" c:formatCode="0.00_);[Red]\(0.00\)">
                  <c:v>8.35 </c:v>
                </c:pt>
                <c:pt idx="169" c:formatCode="0.00_);[Red]\(0.00\)">
                  <c:v>8.40 </c:v>
                </c:pt>
                <c:pt idx="170" c:formatCode="0.00_);[Red]\(0.00\)">
                  <c:v>8.45 </c:v>
                </c:pt>
                <c:pt idx="171" c:formatCode="0.00_);[Red]\(0.00\)">
                  <c:v>8.50 </c:v>
                </c:pt>
                <c:pt idx="172" c:formatCode="0.00_);[Red]\(0.00\)">
                  <c:v>8.55 </c:v>
                </c:pt>
                <c:pt idx="173" c:formatCode="0.00_);[Red]\(0.00\)">
                  <c:v>8.60 </c:v>
                </c:pt>
                <c:pt idx="174" c:formatCode="0.00_);[Red]\(0.00\)">
                  <c:v>8.65 </c:v>
                </c:pt>
                <c:pt idx="175" c:formatCode="0.00_);[Red]\(0.00\)">
                  <c:v>8.70 </c:v>
                </c:pt>
                <c:pt idx="176" c:formatCode="0.00_);[Red]\(0.00\)">
                  <c:v>8.75 </c:v>
                </c:pt>
                <c:pt idx="177" c:formatCode="0.00_);[Red]\(0.00\)">
                  <c:v>8.80 </c:v>
                </c:pt>
                <c:pt idx="178" c:formatCode="0.00_);[Red]\(0.00\)">
                  <c:v>8.85 </c:v>
                </c:pt>
                <c:pt idx="179" c:formatCode="0.00_);[Red]\(0.00\)">
                  <c:v>8.90 </c:v>
                </c:pt>
                <c:pt idx="180" c:formatCode="0.00_);[Red]\(0.00\)">
                  <c:v>8.95 </c:v>
                </c:pt>
                <c:pt idx="181" c:formatCode="0.00_);[Red]\(0.00\)">
                  <c:v>9.00 </c:v>
                </c:pt>
                <c:pt idx="182" c:formatCode="0.00_);[Red]\(0.00\)">
                  <c:v>9.05 </c:v>
                </c:pt>
                <c:pt idx="183" c:formatCode="0.00_);[Red]\(0.00\)">
                  <c:v>9.10 </c:v>
                </c:pt>
                <c:pt idx="184" c:formatCode="0.00_);[Red]\(0.00\)">
                  <c:v>9.15 </c:v>
                </c:pt>
                <c:pt idx="185" c:formatCode="0.00_);[Red]\(0.00\)">
                  <c:v>9.20 </c:v>
                </c:pt>
                <c:pt idx="186" c:formatCode="0.00_);[Red]\(0.00\)">
                  <c:v>9.25 </c:v>
                </c:pt>
                <c:pt idx="187" c:formatCode="0.00_);[Red]\(0.00\)">
                  <c:v>9.30 </c:v>
                </c:pt>
                <c:pt idx="188" c:formatCode="0.00_);[Red]\(0.00\)">
                  <c:v>9.35 </c:v>
                </c:pt>
                <c:pt idx="189" c:formatCode="0.00_);[Red]\(0.00\)">
                  <c:v>9.40 </c:v>
                </c:pt>
                <c:pt idx="190" c:formatCode="0.00_);[Red]\(0.00\)">
                  <c:v>9.45 </c:v>
                </c:pt>
                <c:pt idx="191" c:formatCode="0.00_);[Red]\(0.00\)">
                  <c:v>9.50 </c:v>
                </c:pt>
                <c:pt idx="192" c:formatCode="0.00_);[Red]\(0.00\)">
                  <c:v>9.55 </c:v>
                </c:pt>
                <c:pt idx="193" c:formatCode="0.00_);[Red]\(0.00\)">
                  <c:v>9.60 </c:v>
                </c:pt>
                <c:pt idx="194" c:formatCode="0.00_);[Red]\(0.00\)">
                  <c:v>9.65 </c:v>
                </c:pt>
                <c:pt idx="195" c:formatCode="0.00_);[Red]\(0.00\)">
                  <c:v>9.70 </c:v>
                </c:pt>
                <c:pt idx="196" c:formatCode="0.00_);[Red]\(0.00\)">
                  <c:v>9.75 </c:v>
                </c:pt>
                <c:pt idx="197" c:formatCode="0.00_);[Red]\(0.00\)">
                  <c:v>9.80 </c:v>
                </c:pt>
                <c:pt idx="198" c:formatCode="0.00_);[Red]\(0.00\)">
                  <c:v>9.85 </c:v>
                </c:pt>
                <c:pt idx="199" c:formatCode="0.00_);[Red]\(0.00\)">
                  <c:v>9.90 </c:v>
                </c:pt>
                <c:pt idx="200" c:formatCode="0.00_);[Red]\(0.00\)">
                  <c:v>9.95 </c:v>
                </c:pt>
                <c:pt idx="201" c:formatCode="0.00_);[Red]\(0.00\)">
                  <c:v>10.00 </c:v>
                </c:pt>
                <c:pt idx="202" c:formatCode="0.00_);[Red]\(0.00\)">
                  <c:v>10.05 </c:v>
                </c:pt>
                <c:pt idx="203" c:formatCode="0.00_);[Red]\(0.00\)">
                  <c:v>10.10 </c:v>
                </c:pt>
                <c:pt idx="204" c:formatCode="0.00_);[Red]\(0.00\)">
                  <c:v>10.15 </c:v>
                </c:pt>
                <c:pt idx="205" c:formatCode="0.00_);[Red]\(0.00\)">
                  <c:v>10.20 </c:v>
                </c:pt>
                <c:pt idx="206" c:formatCode="0.00_);[Red]\(0.00\)">
                  <c:v>10.25 </c:v>
                </c:pt>
                <c:pt idx="207" c:formatCode="0.00_);[Red]\(0.00\)">
                  <c:v>10.30 </c:v>
                </c:pt>
                <c:pt idx="208" c:formatCode="0.00_);[Red]\(0.00\)">
                  <c:v>10.35 </c:v>
                </c:pt>
                <c:pt idx="209" c:formatCode="0.00_);[Red]\(0.00\)">
                  <c:v>10.40 </c:v>
                </c:pt>
                <c:pt idx="210" c:formatCode="0.00_);[Red]\(0.00\)">
                  <c:v>10.45 </c:v>
                </c:pt>
                <c:pt idx="211" c:formatCode="0.00_);[Red]\(0.00\)">
                  <c:v>10.50 </c:v>
                </c:pt>
                <c:pt idx="212" c:formatCode="0.00_);[Red]\(0.00\)">
                  <c:v>10.55 </c:v>
                </c:pt>
                <c:pt idx="213" c:formatCode="0.00_);[Red]\(0.00\)">
                  <c:v>10.60 </c:v>
                </c:pt>
                <c:pt idx="214" c:formatCode="0.00_);[Red]\(0.00\)">
                  <c:v>10.65 </c:v>
                </c:pt>
                <c:pt idx="215" c:formatCode="0.00_);[Red]\(0.00\)">
                  <c:v>10.70 </c:v>
                </c:pt>
                <c:pt idx="216" c:formatCode="0.00_);[Red]\(0.00\)">
                  <c:v>10.75 </c:v>
                </c:pt>
                <c:pt idx="217" c:formatCode="0.00_);[Red]\(0.00\)">
                  <c:v>10.80 </c:v>
                </c:pt>
                <c:pt idx="218" c:formatCode="0.00_);[Red]\(0.00\)">
                  <c:v>10.85 </c:v>
                </c:pt>
                <c:pt idx="219" c:formatCode="0.00_);[Red]\(0.00\)">
                  <c:v>10.90 </c:v>
                </c:pt>
                <c:pt idx="220" c:formatCode="0.00_);[Red]\(0.00\)">
                  <c:v>10.95 </c:v>
                </c:pt>
                <c:pt idx="221" c:formatCode="0.00_);[Red]\(0.00\)">
                  <c:v>11.00 </c:v>
                </c:pt>
                <c:pt idx="222" c:formatCode="0.00_);[Red]\(0.00\)">
                  <c:v>11.05 </c:v>
                </c:pt>
                <c:pt idx="223" c:formatCode="0.00_);[Red]\(0.00\)">
                  <c:v>11.10 </c:v>
                </c:pt>
                <c:pt idx="224" c:formatCode="0.00_);[Red]\(0.00\)">
                  <c:v>11.15 </c:v>
                </c:pt>
                <c:pt idx="225" c:formatCode="0.00_);[Red]\(0.00\)">
                  <c:v>11.20 </c:v>
                </c:pt>
                <c:pt idx="226" c:formatCode="0.00_);[Red]\(0.00\)">
                  <c:v>11.25 </c:v>
                </c:pt>
                <c:pt idx="227" c:formatCode="0.00_);[Red]\(0.00\)">
                  <c:v>11.30 </c:v>
                </c:pt>
                <c:pt idx="228" c:formatCode="0.00_);[Red]\(0.00\)">
                  <c:v>11.35 </c:v>
                </c:pt>
                <c:pt idx="229" c:formatCode="0.00_);[Red]\(0.00\)">
                  <c:v>11.40 </c:v>
                </c:pt>
                <c:pt idx="230" c:formatCode="0.00_);[Red]\(0.00\)">
                  <c:v>11.45 </c:v>
                </c:pt>
                <c:pt idx="231" c:formatCode="0.00_);[Red]\(0.00\)">
                  <c:v>11.50 </c:v>
                </c:pt>
                <c:pt idx="232" c:formatCode="0.00_);[Red]\(0.00\)">
                  <c:v>11.55 </c:v>
                </c:pt>
                <c:pt idx="233" c:formatCode="0.00_);[Red]\(0.00\)">
                  <c:v>11.60 </c:v>
                </c:pt>
                <c:pt idx="234" c:formatCode="0.00_);[Red]\(0.00\)">
                  <c:v>11.65 </c:v>
                </c:pt>
                <c:pt idx="235" c:formatCode="0.00_);[Red]\(0.00\)">
                  <c:v>11.70 </c:v>
                </c:pt>
                <c:pt idx="236" c:formatCode="0.00_);[Red]\(0.00\)">
                  <c:v>11.75 </c:v>
                </c:pt>
                <c:pt idx="237" c:formatCode="0.00_);[Red]\(0.00\)">
                  <c:v>11.80 </c:v>
                </c:pt>
                <c:pt idx="238" c:formatCode="0.00_);[Red]\(0.00\)">
                  <c:v>11.85 </c:v>
                </c:pt>
                <c:pt idx="239" c:formatCode="0.00_);[Red]\(0.00\)">
                  <c:v>11.90 </c:v>
                </c:pt>
                <c:pt idx="240" c:formatCode="0.00_);[Red]\(0.00\)">
                  <c:v>11.95 </c:v>
                </c:pt>
                <c:pt idx="241" c:formatCode="0.00_);[Red]\(0.00\)">
                  <c:v>12.00 </c:v>
                </c:pt>
                <c:pt idx="242" c:formatCode="0.00_);[Red]\(0.00\)">
                  <c:v>12.05 </c:v>
                </c:pt>
                <c:pt idx="243" c:formatCode="0.00_);[Red]\(0.00\)">
                  <c:v>12.10 </c:v>
                </c:pt>
                <c:pt idx="244" c:formatCode="0.00_);[Red]\(0.00\)">
                  <c:v>12.15 </c:v>
                </c:pt>
                <c:pt idx="245" c:formatCode="0.00_);[Red]\(0.00\)">
                  <c:v>12.20 </c:v>
                </c:pt>
                <c:pt idx="246" c:formatCode="0.00_);[Red]\(0.00\)">
                  <c:v>12.25 </c:v>
                </c:pt>
                <c:pt idx="247" c:formatCode="0.00_);[Red]\(0.00\)">
                  <c:v>12.30 </c:v>
                </c:pt>
                <c:pt idx="248" c:formatCode="0.00_);[Red]\(0.00\)">
                  <c:v>12.35 </c:v>
                </c:pt>
                <c:pt idx="249" c:formatCode="0.00_);[Red]\(0.00\)">
                  <c:v>12.40 </c:v>
                </c:pt>
                <c:pt idx="250" c:formatCode="0.00_);[Red]\(0.00\)">
                  <c:v>12.45 </c:v>
                </c:pt>
                <c:pt idx="251" c:formatCode="0.00_);[Red]\(0.00\)">
                  <c:v>12.50 </c:v>
                </c:pt>
                <c:pt idx="252" c:formatCode="0.00_);[Red]\(0.00\)">
                  <c:v>12.55 </c:v>
                </c:pt>
                <c:pt idx="253" c:formatCode="0.00_);[Red]\(0.00\)">
                  <c:v>12.60 </c:v>
                </c:pt>
                <c:pt idx="254" c:formatCode="0.00_);[Red]\(0.00\)">
                  <c:v>12.65 </c:v>
                </c:pt>
                <c:pt idx="255" c:formatCode="0.00_);[Red]\(0.00\)">
                  <c:v>12.70 </c:v>
                </c:pt>
                <c:pt idx="256" c:formatCode="0.00_);[Red]\(0.00\)">
                  <c:v>12.75 </c:v>
                </c:pt>
                <c:pt idx="257" c:formatCode="0.00_);[Red]\(0.00\)">
                  <c:v>12.80 </c:v>
                </c:pt>
                <c:pt idx="258" c:formatCode="0.00_);[Red]\(0.00\)">
                  <c:v>12.85 </c:v>
                </c:pt>
                <c:pt idx="259" c:formatCode="0.00_);[Red]\(0.00\)">
                  <c:v>12.90 </c:v>
                </c:pt>
                <c:pt idx="260" c:formatCode="0.00_);[Red]\(0.00\)">
                  <c:v>12.95 </c:v>
                </c:pt>
                <c:pt idx="261" c:formatCode="0.00_);[Red]\(0.00\)">
                  <c:v>13.00 </c:v>
                </c:pt>
                <c:pt idx="262" c:formatCode="0.00_);[Red]\(0.00\)">
                  <c:v>13.05 </c:v>
                </c:pt>
                <c:pt idx="263" c:formatCode="0.00_);[Red]\(0.00\)">
                  <c:v>13.10 </c:v>
                </c:pt>
                <c:pt idx="264" c:formatCode="0.00_);[Red]\(0.00\)">
                  <c:v>13.15 </c:v>
                </c:pt>
                <c:pt idx="265" c:formatCode="0.00_);[Red]\(0.00\)">
                  <c:v>13.20 </c:v>
                </c:pt>
                <c:pt idx="266" c:formatCode="0.00_);[Red]\(0.00\)">
                  <c:v>13.25 </c:v>
                </c:pt>
                <c:pt idx="267" c:formatCode="0.00_);[Red]\(0.00\)">
                  <c:v>13.30 </c:v>
                </c:pt>
                <c:pt idx="268" c:formatCode="0.00_);[Red]\(0.00\)">
                  <c:v>13.35 </c:v>
                </c:pt>
                <c:pt idx="269" c:formatCode="0.00_);[Red]\(0.00\)">
                  <c:v>13.40 </c:v>
                </c:pt>
                <c:pt idx="270" c:formatCode="0.00_);[Red]\(0.00\)">
                  <c:v>13.45 </c:v>
                </c:pt>
                <c:pt idx="271" c:formatCode="0.00_);[Red]\(0.00\)">
                  <c:v>13.50 </c:v>
                </c:pt>
                <c:pt idx="272" c:formatCode="0.00_);[Red]\(0.00\)">
                  <c:v>13.55 </c:v>
                </c:pt>
                <c:pt idx="273" c:formatCode="0.00_);[Red]\(0.00\)">
                  <c:v>13.60 </c:v>
                </c:pt>
                <c:pt idx="274" c:formatCode="0.00_);[Red]\(0.00\)">
                  <c:v>13.65 </c:v>
                </c:pt>
                <c:pt idx="275" c:formatCode="0.00_);[Red]\(0.00\)">
                  <c:v>13.70 </c:v>
                </c:pt>
                <c:pt idx="276" c:formatCode="0.00_);[Red]\(0.00\)">
                  <c:v>13.75 </c:v>
                </c:pt>
                <c:pt idx="277" c:formatCode="0.00_);[Red]\(0.00\)">
                  <c:v>13.80 </c:v>
                </c:pt>
                <c:pt idx="278" c:formatCode="0.00_);[Red]\(0.00\)">
                  <c:v>13.85 </c:v>
                </c:pt>
                <c:pt idx="279" c:formatCode="0.00_);[Red]\(0.00\)">
                  <c:v>13.90 </c:v>
                </c:pt>
                <c:pt idx="280" c:formatCode="0.00_);[Red]\(0.00\)">
                  <c:v>13.95 </c:v>
                </c:pt>
                <c:pt idx="281" c:formatCode="0.00_);[Red]\(0.00\)">
                  <c:v>14.00 </c:v>
                </c:pt>
                <c:pt idx="282" c:formatCode="0.00_);[Red]\(0.00\)">
                  <c:v>14.05 </c:v>
                </c:pt>
                <c:pt idx="283" c:formatCode="0.00_);[Red]\(0.00\)">
                  <c:v>14.10 </c:v>
                </c:pt>
                <c:pt idx="284" c:formatCode="0.00_);[Red]\(0.00\)">
                  <c:v>14.15 </c:v>
                </c:pt>
                <c:pt idx="285" c:formatCode="0.00_);[Red]\(0.00\)">
                  <c:v>14.20 </c:v>
                </c:pt>
                <c:pt idx="286" c:formatCode="0.00_);[Red]\(0.00\)">
                  <c:v>14.25 </c:v>
                </c:pt>
                <c:pt idx="287" c:formatCode="0.00_);[Red]\(0.00\)">
                  <c:v>14.30 </c:v>
                </c:pt>
                <c:pt idx="288" c:formatCode="0.00_);[Red]\(0.00\)">
                  <c:v>14.35 </c:v>
                </c:pt>
                <c:pt idx="289" c:formatCode="0.00_);[Red]\(0.00\)">
                  <c:v>14.40 </c:v>
                </c:pt>
                <c:pt idx="290" c:formatCode="0.00_);[Red]\(0.00\)">
                  <c:v>14.45 </c:v>
                </c:pt>
                <c:pt idx="291" c:formatCode="0.00_);[Red]\(0.00\)">
                  <c:v>14.50 </c:v>
                </c:pt>
                <c:pt idx="292" c:formatCode="0.00_);[Red]\(0.00\)">
                  <c:v>14.55 </c:v>
                </c:pt>
                <c:pt idx="293" c:formatCode="0.00_);[Red]\(0.00\)">
                  <c:v>14.60 </c:v>
                </c:pt>
                <c:pt idx="294" c:formatCode="0.00_);[Red]\(0.00\)">
                  <c:v>14.65 </c:v>
                </c:pt>
                <c:pt idx="295" c:formatCode="0.00_);[Red]\(0.00\)">
                  <c:v>14.70 </c:v>
                </c:pt>
                <c:pt idx="296" c:formatCode="0.00_);[Red]\(0.00\)">
                  <c:v>14.75 </c:v>
                </c:pt>
                <c:pt idx="297" c:formatCode="0.00_);[Red]\(0.00\)">
                  <c:v>14.80 </c:v>
                </c:pt>
                <c:pt idx="298" c:formatCode="0.00_);[Red]\(0.00\)">
                  <c:v>14.85 </c:v>
                </c:pt>
                <c:pt idx="299" c:formatCode="0.00_);[Red]\(0.00\)">
                  <c:v>14.90 </c:v>
                </c:pt>
                <c:pt idx="300" c:formatCode="0.00_);[Red]\(0.00\)">
                  <c:v>14.95 </c:v>
                </c:pt>
                <c:pt idx="301" c:formatCode="0.00_);[Red]\(0.00\)">
                  <c:v>15.00 </c:v>
                </c:pt>
                <c:pt idx="302" c:formatCode="0.00_);[Red]\(0.00\)">
                  <c:v>15.05 </c:v>
                </c:pt>
                <c:pt idx="303" c:formatCode="0.00_);[Red]\(0.00\)">
                  <c:v>15.10 </c:v>
                </c:pt>
                <c:pt idx="304" c:formatCode="0.00_);[Red]\(0.00\)">
                  <c:v>15.15 </c:v>
                </c:pt>
                <c:pt idx="305" c:formatCode="0.00_);[Red]\(0.00\)">
                  <c:v>15.20 </c:v>
                </c:pt>
                <c:pt idx="306" c:formatCode="0.00_);[Red]\(0.00\)">
                  <c:v>15.25 </c:v>
                </c:pt>
                <c:pt idx="307" c:formatCode="0.00_);[Red]\(0.00\)">
                  <c:v>15.30 </c:v>
                </c:pt>
                <c:pt idx="308" c:formatCode="0.00_);[Red]\(0.00\)">
                  <c:v>15.35 </c:v>
                </c:pt>
                <c:pt idx="309" c:formatCode="0.00_);[Red]\(0.00\)">
                  <c:v>15.40 </c:v>
                </c:pt>
                <c:pt idx="310" c:formatCode="0.00_);[Red]\(0.00\)">
                  <c:v>15.45 </c:v>
                </c:pt>
                <c:pt idx="311" c:formatCode="0.00_);[Red]\(0.00\)">
                  <c:v>15.50 </c:v>
                </c:pt>
                <c:pt idx="312" c:formatCode="0.00_);[Red]\(0.00\)">
                  <c:v>15.55 </c:v>
                </c:pt>
                <c:pt idx="313" c:formatCode="0.00_);[Red]\(0.00\)">
                  <c:v>15.60 </c:v>
                </c:pt>
                <c:pt idx="314" c:formatCode="0.00_);[Red]\(0.00\)">
                  <c:v>15.65 </c:v>
                </c:pt>
                <c:pt idx="315" c:formatCode="0.00_);[Red]\(0.00\)">
                  <c:v>15.70 </c:v>
                </c:pt>
                <c:pt idx="316" c:formatCode="0.00_);[Red]\(0.00\)">
                  <c:v>15.75 </c:v>
                </c:pt>
                <c:pt idx="317" c:formatCode="0.00_);[Red]\(0.00\)">
                  <c:v>15.80 </c:v>
                </c:pt>
                <c:pt idx="318" c:formatCode="0.00_);[Red]\(0.00\)">
                  <c:v>15.85 </c:v>
                </c:pt>
                <c:pt idx="319" c:formatCode="0.00_);[Red]\(0.00\)">
                  <c:v>15.90 </c:v>
                </c:pt>
                <c:pt idx="320" c:formatCode="0.00_);[Red]\(0.00\)">
                  <c:v>15.95 </c:v>
                </c:pt>
                <c:pt idx="321" c:formatCode="0.00_);[Red]\(0.00\)">
                  <c:v>16.00 </c:v>
                </c:pt>
                <c:pt idx="322" c:formatCode="0.00_);[Red]\(0.00\)">
                  <c:v>16.05 </c:v>
                </c:pt>
                <c:pt idx="323" c:formatCode="0.00_);[Red]\(0.00\)">
                  <c:v>16.10 </c:v>
                </c:pt>
                <c:pt idx="324" c:formatCode="0.00_);[Red]\(0.00\)">
                  <c:v>16.15 </c:v>
                </c:pt>
                <c:pt idx="325" c:formatCode="0.00_);[Red]\(0.00\)">
                  <c:v>16.20 </c:v>
                </c:pt>
                <c:pt idx="326" c:formatCode="0.00_);[Red]\(0.00\)">
                  <c:v>16.25 </c:v>
                </c:pt>
                <c:pt idx="327" c:formatCode="0.00_);[Red]\(0.00\)">
                  <c:v>16.30 </c:v>
                </c:pt>
                <c:pt idx="328" c:formatCode="0.00_);[Red]\(0.00\)">
                  <c:v>16.35 </c:v>
                </c:pt>
                <c:pt idx="329" c:formatCode="0.00_);[Red]\(0.00\)">
                  <c:v>16.40 </c:v>
                </c:pt>
                <c:pt idx="330" c:formatCode="0.00_);[Red]\(0.00\)">
                  <c:v>16.45 </c:v>
                </c:pt>
                <c:pt idx="331" c:formatCode="0.00_);[Red]\(0.00\)">
                  <c:v>16.50 </c:v>
                </c:pt>
                <c:pt idx="332" c:formatCode="0.00_);[Red]\(0.00\)">
                  <c:v>16.55 </c:v>
                </c:pt>
                <c:pt idx="333" c:formatCode="0.00_);[Red]\(0.00\)">
                  <c:v>16.60 </c:v>
                </c:pt>
                <c:pt idx="334" c:formatCode="0.00_);[Red]\(0.00\)">
                  <c:v>16.65 </c:v>
                </c:pt>
                <c:pt idx="335" c:formatCode="0.00_);[Red]\(0.00\)">
                  <c:v>16.70 </c:v>
                </c:pt>
                <c:pt idx="336" c:formatCode="0.00_);[Red]\(0.00\)">
                  <c:v>16.75 </c:v>
                </c:pt>
                <c:pt idx="337" c:formatCode="0.00_);[Red]\(0.00\)">
                  <c:v>16.80 </c:v>
                </c:pt>
                <c:pt idx="338" c:formatCode="0.00_);[Red]\(0.00\)">
                  <c:v>16.85 </c:v>
                </c:pt>
                <c:pt idx="339" c:formatCode="0.00_);[Red]\(0.00\)">
                  <c:v>16.90 </c:v>
                </c:pt>
                <c:pt idx="340" c:formatCode="0.00_);[Red]\(0.00\)">
                  <c:v>16.95 </c:v>
                </c:pt>
                <c:pt idx="341" c:formatCode="0.00_);[Red]\(0.00\)">
                  <c:v>17.00 </c:v>
                </c:pt>
                <c:pt idx="342" c:formatCode="0.00_);[Red]\(0.00\)">
                  <c:v>17.05 </c:v>
                </c:pt>
                <c:pt idx="343" c:formatCode="0.00_);[Red]\(0.00\)">
                  <c:v>17.10 </c:v>
                </c:pt>
                <c:pt idx="344" c:formatCode="0.00_);[Red]\(0.00\)">
                  <c:v>17.15 </c:v>
                </c:pt>
                <c:pt idx="345" c:formatCode="0.00_);[Red]\(0.00\)">
                  <c:v>17.20 </c:v>
                </c:pt>
                <c:pt idx="346" c:formatCode="0.00_);[Red]\(0.00\)">
                  <c:v>17.25 </c:v>
                </c:pt>
                <c:pt idx="347" c:formatCode="0.00_);[Red]\(0.00\)">
                  <c:v>17.30 </c:v>
                </c:pt>
                <c:pt idx="348" c:formatCode="0.00_);[Red]\(0.00\)">
                  <c:v>17.35 </c:v>
                </c:pt>
                <c:pt idx="349" c:formatCode="0.00_);[Red]\(0.00\)">
                  <c:v>17.40 </c:v>
                </c:pt>
                <c:pt idx="350" c:formatCode="0.00_);[Red]\(0.00\)">
                  <c:v>17.45 </c:v>
                </c:pt>
                <c:pt idx="351" c:formatCode="0.00_);[Red]\(0.00\)">
                  <c:v>17.50 </c:v>
                </c:pt>
                <c:pt idx="352" c:formatCode="0.00_);[Red]\(0.00\)">
                  <c:v>17.55 </c:v>
                </c:pt>
                <c:pt idx="353" c:formatCode="0.00_);[Red]\(0.00\)">
                  <c:v>17.60 </c:v>
                </c:pt>
                <c:pt idx="354" c:formatCode="0.00_);[Red]\(0.00\)">
                  <c:v>17.65 </c:v>
                </c:pt>
                <c:pt idx="355" c:formatCode="0.00_);[Red]\(0.00\)">
                  <c:v>17.70 </c:v>
                </c:pt>
                <c:pt idx="356" c:formatCode="0.00_);[Red]\(0.00\)">
                  <c:v>17.75 </c:v>
                </c:pt>
                <c:pt idx="357" c:formatCode="0.00_);[Red]\(0.00\)">
                  <c:v>17.80 </c:v>
                </c:pt>
                <c:pt idx="358" c:formatCode="0.00_);[Red]\(0.00\)">
                  <c:v>17.85 </c:v>
                </c:pt>
                <c:pt idx="359" c:formatCode="0.00_);[Red]\(0.00\)">
                  <c:v>17.90 </c:v>
                </c:pt>
                <c:pt idx="360" c:formatCode="0.00_);[Red]\(0.00\)">
                  <c:v>17.95 </c:v>
                </c:pt>
                <c:pt idx="361" c:formatCode="0.00_);[Red]\(0.00\)">
                  <c:v>18.00 </c:v>
                </c:pt>
                <c:pt idx="362" c:formatCode="0.00_);[Red]\(0.00\)">
                  <c:v>18.05 </c:v>
                </c:pt>
                <c:pt idx="363" c:formatCode="0.00_);[Red]\(0.00\)">
                  <c:v>18.10 </c:v>
                </c:pt>
                <c:pt idx="364" c:formatCode="0.00_);[Red]\(0.00\)">
                  <c:v>18.15 </c:v>
                </c:pt>
                <c:pt idx="365" c:formatCode="0.00_);[Red]\(0.00\)">
                  <c:v>18.20 </c:v>
                </c:pt>
                <c:pt idx="366" c:formatCode="0.00_);[Red]\(0.00\)">
                  <c:v>18.25 </c:v>
                </c:pt>
                <c:pt idx="367" c:formatCode="0.00_);[Red]\(0.00\)">
                  <c:v>18.30 </c:v>
                </c:pt>
                <c:pt idx="368" c:formatCode="0.00_);[Red]\(0.00\)">
                  <c:v>18.35 </c:v>
                </c:pt>
                <c:pt idx="369" c:formatCode="0.00_);[Red]\(0.00\)">
                  <c:v>18.40 </c:v>
                </c:pt>
                <c:pt idx="370" c:formatCode="0.00_);[Red]\(0.00\)">
                  <c:v>18.45 </c:v>
                </c:pt>
                <c:pt idx="371" c:formatCode="0.00_);[Red]\(0.00\)">
                  <c:v>18.50 </c:v>
                </c:pt>
                <c:pt idx="372" c:formatCode="0.00_);[Red]\(0.00\)">
                  <c:v>18.55 </c:v>
                </c:pt>
                <c:pt idx="373" c:formatCode="0.00_);[Red]\(0.00\)">
                  <c:v>18.60 </c:v>
                </c:pt>
                <c:pt idx="374" c:formatCode="0.00_);[Red]\(0.00\)">
                  <c:v>18.65 </c:v>
                </c:pt>
                <c:pt idx="375" c:formatCode="0.00_);[Red]\(0.00\)">
                  <c:v>18.70 </c:v>
                </c:pt>
                <c:pt idx="376" c:formatCode="0.00_);[Red]\(0.00\)">
                  <c:v>18.75 </c:v>
                </c:pt>
                <c:pt idx="377" c:formatCode="0.00_);[Red]\(0.00\)">
                  <c:v>18.80 </c:v>
                </c:pt>
                <c:pt idx="378" c:formatCode="0.00_);[Red]\(0.00\)">
                  <c:v>18.85 </c:v>
                </c:pt>
                <c:pt idx="379" c:formatCode="0.00_);[Red]\(0.00\)">
                  <c:v>18.90 </c:v>
                </c:pt>
                <c:pt idx="380" c:formatCode="0.00_);[Red]\(0.00\)">
                  <c:v>18.95 </c:v>
                </c:pt>
                <c:pt idx="381" c:formatCode="0.00_);[Red]\(0.00\)">
                  <c:v>19.00 </c:v>
                </c:pt>
                <c:pt idx="382" c:formatCode="0.00_);[Red]\(0.00\)">
                  <c:v>19.05 </c:v>
                </c:pt>
                <c:pt idx="383" c:formatCode="0.00_);[Red]\(0.00\)">
                  <c:v>19.10 </c:v>
                </c:pt>
                <c:pt idx="384" c:formatCode="0.00_);[Red]\(0.00\)">
                  <c:v>19.15 </c:v>
                </c:pt>
                <c:pt idx="385" c:formatCode="0.00_);[Red]\(0.00\)">
                  <c:v>19.20 </c:v>
                </c:pt>
                <c:pt idx="386" c:formatCode="0.00_);[Red]\(0.00\)">
                  <c:v>19.25 </c:v>
                </c:pt>
                <c:pt idx="387" c:formatCode="0.00_);[Red]\(0.00\)">
                  <c:v>19.30 </c:v>
                </c:pt>
                <c:pt idx="388" c:formatCode="0.00_);[Red]\(0.00\)">
                  <c:v>19.35 </c:v>
                </c:pt>
                <c:pt idx="389" c:formatCode="0.00_);[Red]\(0.00\)">
                  <c:v>19.40 </c:v>
                </c:pt>
                <c:pt idx="390" c:formatCode="0.00_);[Red]\(0.00\)">
                  <c:v>19.45 </c:v>
                </c:pt>
                <c:pt idx="391" c:formatCode="0.00_);[Red]\(0.00\)">
                  <c:v>19.50 </c:v>
                </c:pt>
                <c:pt idx="392" c:formatCode="0.00_);[Red]\(0.00\)">
                  <c:v>19.55 </c:v>
                </c:pt>
                <c:pt idx="393" c:formatCode="0.00_);[Red]\(0.00\)">
                  <c:v>19.60 </c:v>
                </c:pt>
                <c:pt idx="394" c:formatCode="0.00_);[Red]\(0.00\)">
                  <c:v>19.65 </c:v>
                </c:pt>
                <c:pt idx="395" c:formatCode="0.00_);[Red]\(0.00\)">
                  <c:v>19.70 </c:v>
                </c:pt>
                <c:pt idx="396" c:formatCode="0.00_);[Red]\(0.00\)">
                  <c:v>19.75 </c:v>
                </c:pt>
                <c:pt idx="397" c:formatCode="0.00_);[Red]\(0.00\)">
                  <c:v>19.80 </c:v>
                </c:pt>
                <c:pt idx="398" c:formatCode="0.00_);[Red]\(0.00\)">
                  <c:v>19.85 </c:v>
                </c:pt>
                <c:pt idx="399" c:formatCode="0.00_);[Red]\(0.00\)">
                  <c:v>19.90 </c:v>
                </c:pt>
                <c:pt idx="400" c:formatCode="0.00_);[Red]\(0.00\)">
                  <c:v>19.95 </c:v>
                </c:pt>
                <c:pt idx="401" c:formatCode="0.00_);[Red]\(0.00\)">
                  <c:v>20.00 </c:v>
                </c:pt>
                <c:pt idx="402" c:formatCode="0.00_);[Red]\(0.00\)">
                  <c:v>20.05 </c:v>
                </c:pt>
                <c:pt idx="403" c:formatCode="0.00_);[Red]\(0.00\)">
                  <c:v>20.10 </c:v>
                </c:pt>
                <c:pt idx="404" c:formatCode="0.00_);[Red]\(0.00\)">
                  <c:v>20.15 </c:v>
                </c:pt>
                <c:pt idx="405" c:formatCode="0.00_);[Red]\(0.00\)">
                  <c:v>20.20 </c:v>
                </c:pt>
                <c:pt idx="406" c:formatCode="0.00_);[Red]\(0.00\)">
                  <c:v>20.25 </c:v>
                </c:pt>
                <c:pt idx="407" c:formatCode="0.00_);[Red]\(0.00\)">
                  <c:v>20.30 </c:v>
                </c:pt>
                <c:pt idx="408" c:formatCode="0.00_);[Red]\(0.00\)">
                  <c:v>20.35 </c:v>
                </c:pt>
                <c:pt idx="409" c:formatCode="0.00_);[Red]\(0.00\)">
                  <c:v>20.40 </c:v>
                </c:pt>
                <c:pt idx="410" c:formatCode="0.00_);[Red]\(0.00\)">
                  <c:v>20.45 </c:v>
                </c:pt>
                <c:pt idx="411" c:formatCode="0.00_);[Red]\(0.00\)">
                  <c:v>20.50 </c:v>
                </c:pt>
                <c:pt idx="412" c:formatCode="0.00_);[Red]\(0.00\)">
                  <c:v>20.55 </c:v>
                </c:pt>
                <c:pt idx="413" c:formatCode="0.00_);[Red]\(0.00\)">
                  <c:v>20.60 </c:v>
                </c:pt>
                <c:pt idx="414" c:formatCode="0.00_);[Red]\(0.00\)">
                  <c:v>20.65 </c:v>
                </c:pt>
                <c:pt idx="415" c:formatCode="0.00_);[Red]\(0.00\)">
                  <c:v>20.70 </c:v>
                </c:pt>
                <c:pt idx="416" c:formatCode="0.00_);[Red]\(0.00\)">
                  <c:v>20.75 </c:v>
                </c:pt>
                <c:pt idx="417" c:formatCode="0.00_);[Red]\(0.00\)">
                  <c:v>20.80 </c:v>
                </c:pt>
                <c:pt idx="418" c:formatCode="0.00_);[Red]\(0.00\)">
                  <c:v>20.85 </c:v>
                </c:pt>
                <c:pt idx="419" c:formatCode="0.00_);[Red]\(0.00\)">
                  <c:v>20.90 </c:v>
                </c:pt>
                <c:pt idx="420" c:formatCode="0.00_);[Red]\(0.00\)">
                  <c:v>20.95 </c:v>
                </c:pt>
                <c:pt idx="421" c:formatCode="0.00_);[Red]\(0.00\)">
                  <c:v>21.00 </c:v>
                </c:pt>
                <c:pt idx="422" c:formatCode="0.00_);[Red]\(0.00\)">
                  <c:v>21.05 </c:v>
                </c:pt>
                <c:pt idx="423" c:formatCode="0.00_);[Red]\(0.00\)">
                  <c:v>21.10 </c:v>
                </c:pt>
                <c:pt idx="424" c:formatCode="0.00_);[Red]\(0.00\)">
                  <c:v>21.15 </c:v>
                </c:pt>
                <c:pt idx="425" c:formatCode="0.00_);[Red]\(0.00\)">
                  <c:v>21.20 </c:v>
                </c:pt>
                <c:pt idx="426" c:formatCode="0.00_);[Red]\(0.00\)">
                  <c:v>21.25 </c:v>
                </c:pt>
                <c:pt idx="427" c:formatCode="0.00_);[Red]\(0.00\)">
                  <c:v>21.30 </c:v>
                </c:pt>
                <c:pt idx="428" c:formatCode="0.00_);[Red]\(0.00\)">
                  <c:v>21.35 </c:v>
                </c:pt>
                <c:pt idx="429" c:formatCode="0.00_);[Red]\(0.00\)">
                  <c:v>21.40 </c:v>
                </c:pt>
                <c:pt idx="430" c:formatCode="0.00_);[Red]\(0.00\)">
                  <c:v>21.45 </c:v>
                </c:pt>
                <c:pt idx="431" c:formatCode="0.00_);[Red]\(0.00\)">
                  <c:v>21.50 </c:v>
                </c:pt>
                <c:pt idx="432" c:formatCode="0.00_);[Red]\(0.00\)">
                  <c:v>21.55 </c:v>
                </c:pt>
                <c:pt idx="433" c:formatCode="0.00_);[Red]\(0.00\)">
                  <c:v>21.60 </c:v>
                </c:pt>
                <c:pt idx="434" c:formatCode="0.00_);[Red]\(0.00\)">
                  <c:v>21.65 </c:v>
                </c:pt>
                <c:pt idx="435" c:formatCode="0.00_);[Red]\(0.00\)">
                  <c:v>21.70 </c:v>
                </c:pt>
                <c:pt idx="436" c:formatCode="0.00_);[Red]\(0.00\)">
                  <c:v>21.75 </c:v>
                </c:pt>
                <c:pt idx="437" c:formatCode="0.00_);[Red]\(0.00\)">
                  <c:v>21.80 </c:v>
                </c:pt>
                <c:pt idx="438" c:formatCode="0.00_);[Red]\(0.00\)">
                  <c:v>21.85 </c:v>
                </c:pt>
                <c:pt idx="439" c:formatCode="0.00_);[Red]\(0.00\)">
                  <c:v>21.90 </c:v>
                </c:pt>
                <c:pt idx="440" c:formatCode="0.00_);[Red]\(0.00\)">
                  <c:v>21.95 </c:v>
                </c:pt>
                <c:pt idx="441" c:formatCode="0.00_);[Red]\(0.00\)">
                  <c:v>22.00 </c:v>
                </c:pt>
                <c:pt idx="442" c:formatCode="0.00_);[Red]\(0.00\)">
                  <c:v>22.05 </c:v>
                </c:pt>
                <c:pt idx="443" c:formatCode="0.00_);[Red]\(0.00\)">
                  <c:v>22.10 </c:v>
                </c:pt>
                <c:pt idx="444" c:formatCode="0.00_);[Red]\(0.00\)">
                  <c:v>22.15 </c:v>
                </c:pt>
                <c:pt idx="445" c:formatCode="0.00_);[Red]\(0.00\)">
                  <c:v>22.20 </c:v>
                </c:pt>
                <c:pt idx="446" c:formatCode="0.00_);[Red]\(0.00\)">
                  <c:v>22.25 </c:v>
                </c:pt>
                <c:pt idx="447" c:formatCode="0.00_);[Red]\(0.00\)">
                  <c:v>22.30 </c:v>
                </c:pt>
                <c:pt idx="448" c:formatCode="0.00_);[Red]\(0.00\)">
                  <c:v>22.35 </c:v>
                </c:pt>
                <c:pt idx="449" c:formatCode="0.00_);[Red]\(0.00\)">
                  <c:v>22.40 </c:v>
                </c:pt>
                <c:pt idx="450" c:formatCode="0.00_);[Red]\(0.00\)">
                  <c:v>22.45 </c:v>
                </c:pt>
                <c:pt idx="451" c:formatCode="0.00_);[Red]\(0.00\)">
                  <c:v>22.50 </c:v>
                </c:pt>
                <c:pt idx="452" c:formatCode="0.00_);[Red]\(0.00\)">
                  <c:v>22.55 </c:v>
                </c:pt>
                <c:pt idx="453" c:formatCode="0.00_);[Red]\(0.00\)">
                  <c:v>22.60 </c:v>
                </c:pt>
                <c:pt idx="454" c:formatCode="0.00_);[Red]\(0.00\)">
                  <c:v>22.65 </c:v>
                </c:pt>
                <c:pt idx="455" c:formatCode="0.00_);[Red]\(0.00\)">
                  <c:v>22.70 </c:v>
                </c:pt>
                <c:pt idx="456" c:formatCode="0.00_);[Red]\(0.00\)">
                  <c:v>22.75 </c:v>
                </c:pt>
                <c:pt idx="457" c:formatCode="0.00_);[Red]\(0.00\)">
                  <c:v>22.80 </c:v>
                </c:pt>
                <c:pt idx="458" c:formatCode="0.00_);[Red]\(0.00\)">
                  <c:v>22.85 </c:v>
                </c:pt>
                <c:pt idx="459" c:formatCode="0.00_);[Red]\(0.00\)">
                  <c:v>22.90 </c:v>
                </c:pt>
                <c:pt idx="460" c:formatCode="0.00_);[Red]\(0.00\)">
                  <c:v>22.95 </c:v>
                </c:pt>
                <c:pt idx="461" c:formatCode="0.00_);[Red]\(0.00\)">
                  <c:v>23.00 </c:v>
                </c:pt>
                <c:pt idx="462" c:formatCode="0.00_);[Red]\(0.00\)">
                  <c:v>23.05 </c:v>
                </c:pt>
                <c:pt idx="463" c:formatCode="0.00_);[Red]\(0.00\)">
                  <c:v>23.10 </c:v>
                </c:pt>
                <c:pt idx="464" c:formatCode="0.00_);[Red]\(0.00\)">
                  <c:v>23.15 </c:v>
                </c:pt>
                <c:pt idx="465" c:formatCode="0.00_);[Red]\(0.00\)">
                  <c:v>23.20 </c:v>
                </c:pt>
                <c:pt idx="466" c:formatCode="0.00_);[Red]\(0.00\)">
                  <c:v>23.25 </c:v>
                </c:pt>
                <c:pt idx="467" c:formatCode="0.00_);[Red]\(0.00\)">
                  <c:v>23.30 </c:v>
                </c:pt>
                <c:pt idx="468" c:formatCode="0.00_);[Red]\(0.00\)">
                  <c:v>23.35 </c:v>
                </c:pt>
                <c:pt idx="469" c:formatCode="0.00_);[Red]\(0.00\)">
                  <c:v>23.40 </c:v>
                </c:pt>
                <c:pt idx="470" c:formatCode="0.00_);[Red]\(0.00\)">
                  <c:v>23.45 </c:v>
                </c:pt>
                <c:pt idx="471" c:formatCode="0.00_);[Red]\(0.00\)">
                  <c:v>23.50 </c:v>
                </c:pt>
                <c:pt idx="472" c:formatCode="0.00_);[Red]\(0.00\)">
                  <c:v>23.55 </c:v>
                </c:pt>
                <c:pt idx="473" c:formatCode="0.00_);[Red]\(0.00\)">
                  <c:v>23.60 </c:v>
                </c:pt>
                <c:pt idx="474" c:formatCode="0.00_);[Red]\(0.00\)">
                  <c:v>23.65 </c:v>
                </c:pt>
                <c:pt idx="475" c:formatCode="0.00_);[Red]\(0.00\)">
                  <c:v>23.70 </c:v>
                </c:pt>
                <c:pt idx="476" c:formatCode="0.00_);[Red]\(0.00\)">
                  <c:v>23.75 </c:v>
                </c:pt>
                <c:pt idx="477" c:formatCode="0.00_);[Red]\(0.00\)">
                  <c:v>23.80 </c:v>
                </c:pt>
                <c:pt idx="478" c:formatCode="0.00_);[Red]\(0.00\)">
                  <c:v>23.85 </c:v>
                </c:pt>
                <c:pt idx="479" c:formatCode="0.00_);[Red]\(0.00\)">
                  <c:v>23.90 </c:v>
                </c:pt>
                <c:pt idx="480" c:formatCode="0.00_);[Red]\(0.00\)">
                  <c:v>23.95 </c:v>
                </c:pt>
                <c:pt idx="481" c:formatCode="0.00_);[Red]\(0.00\)">
                  <c:v>24.00 </c:v>
                </c:pt>
                <c:pt idx="482" c:formatCode="0.00_);[Red]\(0.00\)">
                  <c:v>24.05 </c:v>
                </c:pt>
                <c:pt idx="483" c:formatCode="0.00_);[Red]\(0.00\)">
                  <c:v>24.10 </c:v>
                </c:pt>
                <c:pt idx="484" c:formatCode="0.00_);[Red]\(0.00\)">
                  <c:v>24.15 </c:v>
                </c:pt>
                <c:pt idx="485" c:formatCode="0.00_);[Red]\(0.00\)">
                  <c:v>24.20 </c:v>
                </c:pt>
                <c:pt idx="486" c:formatCode="0.00_);[Red]\(0.00\)">
                  <c:v>24.25 </c:v>
                </c:pt>
                <c:pt idx="487" c:formatCode="0.00_);[Red]\(0.00\)">
                  <c:v>24.30 </c:v>
                </c:pt>
                <c:pt idx="488" c:formatCode="0.00_);[Red]\(0.00\)">
                  <c:v>24.35 </c:v>
                </c:pt>
                <c:pt idx="489" c:formatCode="0.00_);[Red]\(0.00\)">
                  <c:v>24.45 </c:v>
                </c:pt>
                <c:pt idx="490" c:formatCode="0.00_);[Red]\(0.00\)">
                  <c:v>24.50 </c:v>
                </c:pt>
                <c:pt idx="491" c:formatCode="0.00_);[Red]\(0.00\)">
                  <c:v>24.55 </c:v>
                </c:pt>
                <c:pt idx="492" c:formatCode="0.00_);[Red]\(0.00\)">
                  <c:v>24.60 </c:v>
                </c:pt>
                <c:pt idx="493" c:formatCode="0.00_);[Red]\(0.00\)">
                  <c:v>24.65 </c:v>
                </c:pt>
                <c:pt idx="494" c:formatCode="0.00_);[Red]\(0.00\)">
                  <c:v>24.70 </c:v>
                </c:pt>
                <c:pt idx="495" c:formatCode="0.00_);[Red]\(0.00\)">
                  <c:v>24.75 </c:v>
                </c:pt>
                <c:pt idx="496" c:formatCode="0.00_);[Red]\(0.00\)">
                  <c:v>24.80 </c:v>
                </c:pt>
                <c:pt idx="497" c:formatCode="0.00_);[Red]\(0.00\)">
                  <c:v>24.85 </c:v>
                </c:pt>
                <c:pt idx="498" c:formatCode="0.00_);[Red]\(0.00\)">
                  <c:v>24.90 </c:v>
                </c:pt>
                <c:pt idx="499" c:formatCode="0.00_);[Red]\(0.00\)">
                  <c:v>24.95 </c:v>
                </c:pt>
                <c:pt idx="500" c:formatCode="0.00_);[Red]\(0.00\)">
                  <c:v>25.00 </c:v>
                </c:pt>
                <c:pt idx="501" c:formatCode="0.00_);[Red]\(0.00\)">
                  <c:v>25.05 </c:v>
                </c:pt>
                <c:pt idx="502" c:formatCode="0.00_);[Red]\(0.00\)">
                  <c:v>25.10 </c:v>
                </c:pt>
                <c:pt idx="503" c:formatCode="0.00_);[Red]\(0.00\)">
                  <c:v>25.15 </c:v>
                </c:pt>
                <c:pt idx="504" c:formatCode="0.00_);[Red]\(0.00\)">
                  <c:v>25.20 </c:v>
                </c:pt>
                <c:pt idx="505" c:formatCode="0.00_);[Red]\(0.00\)">
                  <c:v>25.25 </c:v>
                </c:pt>
                <c:pt idx="506" c:formatCode="0.00_);[Red]\(0.00\)">
                  <c:v>25.30 </c:v>
                </c:pt>
                <c:pt idx="507" c:formatCode="0.00_);[Red]\(0.00\)">
                  <c:v>25.35 </c:v>
                </c:pt>
                <c:pt idx="508" c:formatCode="0.00_);[Red]\(0.00\)">
                  <c:v>25.40 </c:v>
                </c:pt>
                <c:pt idx="509" c:formatCode="0.00_);[Red]\(0.00\)">
                  <c:v>25.45 </c:v>
                </c:pt>
                <c:pt idx="510" c:formatCode="0.00_);[Red]\(0.00\)">
                  <c:v>25.50 </c:v>
                </c:pt>
                <c:pt idx="511" c:formatCode="0.00_);[Red]\(0.00\)">
                  <c:v>25.55 </c:v>
                </c:pt>
                <c:pt idx="512" c:formatCode="0.00_);[Red]\(0.00\)">
                  <c:v>25.60 </c:v>
                </c:pt>
                <c:pt idx="513" c:formatCode="0.00_);[Red]\(0.00\)">
                  <c:v>25.65 </c:v>
                </c:pt>
                <c:pt idx="514" c:formatCode="0.00_);[Red]\(0.00\)">
                  <c:v>25.70 </c:v>
                </c:pt>
                <c:pt idx="515" c:formatCode="0.00_);[Red]\(0.00\)">
                  <c:v>25.75 </c:v>
                </c:pt>
                <c:pt idx="516" c:formatCode="0.00_);[Red]\(0.00\)">
                  <c:v>25.80 </c:v>
                </c:pt>
                <c:pt idx="517" c:formatCode="0.00_);[Red]\(0.00\)">
                  <c:v>25.85 </c:v>
                </c:pt>
                <c:pt idx="518" c:formatCode="0.00_);[Red]\(0.00\)">
                  <c:v>25.90 </c:v>
                </c:pt>
                <c:pt idx="519" c:formatCode="0.00_);[Red]\(0.00\)">
                  <c:v>25.95 </c:v>
                </c:pt>
                <c:pt idx="520" c:formatCode="0.00_);[Red]\(0.00\)">
                  <c:v>26.00 </c:v>
                </c:pt>
                <c:pt idx="521" c:formatCode="0.00_);[Red]\(0.00\)">
                  <c:v>26.05 </c:v>
                </c:pt>
                <c:pt idx="522" c:formatCode="0.00_);[Red]\(0.00\)">
                  <c:v>26.10 </c:v>
                </c:pt>
                <c:pt idx="523" c:formatCode="0.00_);[Red]\(0.00\)">
                  <c:v>26.15 </c:v>
                </c:pt>
                <c:pt idx="524" c:formatCode="0.00_);[Red]\(0.00\)">
                  <c:v>26.20 </c:v>
                </c:pt>
                <c:pt idx="525" c:formatCode="0.00_);[Red]\(0.00\)">
                  <c:v>26.25 </c:v>
                </c:pt>
                <c:pt idx="526" c:formatCode="0.00_);[Red]\(0.00\)">
                  <c:v>26.30 </c:v>
                </c:pt>
                <c:pt idx="527" c:formatCode="0.00_);[Red]\(0.00\)">
                  <c:v>26.35 </c:v>
                </c:pt>
                <c:pt idx="528" c:formatCode="0.00_);[Red]\(0.00\)">
                  <c:v>26.40 </c:v>
                </c:pt>
                <c:pt idx="529" c:formatCode="0.00_);[Red]\(0.00\)">
                  <c:v>26.45 </c:v>
                </c:pt>
                <c:pt idx="530" c:formatCode="0.00_);[Red]\(0.00\)">
                  <c:v>26.50 </c:v>
                </c:pt>
                <c:pt idx="531" c:formatCode="0.00_);[Red]\(0.00\)">
                  <c:v>26.55 </c:v>
                </c:pt>
                <c:pt idx="532" c:formatCode="0.00_);[Red]\(0.00\)">
                  <c:v>26.60 </c:v>
                </c:pt>
                <c:pt idx="533" c:formatCode="0.00_);[Red]\(0.00\)">
                  <c:v>26.65 </c:v>
                </c:pt>
                <c:pt idx="534" c:formatCode="0.00_);[Red]\(0.00\)">
                  <c:v>26.70 </c:v>
                </c:pt>
                <c:pt idx="535" c:formatCode="0.00_);[Red]\(0.00\)">
                  <c:v>26.75 </c:v>
                </c:pt>
                <c:pt idx="536" c:formatCode="0.00_);[Red]\(0.00\)">
                  <c:v>26.80 </c:v>
                </c:pt>
                <c:pt idx="537" c:formatCode="0.00_);[Red]\(0.00\)">
                  <c:v>26.85 </c:v>
                </c:pt>
                <c:pt idx="538" c:formatCode="0.00_);[Red]\(0.00\)">
                  <c:v>26.90 </c:v>
                </c:pt>
                <c:pt idx="539" c:formatCode="0.00_);[Red]\(0.00\)">
                  <c:v>26.95 </c:v>
                </c:pt>
                <c:pt idx="540" c:formatCode="0.00_);[Red]\(0.00\)">
                  <c:v>27.00 </c:v>
                </c:pt>
                <c:pt idx="541" c:formatCode="0.00_);[Red]\(0.00\)">
                  <c:v>27.05 </c:v>
                </c:pt>
                <c:pt idx="542" c:formatCode="0.00_);[Red]\(0.00\)">
                  <c:v>27.10 </c:v>
                </c:pt>
                <c:pt idx="543" c:formatCode="0.00_);[Red]\(0.00\)">
                  <c:v>27.15 </c:v>
                </c:pt>
                <c:pt idx="544" c:formatCode="0.00_);[Red]\(0.00\)">
                  <c:v>27.20 </c:v>
                </c:pt>
                <c:pt idx="545" c:formatCode="0.00_);[Red]\(0.00\)">
                  <c:v>27.25 </c:v>
                </c:pt>
                <c:pt idx="546" c:formatCode="0.00_);[Red]\(0.00\)">
                  <c:v>27.30 </c:v>
                </c:pt>
                <c:pt idx="547" c:formatCode="0.00_);[Red]\(0.00\)">
                  <c:v>27.35 </c:v>
                </c:pt>
                <c:pt idx="548" c:formatCode="0.00_);[Red]\(0.00\)">
                  <c:v>27.40 </c:v>
                </c:pt>
                <c:pt idx="549" c:formatCode="0.00_);[Red]\(0.00\)">
                  <c:v>27.45 </c:v>
                </c:pt>
                <c:pt idx="550" c:formatCode="0.00_);[Red]\(0.00\)">
                  <c:v>27.50 </c:v>
                </c:pt>
                <c:pt idx="551" c:formatCode="0.00_);[Red]\(0.00\)">
                  <c:v>27.55 </c:v>
                </c:pt>
                <c:pt idx="552" c:formatCode="0.00_);[Red]\(0.00\)">
                  <c:v>27.60 </c:v>
                </c:pt>
                <c:pt idx="553" c:formatCode="0.00_);[Red]\(0.00\)">
                  <c:v>27.65 </c:v>
                </c:pt>
                <c:pt idx="554" c:formatCode="0.00_);[Red]\(0.00\)">
                  <c:v>27.70 </c:v>
                </c:pt>
                <c:pt idx="555" c:formatCode="0.00_);[Red]\(0.00\)">
                  <c:v>27.75 </c:v>
                </c:pt>
                <c:pt idx="556" c:formatCode="0.00_);[Red]\(0.00\)">
                  <c:v>27.80 </c:v>
                </c:pt>
                <c:pt idx="557" c:formatCode="0.00_);[Red]\(0.00\)">
                  <c:v>27.85 </c:v>
                </c:pt>
                <c:pt idx="558" c:formatCode="0.00_);[Red]\(0.00\)">
                  <c:v>27.90 </c:v>
                </c:pt>
                <c:pt idx="559" c:formatCode="0.00_);[Red]\(0.00\)">
                  <c:v>27.95 </c:v>
                </c:pt>
                <c:pt idx="560" c:formatCode="0.00_);[Red]\(0.00\)">
                  <c:v>28.00 </c:v>
                </c:pt>
                <c:pt idx="561" c:formatCode="0.00_);[Red]\(0.00\)">
                  <c:v>28.05 </c:v>
                </c:pt>
                <c:pt idx="562" c:formatCode="0.00_);[Red]\(0.00\)">
                  <c:v>28.10 </c:v>
                </c:pt>
                <c:pt idx="563" c:formatCode="0.00_);[Red]\(0.00\)">
                  <c:v>28.15 </c:v>
                </c:pt>
                <c:pt idx="564" c:formatCode="0.00_);[Red]\(0.00\)">
                  <c:v>28.20 </c:v>
                </c:pt>
                <c:pt idx="565" c:formatCode="0.00_);[Red]\(0.00\)">
                  <c:v>28.25 </c:v>
                </c:pt>
                <c:pt idx="566" c:formatCode="0.00_);[Red]\(0.00\)">
                  <c:v>28.30 </c:v>
                </c:pt>
                <c:pt idx="567" c:formatCode="0.00_);[Red]\(0.00\)">
                  <c:v>28.35 </c:v>
                </c:pt>
                <c:pt idx="568" c:formatCode="0.00_);[Red]\(0.00\)">
                  <c:v>28.40 </c:v>
                </c:pt>
                <c:pt idx="569" c:formatCode="0.00_);[Red]\(0.00\)">
                  <c:v>28.45 </c:v>
                </c:pt>
                <c:pt idx="570" c:formatCode="0.00_);[Red]\(0.00\)">
                  <c:v>28.50 </c:v>
                </c:pt>
                <c:pt idx="571" c:formatCode="0.00_);[Red]\(0.00\)">
                  <c:v>28.55 </c:v>
                </c:pt>
                <c:pt idx="572" c:formatCode="0.00_);[Red]\(0.00\)">
                  <c:v>28.60 </c:v>
                </c:pt>
                <c:pt idx="573" c:formatCode="0.00_);[Red]\(0.00\)">
                  <c:v>28.65 </c:v>
                </c:pt>
                <c:pt idx="574" c:formatCode="0.00_);[Red]\(0.00\)">
                  <c:v>28.70 </c:v>
                </c:pt>
                <c:pt idx="575" c:formatCode="0.00_);[Red]\(0.00\)">
                  <c:v>28.75 </c:v>
                </c:pt>
                <c:pt idx="576" c:formatCode="0.00_);[Red]\(0.00\)">
                  <c:v>28.80 </c:v>
                </c:pt>
                <c:pt idx="577" c:formatCode="0.00_);[Red]\(0.00\)">
                  <c:v>28.85 </c:v>
                </c:pt>
                <c:pt idx="578" c:formatCode="0.00_);[Red]\(0.00\)">
                  <c:v>28.90 </c:v>
                </c:pt>
                <c:pt idx="579" c:formatCode="0.00_);[Red]\(0.00\)">
                  <c:v>28.95 </c:v>
                </c:pt>
                <c:pt idx="580" c:formatCode="0.00_);[Red]\(0.00\)">
                  <c:v>29.00 </c:v>
                </c:pt>
                <c:pt idx="581" c:formatCode="0.00_);[Red]\(0.00\)">
                  <c:v>29.05 </c:v>
                </c:pt>
                <c:pt idx="582" c:formatCode="0.00_);[Red]\(0.00\)">
                  <c:v>29.10 </c:v>
                </c:pt>
                <c:pt idx="583" c:formatCode="0.00_);[Red]\(0.00\)">
                  <c:v>29.15 </c:v>
                </c:pt>
                <c:pt idx="584" c:formatCode="0.00_);[Red]\(0.00\)">
                  <c:v>29.20 </c:v>
                </c:pt>
                <c:pt idx="585" c:formatCode="0.00_);[Red]\(0.00\)">
                  <c:v>29.25 </c:v>
                </c:pt>
                <c:pt idx="586" c:formatCode="0.00_);[Red]\(0.00\)">
                  <c:v>29.30 </c:v>
                </c:pt>
                <c:pt idx="587" c:formatCode="0.00_);[Red]\(0.00\)">
                  <c:v>29.35 </c:v>
                </c:pt>
                <c:pt idx="588" c:formatCode="0.00_);[Red]\(0.00\)">
                  <c:v>29.40 </c:v>
                </c:pt>
                <c:pt idx="589" c:formatCode="0.00_);[Red]\(0.00\)">
                  <c:v>29.45 </c:v>
                </c:pt>
                <c:pt idx="590" c:formatCode="0.00_);[Red]\(0.00\)">
                  <c:v>29.50 </c:v>
                </c:pt>
                <c:pt idx="591" c:formatCode="0.00_);[Red]\(0.00\)">
                  <c:v>29.55 </c:v>
                </c:pt>
                <c:pt idx="592" c:formatCode="0.00_);[Red]\(0.00\)">
                  <c:v>29.60 </c:v>
                </c:pt>
                <c:pt idx="593" c:formatCode="0.00_);[Red]\(0.00\)">
                  <c:v>29.65 </c:v>
                </c:pt>
                <c:pt idx="594" c:formatCode="0.00_);[Red]\(0.00\)">
                  <c:v>29.70 </c:v>
                </c:pt>
                <c:pt idx="595" c:formatCode="0.00_);[Red]\(0.00\)">
                  <c:v>29.75 </c:v>
                </c:pt>
                <c:pt idx="596" c:formatCode="0.00_);[Red]\(0.00\)">
                  <c:v>29.80 </c:v>
                </c:pt>
                <c:pt idx="597" c:formatCode="0.00_);[Red]\(0.00\)">
                  <c:v>29.85 </c:v>
                </c:pt>
                <c:pt idx="598" c:formatCode="0.00_);[Red]\(0.00\)">
                  <c:v>29.90 </c:v>
                </c:pt>
                <c:pt idx="599" c:formatCode="0.00_);[Red]\(0.00\)">
                  <c:v>29.95 </c:v>
                </c:pt>
                <c:pt idx="600" c:formatCode="0.00_);[Red]\(0.00\)">
                  <c:v>30.00 </c:v>
                </c:pt>
                <c:pt idx="601" c:formatCode="0.00_);[Red]\(0.00\)">
                  <c:v>30.05 </c:v>
                </c:pt>
                <c:pt idx="602" c:formatCode="0.00_);[Red]\(0.00\)">
                  <c:v>30.10 </c:v>
                </c:pt>
                <c:pt idx="603" c:formatCode="0.00_);[Red]\(0.00\)">
                  <c:v>30.15 </c:v>
                </c:pt>
                <c:pt idx="604" c:formatCode="0.00_);[Red]\(0.00\)">
                  <c:v>30.20 </c:v>
                </c:pt>
                <c:pt idx="605" c:formatCode="0.00_);[Red]\(0.00\)">
                  <c:v>30.25 </c:v>
                </c:pt>
                <c:pt idx="606" c:formatCode="0.00_);[Red]\(0.00\)">
                  <c:v>30.30 </c:v>
                </c:pt>
                <c:pt idx="607" c:formatCode="0.00_);[Red]\(0.00\)">
                  <c:v>30.35 </c:v>
                </c:pt>
                <c:pt idx="608" c:formatCode="0.00_);[Red]\(0.00\)">
                  <c:v>30.40 </c:v>
                </c:pt>
                <c:pt idx="609" c:formatCode="0.00_);[Red]\(0.00\)">
                  <c:v>30.45 </c:v>
                </c:pt>
                <c:pt idx="610" c:formatCode="0.00_);[Red]\(0.00\)">
                  <c:v>30.50 </c:v>
                </c:pt>
                <c:pt idx="611" c:formatCode="0.00_);[Red]\(0.00\)">
                  <c:v>30.55 </c:v>
                </c:pt>
                <c:pt idx="612" c:formatCode="0.00_);[Red]\(0.00\)">
                  <c:v>30.60 </c:v>
                </c:pt>
                <c:pt idx="613" c:formatCode="0.00_);[Red]\(0.00\)">
                  <c:v>30.65 </c:v>
                </c:pt>
                <c:pt idx="614" c:formatCode="0.00_);[Red]\(0.00\)">
                  <c:v>30.70 </c:v>
                </c:pt>
                <c:pt idx="615" c:formatCode="0.00_);[Red]\(0.00\)">
                  <c:v>30.75 </c:v>
                </c:pt>
                <c:pt idx="616" c:formatCode="0.00_);[Red]\(0.00\)">
                  <c:v>30.80 </c:v>
                </c:pt>
                <c:pt idx="617" c:formatCode="0.00_);[Red]\(0.00\)">
                  <c:v>30.85 </c:v>
                </c:pt>
                <c:pt idx="618" c:formatCode="0.00_);[Red]\(0.00\)">
                  <c:v>30.90 </c:v>
                </c:pt>
                <c:pt idx="619" c:formatCode="0.00_);[Red]\(0.00\)">
                  <c:v>30.95 </c:v>
                </c:pt>
                <c:pt idx="620" c:formatCode="0.00_);[Red]\(0.00\)">
                  <c:v>31.00 </c:v>
                </c:pt>
                <c:pt idx="621" c:formatCode="0.00_);[Red]\(0.00\)">
                  <c:v>31.05 </c:v>
                </c:pt>
                <c:pt idx="622" c:formatCode="0.00_);[Red]\(0.00\)">
                  <c:v>31.10 </c:v>
                </c:pt>
                <c:pt idx="623" c:formatCode="0.00_);[Red]\(0.00\)">
                  <c:v>31.15 </c:v>
                </c:pt>
                <c:pt idx="624" c:formatCode="0.00_);[Red]\(0.00\)">
                  <c:v>31.20 </c:v>
                </c:pt>
                <c:pt idx="625" c:formatCode="0.00_);[Red]\(0.00\)">
                  <c:v>31.25 </c:v>
                </c:pt>
                <c:pt idx="626" c:formatCode="0.00_);[Red]\(0.00\)">
                  <c:v>31.30 </c:v>
                </c:pt>
                <c:pt idx="627" c:formatCode="0.00_);[Red]\(0.00\)">
                  <c:v>31.35 </c:v>
                </c:pt>
                <c:pt idx="628" c:formatCode="0.00_);[Red]\(0.00\)">
                  <c:v>31.40 </c:v>
                </c:pt>
                <c:pt idx="629" c:formatCode="0.00_);[Red]\(0.00\)">
                  <c:v>31.45 </c:v>
                </c:pt>
                <c:pt idx="630" c:formatCode="0.00_);[Red]\(0.00\)">
                  <c:v>31.50 </c:v>
                </c:pt>
                <c:pt idx="631" c:formatCode="0.00_);[Red]\(0.00\)">
                  <c:v>31.55 </c:v>
                </c:pt>
                <c:pt idx="632" c:formatCode="0.00_);[Red]\(0.00\)">
                  <c:v>31.60 </c:v>
                </c:pt>
                <c:pt idx="633" c:formatCode="0.00_);[Red]\(0.00\)">
                  <c:v>31.65 </c:v>
                </c:pt>
                <c:pt idx="634" c:formatCode="0.00_);[Red]\(0.00\)">
                  <c:v>31.70 </c:v>
                </c:pt>
                <c:pt idx="635" c:formatCode="0.00_);[Red]\(0.00\)">
                  <c:v>31.75 </c:v>
                </c:pt>
                <c:pt idx="636" c:formatCode="0.00_);[Red]\(0.00\)">
                  <c:v>31.80 </c:v>
                </c:pt>
                <c:pt idx="637" c:formatCode="0.00_);[Red]\(0.00\)">
                  <c:v>31.85 </c:v>
                </c:pt>
                <c:pt idx="638" c:formatCode="0.00_);[Red]\(0.00\)">
                  <c:v>31.90 </c:v>
                </c:pt>
                <c:pt idx="639" c:formatCode="0.00_);[Red]\(0.00\)">
                  <c:v>31.95 </c:v>
                </c:pt>
                <c:pt idx="640" c:formatCode="0.00_);[Red]\(0.00\)">
                  <c:v>32.00 </c:v>
                </c:pt>
                <c:pt idx="641" c:formatCode="0.00_);[Red]\(0.00\)">
                  <c:v>32.05 </c:v>
                </c:pt>
                <c:pt idx="642" c:formatCode="0.00_);[Red]\(0.00\)">
                  <c:v>32.10 </c:v>
                </c:pt>
                <c:pt idx="643" c:formatCode="0.00_);[Red]\(0.00\)">
                  <c:v>32.15 </c:v>
                </c:pt>
                <c:pt idx="644" c:formatCode="0.00_);[Red]\(0.00\)">
                  <c:v>32.20 </c:v>
                </c:pt>
                <c:pt idx="645" c:formatCode="0.00_);[Red]\(0.00\)">
                  <c:v>32.25 </c:v>
                </c:pt>
                <c:pt idx="646" c:formatCode="0.00_);[Red]\(0.00\)">
                  <c:v>32.30 </c:v>
                </c:pt>
                <c:pt idx="647" c:formatCode="0.00_);[Red]\(0.00\)">
                  <c:v>32.35 </c:v>
                </c:pt>
                <c:pt idx="648" c:formatCode="0.00_);[Red]\(0.00\)">
                  <c:v>32.40 </c:v>
                </c:pt>
                <c:pt idx="649" c:formatCode="0.00_);[Red]\(0.00\)">
                  <c:v>32.45 </c:v>
                </c:pt>
                <c:pt idx="650" c:formatCode="0.00_);[Red]\(0.00\)">
                  <c:v>32.50 </c:v>
                </c:pt>
                <c:pt idx="651" c:formatCode="0.00_);[Red]\(0.00\)">
                  <c:v>32.55 </c:v>
                </c:pt>
                <c:pt idx="652" c:formatCode="0.00_);[Red]\(0.00\)">
                  <c:v>32.60 </c:v>
                </c:pt>
                <c:pt idx="653" c:formatCode="0.00_);[Red]\(0.00\)">
                  <c:v>32.65 </c:v>
                </c:pt>
                <c:pt idx="654" c:formatCode="0.00_);[Red]\(0.00\)">
                  <c:v>32.70 </c:v>
                </c:pt>
                <c:pt idx="655" c:formatCode="0.00_);[Red]\(0.00\)">
                  <c:v>32.75 </c:v>
                </c:pt>
                <c:pt idx="656" c:formatCode="0.00_);[Red]\(0.00\)">
                  <c:v>32.80 </c:v>
                </c:pt>
                <c:pt idx="657" c:formatCode="0.00_);[Red]\(0.00\)">
                  <c:v>32.85 </c:v>
                </c:pt>
                <c:pt idx="658" c:formatCode="0.00_);[Red]\(0.00\)">
                  <c:v>32.90 </c:v>
                </c:pt>
                <c:pt idx="659" c:formatCode="0.00_);[Red]\(0.00\)">
                  <c:v>32.95 </c:v>
                </c:pt>
                <c:pt idx="660" c:formatCode="0.00_);[Red]\(0.00\)">
                  <c:v>33.00 </c:v>
                </c:pt>
                <c:pt idx="661" c:formatCode="0.00_);[Red]\(0.00\)">
                  <c:v>33.05 </c:v>
                </c:pt>
                <c:pt idx="662" c:formatCode="0.00_);[Red]\(0.00\)">
                  <c:v>33.10 </c:v>
                </c:pt>
                <c:pt idx="663" c:formatCode="0.00_);[Red]\(0.00\)">
                  <c:v>33.15 </c:v>
                </c:pt>
                <c:pt idx="664" c:formatCode="0.00_);[Red]\(0.00\)">
                  <c:v>33.20 </c:v>
                </c:pt>
                <c:pt idx="665" c:formatCode="0.00_);[Red]\(0.00\)">
                  <c:v>33.25 </c:v>
                </c:pt>
                <c:pt idx="666" c:formatCode="0.00_);[Red]\(0.00\)">
                  <c:v>33.30 </c:v>
                </c:pt>
                <c:pt idx="667" c:formatCode="0.00_);[Red]\(0.00\)">
                  <c:v>33.35 </c:v>
                </c:pt>
                <c:pt idx="668" c:formatCode="0.00_);[Red]\(0.00\)">
                  <c:v>33.40 </c:v>
                </c:pt>
                <c:pt idx="669" c:formatCode="0.00_);[Red]\(0.00\)">
                  <c:v>33.45 </c:v>
                </c:pt>
                <c:pt idx="670" c:formatCode="0.00_);[Red]\(0.00\)">
                  <c:v>33.50 </c:v>
                </c:pt>
                <c:pt idx="671" c:formatCode="0.00_);[Red]\(0.00\)">
                  <c:v>33.55 </c:v>
                </c:pt>
                <c:pt idx="672" c:formatCode="0.00_);[Red]\(0.00\)">
                  <c:v>33.60 </c:v>
                </c:pt>
                <c:pt idx="673" c:formatCode="0.00_);[Red]\(0.00\)">
                  <c:v>33.65 </c:v>
                </c:pt>
                <c:pt idx="674" c:formatCode="0.00_);[Red]\(0.00\)">
                  <c:v>33.70 </c:v>
                </c:pt>
                <c:pt idx="675" c:formatCode="0.00_);[Red]\(0.00\)">
                  <c:v>33.75 </c:v>
                </c:pt>
                <c:pt idx="676" c:formatCode="0.00_);[Red]\(0.00\)">
                  <c:v>33.80 </c:v>
                </c:pt>
                <c:pt idx="677" c:formatCode="0.00_);[Red]\(0.00\)">
                  <c:v>33.85 </c:v>
                </c:pt>
                <c:pt idx="678" c:formatCode="0.00_);[Red]\(0.00\)">
                  <c:v>33.90 </c:v>
                </c:pt>
                <c:pt idx="679" c:formatCode="0.00_);[Red]\(0.00\)">
                  <c:v>33.95 </c:v>
                </c:pt>
                <c:pt idx="680" c:formatCode="0.00_);[Red]\(0.00\)">
                  <c:v>34.00 </c:v>
                </c:pt>
                <c:pt idx="681" c:formatCode="0.00_);[Red]\(0.00\)">
                  <c:v>34.05 </c:v>
                </c:pt>
                <c:pt idx="682" c:formatCode="0.00_);[Red]\(0.00\)">
                  <c:v>34.10 </c:v>
                </c:pt>
                <c:pt idx="683" c:formatCode="0.00_);[Red]\(0.00\)">
                  <c:v>34.15 </c:v>
                </c:pt>
                <c:pt idx="684" c:formatCode="0.00_);[Red]\(0.00\)">
                  <c:v>34.20 </c:v>
                </c:pt>
                <c:pt idx="685" c:formatCode="0.00_);[Red]\(0.00\)">
                  <c:v>34.25 </c:v>
                </c:pt>
                <c:pt idx="686" c:formatCode="0.00_);[Red]\(0.00\)">
                  <c:v>34.30 </c:v>
                </c:pt>
                <c:pt idx="687" c:formatCode="0.00_);[Red]\(0.00\)">
                  <c:v>34.35 </c:v>
                </c:pt>
                <c:pt idx="688" c:formatCode="0.00_);[Red]\(0.00\)">
                  <c:v>34.40 </c:v>
                </c:pt>
                <c:pt idx="689" c:formatCode="0.00_);[Red]\(0.00\)">
                  <c:v>34.45 </c:v>
                </c:pt>
                <c:pt idx="690" c:formatCode="0.00_);[Red]\(0.00\)">
                  <c:v>34.50 </c:v>
                </c:pt>
                <c:pt idx="691" c:formatCode="0.00_);[Red]\(0.00\)">
                  <c:v>34.55 </c:v>
                </c:pt>
                <c:pt idx="692" c:formatCode="0.00_);[Red]\(0.00\)">
                  <c:v>34.60 </c:v>
                </c:pt>
                <c:pt idx="693" c:formatCode="0.00_);[Red]\(0.00\)">
                  <c:v>34.65 </c:v>
                </c:pt>
                <c:pt idx="694" c:formatCode="0.00_);[Red]\(0.00\)">
                  <c:v>34.70 </c:v>
                </c:pt>
                <c:pt idx="695" c:formatCode="0.00_);[Red]\(0.00\)">
                  <c:v>34.75 </c:v>
                </c:pt>
                <c:pt idx="696" c:formatCode="0.00_);[Red]\(0.00\)">
                  <c:v>34.80 </c:v>
                </c:pt>
                <c:pt idx="697" c:formatCode="0.00_);[Red]\(0.00\)">
                  <c:v>34.85 </c:v>
                </c:pt>
                <c:pt idx="698" c:formatCode="0.00_);[Red]\(0.00\)">
                  <c:v>34.90 </c:v>
                </c:pt>
                <c:pt idx="699" c:formatCode="0.00_);[Red]\(0.00\)">
                  <c:v>34.95 </c:v>
                </c:pt>
                <c:pt idx="700" c:formatCode="0.00_);[Red]\(0.00\)">
                  <c:v>35.00 </c:v>
                </c:pt>
                <c:pt idx="701" c:formatCode="0.00_);[Red]\(0.00\)">
                  <c:v>35.05 </c:v>
                </c:pt>
                <c:pt idx="702" c:formatCode="0.00_);[Red]\(0.00\)">
                  <c:v>35.10 </c:v>
                </c:pt>
                <c:pt idx="703" c:formatCode="0.00_);[Red]\(0.00\)">
                  <c:v>35.15 </c:v>
                </c:pt>
                <c:pt idx="704" c:formatCode="0.00_);[Red]\(0.00\)">
                  <c:v>35.20 </c:v>
                </c:pt>
                <c:pt idx="705" c:formatCode="0.00_);[Red]\(0.00\)">
                  <c:v>35.25 </c:v>
                </c:pt>
                <c:pt idx="706" c:formatCode="0.00_);[Red]\(0.00\)">
                  <c:v>35.30 </c:v>
                </c:pt>
                <c:pt idx="707" c:formatCode="0.00_);[Red]\(0.00\)">
                  <c:v>35.35 </c:v>
                </c:pt>
                <c:pt idx="708" c:formatCode="0.00_);[Red]\(0.00\)">
                  <c:v>35.40 </c:v>
                </c:pt>
                <c:pt idx="709" c:formatCode="0.00_);[Red]\(0.00\)">
                  <c:v>35.45 </c:v>
                </c:pt>
                <c:pt idx="710" c:formatCode="0.00_);[Red]\(0.00\)">
                  <c:v>35.50 </c:v>
                </c:pt>
                <c:pt idx="711" c:formatCode="0.00_);[Red]\(0.00\)">
                  <c:v>35.55 </c:v>
                </c:pt>
                <c:pt idx="712" c:formatCode="0.00_);[Red]\(0.00\)">
                  <c:v>35.60 </c:v>
                </c:pt>
                <c:pt idx="713" c:formatCode="0.00_);[Red]\(0.00\)">
                  <c:v>35.65 </c:v>
                </c:pt>
                <c:pt idx="714" c:formatCode="0.00_);[Red]\(0.00\)">
                  <c:v>35.70 </c:v>
                </c:pt>
                <c:pt idx="715" c:formatCode="0.00_);[Red]\(0.00\)">
                  <c:v>35.75 </c:v>
                </c:pt>
                <c:pt idx="716" c:formatCode="0.00_);[Red]\(0.00\)">
                  <c:v>35.80 </c:v>
                </c:pt>
                <c:pt idx="717" c:formatCode="0.00_);[Red]\(0.00\)">
                  <c:v>35.85 </c:v>
                </c:pt>
                <c:pt idx="718" c:formatCode="0.00_);[Red]\(0.00\)">
                  <c:v>35.90 </c:v>
                </c:pt>
                <c:pt idx="719" c:formatCode="0.00_);[Red]\(0.00\)">
                  <c:v>35.95 </c:v>
                </c:pt>
                <c:pt idx="720" c:formatCode="0.00_);[Red]\(0.00\)">
                  <c:v>36.00 </c:v>
                </c:pt>
                <c:pt idx="721" c:formatCode="0.00_);[Red]\(0.00\)">
                  <c:v>36.05 </c:v>
                </c:pt>
                <c:pt idx="722" c:formatCode="0.00_);[Red]\(0.00\)">
                  <c:v>36.10 </c:v>
                </c:pt>
                <c:pt idx="723" c:formatCode="0.00_);[Red]\(0.00\)">
                  <c:v>36.15 </c:v>
                </c:pt>
                <c:pt idx="724" c:formatCode="0.00_);[Red]\(0.00\)">
                  <c:v>36.20 </c:v>
                </c:pt>
                <c:pt idx="725" c:formatCode="0.00_);[Red]\(0.00\)">
                  <c:v>36.25 </c:v>
                </c:pt>
                <c:pt idx="726" c:formatCode="0.00_);[Red]\(0.00\)">
                  <c:v>36.30 </c:v>
                </c:pt>
                <c:pt idx="727" c:formatCode="0.00_);[Red]\(0.00\)">
                  <c:v>36.35 </c:v>
                </c:pt>
                <c:pt idx="728" c:formatCode="0.00_);[Red]\(0.00\)">
                  <c:v>36.40 </c:v>
                </c:pt>
                <c:pt idx="729" c:formatCode="0.00_);[Red]\(0.00\)">
                  <c:v>36.45 </c:v>
                </c:pt>
                <c:pt idx="730" c:formatCode="0.00_);[Red]\(0.00\)">
                  <c:v>36.50 </c:v>
                </c:pt>
                <c:pt idx="731" c:formatCode="0.00_);[Red]\(0.00\)">
                  <c:v>36.55 </c:v>
                </c:pt>
                <c:pt idx="732" c:formatCode="0.00_);[Red]\(0.00\)">
                  <c:v>36.60 </c:v>
                </c:pt>
                <c:pt idx="733" c:formatCode="0.00_);[Red]\(0.00\)">
                  <c:v>36.65 </c:v>
                </c:pt>
                <c:pt idx="734" c:formatCode="0.00_);[Red]\(0.00\)">
                  <c:v>36.70 </c:v>
                </c:pt>
                <c:pt idx="735" c:formatCode="0.00_);[Red]\(0.00\)">
                  <c:v>36.75 </c:v>
                </c:pt>
                <c:pt idx="736" c:formatCode="0.00_);[Red]\(0.00\)">
                  <c:v>36.80 </c:v>
                </c:pt>
                <c:pt idx="737" c:formatCode="0.00_);[Red]\(0.00\)">
                  <c:v>36.85 </c:v>
                </c:pt>
                <c:pt idx="738" c:formatCode="0.00_);[Red]\(0.00\)">
                  <c:v>36.90 </c:v>
                </c:pt>
                <c:pt idx="739" c:formatCode="0.00_);[Red]\(0.00\)">
                  <c:v>36.95 </c:v>
                </c:pt>
                <c:pt idx="740" c:formatCode="0.00_);[Red]\(0.00\)">
                  <c:v>37.00 </c:v>
                </c:pt>
                <c:pt idx="741" c:formatCode="0.00_);[Red]\(0.00\)">
                  <c:v>37.05 </c:v>
                </c:pt>
                <c:pt idx="742" c:formatCode="0.00_);[Red]\(0.00\)">
                  <c:v>37.10 </c:v>
                </c:pt>
                <c:pt idx="743" c:formatCode="0.00_);[Red]\(0.00\)">
                  <c:v>37.15 </c:v>
                </c:pt>
                <c:pt idx="744" c:formatCode="0.00_);[Red]\(0.00\)">
                  <c:v>37.20 </c:v>
                </c:pt>
                <c:pt idx="745" c:formatCode="0.00_);[Red]\(0.00\)">
                  <c:v>37.25 </c:v>
                </c:pt>
                <c:pt idx="746" c:formatCode="0.00_);[Red]\(0.00\)">
                  <c:v>37.30 </c:v>
                </c:pt>
                <c:pt idx="747" c:formatCode="0.00_);[Red]\(0.00\)">
                  <c:v>37.35 </c:v>
                </c:pt>
                <c:pt idx="748" c:formatCode="0.00_);[Red]\(0.00\)">
                  <c:v>37.40 </c:v>
                </c:pt>
                <c:pt idx="749" c:formatCode="0.00_);[Red]\(0.00\)">
                  <c:v>37.45 </c:v>
                </c:pt>
                <c:pt idx="750" c:formatCode="0.00_);[Red]\(0.00\)">
                  <c:v>37.50 </c:v>
                </c:pt>
                <c:pt idx="751" c:formatCode="0.00_);[Red]\(0.00\)">
                  <c:v>37.55 </c:v>
                </c:pt>
                <c:pt idx="752" c:formatCode="0.00_);[Red]\(0.00\)">
                  <c:v>37.60 </c:v>
                </c:pt>
                <c:pt idx="753" c:formatCode="0.00_);[Red]\(0.00\)">
                  <c:v>37.65 </c:v>
                </c:pt>
                <c:pt idx="754" c:formatCode="0.00_);[Red]\(0.00\)">
                  <c:v>37.70 </c:v>
                </c:pt>
                <c:pt idx="755" c:formatCode="0.00_);[Red]\(0.00\)">
                  <c:v>37.75 </c:v>
                </c:pt>
                <c:pt idx="756" c:formatCode="0.00_);[Red]\(0.00\)">
                  <c:v>37.80 </c:v>
                </c:pt>
                <c:pt idx="757" c:formatCode="0.00_);[Red]\(0.00\)">
                  <c:v>37.85 </c:v>
                </c:pt>
                <c:pt idx="758" c:formatCode="0.00_);[Red]\(0.00\)">
                  <c:v>37.90 </c:v>
                </c:pt>
                <c:pt idx="759" c:formatCode="0.00_);[Red]\(0.00\)">
                  <c:v>37.95 </c:v>
                </c:pt>
                <c:pt idx="760" c:formatCode="0.00_);[Red]\(0.00\)">
                  <c:v>38.00 </c:v>
                </c:pt>
                <c:pt idx="761" c:formatCode="0.00_);[Red]\(0.00\)">
                  <c:v>38.05 </c:v>
                </c:pt>
                <c:pt idx="762" c:formatCode="0.00_);[Red]\(0.00\)">
                  <c:v>38.10 </c:v>
                </c:pt>
                <c:pt idx="763" c:formatCode="0.00_);[Red]\(0.00\)">
                  <c:v>38.15 </c:v>
                </c:pt>
                <c:pt idx="764" c:formatCode="0.00_);[Red]\(0.00\)">
                  <c:v>38.20 </c:v>
                </c:pt>
                <c:pt idx="765" c:formatCode="0.00_);[Red]\(0.00\)">
                  <c:v>38.25 </c:v>
                </c:pt>
                <c:pt idx="766" c:formatCode="0.00_);[Red]\(0.00\)">
                  <c:v>38.30 </c:v>
                </c:pt>
                <c:pt idx="767" c:formatCode="0.00_);[Red]\(0.00\)">
                  <c:v>38.35 </c:v>
                </c:pt>
                <c:pt idx="768" c:formatCode="0.00_);[Red]\(0.00\)">
                  <c:v>38.40 </c:v>
                </c:pt>
                <c:pt idx="769" c:formatCode="0.00_);[Red]\(0.00\)">
                  <c:v>38.45 </c:v>
                </c:pt>
                <c:pt idx="770" c:formatCode="0.00_);[Red]\(0.00\)">
                  <c:v>38.50 </c:v>
                </c:pt>
                <c:pt idx="771" c:formatCode="0.00_);[Red]\(0.00\)">
                  <c:v>38.55 </c:v>
                </c:pt>
                <c:pt idx="772" c:formatCode="0.00_);[Red]\(0.00\)">
                  <c:v>38.60 </c:v>
                </c:pt>
                <c:pt idx="773" c:formatCode="0.00_);[Red]\(0.00\)">
                  <c:v>38.65 </c:v>
                </c:pt>
                <c:pt idx="774" c:formatCode="0.00_);[Red]\(0.00\)">
                  <c:v>38.70 </c:v>
                </c:pt>
                <c:pt idx="775" c:formatCode="0.00_);[Red]\(0.00\)">
                  <c:v>38.75 </c:v>
                </c:pt>
                <c:pt idx="776" c:formatCode="0.00_);[Red]\(0.00\)">
                  <c:v>38.80 </c:v>
                </c:pt>
                <c:pt idx="777" c:formatCode="0.00_);[Red]\(0.00\)">
                  <c:v>38.85 </c:v>
                </c:pt>
                <c:pt idx="778" c:formatCode="0.00_);[Red]\(0.00\)">
                  <c:v>38.90 </c:v>
                </c:pt>
                <c:pt idx="779" c:formatCode="0.00_);[Red]\(0.00\)">
                  <c:v>38.95 </c:v>
                </c:pt>
                <c:pt idx="780" c:formatCode="0.00_);[Red]\(0.00\)">
                  <c:v>39.00 </c:v>
                </c:pt>
                <c:pt idx="781" c:formatCode="0.00_);[Red]\(0.00\)">
                  <c:v>39.05 </c:v>
                </c:pt>
                <c:pt idx="782" c:formatCode="0.00_);[Red]\(0.00\)">
                  <c:v>39.10 </c:v>
                </c:pt>
                <c:pt idx="783" c:formatCode="0.00_);[Red]\(0.00\)">
                  <c:v>39.15 </c:v>
                </c:pt>
                <c:pt idx="784" c:formatCode="0.00_);[Red]\(0.00\)">
                  <c:v>39.20 </c:v>
                </c:pt>
                <c:pt idx="785" c:formatCode="0.00_);[Red]\(0.00\)">
                  <c:v>39.25 </c:v>
                </c:pt>
                <c:pt idx="786" c:formatCode="0.00_);[Red]\(0.00\)">
                  <c:v>39.30 </c:v>
                </c:pt>
                <c:pt idx="787" c:formatCode="0.00_);[Red]\(0.00\)">
                  <c:v>39.35 </c:v>
                </c:pt>
                <c:pt idx="788" c:formatCode="0.00_);[Red]\(0.00\)">
                  <c:v>39.40 </c:v>
                </c:pt>
                <c:pt idx="789" c:formatCode="0.00_);[Red]\(0.00\)">
                  <c:v>39.45 </c:v>
                </c:pt>
                <c:pt idx="790" c:formatCode="0.00_);[Red]\(0.00\)">
                  <c:v>39.50 </c:v>
                </c:pt>
                <c:pt idx="791" c:formatCode="0.00_);[Red]\(0.00\)">
                  <c:v>39.55 </c:v>
                </c:pt>
                <c:pt idx="792" c:formatCode="0.00_);[Red]\(0.00\)">
                  <c:v>39.60 </c:v>
                </c:pt>
                <c:pt idx="793" c:formatCode="0.00_);[Red]\(0.00\)">
                  <c:v>39.65 </c:v>
                </c:pt>
                <c:pt idx="794" c:formatCode="0.00_);[Red]\(0.00\)">
                  <c:v>39.70 </c:v>
                </c:pt>
                <c:pt idx="795" c:formatCode="0.00_);[Red]\(0.00\)">
                  <c:v>39.75 </c:v>
                </c:pt>
                <c:pt idx="796" c:formatCode="0.00_);[Red]\(0.00\)">
                  <c:v>39.80 </c:v>
                </c:pt>
                <c:pt idx="797" c:formatCode="0.00_);[Red]\(0.00\)">
                  <c:v>39.85 </c:v>
                </c:pt>
                <c:pt idx="798" c:formatCode="0.00_);[Red]\(0.00\)">
                  <c:v>39.90 </c:v>
                </c:pt>
                <c:pt idx="799" c:formatCode="0.00_);[Red]\(0.00\)">
                  <c:v>39.95 </c:v>
                </c:pt>
                <c:pt idx="800" c:formatCode="0.00_);[Red]\(0.00\)">
                  <c:v>40.00 </c:v>
                </c:pt>
                <c:pt idx="801" c:formatCode="0.00_);[Red]\(0.00\)">
                  <c:v>40.05 </c:v>
                </c:pt>
                <c:pt idx="802" c:formatCode="0.00_);[Red]\(0.00\)">
                  <c:v>40.10 </c:v>
                </c:pt>
                <c:pt idx="803" c:formatCode="0.00_);[Red]\(0.00\)">
                  <c:v>40.15 </c:v>
                </c:pt>
                <c:pt idx="804" c:formatCode="0.00_);[Red]\(0.00\)">
                  <c:v>40.20 </c:v>
                </c:pt>
                <c:pt idx="805" c:formatCode="0.00_);[Red]\(0.00\)">
                  <c:v>40.25 </c:v>
                </c:pt>
                <c:pt idx="806" c:formatCode="0.00_);[Red]\(0.00\)">
                  <c:v>40.30 </c:v>
                </c:pt>
                <c:pt idx="807" c:formatCode="0.00_);[Red]\(0.00\)">
                  <c:v>40.35 </c:v>
                </c:pt>
                <c:pt idx="808" c:formatCode="0.00_);[Red]\(0.00\)">
                  <c:v>40.40 </c:v>
                </c:pt>
                <c:pt idx="809" c:formatCode="0.00_);[Red]\(0.00\)">
                  <c:v>40.45 </c:v>
                </c:pt>
                <c:pt idx="810" c:formatCode="0.00_);[Red]\(0.00\)">
                  <c:v>40.50 </c:v>
                </c:pt>
                <c:pt idx="811" c:formatCode="0.00_);[Red]\(0.00\)">
                  <c:v>40.55 </c:v>
                </c:pt>
                <c:pt idx="812" c:formatCode="0.00_);[Red]\(0.00\)">
                  <c:v>40.60 </c:v>
                </c:pt>
                <c:pt idx="813" c:formatCode="0.00_);[Red]\(0.00\)">
                  <c:v>40.65 </c:v>
                </c:pt>
                <c:pt idx="814" c:formatCode="0.00_);[Red]\(0.00\)">
                  <c:v>40.70 </c:v>
                </c:pt>
                <c:pt idx="815" c:formatCode="0.00_);[Red]\(0.00\)">
                  <c:v>40.75 </c:v>
                </c:pt>
                <c:pt idx="816" c:formatCode="0.00_);[Red]\(0.00\)">
                  <c:v>40.80 </c:v>
                </c:pt>
                <c:pt idx="817" c:formatCode="0.00_);[Red]\(0.00\)">
                  <c:v>40.85 </c:v>
                </c:pt>
                <c:pt idx="818" c:formatCode="0.00_);[Red]\(0.00\)">
                  <c:v>40.90 </c:v>
                </c:pt>
                <c:pt idx="819" c:formatCode="0.00_);[Red]\(0.00\)">
                  <c:v>40.95 </c:v>
                </c:pt>
                <c:pt idx="820" c:formatCode="0.00_);[Red]\(0.00\)">
                  <c:v>41.00 </c:v>
                </c:pt>
                <c:pt idx="821" c:formatCode="0.00_);[Red]\(0.00\)">
                  <c:v>41.05 </c:v>
                </c:pt>
                <c:pt idx="822" c:formatCode="0.00_);[Red]\(0.00\)">
                  <c:v>41.10 </c:v>
                </c:pt>
                <c:pt idx="823" c:formatCode="0.00_);[Red]\(0.00\)">
                  <c:v>41.15 </c:v>
                </c:pt>
                <c:pt idx="824" c:formatCode="0.00_);[Red]\(0.00\)">
                  <c:v>41.20 </c:v>
                </c:pt>
                <c:pt idx="825" c:formatCode="0.00_);[Red]\(0.00\)">
                  <c:v>41.25 </c:v>
                </c:pt>
                <c:pt idx="826" c:formatCode="0.00_);[Red]\(0.00\)">
                  <c:v>41.30 </c:v>
                </c:pt>
                <c:pt idx="827" c:formatCode="0.00_);[Red]\(0.00\)">
                  <c:v>41.35 </c:v>
                </c:pt>
                <c:pt idx="828" c:formatCode="0.00_);[Red]\(0.00\)">
                  <c:v>41.40 </c:v>
                </c:pt>
                <c:pt idx="829" c:formatCode="0.00_);[Red]\(0.00\)">
                  <c:v>41.45 </c:v>
                </c:pt>
                <c:pt idx="830" c:formatCode="0.00_);[Red]\(0.00\)">
                  <c:v>41.50 </c:v>
                </c:pt>
                <c:pt idx="831" c:formatCode="0.00_);[Red]\(0.00\)">
                  <c:v>41.55 </c:v>
                </c:pt>
                <c:pt idx="832" c:formatCode="0.00_);[Red]\(0.00\)">
                  <c:v>41.60 </c:v>
                </c:pt>
                <c:pt idx="833" c:formatCode="0.00_);[Red]\(0.00\)">
                  <c:v>41.65 </c:v>
                </c:pt>
                <c:pt idx="834" c:formatCode="0.00_);[Red]\(0.00\)">
                  <c:v>41.70 </c:v>
                </c:pt>
                <c:pt idx="835" c:formatCode="0.00_);[Red]\(0.00\)">
                  <c:v>41.75 </c:v>
                </c:pt>
                <c:pt idx="836" c:formatCode="0.00_);[Red]\(0.00\)">
                  <c:v>41.80 </c:v>
                </c:pt>
                <c:pt idx="837" c:formatCode="0.00_);[Red]\(0.00\)">
                  <c:v>41.85 </c:v>
                </c:pt>
                <c:pt idx="838" c:formatCode="0.00_);[Red]\(0.00\)">
                  <c:v>41.90 </c:v>
                </c:pt>
                <c:pt idx="839" c:formatCode="0.00_);[Red]\(0.00\)">
                  <c:v>41.95 </c:v>
                </c:pt>
                <c:pt idx="840" c:formatCode="0.00_);[Red]\(0.00\)">
                  <c:v>42.00 </c:v>
                </c:pt>
                <c:pt idx="841" c:formatCode="0.00_);[Red]\(0.00\)">
                  <c:v>42.05 </c:v>
                </c:pt>
                <c:pt idx="842" c:formatCode="0.00_);[Red]\(0.00\)">
                  <c:v>42.10 </c:v>
                </c:pt>
                <c:pt idx="843" c:formatCode="0.00_);[Red]\(0.00\)">
                  <c:v>42.15 </c:v>
                </c:pt>
                <c:pt idx="844" c:formatCode="0.00_);[Red]\(0.00\)">
                  <c:v>42.20 </c:v>
                </c:pt>
                <c:pt idx="845" c:formatCode="0.00_);[Red]\(0.00\)">
                  <c:v>42.25 </c:v>
                </c:pt>
                <c:pt idx="846" c:formatCode="0.00_);[Red]\(0.00\)">
                  <c:v>42.30 </c:v>
                </c:pt>
                <c:pt idx="847" c:formatCode="0.00_);[Red]\(0.00\)">
                  <c:v>42.35 </c:v>
                </c:pt>
                <c:pt idx="848" c:formatCode="0.00_);[Red]\(0.00\)">
                  <c:v>42.40 </c:v>
                </c:pt>
                <c:pt idx="849" c:formatCode="0.00_);[Red]\(0.00\)">
                  <c:v>42.45 </c:v>
                </c:pt>
                <c:pt idx="850" c:formatCode="0.00_);[Red]\(0.00\)">
                  <c:v>42.50 </c:v>
                </c:pt>
                <c:pt idx="851" c:formatCode="0.00_);[Red]\(0.00\)">
                  <c:v>42.55 </c:v>
                </c:pt>
                <c:pt idx="852" c:formatCode="0.00_);[Red]\(0.00\)">
                  <c:v>42.60 </c:v>
                </c:pt>
                <c:pt idx="853" c:formatCode="0.00_);[Red]\(0.00\)">
                  <c:v>42.65 </c:v>
                </c:pt>
                <c:pt idx="854" c:formatCode="0.00_);[Red]\(0.00\)">
                  <c:v>42.70 </c:v>
                </c:pt>
                <c:pt idx="855" c:formatCode="0.00_);[Red]\(0.00\)">
                  <c:v>42.75 </c:v>
                </c:pt>
                <c:pt idx="856" c:formatCode="0.00_);[Red]\(0.00\)">
                  <c:v>42.80 </c:v>
                </c:pt>
                <c:pt idx="857" c:formatCode="0.00_);[Red]\(0.00\)">
                  <c:v>42.85 </c:v>
                </c:pt>
                <c:pt idx="858" c:formatCode="0.00_);[Red]\(0.00\)">
                  <c:v>42.90 </c:v>
                </c:pt>
                <c:pt idx="859" c:formatCode="0.00_);[Red]\(0.00\)">
                  <c:v>42.95 </c:v>
                </c:pt>
                <c:pt idx="860" c:formatCode="0.00_);[Red]\(0.00\)">
                  <c:v>43.00 </c:v>
                </c:pt>
                <c:pt idx="861" c:formatCode="0.00_);[Red]\(0.00\)">
                  <c:v>43.05 </c:v>
                </c:pt>
                <c:pt idx="862" c:formatCode="0.00_);[Red]\(0.00\)">
                  <c:v>43.10 </c:v>
                </c:pt>
                <c:pt idx="863" c:formatCode="0.00_);[Red]\(0.00\)">
                  <c:v>43.15 </c:v>
                </c:pt>
                <c:pt idx="864" c:formatCode="0.00_);[Red]\(0.00\)">
                  <c:v>43.20 </c:v>
                </c:pt>
                <c:pt idx="865" c:formatCode="0.00_);[Red]\(0.00\)">
                  <c:v>43.25 </c:v>
                </c:pt>
                <c:pt idx="866" c:formatCode="0.00_);[Red]\(0.00\)">
                  <c:v>43.30 </c:v>
                </c:pt>
                <c:pt idx="867" c:formatCode="0.00_);[Red]\(0.00\)">
                  <c:v>43.35 </c:v>
                </c:pt>
                <c:pt idx="868" c:formatCode="0.00_);[Red]\(0.00\)">
                  <c:v>43.40 </c:v>
                </c:pt>
                <c:pt idx="869" c:formatCode="0.00_);[Red]\(0.00\)">
                  <c:v>43.45 </c:v>
                </c:pt>
              </c:strCache>
            </c:strRef>
          </c:cat>
          <c:val>
            <c:numRef>
              <c:f>常压阻尼温差01!$F$2:$F$871</c:f>
              <c:numCache>
                <c:formatCode>General</c:formatCode>
                <c:ptCount val="870"/>
                <c:pt idx="0">
                  <c:v>0</c:v>
                </c:pt>
                <c:pt idx="1">
                  <c:v>3.232</c:v>
                </c:pt>
                <c:pt idx="2">
                  <c:v>4.267</c:v>
                </c:pt>
                <c:pt idx="3">
                  <c:v>5.672</c:v>
                </c:pt>
                <c:pt idx="4">
                  <c:v>6.758</c:v>
                </c:pt>
                <c:pt idx="5">
                  <c:v>8.072</c:v>
                </c:pt>
                <c:pt idx="6">
                  <c:v>9.199</c:v>
                </c:pt>
                <c:pt idx="7">
                  <c:v>10.18</c:v>
                </c:pt>
                <c:pt idx="8">
                  <c:v>11.14</c:v>
                </c:pt>
                <c:pt idx="9">
                  <c:v>12.09</c:v>
                </c:pt>
                <c:pt idx="10">
                  <c:v>12.82</c:v>
                </c:pt>
                <c:pt idx="11">
                  <c:v>13.39</c:v>
                </c:pt>
                <c:pt idx="12">
                  <c:v>13.7</c:v>
                </c:pt>
                <c:pt idx="13">
                  <c:v>13.92</c:v>
                </c:pt>
                <c:pt idx="14">
                  <c:v>13.95</c:v>
                </c:pt>
                <c:pt idx="15">
                  <c:v>13.84</c:v>
                </c:pt>
                <c:pt idx="16">
                  <c:v>13.56</c:v>
                </c:pt>
                <c:pt idx="17">
                  <c:v>12.98</c:v>
                </c:pt>
                <c:pt idx="18">
                  <c:v>12.33</c:v>
                </c:pt>
                <c:pt idx="19">
                  <c:v>11.46</c:v>
                </c:pt>
                <c:pt idx="20">
                  <c:v>10.49</c:v>
                </c:pt>
                <c:pt idx="21">
                  <c:v>9.566</c:v>
                </c:pt>
                <c:pt idx="22">
                  <c:v>8.52</c:v>
                </c:pt>
                <c:pt idx="23">
                  <c:v>7.268</c:v>
                </c:pt>
                <c:pt idx="24">
                  <c:v>6.116</c:v>
                </c:pt>
                <c:pt idx="25">
                  <c:v>5.037</c:v>
                </c:pt>
                <c:pt idx="26">
                  <c:v>3.918</c:v>
                </c:pt>
                <c:pt idx="27">
                  <c:v>2.996</c:v>
                </c:pt>
                <c:pt idx="28">
                  <c:v>2.196</c:v>
                </c:pt>
                <c:pt idx="29">
                  <c:v>1.683</c:v>
                </c:pt>
                <c:pt idx="30">
                  <c:v>1.392</c:v>
                </c:pt>
                <c:pt idx="31">
                  <c:v>2.084</c:v>
                </c:pt>
                <c:pt idx="32">
                  <c:v>1.638</c:v>
                </c:pt>
                <c:pt idx="33">
                  <c:v>1.869</c:v>
                </c:pt>
                <c:pt idx="34">
                  <c:v>1.359</c:v>
                </c:pt>
                <c:pt idx="35">
                  <c:v>1.296</c:v>
                </c:pt>
                <c:pt idx="36">
                  <c:v>1.919</c:v>
                </c:pt>
                <c:pt idx="37">
                  <c:v>2.869</c:v>
                </c:pt>
                <c:pt idx="38">
                  <c:v>3.922</c:v>
                </c:pt>
                <c:pt idx="39">
                  <c:v>5.051</c:v>
                </c:pt>
                <c:pt idx="40">
                  <c:v>6.114</c:v>
                </c:pt>
                <c:pt idx="41">
                  <c:v>7.042</c:v>
                </c:pt>
                <c:pt idx="42">
                  <c:v>7.837</c:v>
                </c:pt>
                <c:pt idx="43">
                  <c:v>8.623</c:v>
                </c:pt>
                <c:pt idx="44">
                  <c:v>9.191</c:v>
                </c:pt>
                <c:pt idx="45">
                  <c:v>9.634</c:v>
                </c:pt>
                <c:pt idx="46">
                  <c:v>9.9</c:v>
                </c:pt>
                <c:pt idx="47">
                  <c:v>10.03</c:v>
                </c:pt>
                <c:pt idx="48">
                  <c:v>10.01</c:v>
                </c:pt>
                <c:pt idx="49">
                  <c:v>9.947</c:v>
                </c:pt>
                <c:pt idx="50">
                  <c:v>9.741</c:v>
                </c:pt>
                <c:pt idx="51">
                  <c:v>9.272</c:v>
                </c:pt>
                <c:pt idx="52">
                  <c:v>8.695</c:v>
                </c:pt>
                <c:pt idx="53">
                  <c:v>8.024</c:v>
                </c:pt>
                <c:pt idx="54">
                  <c:v>7.221</c:v>
                </c:pt>
                <c:pt idx="55">
                  <c:v>6.303</c:v>
                </c:pt>
                <c:pt idx="56">
                  <c:v>5.243</c:v>
                </c:pt>
                <c:pt idx="57">
                  <c:v>4.254</c:v>
                </c:pt>
                <c:pt idx="58">
                  <c:v>3.144</c:v>
                </c:pt>
                <c:pt idx="59">
                  <c:v>2.205</c:v>
                </c:pt>
                <c:pt idx="60">
                  <c:v>1.27</c:v>
                </c:pt>
                <c:pt idx="61">
                  <c:v>0.4819</c:v>
                </c:pt>
                <c:pt idx="62">
                  <c:v>-0.09646</c:v>
                </c:pt>
                <c:pt idx="63">
                  <c:v>-0.4453</c:v>
                </c:pt>
                <c:pt idx="64">
                  <c:v>-0.6849</c:v>
                </c:pt>
                <c:pt idx="65">
                  <c:v>-0.6079</c:v>
                </c:pt>
                <c:pt idx="66">
                  <c:v>-0.3738</c:v>
                </c:pt>
                <c:pt idx="67">
                  <c:v>0</c:v>
                </c:pt>
                <c:pt idx="68">
                  <c:v>-17.9</c:v>
                </c:pt>
                <c:pt idx="69">
                  <c:v>-38.09</c:v>
                </c:pt>
                <c:pt idx="70">
                  <c:v>-55.79</c:v>
                </c:pt>
                <c:pt idx="71">
                  <c:v>-69.89</c:v>
                </c:pt>
                <c:pt idx="72">
                  <c:v>-66.05</c:v>
                </c:pt>
                <c:pt idx="73">
                  <c:v>-56.22</c:v>
                </c:pt>
                <c:pt idx="74">
                  <c:v>-44.68</c:v>
                </c:pt>
                <c:pt idx="75">
                  <c:v>-32.72</c:v>
                </c:pt>
                <c:pt idx="76">
                  <c:v>-16.9</c:v>
                </c:pt>
                <c:pt idx="77">
                  <c:v>-4.083</c:v>
                </c:pt>
                <c:pt idx="78">
                  <c:v>12.16</c:v>
                </c:pt>
                <c:pt idx="79">
                  <c:v>24.98</c:v>
                </c:pt>
                <c:pt idx="80">
                  <c:v>38.22</c:v>
                </c:pt>
                <c:pt idx="81">
                  <c:v>51.47</c:v>
                </c:pt>
                <c:pt idx="82">
                  <c:v>62.16</c:v>
                </c:pt>
                <c:pt idx="83">
                  <c:v>64.39</c:v>
                </c:pt>
                <c:pt idx="84">
                  <c:v>56.91</c:v>
                </c:pt>
                <c:pt idx="85">
                  <c:v>48.02</c:v>
                </c:pt>
                <c:pt idx="86">
                  <c:v>37.96</c:v>
                </c:pt>
                <c:pt idx="87">
                  <c:v>26.92</c:v>
                </c:pt>
                <c:pt idx="88">
                  <c:v>15.38</c:v>
                </c:pt>
                <c:pt idx="89">
                  <c:v>3.649</c:v>
                </c:pt>
                <c:pt idx="90">
                  <c:v>-7.702</c:v>
                </c:pt>
                <c:pt idx="91">
                  <c:v>-19.05</c:v>
                </c:pt>
                <c:pt idx="92">
                  <c:v>-29.61</c:v>
                </c:pt>
                <c:pt idx="93">
                  <c:v>-38.99</c:v>
                </c:pt>
                <c:pt idx="94">
                  <c:v>-46.75</c:v>
                </c:pt>
                <c:pt idx="95">
                  <c:v>-52.76</c:v>
                </c:pt>
                <c:pt idx="96">
                  <c:v>-56.82</c:v>
                </c:pt>
                <c:pt idx="97">
                  <c:v>-58.8</c:v>
                </c:pt>
                <c:pt idx="98">
                  <c:v>-58.76</c:v>
                </c:pt>
                <c:pt idx="99">
                  <c:v>-56.51</c:v>
                </c:pt>
                <c:pt idx="100">
                  <c:v>-52.52</c:v>
                </c:pt>
                <c:pt idx="101">
                  <c:v>-46.54</c:v>
                </c:pt>
                <c:pt idx="102">
                  <c:v>-39.22</c:v>
                </c:pt>
                <c:pt idx="103">
                  <c:v>-30.42</c:v>
                </c:pt>
                <c:pt idx="104">
                  <c:v>-20.68</c:v>
                </c:pt>
                <c:pt idx="105">
                  <c:v>-10.24</c:v>
                </c:pt>
                <c:pt idx="106">
                  <c:v>-0.04946</c:v>
                </c:pt>
                <c:pt idx="107">
                  <c:v>10.73</c:v>
                </c:pt>
                <c:pt idx="108">
                  <c:v>21.04</c:v>
                </c:pt>
                <c:pt idx="109">
                  <c:v>30.93</c:v>
                </c:pt>
                <c:pt idx="110">
                  <c:v>39.92</c:v>
                </c:pt>
                <c:pt idx="111">
                  <c:v>47.86</c:v>
                </c:pt>
                <c:pt idx="112">
                  <c:v>54.25</c:v>
                </c:pt>
                <c:pt idx="113">
                  <c:v>58.96</c:v>
                </c:pt>
                <c:pt idx="114">
                  <c:v>62.34</c:v>
                </c:pt>
                <c:pt idx="115">
                  <c:v>64</c:v>
                </c:pt>
                <c:pt idx="116">
                  <c:v>64.02</c:v>
                </c:pt>
                <c:pt idx="117">
                  <c:v>62.51</c:v>
                </c:pt>
                <c:pt idx="118">
                  <c:v>59.51</c:v>
                </c:pt>
                <c:pt idx="119">
                  <c:v>55.16</c:v>
                </c:pt>
                <c:pt idx="120">
                  <c:v>49.34</c:v>
                </c:pt>
                <c:pt idx="121">
                  <c:v>42.12</c:v>
                </c:pt>
                <c:pt idx="122">
                  <c:v>34</c:v>
                </c:pt>
                <c:pt idx="123">
                  <c:v>25.17</c:v>
                </c:pt>
                <c:pt idx="124">
                  <c:v>15.39</c:v>
                </c:pt>
                <c:pt idx="125">
                  <c:v>5.749</c:v>
                </c:pt>
                <c:pt idx="126">
                  <c:v>-3.943</c:v>
                </c:pt>
                <c:pt idx="127">
                  <c:v>-13.35</c:v>
                </c:pt>
                <c:pt idx="128">
                  <c:v>-22.42</c:v>
                </c:pt>
                <c:pt idx="129">
                  <c:v>-30.69</c:v>
                </c:pt>
                <c:pt idx="130">
                  <c:v>-37.52</c:v>
                </c:pt>
                <c:pt idx="131">
                  <c:v>-43.08</c:v>
                </c:pt>
                <c:pt idx="132">
                  <c:v>-46.86</c:v>
                </c:pt>
                <c:pt idx="133">
                  <c:v>-48.98</c:v>
                </c:pt>
                <c:pt idx="134">
                  <c:v>-49.22</c:v>
                </c:pt>
                <c:pt idx="135">
                  <c:v>-47.78</c:v>
                </c:pt>
                <c:pt idx="136">
                  <c:v>-44.54</c:v>
                </c:pt>
                <c:pt idx="137">
                  <c:v>-39.93</c:v>
                </c:pt>
                <c:pt idx="138">
                  <c:v>-34.48</c:v>
                </c:pt>
                <c:pt idx="139">
                  <c:v>-28.52</c:v>
                </c:pt>
                <c:pt idx="140">
                  <c:v>-22.34</c:v>
                </c:pt>
                <c:pt idx="141">
                  <c:v>-16.15</c:v>
                </c:pt>
                <c:pt idx="142">
                  <c:v>-9.756</c:v>
                </c:pt>
                <c:pt idx="143">
                  <c:v>-3.92</c:v>
                </c:pt>
                <c:pt idx="144">
                  <c:v>1.57</c:v>
                </c:pt>
                <c:pt idx="145">
                  <c:v>6.566</c:v>
                </c:pt>
                <c:pt idx="146">
                  <c:v>10.96</c:v>
                </c:pt>
                <c:pt idx="147">
                  <c:v>14.59</c:v>
                </c:pt>
                <c:pt idx="148">
                  <c:v>17.66</c:v>
                </c:pt>
                <c:pt idx="149">
                  <c:v>19.93</c:v>
                </c:pt>
                <c:pt idx="150">
                  <c:v>21.22</c:v>
                </c:pt>
                <c:pt idx="151">
                  <c:v>21.67</c:v>
                </c:pt>
                <c:pt idx="152">
                  <c:v>21.31</c:v>
                </c:pt>
                <c:pt idx="153">
                  <c:v>20.19</c:v>
                </c:pt>
                <c:pt idx="154">
                  <c:v>18.57</c:v>
                </c:pt>
                <c:pt idx="155">
                  <c:v>16.46</c:v>
                </c:pt>
                <c:pt idx="156">
                  <c:v>14.28</c:v>
                </c:pt>
                <c:pt idx="157">
                  <c:v>12.11</c:v>
                </c:pt>
                <c:pt idx="158">
                  <c:v>10.35</c:v>
                </c:pt>
                <c:pt idx="159">
                  <c:v>9.182</c:v>
                </c:pt>
                <c:pt idx="160">
                  <c:v>8.52</c:v>
                </c:pt>
                <c:pt idx="161">
                  <c:v>8.312</c:v>
                </c:pt>
                <c:pt idx="162">
                  <c:v>8.627</c:v>
                </c:pt>
                <c:pt idx="163">
                  <c:v>9.43</c:v>
                </c:pt>
                <c:pt idx="164">
                  <c:v>10.68</c:v>
                </c:pt>
                <c:pt idx="165">
                  <c:v>12.09</c:v>
                </c:pt>
                <c:pt idx="166">
                  <c:v>13.68</c:v>
                </c:pt>
                <c:pt idx="167">
                  <c:v>15.08</c:v>
                </c:pt>
                <c:pt idx="168">
                  <c:v>16.12</c:v>
                </c:pt>
                <c:pt idx="169">
                  <c:v>16.8</c:v>
                </c:pt>
                <c:pt idx="170">
                  <c:v>16.93</c:v>
                </c:pt>
                <c:pt idx="171">
                  <c:v>16.45</c:v>
                </c:pt>
                <c:pt idx="172">
                  <c:v>15.62</c:v>
                </c:pt>
                <c:pt idx="173">
                  <c:v>14.5</c:v>
                </c:pt>
                <c:pt idx="174">
                  <c:v>13.17</c:v>
                </c:pt>
                <c:pt idx="175">
                  <c:v>11.95</c:v>
                </c:pt>
                <c:pt idx="176">
                  <c:v>10.96</c:v>
                </c:pt>
                <c:pt idx="177">
                  <c:v>10.29</c:v>
                </c:pt>
                <c:pt idx="178">
                  <c:v>10.08</c:v>
                </c:pt>
                <c:pt idx="179">
                  <c:v>10.2</c:v>
                </c:pt>
                <c:pt idx="180">
                  <c:v>10.66</c:v>
                </c:pt>
                <c:pt idx="181">
                  <c:v>11.53</c:v>
                </c:pt>
                <c:pt idx="182">
                  <c:v>12.47</c:v>
                </c:pt>
                <c:pt idx="183">
                  <c:v>13.59</c:v>
                </c:pt>
                <c:pt idx="184">
                  <c:v>14.61</c:v>
                </c:pt>
                <c:pt idx="185">
                  <c:v>15.44</c:v>
                </c:pt>
                <c:pt idx="186">
                  <c:v>16.04</c:v>
                </c:pt>
                <c:pt idx="187">
                  <c:v>16.07</c:v>
                </c:pt>
                <c:pt idx="188">
                  <c:v>15.84</c:v>
                </c:pt>
                <c:pt idx="189">
                  <c:v>15.18</c:v>
                </c:pt>
                <c:pt idx="190">
                  <c:v>14.3</c:v>
                </c:pt>
                <c:pt idx="191">
                  <c:v>13.28</c:v>
                </c:pt>
                <c:pt idx="192">
                  <c:v>12.48</c:v>
                </c:pt>
                <c:pt idx="193">
                  <c:v>11.75</c:v>
                </c:pt>
                <c:pt idx="194">
                  <c:v>11.29</c:v>
                </c:pt>
                <c:pt idx="195">
                  <c:v>11.15</c:v>
                </c:pt>
                <c:pt idx="196">
                  <c:v>11.36</c:v>
                </c:pt>
                <c:pt idx="197">
                  <c:v>11.81</c:v>
                </c:pt>
                <c:pt idx="198">
                  <c:v>12.53</c:v>
                </c:pt>
                <c:pt idx="199">
                  <c:v>13.3</c:v>
                </c:pt>
                <c:pt idx="200">
                  <c:v>14.2</c:v>
                </c:pt>
                <c:pt idx="201">
                  <c:v>15</c:v>
                </c:pt>
                <c:pt idx="202">
                  <c:v>15.49</c:v>
                </c:pt>
                <c:pt idx="203">
                  <c:v>15.76</c:v>
                </c:pt>
                <c:pt idx="204">
                  <c:v>15.53</c:v>
                </c:pt>
                <c:pt idx="205">
                  <c:v>15.11</c:v>
                </c:pt>
                <c:pt idx="206">
                  <c:v>14.48</c:v>
                </c:pt>
                <c:pt idx="207">
                  <c:v>13.63</c:v>
                </c:pt>
                <c:pt idx="208">
                  <c:v>12.82</c:v>
                </c:pt>
                <c:pt idx="209">
                  <c:v>12.21</c:v>
                </c:pt>
                <c:pt idx="210">
                  <c:v>11.76</c:v>
                </c:pt>
                <c:pt idx="211">
                  <c:v>11.57</c:v>
                </c:pt>
                <c:pt idx="212">
                  <c:v>11.66</c:v>
                </c:pt>
                <c:pt idx="213">
                  <c:v>11.95</c:v>
                </c:pt>
                <c:pt idx="214">
                  <c:v>12.49</c:v>
                </c:pt>
                <c:pt idx="215">
                  <c:v>13.08</c:v>
                </c:pt>
                <c:pt idx="216">
                  <c:v>13.72</c:v>
                </c:pt>
                <c:pt idx="217">
                  <c:v>14.41</c:v>
                </c:pt>
                <c:pt idx="218">
                  <c:v>14.86</c:v>
                </c:pt>
                <c:pt idx="219">
                  <c:v>15.07</c:v>
                </c:pt>
                <c:pt idx="220">
                  <c:v>15.06</c:v>
                </c:pt>
                <c:pt idx="221">
                  <c:v>14.67</c:v>
                </c:pt>
                <c:pt idx="222">
                  <c:v>14.25</c:v>
                </c:pt>
                <c:pt idx="223">
                  <c:v>13.6</c:v>
                </c:pt>
                <c:pt idx="224">
                  <c:v>12.91</c:v>
                </c:pt>
                <c:pt idx="225">
                  <c:v>12.51</c:v>
                </c:pt>
                <c:pt idx="226">
                  <c:v>12.08</c:v>
                </c:pt>
                <c:pt idx="227">
                  <c:v>11.94</c:v>
                </c:pt>
                <c:pt idx="228">
                  <c:v>11.89</c:v>
                </c:pt>
                <c:pt idx="229">
                  <c:v>12.1</c:v>
                </c:pt>
                <c:pt idx="230">
                  <c:v>12.61</c:v>
                </c:pt>
                <c:pt idx="231">
                  <c:v>13.08</c:v>
                </c:pt>
                <c:pt idx="232">
                  <c:v>13.64</c:v>
                </c:pt>
                <c:pt idx="233">
                  <c:v>14.17</c:v>
                </c:pt>
                <c:pt idx="234">
                  <c:v>14.5</c:v>
                </c:pt>
                <c:pt idx="235">
                  <c:v>14.6</c:v>
                </c:pt>
                <c:pt idx="236">
                  <c:v>14.57</c:v>
                </c:pt>
                <c:pt idx="237">
                  <c:v>14.42</c:v>
                </c:pt>
                <c:pt idx="238">
                  <c:v>13.99</c:v>
                </c:pt>
                <c:pt idx="239">
                  <c:v>13.42</c:v>
                </c:pt>
                <c:pt idx="240">
                  <c:v>12.9</c:v>
                </c:pt>
                <c:pt idx="241">
                  <c:v>12.49</c:v>
                </c:pt>
                <c:pt idx="242">
                  <c:v>12.19</c:v>
                </c:pt>
                <c:pt idx="243">
                  <c:v>12.08</c:v>
                </c:pt>
                <c:pt idx="244">
                  <c:v>12.15</c:v>
                </c:pt>
                <c:pt idx="245">
                  <c:v>12.38</c:v>
                </c:pt>
                <c:pt idx="246">
                  <c:v>12.7</c:v>
                </c:pt>
                <c:pt idx="247">
                  <c:v>13.14</c:v>
                </c:pt>
                <c:pt idx="248">
                  <c:v>13.57</c:v>
                </c:pt>
                <c:pt idx="249">
                  <c:v>13.97</c:v>
                </c:pt>
                <c:pt idx="250">
                  <c:v>14.28</c:v>
                </c:pt>
                <c:pt idx="251">
                  <c:v>14.41</c:v>
                </c:pt>
                <c:pt idx="252">
                  <c:v>14.31</c:v>
                </c:pt>
                <c:pt idx="253">
                  <c:v>14.11</c:v>
                </c:pt>
                <c:pt idx="254">
                  <c:v>13.71</c:v>
                </c:pt>
                <c:pt idx="255">
                  <c:v>13.31</c:v>
                </c:pt>
                <c:pt idx="256">
                  <c:v>12.92</c:v>
                </c:pt>
                <c:pt idx="257">
                  <c:v>12.54</c:v>
                </c:pt>
                <c:pt idx="258">
                  <c:v>12.33</c:v>
                </c:pt>
                <c:pt idx="259">
                  <c:v>12.24</c:v>
                </c:pt>
                <c:pt idx="260">
                  <c:v>12.26</c:v>
                </c:pt>
                <c:pt idx="261">
                  <c:v>12.47</c:v>
                </c:pt>
                <c:pt idx="262">
                  <c:v>12.84</c:v>
                </c:pt>
                <c:pt idx="263">
                  <c:v>13.2</c:v>
                </c:pt>
                <c:pt idx="264">
                  <c:v>13.55</c:v>
                </c:pt>
                <c:pt idx="265">
                  <c:v>13.82</c:v>
                </c:pt>
                <c:pt idx="266">
                  <c:v>13.87</c:v>
                </c:pt>
                <c:pt idx="267">
                  <c:v>13.63</c:v>
                </c:pt>
                <c:pt idx="268">
                  <c:v>13.21</c:v>
                </c:pt>
                <c:pt idx="269">
                  <c:v>12.67</c:v>
                </c:pt>
                <c:pt idx="270">
                  <c:v>11.98</c:v>
                </c:pt>
                <c:pt idx="271">
                  <c:v>11.29</c:v>
                </c:pt>
                <c:pt idx="272">
                  <c:v>10.72</c:v>
                </c:pt>
                <c:pt idx="273">
                  <c:v>10.24</c:v>
                </c:pt>
                <c:pt idx="274">
                  <c:v>9.871</c:v>
                </c:pt>
                <c:pt idx="275">
                  <c:v>9.636</c:v>
                </c:pt>
                <c:pt idx="276">
                  <c:v>9.415</c:v>
                </c:pt>
                <c:pt idx="277">
                  <c:v>9.322</c:v>
                </c:pt>
                <c:pt idx="278">
                  <c:v>9.324</c:v>
                </c:pt>
                <c:pt idx="279">
                  <c:v>9.392</c:v>
                </c:pt>
                <c:pt idx="280">
                  <c:v>9.568</c:v>
                </c:pt>
                <c:pt idx="281">
                  <c:v>9.836</c:v>
                </c:pt>
                <c:pt idx="282">
                  <c:v>10</c:v>
                </c:pt>
                <c:pt idx="283">
                  <c:v>10.22</c:v>
                </c:pt>
                <c:pt idx="284">
                  <c:v>10.3</c:v>
                </c:pt>
                <c:pt idx="285">
                  <c:v>10.58</c:v>
                </c:pt>
                <c:pt idx="286">
                  <c:v>10.89</c:v>
                </c:pt>
                <c:pt idx="287">
                  <c:v>11.28</c:v>
                </c:pt>
                <c:pt idx="288">
                  <c:v>11.72</c:v>
                </c:pt>
                <c:pt idx="289">
                  <c:v>12.02</c:v>
                </c:pt>
                <c:pt idx="290">
                  <c:v>12.26</c:v>
                </c:pt>
                <c:pt idx="291">
                  <c:v>12.24</c:v>
                </c:pt>
                <c:pt idx="292">
                  <c:v>12.08</c:v>
                </c:pt>
                <c:pt idx="293">
                  <c:v>11.86</c:v>
                </c:pt>
                <c:pt idx="294">
                  <c:v>11.42</c:v>
                </c:pt>
                <c:pt idx="295">
                  <c:v>11.04</c:v>
                </c:pt>
                <c:pt idx="296">
                  <c:v>10.73</c:v>
                </c:pt>
                <c:pt idx="297">
                  <c:v>10.72</c:v>
                </c:pt>
                <c:pt idx="298">
                  <c:v>10.82</c:v>
                </c:pt>
                <c:pt idx="299">
                  <c:v>10.99</c:v>
                </c:pt>
                <c:pt idx="300">
                  <c:v>11.3</c:v>
                </c:pt>
                <c:pt idx="301">
                  <c:v>11.67</c:v>
                </c:pt>
                <c:pt idx="302">
                  <c:v>11.97</c:v>
                </c:pt>
                <c:pt idx="303">
                  <c:v>12.11</c:v>
                </c:pt>
                <c:pt idx="304">
                  <c:v>12.19</c:v>
                </c:pt>
                <c:pt idx="305">
                  <c:v>12.09</c:v>
                </c:pt>
                <c:pt idx="306">
                  <c:v>11.9</c:v>
                </c:pt>
                <c:pt idx="307">
                  <c:v>11.6</c:v>
                </c:pt>
                <c:pt idx="308">
                  <c:v>11.24</c:v>
                </c:pt>
                <c:pt idx="309">
                  <c:v>10.97</c:v>
                </c:pt>
                <c:pt idx="310">
                  <c:v>10.81</c:v>
                </c:pt>
                <c:pt idx="311">
                  <c:v>10.82</c:v>
                </c:pt>
                <c:pt idx="312">
                  <c:v>10.96</c:v>
                </c:pt>
                <c:pt idx="313">
                  <c:v>11.18</c:v>
                </c:pt>
                <c:pt idx="314">
                  <c:v>11.59</c:v>
                </c:pt>
                <c:pt idx="315">
                  <c:v>11.85</c:v>
                </c:pt>
                <c:pt idx="316">
                  <c:v>11.97</c:v>
                </c:pt>
                <c:pt idx="317">
                  <c:v>11.97</c:v>
                </c:pt>
                <c:pt idx="318">
                  <c:v>11.88</c:v>
                </c:pt>
                <c:pt idx="319">
                  <c:v>11.72</c:v>
                </c:pt>
                <c:pt idx="320">
                  <c:v>11.48</c:v>
                </c:pt>
                <c:pt idx="321">
                  <c:v>11.12</c:v>
                </c:pt>
                <c:pt idx="322">
                  <c:v>10.89</c:v>
                </c:pt>
                <c:pt idx="323">
                  <c:v>10.76</c:v>
                </c:pt>
                <c:pt idx="324">
                  <c:v>10.81</c:v>
                </c:pt>
                <c:pt idx="325">
                  <c:v>10.89</c:v>
                </c:pt>
                <c:pt idx="326">
                  <c:v>11.08</c:v>
                </c:pt>
                <c:pt idx="327">
                  <c:v>11.33</c:v>
                </c:pt>
                <c:pt idx="328">
                  <c:v>11.56</c:v>
                </c:pt>
                <c:pt idx="329">
                  <c:v>11.66</c:v>
                </c:pt>
                <c:pt idx="330">
                  <c:v>11.75</c:v>
                </c:pt>
                <c:pt idx="331">
                  <c:v>11.73</c:v>
                </c:pt>
                <c:pt idx="332">
                  <c:v>11.58</c:v>
                </c:pt>
                <c:pt idx="333">
                  <c:v>11.41</c:v>
                </c:pt>
                <c:pt idx="334">
                  <c:v>11.09</c:v>
                </c:pt>
                <c:pt idx="335">
                  <c:v>10.88</c:v>
                </c:pt>
                <c:pt idx="336">
                  <c:v>10.8</c:v>
                </c:pt>
                <c:pt idx="337">
                  <c:v>10.84</c:v>
                </c:pt>
                <c:pt idx="338">
                  <c:v>10.94</c:v>
                </c:pt>
                <c:pt idx="339">
                  <c:v>11.08</c:v>
                </c:pt>
                <c:pt idx="340">
                  <c:v>11.25</c:v>
                </c:pt>
                <c:pt idx="341">
                  <c:v>11.53</c:v>
                </c:pt>
                <c:pt idx="342">
                  <c:v>11.62</c:v>
                </c:pt>
                <c:pt idx="343">
                  <c:v>11.63</c:v>
                </c:pt>
                <c:pt idx="344">
                  <c:v>11.62</c:v>
                </c:pt>
                <c:pt idx="345">
                  <c:v>11.47</c:v>
                </c:pt>
                <c:pt idx="346">
                  <c:v>11.16</c:v>
                </c:pt>
                <c:pt idx="347">
                  <c:v>10.92</c:v>
                </c:pt>
                <c:pt idx="348">
                  <c:v>10.4</c:v>
                </c:pt>
                <c:pt idx="349">
                  <c:v>10</c:v>
                </c:pt>
                <c:pt idx="350">
                  <c:v>9.595</c:v>
                </c:pt>
                <c:pt idx="351">
                  <c:v>9.3</c:v>
                </c:pt>
                <c:pt idx="352">
                  <c:v>9.259</c:v>
                </c:pt>
                <c:pt idx="353">
                  <c:v>9.355</c:v>
                </c:pt>
                <c:pt idx="354">
                  <c:v>9.616</c:v>
                </c:pt>
                <c:pt idx="355">
                  <c:v>10.03</c:v>
                </c:pt>
                <c:pt idx="356">
                  <c:v>10.53</c:v>
                </c:pt>
                <c:pt idx="357">
                  <c:v>10.96</c:v>
                </c:pt>
                <c:pt idx="358">
                  <c:v>11.28</c:v>
                </c:pt>
                <c:pt idx="359">
                  <c:v>11.53</c:v>
                </c:pt>
                <c:pt idx="360">
                  <c:v>11.49</c:v>
                </c:pt>
                <c:pt idx="361">
                  <c:v>11.28</c:v>
                </c:pt>
                <c:pt idx="362">
                  <c:v>10.89</c:v>
                </c:pt>
                <c:pt idx="363">
                  <c:v>10.48</c:v>
                </c:pt>
                <c:pt idx="364">
                  <c:v>10.12</c:v>
                </c:pt>
                <c:pt idx="365">
                  <c:v>9.785</c:v>
                </c:pt>
                <c:pt idx="366">
                  <c:v>9.602</c:v>
                </c:pt>
                <c:pt idx="367">
                  <c:v>9.668</c:v>
                </c:pt>
                <c:pt idx="368">
                  <c:v>10.09</c:v>
                </c:pt>
                <c:pt idx="369">
                  <c:v>10.66</c:v>
                </c:pt>
                <c:pt idx="370">
                  <c:v>11.41</c:v>
                </c:pt>
                <c:pt idx="371">
                  <c:v>12.19</c:v>
                </c:pt>
                <c:pt idx="372">
                  <c:v>12.77</c:v>
                </c:pt>
                <c:pt idx="373">
                  <c:v>12.94</c:v>
                </c:pt>
                <c:pt idx="374">
                  <c:v>12.87</c:v>
                </c:pt>
                <c:pt idx="375">
                  <c:v>12.46</c:v>
                </c:pt>
                <c:pt idx="376">
                  <c:v>11.86</c:v>
                </c:pt>
                <c:pt idx="377">
                  <c:v>11.04</c:v>
                </c:pt>
                <c:pt idx="378">
                  <c:v>10.37</c:v>
                </c:pt>
                <c:pt idx="379">
                  <c:v>9.99</c:v>
                </c:pt>
                <c:pt idx="380">
                  <c:v>9.92</c:v>
                </c:pt>
                <c:pt idx="381">
                  <c:v>10.05</c:v>
                </c:pt>
                <c:pt idx="382">
                  <c:v>10.42</c:v>
                </c:pt>
                <c:pt idx="383">
                  <c:v>11.1</c:v>
                </c:pt>
                <c:pt idx="384">
                  <c:v>11.8</c:v>
                </c:pt>
                <c:pt idx="385">
                  <c:v>12.35</c:v>
                </c:pt>
                <c:pt idx="386">
                  <c:v>12.67</c:v>
                </c:pt>
                <c:pt idx="387">
                  <c:v>12.71</c:v>
                </c:pt>
                <c:pt idx="388">
                  <c:v>12.48</c:v>
                </c:pt>
                <c:pt idx="389">
                  <c:v>12.05</c:v>
                </c:pt>
                <c:pt idx="390">
                  <c:v>11.43</c:v>
                </c:pt>
                <c:pt idx="391">
                  <c:v>10.72</c:v>
                </c:pt>
                <c:pt idx="392">
                  <c:v>10.3</c:v>
                </c:pt>
                <c:pt idx="393">
                  <c:v>10.1</c:v>
                </c:pt>
                <c:pt idx="394">
                  <c:v>10.09</c:v>
                </c:pt>
                <c:pt idx="395">
                  <c:v>10.34</c:v>
                </c:pt>
                <c:pt idx="396">
                  <c:v>10.86</c:v>
                </c:pt>
                <c:pt idx="397">
                  <c:v>11.52</c:v>
                </c:pt>
                <c:pt idx="398">
                  <c:v>11.99</c:v>
                </c:pt>
                <c:pt idx="399">
                  <c:v>12.31</c:v>
                </c:pt>
                <c:pt idx="400">
                  <c:v>12.42</c:v>
                </c:pt>
                <c:pt idx="401">
                  <c:v>12.41</c:v>
                </c:pt>
                <c:pt idx="402">
                  <c:v>11.94</c:v>
                </c:pt>
                <c:pt idx="403">
                  <c:v>11.33</c:v>
                </c:pt>
                <c:pt idx="404">
                  <c:v>10.63</c:v>
                </c:pt>
                <c:pt idx="405">
                  <c:v>9.931</c:v>
                </c:pt>
                <c:pt idx="406">
                  <c:v>9.342</c:v>
                </c:pt>
                <c:pt idx="407">
                  <c:v>8.979</c:v>
                </c:pt>
                <c:pt idx="408">
                  <c:v>8.809</c:v>
                </c:pt>
                <c:pt idx="409">
                  <c:v>9.017</c:v>
                </c:pt>
                <c:pt idx="410">
                  <c:v>9.495</c:v>
                </c:pt>
                <c:pt idx="411">
                  <c:v>10.11</c:v>
                </c:pt>
                <c:pt idx="412">
                  <c:v>10.76</c:v>
                </c:pt>
                <c:pt idx="413">
                  <c:v>11.49</c:v>
                </c:pt>
                <c:pt idx="414">
                  <c:v>11.89</c:v>
                </c:pt>
                <c:pt idx="415">
                  <c:v>12.03</c:v>
                </c:pt>
                <c:pt idx="416">
                  <c:v>12.03</c:v>
                </c:pt>
                <c:pt idx="417">
                  <c:v>11.73</c:v>
                </c:pt>
                <c:pt idx="418">
                  <c:v>11.12</c:v>
                </c:pt>
                <c:pt idx="419">
                  <c:v>10.45</c:v>
                </c:pt>
                <c:pt idx="420">
                  <c:v>9.951</c:v>
                </c:pt>
                <c:pt idx="421">
                  <c:v>9.536</c:v>
                </c:pt>
                <c:pt idx="422">
                  <c:v>9.296</c:v>
                </c:pt>
                <c:pt idx="423">
                  <c:v>9.312</c:v>
                </c:pt>
                <c:pt idx="424">
                  <c:v>9.61</c:v>
                </c:pt>
                <c:pt idx="425">
                  <c:v>10.33</c:v>
                </c:pt>
                <c:pt idx="426">
                  <c:v>11.32</c:v>
                </c:pt>
                <c:pt idx="427">
                  <c:v>12.22</c:v>
                </c:pt>
                <c:pt idx="428">
                  <c:v>12.91</c:v>
                </c:pt>
                <c:pt idx="429">
                  <c:v>13.31</c:v>
                </c:pt>
                <c:pt idx="430">
                  <c:v>13.28</c:v>
                </c:pt>
                <c:pt idx="431">
                  <c:v>12.88</c:v>
                </c:pt>
                <c:pt idx="432">
                  <c:v>12.2</c:v>
                </c:pt>
                <c:pt idx="433">
                  <c:v>11.29</c:v>
                </c:pt>
                <c:pt idx="434">
                  <c:v>10.47</c:v>
                </c:pt>
                <c:pt idx="435">
                  <c:v>9.794</c:v>
                </c:pt>
                <c:pt idx="436">
                  <c:v>9.559</c:v>
                </c:pt>
                <c:pt idx="437">
                  <c:v>9.605</c:v>
                </c:pt>
                <c:pt idx="438">
                  <c:v>10.08</c:v>
                </c:pt>
                <c:pt idx="439">
                  <c:v>10.8</c:v>
                </c:pt>
                <c:pt idx="440">
                  <c:v>11.65</c:v>
                </c:pt>
                <c:pt idx="441">
                  <c:v>12.47</c:v>
                </c:pt>
                <c:pt idx="442">
                  <c:v>12.97</c:v>
                </c:pt>
                <c:pt idx="443">
                  <c:v>13.2</c:v>
                </c:pt>
                <c:pt idx="444">
                  <c:v>13.02</c:v>
                </c:pt>
                <c:pt idx="445">
                  <c:v>12.55</c:v>
                </c:pt>
                <c:pt idx="446">
                  <c:v>11.83</c:v>
                </c:pt>
                <c:pt idx="447">
                  <c:v>10.97</c:v>
                </c:pt>
                <c:pt idx="448">
                  <c:v>10.22</c:v>
                </c:pt>
                <c:pt idx="449">
                  <c:v>9.792</c:v>
                </c:pt>
                <c:pt idx="450">
                  <c:v>9.688</c:v>
                </c:pt>
                <c:pt idx="451">
                  <c:v>9.827</c:v>
                </c:pt>
                <c:pt idx="452">
                  <c:v>10.3</c:v>
                </c:pt>
                <c:pt idx="453">
                  <c:v>11.07</c:v>
                </c:pt>
                <c:pt idx="454">
                  <c:v>11.78</c:v>
                </c:pt>
                <c:pt idx="455">
                  <c:v>12.36</c:v>
                </c:pt>
                <c:pt idx="456">
                  <c:v>12.66</c:v>
                </c:pt>
                <c:pt idx="457">
                  <c:v>12.66</c:v>
                </c:pt>
                <c:pt idx="458">
                  <c:v>12.36</c:v>
                </c:pt>
                <c:pt idx="459">
                  <c:v>11.74</c:v>
                </c:pt>
                <c:pt idx="460">
                  <c:v>10.98</c:v>
                </c:pt>
                <c:pt idx="461">
                  <c:v>10.25</c:v>
                </c:pt>
                <c:pt idx="462">
                  <c:v>9.837</c:v>
                </c:pt>
                <c:pt idx="463">
                  <c:v>9.538</c:v>
                </c:pt>
                <c:pt idx="464">
                  <c:v>9.658</c:v>
                </c:pt>
                <c:pt idx="465">
                  <c:v>10.03</c:v>
                </c:pt>
                <c:pt idx="466">
                  <c:v>10.64</c:v>
                </c:pt>
                <c:pt idx="467">
                  <c:v>11.28</c:v>
                </c:pt>
                <c:pt idx="468">
                  <c:v>11.9</c:v>
                </c:pt>
                <c:pt idx="469">
                  <c:v>12.27</c:v>
                </c:pt>
                <c:pt idx="470">
                  <c:v>12.32</c:v>
                </c:pt>
                <c:pt idx="471">
                  <c:v>12.15</c:v>
                </c:pt>
                <c:pt idx="472">
                  <c:v>11.66</c:v>
                </c:pt>
                <c:pt idx="473">
                  <c:v>11.03</c:v>
                </c:pt>
                <c:pt idx="474">
                  <c:v>10.31</c:v>
                </c:pt>
                <c:pt idx="475">
                  <c:v>9.829</c:v>
                </c:pt>
                <c:pt idx="476">
                  <c:v>9.563</c:v>
                </c:pt>
                <c:pt idx="477">
                  <c:v>9.597</c:v>
                </c:pt>
                <c:pt idx="478">
                  <c:v>9.935</c:v>
                </c:pt>
                <c:pt idx="479">
                  <c:v>10.49</c:v>
                </c:pt>
                <c:pt idx="480">
                  <c:v>11.12</c:v>
                </c:pt>
                <c:pt idx="481">
                  <c:v>11.58</c:v>
                </c:pt>
                <c:pt idx="482">
                  <c:v>12.01</c:v>
                </c:pt>
                <c:pt idx="483">
                  <c:v>12.24</c:v>
                </c:pt>
                <c:pt idx="484">
                  <c:v>12.12</c:v>
                </c:pt>
                <c:pt idx="485">
                  <c:v>11.73</c:v>
                </c:pt>
                <c:pt idx="486">
                  <c:v>11.16</c:v>
                </c:pt>
                <c:pt idx="487">
                  <c:v>10.45</c:v>
                </c:pt>
                <c:pt idx="488">
                  <c:v>9.724</c:v>
                </c:pt>
                <c:pt idx="489">
                  <c:v>9.268</c:v>
                </c:pt>
                <c:pt idx="490">
                  <c:v>8.815</c:v>
                </c:pt>
                <c:pt idx="491">
                  <c:v>8.718</c:v>
                </c:pt>
                <c:pt idx="492">
                  <c:v>8.912</c:v>
                </c:pt>
                <c:pt idx="493">
                  <c:v>9.388</c:v>
                </c:pt>
                <c:pt idx="494">
                  <c:v>9.968</c:v>
                </c:pt>
                <c:pt idx="495">
                  <c:v>10.79</c:v>
                </c:pt>
                <c:pt idx="496">
                  <c:v>11.49</c:v>
                </c:pt>
                <c:pt idx="497">
                  <c:v>11.99</c:v>
                </c:pt>
                <c:pt idx="498">
                  <c:v>12.32</c:v>
                </c:pt>
                <c:pt idx="499">
                  <c:v>12.2</c:v>
                </c:pt>
                <c:pt idx="500">
                  <c:v>11.88</c:v>
                </c:pt>
                <c:pt idx="501">
                  <c:v>11.33</c:v>
                </c:pt>
                <c:pt idx="502">
                  <c:v>10.61</c:v>
                </c:pt>
                <c:pt idx="503">
                  <c:v>9.866</c:v>
                </c:pt>
                <c:pt idx="504">
                  <c:v>9.444</c:v>
                </c:pt>
                <c:pt idx="505">
                  <c:v>9.169</c:v>
                </c:pt>
                <c:pt idx="506">
                  <c:v>9.143</c:v>
                </c:pt>
                <c:pt idx="507">
                  <c:v>9.478</c:v>
                </c:pt>
                <c:pt idx="508">
                  <c:v>10.25</c:v>
                </c:pt>
                <c:pt idx="509">
                  <c:v>11.23</c:v>
                </c:pt>
                <c:pt idx="510">
                  <c:v>12.2</c:v>
                </c:pt>
                <c:pt idx="511">
                  <c:v>12.99</c:v>
                </c:pt>
                <c:pt idx="512">
                  <c:v>13.39</c:v>
                </c:pt>
                <c:pt idx="513">
                  <c:v>13.39</c:v>
                </c:pt>
                <c:pt idx="514">
                  <c:v>12.98</c:v>
                </c:pt>
                <c:pt idx="515">
                  <c:v>12.22</c:v>
                </c:pt>
                <c:pt idx="516">
                  <c:v>11.35</c:v>
                </c:pt>
                <c:pt idx="517">
                  <c:v>10.41</c:v>
                </c:pt>
                <c:pt idx="518">
                  <c:v>9.725</c:v>
                </c:pt>
                <c:pt idx="519">
                  <c:v>9.403</c:v>
                </c:pt>
                <c:pt idx="520">
                  <c:v>9.364</c:v>
                </c:pt>
                <c:pt idx="521">
                  <c:v>9.721</c:v>
                </c:pt>
                <c:pt idx="522">
                  <c:v>10.49</c:v>
                </c:pt>
                <c:pt idx="523">
                  <c:v>11.35</c:v>
                </c:pt>
                <c:pt idx="524">
                  <c:v>12.19</c:v>
                </c:pt>
                <c:pt idx="525">
                  <c:v>12.82</c:v>
                </c:pt>
                <c:pt idx="526">
                  <c:v>13.04</c:v>
                </c:pt>
                <c:pt idx="527">
                  <c:v>12.9</c:v>
                </c:pt>
                <c:pt idx="528">
                  <c:v>12.41</c:v>
                </c:pt>
                <c:pt idx="529">
                  <c:v>11.63</c:v>
                </c:pt>
                <c:pt idx="530">
                  <c:v>10.84</c:v>
                </c:pt>
                <c:pt idx="531">
                  <c:v>10.04</c:v>
                </c:pt>
                <c:pt idx="532">
                  <c:v>9.513</c:v>
                </c:pt>
                <c:pt idx="533">
                  <c:v>9.408</c:v>
                </c:pt>
                <c:pt idx="534">
                  <c:v>9.576</c:v>
                </c:pt>
                <c:pt idx="535">
                  <c:v>10.06</c:v>
                </c:pt>
                <c:pt idx="536">
                  <c:v>10.86</c:v>
                </c:pt>
                <c:pt idx="537">
                  <c:v>11.62</c:v>
                </c:pt>
                <c:pt idx="538">
                  <c:v>12.28</c:v>
                </c:pt>
                <c:pt idx="539">
                  <c:v>12.61</c:v>
                </c:pt>
                <c:pt idx="540">
                  <c:v>12.64</c:v>
                </c:pt>
                <c:pt idx="541">
                  <c:v>12.37</c:v>
                </c:pt>
                <c:pt idx="542">
                  <c:v>11.7</c:v>
                </c:pt>
                <c:pt idx="543">
                  <c:v>11</c:v>
                </c:pt>
                <c:pt idx="544">
                  <c:v>10.21</c:v>
                </c:pt>
                <c:pt idx="545">
                  <c:v>9.721</c:v>
                </c:pt>
                <c:pt idx="546">
                  <c:v>9.435</c:v>
                </c:pt>
                <c:pt idx="547">
                  <c:v>9.572</c:v>
                </c:pt>
                <c:pt idx="548">
                  <c:v>9.887</c:v>
                </c:pt>
                <c:pt idx="549">
                  <c:v>10.6</c:v>
                </c:pt>
                <c:pt idx="550">
                  <c:v>11.31</c:v>
                </c:pt>
                <c:pt idx="551">
                  <c:v>12.01</c:v>
                </c:pt>
                <c:pt idx="552">
                  <c:v>12.42</c:v>
                </c:pt>
                <c:pt idx="553">
                  <c:v>12.39</c:v>
                </c:pt>
                <c:pt idx="554">
                  <c:v>12.14</c:v>
                </c:pt>
                <c:pt idx="555">
                  <c:v>11.6</c:v>
                </c:pt>
                <c:pt idx="556">
                  <c:v>10.9</c:v>
                </c:pt>
                <c:pt idx="557">
                  <c:v>10.13</c:v>
                </c:pt>
                <c:pt idx="558">
                  <c:v>9.594</c:v>
                </c:pt>
                <c:pt idx="559">
                  <c:v>9.263</c:v>
                </c:pt>
                <c:pt idx="560">
                  <c:v>9.255</c:v>
                </c:pt>
                <c:pt idx="561">
                  <c:v>9.58</c:v>
                </c:pt>
                <c:pt idx="562">
                  <c:v>10.21</c:v>
                </c:pt>
                <c:pt idx="563">
                  <c:v>10.89</c:v>
                </c:pt>
                <c:pt idx="564">
                  <c:v>11.47</c:v>
                </c:pt>
                <c:pt idx="565">
                  <c:v>11.87</c:v>
                </c:pt>
                <c:pt idx="566">
                  <c:v>11.98</c:v>
                </c:pt>
                <c:pt idx="567">
                  <c:v>11.76</c:v>
                </c:pt>
                <c:pt idx="568">
                  <c:v>11.33</c:v>
                </c:pt>
                <c:pt idx="569">
                  <c:v>10.77</c:v>
                </c:pt>
                <c:pt idx="570">
                  <c:v>10.13</c:v>
                </c:pt>
                <c:pt idx="571">
                  <c:v>9.983</c:v>
                </c:pt>
                <c:pt idx="572">
                  <c:v>10.33</c:v>
                </c:pt>
                <c:pt idx="573">
                  <c:v>10.67</c:v>
                </c:pt>
                <c:pt idx="574">
                  <c:v>11.22</c:v>
                </c:pt>
                <c:pt idx="575">
                  <c:v>12</c:v>
                </c:pt>
                <c:pt idx="576">
                  <c:v>12.72</c:v>
                </c:pt>
                <c:pt idx="577">
                  <c:v>13.4</c:v>
                </c:pt>
                <c:pt idx="578">
                  <c:v>13.89</c:v>
                </c:pt>
                <c:pt idx="579">
                  <c:v>14.08</c:v>
                </c:pt>
                <c:pt idx="580">
                  <c:v>13.87</c:v>
                </c:pt>
                <c:pt idx="581">
                  <c:v>13.42</c:v>
                </c:pt>
                <c:pt idx="582">
                  <c:v>12.79</c:v>
                </c:pt>
                <c:pt idx="583">
                  <c:v>12.21</c:v>
                </c:pt>
                <c:pt idx="584">
                  <c:v>11.81</c:v>
                </c:pt>
                <c:pt idx="585">
                  <c:v>11.64</c:v>
                </c:pt>
                <c:pt idx="586">
                  <c:v>11.76</c:v>
                </c:pt>
                <c:pt idx="587">
                  <c:v>12</c:v>
                </c:pt>
                <c:pt idx="588">
                  <c:v>12.44</c:v>
                </c:pt>
                <c:pt idx="589">
                  <c:v>12.9</c:v>
                </c:pt>
                <c:pt idx="590">
                  <c:v>13.35</c:v>
                </c:pt>
                <c:pt idx="591">
                  <c:v>13.42</c:v>
                </c:pt>
                <c:pt idx="592">
                  <c:v>13.37</c:v>
                </c:pt>
                <c:pt idx="593">
                  <c:v>13.17</c:v>
                </c:pt>
                <c:pt idx="594">
                  <c:v>12.66</c:v>
                </c:pt>
                <c:pt idx="595">
                  <c:v>12.03</c:v>
                </c:pt>
                <c:pt idx="596">
                  <c:v>11.68</c:v>
                </c:pt>
                <c:pt idx="597">
                  <c:v>11.29</c:v>
                </c:pt>
                <c:pt idx="598">
                  <c:v>11.1</c:v>
                </c:pt>
                <c:pt idx="599">
                  <c:v>11.12</c:v>
                </c:pt>
                <c:pt idx="600">
                  <c:v>11.38</c:v>
                </c:pt>
                <c:pt idx="601">
                  <c:v>11.82</c:v>
                </c:pt>
                <c:pt idx="602">
                  <c:v>12.38</c:v>
                </c:pt>
                <c:pt idx="603">
                  <c:v>12.76</c:v>
                </c:pt>
                <c:pt idx="604">
                  <c:v>12.98</c:v>
                </c:pt>
                <c:pt idx="605">
                  <c:v>13.06</c:v>
                </c:pt>
                <c:pt idx="606">
                  <c:v>12.94</c:v>
                </c:pt>
                <c:pt idx="607">
                  <c:v>12.57</c:v>
                </c:pt>
                <c:pt idx="608">
                  <c:v>12.13</c:v>
                </c:pt>
                <c:pt idx="609">
                  <c:v>11.63</c:v>
                </c:pt>
                <c:pt idx="610">
                  <c:v>11.25</c:v>
                </c:pt>
                <c:pt idx="611">
                  <c:v>11.12</c:v>
                </c:pt>
                <c:pt idx="612">
                  <c:v>11.07</c:v>
                </c:pt>
                <c:pt idx="613">
                  <c:v>11.3</c:v>
                </c:pt>
                <c:pt idx="614">
                  <c:v>11.68</c:v>
                </c:pt>
                <c:pt idx="615">
                  <c:v>12.3</c:v>
                </c:pt>
                <c:pt idx="616">
                  <c:v>12.67</c:v>
                </c:pt>
                <c:pt idx="617">
                  <c:v>12.93</c:v>
                </c:pt>
                <c:pt idx="618">
                  <c:v>13.09</c:v>
                </c:pt>
                <c:pt idx="619">
                  <c:v>12.94</c:v>
                </c:pt>
                <c:pt idx="620">
                  <c:v>12.67</c:v>
                </c:pt>
                <c:pt idx="621">
                  <c:v>12.21</c:v>
                </c:pt>
                <c:pt idx="622">
                  <c:v>11.75</c:v>
                </c:pt>
                <c:pt idx="623">
                  <c:v>11.39</c:v>
                </c:pt>
                <c:pt idx="624">
                  <c:v>11.17</c:v>
                </c:pt>
                <c:pt idx="625">
                  <c:v>11.26</c:v>
                </c:pt>
                <c:pt idx="626">
                  <c:v>11.41</c:v>
                </c:pt>
                <c:pt idx="627">
                  <c:v>11.73</c:v>
                </c:pt>
                <c:pt idx="628">
                  <c:v>12.16</c:v>
                </c:pt>
                <c:pt idx="629">
                  <c:v>12.54</c:v>
                </c:pt>
                <c:pt idx="630">
                  <c:v>12.84</c:v>
                </c:pt>
                <c:pt idx="631">
                  <c:v>12.87</c:v>
                </c:pt>
                <c:pt idx="632">
                  <c:v>12.82</c:v>
                </c:pt>
                <c:pt idx="633">
                  <c:v>12.53</c:v>
                </c:pt>
                <c:pt idx="634">
                  <c:v>12.12</c:v>
                </c:pt>
                <c:pt idx="635">
                  <c:v>11.72</c:v>
                </c:pt>
                <c:pt idx="636">
                  <c:v>11.46</c:v>
                </c:pt>
                <c:pt idx="637">
                  <c:v>11.23</c:v>
                </c:pt>
                <c:pt idx="638">
                  <c:v>11.27</c:v>
                </c:pt>
                <c:pt idx="639">
                  <c:v>11.38</c:v>
                </c:pt>
                <c:pt idx="640">
                  <c:v>11.64</c:v>
                </c:pt>
                <c:pt idx="641">
                  <c:v>12</c:v>
                </c:pt>
                <c:pt idx="642">
                  <c:v>12.41</c:v>
                </c:pt>
                <c:pt idx="643">
                  <c:v>12.66</c:v>
                </c:pt>
                <c:pt idx="644">
                  <c:v>12.77</c:v>
                </c:pt>
                <c:pt idx="645">
                  <c:v>12.67</c:v>
                </c:pt>
                <c:pt idx="646">
                  <c:v>12.47</c:v>
                </c:pt>
                <c:pt idx="647">
                  <c:v>12.15</c:v>
                </c:pt>
                <c:pt idx="648">
                  <c:v>11.82</c:v>
                </c:pt>
                <c:pt idx="649">
                  <c:v>11.54</c:v>
                </c:pt>
                <c:pt idx="650">
                  <c:v>11.38</c:v>
                </c:pt>
                <c:pt idx="651">
                  <c:v>11.35</c:v>
                </c:pt>
                <c:pt idx="652">
                  <c:v>11.45</c:v>
                </c:pt>
                <c:pt idx="653">
                  <c:v>11.61</c:v>
                </c:pt>
                <c:pt idx="654">
                  <c:v>12</c:v>
                </c:pt>
                <c:pt idx="655">
                  <c:v>12.3</c:v>
                </c:pt>
                <c:pt idx="656">
                  <c:v>12.55</c:v>
                </c:pt>
                <c:pt idx="657">
                  <c:v>12.66</c:v>
                </c:pt>
                <c:pt idx="658">
                  <c:v>12.67</c:v>
                </c:pt>
                <c:pt idx="659">
                  <c:v>12.48</c:v>
                </c:pt>
                <c:pt idx="660">
                  <c:v>12.2</c:v>
                </c:pt>
                <c:pt idx="661">
                  <c:v>11.88</c:v>
                </c:pt>
                <c:pt idx="662">
                  <c:v>11.63</c:v>
                </c:pt>
                <c:pt idx="663">
                  <c:v>11.48</c:v>
                </c:pt>
                <c:pt idx="664">
                  <c:v>11.43</c:v>
                </c:pt>
                <c:pt idx="665">
                  <c:v>11.5</c:v>
                </c:pt>
                <c:pt idx="666">
                  <c:v>11.63</c:v>
                </c:pt>
                <c:pt idx="667">
                  <c:v>11.94</c:v>
                </c:pt>
                <c:pt idx="668">
                  <c:v>12.16</c:v>
                </c:pt>
                <c:pt idx="669">
                  <c:v>12.38</c:v>
                </c:pt>
                <c:pt idx="670">
                  <c:v>12.48</c:v>
                </c:pt>
                <c:pt idx="671">
                  <c:v>12.51</c:v>
                </c:pt>
                <c:pt idx="672">
                  <c:v>12.39</c:v>
                </c:pt>
                <c:pt idx="673">
                  <c:v>12.1</c:v>
                </c:pt>
                <c:pt idx="674">
                  <c:v>11.82</c:v>
                </c:pt>
                <c:pt idx="675">
                  <c:v>11.64</c:v>
                </c:pt>
                <c:pt idx="676">
                  <c:v>11.53</c:v>
                </c:pt>
                <c:pt idx="677">
                  <c:v>11.45</c:v>
                </c:pt>
                <c:pt idx="678">
                  <c:v>11.48</c:v>
                </c:pt>
                <c:pt idx="679">
                  <c:v>11.61</c:v>
                </c:pt>
                <c:pt idx="680">
                  <c:v>11.88</c:v>
                </c:pt>
                <c:pt idx="681">
                  <c:v>12.06</c:v>
                </c:pt>
                <c:pt idx="682">
                  <c:v>12.29</c:v>
                </c:pt>
                <c:pt idx="683">
                  <c:v>12.35</c:v>
                </c:pt>
                <c:pt idx="684">
                  <c:v>12.28</c:v>
                </c:pt>
                <c:pt idx="685">
                  <c:v>12.17</c:v>
                </c:pt>
                <c:pt idx="686">
                  <c:v>12.05</c:v>
                </c:pt>
                <c:pt idx="687">
                  <c:v>11.87</c:v>
                </c:pt>
                <c:pt idx="688">
                  <c:v>11.62</c:v>
                </c:pt>
                <c:pt idx="689">
                  <c:v>11.58</c:v>
                </c:pt>
                <c:pt idx="690">
                  <c:v>11.6</c:v>
                </c:pt>
                <c:pt idx="691">
                  <c:v>11.65</c:v>
                </c:pt>
                <c:pt idx="692">
                  <c:v>11.79</c:v>
                </c:pt>
                <c:pt idx="693">
                  <c:v>11.94</c:v>
                </c:pt>
                <c:pt idx="694">
                  <c:v>12.15</c:v>
                </c:pt>
                <c:pt idx="695">
                  <c:v>12.33</c:v>
                </c:pt>
                <c:pt idx="696">
                  <c:v>12.35</c:v>
                </c:pt>
                <c:pt idx="697">
                  <c:v>12.3</c:v>
                </c:pt>
                <c:pt idx="698">
                  <c:v>12.17</c:v>
                </c:pt>
                <c:pt idx="699">
                  <c:v>12.06</c:v>
                </c:pt>
                <c:pt idx="700">
                  <c:v>11.88</c:v>
                </c:pt>
                <c:pt idx="701">
                  <c:v>11.69</c:v>
                </c:pt>
                <c:pt idx="702">
                  <c:v>11.63</c:v>
                </c:pt>
                <c:pt idx="703">
                  <c:v>11.64</c:v>
                </c:pt>
                <c:pt idx="704">
                  <c:v>11.71</c:v>
                </c:pt>
                <c:pt idx="705">
                  <c:v>11.83</c:v>
                </c:pt>
                <c:pt idx="706">
                  <c:v>11.96</c:v>
                </c:pt>
                <c:pt idx="707">
                  <c:v>12.07</c:v>
                </c:pt>
                <c:pt idx="708">
                  <c:v>12.31</c:v>
                </c:pt>
                <c:pt idx="709">
                  <c:v>12.3</c:v>
                </c:pt>
                <c:pt idx="710">
                  <c:v>12.27</c:v>
                </c:pt>
                <c:pt idx="711">
                  <c:v>12.18</c:v>
                </c:pt>
                <c:pt idx="712">
                  <c:v>12.04</c:v>
                </c:pt>
                <c:pt idx="713">
                  <c:v>11.92</c:v>
                </c:pt>
                <c:pt idx="714">
                  <c:v>11.73</c:v>
                </c:pt>
                <c:pt idx="715">
                  <c:v>11.66</c:v>
                </c:pt>
                <c:pt idx="716">
                  <c:v>11.66</c:v>
                </c:pt>
                <c:pt idx="717">
                  <c:v>11.77</c:v>
                </c:pt>
                <c:pt idx="718">
                  <c:v>11.85</c:v>
                </c:pt>
                <c:pt idx="719">
                  <c:v>11.95</c:v>
                </c:pt>
                <c:pt idx="720">
                  <c:v>12.1</c:v>
                </c:pt>
                <c:pt idx="721">
                  <c:v>12.24</c:v>
                </c:pt>
                <c:pt idx="722">
                  <c:v>12.26</c:v>
                </c:pt>
                <c:pt idx="723">
                  <c:v>12.23</c:v>
                </c:pt>
                <c:pt idx="724">
                  <c:v>12.15</c:v>
                </c:pt>
                <c:pt idx="725">
                  <c:v>12.01</c:v>
                </c:pt>
                <c:pt idx="726">
                  <c:v>11.95</c:v>
                </c:pt>
                <c:pt idx="727">
                  <c:v>11.78</c:v>
                </c:pt>
                <c:pt idx="728">
                  <c:v>11.7</c:v>
                </c:pt>
                <c:pt idx="729">
                  <c:v>11.72</c:v>
                </c:pt>
                <c:pt idx="730">
                  <c:v>11.78</c:v>
                </c:pt>
                <c:pt idx="731">
                  <c:v>11.87</c:v>
                </c:pt>
                <c:pt idx="732">
                  <c:v>11.98</c:v>
                </c:pt>
                <c:pt idx="733">
                  <c:v>12.07</c:v>
                </c:pt>
                <c:pt idx="734">
                  <c:v>12.24</c:v>
                </c:pt>
                <c:pt idx="735">
                  <c:v>12.28</c:v>
                </c:pt>
                <c:pt idx="736">
                  <c:v>12.21</c:v>
                </c:pt>
                <c:pt idx="737">
                  <c:v>12.17</c:v>
                </c:pt>
                <c:pt idx="738">
                  <c:v>12.1</c:v>
                </c:pt>
                <c:pt idx="739">
                  <c:v>12</c:v>
                </c:pt>
                <c:pt idx="740">
                  <c:v>11.91</c:v>
                </c:pt>
                <c:pt idx="741">
                  <c:v>11.79</c:v>
                </c:pt>
                <c:pt idx="742">
                  <c:v>11.78</c:v>
                </c:pt>
                <c:pt idx="743">
                  <c:v>11.86</c:v>
                </c:pt>
                <c:pt idx="744">
                  <c:v>11.91</c:v>
                </c:pt>
                <c:pt idx="745">
                  <c:v>11.99</c:v>
                </c:pt>
                <c:pt idx="746">
                  <c:v>12.04</c:v>
                </c:pt>
                <c:pt idx="747">
                  <c:v>12.21</c:v>
                </c:pt>
                <c:pt idx="748">
                  <c:v>12.24</c:v>
                </c:pt>
                <c:pt idx="749">
                  <c:v>12.21</c:v>
                </c:pt>
                <c:pt idx="750">
                  <c:v>12.11</c:v>
                </c:pt>
                <c:pt idx="751">
                  <c:v>12.07</c:v>
                </c:pt>
                <c:pt idx="752">
                  <c:v>12.01</c:v>
                </c:pt>
                <c:pt idx="753">
                  <c:v>11.91</c:v>
                </c:pt>
                <c:pt idx="754">
                  <c:v>11.84</c:v>
                </c:pt>
                <c:pt idx="755">
                  <c:v>11.8</c:v>
                </c:pt>
                <c:pt idx="756">
                  <c:v>11.86</c:v>
                </c:pt>
                <c:pt idx="757">
                  <c:v>11.93</c:v>
                </c:pt>
                <c:pt idx="758">
                  <c:v>11.94</c:v>
                </c:pt>
                <c:pt idx="759">
                  <c:v>12.02</c:v>
                </c:pt>
                <c:pt idx="760">
                  <c:v>12.13</c:v>
                </c:pt>
                <c:pt idx="761">
                  <c:v>12.15</c:v>
                </c:pt>
                <c:pt idx="762">
                  <c:v>12.16</c:v>
                </c:pt>
                <c:pt idx="763">
                  <c:v>12.08</c:v>
                </c:pt>
                <c:pt idx="764">
                  <c:v>12.04</c:v>
                </c:pt>
                <c:pt idx="765">
                  <c:v>12.02</c:v>
                </c:pt>
                <c:pt idx="766">
                  <c:v>12</c:v>
                </c:pt>
                <c:pt idx="767">
                  <c:v>11.98</c:v>
                </c:pt>
                <c:pt idx="768">
                  <c:v>11.95</c:v>
                </c:pt>
                <c:pt idx="769">
                  <c:v>11.95</c:v>
                </c:pt>
                <c:pt idx="770">
                  <c:v>11.99</c:v>
                </c:pt>
                <c:pt idx="771">
                  <c:v>11.99</c:v>
                </c:pt>
                <c:pt idx="772">
                  <c:v>12.03</c:v>
                </c:pt>
                <c:pt idx="773">
                  <c:v>12.15</c:v>
                </c:pt>
                <c:pt idx="774">
                  <c:v>12.15</c:v>
                </c:pt>
                <c:pt idx="775">
                  <c:v>12.14</c:v>
                </c:pt>
                <c:pt idx="776">
                  <c:v>12.09</c:v>
                </c:pt>
                <c:pt idx="777">
                  <c:v>12.07</c:v>
                </c:pt>
                <c:pt idx="778">
                  <c:v>12.03</c:v>
                </c:pt>
                <c:pt idx="779">
                  <c:v>12.03</c:v>
                </c:pt>
                <c:pt idx="780">
                  <c:v>12.02</c:v>
                </c:pt>
                <c:pt idx="781">
                  <c:v>12.09</c:v>
                </c:pt>
                <c:pt idx="782">
                  <c:v>12.12</c:v>
                </c:pt>
                <c:pt idx="783">
                  <c:v>12.21</c:v>
                </c:pt>
                <c:pt idx="784">
                  <c:v>12.25</c:v>
                </c:pt>
                <c:pt idx="785">
                  <c:v>12.28</c:v>
                </c:pt>
                <c:pt idx="786">
                  <c:v>12.25</c:v>
                </c:pt>
                <c:pt idx="787">
                  <c:v>12.24</c:v>
                </c:pt>
                <c:pt idx="788">
                  <c:v>12.22</c:v>
                </c:pt>
                <c:pt idx="789">
                  <c:v>12.18</c:v>
                </c:pt>
                <c:pt idx="790">
                  <c:v>12.12</c:v>
                </c:pt>
                <c:pt idx="791">
                  <c:v>12.09</c:v>
                </c:pt>
                <c:pt idx="792">
                  <c:v>12.05</c:v>
                </c:pt>
                <c:pt idx="793">
                  <c:v>12.1</c:v>
                </c:pt>
                <c:pt idx="794">
                  <c:v>12.13</c:v>
                </c:pt>
                <c:pt idx="795">
                  <c:v>12.18</c:v>
                </c:pt>
                <c:pt idx="796">
                  <c:v>12.23</c:v>
                </c:pt>
                <c:pt idx="797">
                  <c:v>12.26</c:v>
                </c:pt>
                <c:pt idx="798">
                  <c:v>12.27</c:v>
                </c:pt>
                <c:pt idx="799">
                  <c:v>12.26</c:v>
                </c:pt>
                <c:pt idx="800">
                  <c:v>12.27</c:v>
                </c:pt>
                <c:pt idx="801">
                  <c:v>12.21</c:v>
                </c:pt>
                <c:pt idx="802">
                  <c:v>12.18</c:v>
                </c:pt>
                <c:pt idx="803">
                  <c:v>12.12</c:v>
                </c:pt>
                <c:pt idx="804">
                  <c:v>12.1</c:v>
                </c:pt>
                <c:pt idx="805">
                  <c:v>12.11</c:v>
                </c:pt>
                <c:pt idx="806">
                  <c:v>12.11</c:v>
                </c:pt>
                <c:pt idx="807">
                  <c:v>12.13</c:v>
                </c:pt>
                <c:pt idx="808">
                  <c:v>12.19</c:v>
                </c:pt>
                <c:pt idx="809">
                  <c:v>12.22</c:v>
                </c:pt>
                <c:pt idx="810">
                  <c:v>12.26</c:v>
                </c:pt>
                <c:pt idx="811">
                  <c:v>12.28</c:v>
                </c:pt>
                <c:pt idx="812">
                  <c:v>12.28</c:v>
                </c:pt>
                <c:pt idx="813">
                  <c:v>12.26</c:v>
                </c:pt>
                <c:pt idx="814">
                  <c:v>12.22</c:v>
                </c:pt>
                <c:pt idx="815">
                  <c:v>12.19</c:v>
                </c:pt>
                <c:pt idx="816">
                  <c:v>12.16</c:v>
                </c:pt>
                <c:pt idx="817">
                  <c:v>12.11</c:v>
                </c:pt>
                <c:pt idx="818">
                  <c:v>12.12</c:v>
                </c:pt>
                <c:pt idx="819">
                  <c:v>12.15</c:v>
                </c:pt>
                <c:pt idx="820">
                  <c:v>12.16</c:v>
                </c:pt>
                <c:pt idx="821">
                  <c:v>12.22</c:v>
                </c:pt>
                <c:pt idx="822">
                  <c:v>12.25</c:v>
                </c:pt>
                <c:pt idx="823">
                  <c:v>12.26</c:v>
                </c:pt>
                <c:pt idx="824">
                  <c:v>12.25</c:v>
                </c:pt>
                <c:pt idx="825">
                  <c:v>12.23</c:v>
                </c:pt>
                <c:pt idx="826">
                  <c:v>12.24</c:v>
                </c:pt>
                <c:pt idx="827">
                  <c:v>12.19</c:v>
                </c:pt>
                <c:pt idx="828">
                  <c:v>12.18</c:v>
                </c:pt>
                <c:pt idx="829">
                  <c:v>12.15</c:v>
                </c:pt>
                <c:pt idx="830">
                  <c:v>12.1</c:v>
                </c:pt>
                <c:pt idx="831">
                  <c:v>12.1</c:v>
                </c:pt>
                <c:pt idx="832">
                  <c:v>12.14</c:v>
                </c:pt>
                <c:pt idx="833">
                  <c:v>12.19</c:v>
                </c:pt>
                <c:pt idx="834">
                  <c:v>12.2</c:v>
                </c:pt>
                <c:pt idx="835">
                  <c:v>12.21</c:v>
                </c:pt>
                <c:pt idx="836">
                  <c:v>12.27</c:v>
                </c:pt>
                <c:pt idx="837">
                  <c:v>12.26</c:v>
                </c:pt>
                <c:pt idx="838">
                  <c:v>12.24</c:v>
                </c:pt>
                <c:pt idx="839">
                  <c:v>12.23</c:v>
                </c:pt>
                <c:pt idx="840">
                  <c:v>12.21</c:v>
                </c:pt>
                <c:pt idx="841">
                  <c:v>12.19</c:v>
                </c:pt>
                <c:pt idx="842">
                  <c:v>12.14</c:v>
                </c:pt>
                <c:pt idx="843">
                  <c:v>12.13</c:v>
                </c:pt>
                <c:pt idx="844">
                  <c:v>12.14</c:v>
                </c:pt>
                <c:pt idx="845">
                  <c:v>12.17</c:v>
                </c:pt>
                <c:pt idx="846">
                  <c:v>12.21</c:v>
                </c:pt>
                <c:pt idx="847">
                  <c:v>12.24</c:v>
                </c:pt>
                <c:pt idx="848">
                  <c:v>12.24</c:v>
                </c:pt>
                <c:pt idx="849">
                  <c:v>12.27</c:v>
                </c:pt>
                <c:pt idx="850">
                  <c:v>12.24</c:v>
                </c:pt>
                <c:pt idx="851">
                  <c:v>12.23</c:v>
                </c:pt>
                <c:pt idx="852">
                  <c:v>12.19</c:v>
                </c:pt>
                <c:pt idx="853">
                  <c:v>12.19</c:v>
                </c:pt>
                <c:pt idx="854">
                  <c:v>12.16</c:v>
                </c:pt>
                <c:pt idx="855">
                  <c:v>12.13</c:v>
                </c:pt>
                <c:pt idx="856">
                  <c:v>12.12</c:v>
                </c:pt>
                <c:pt idx="857">
                  <c:v>12.15</c:v>
                </c:pt>
                <c:pt idx="858">
                  <c:v>12.15</c:v>
                </c:pt>
                <c:pt idx="859">
                  <c:v>12.18</c:v>
                </c:pt>
                <c:pt idx="860">
                  <c:v>12.21</c:v>
                </c:pt>
                <c:pt idx="861">
                  <c:v>12.23</c:v>
                </c:pt>
                <c:pt idx="862">
                  <c:v>12.26</c:v>
                </c:pt>
                <c:pt idx="863">
                  <c:v>12.22</c:v>
                </c:pt>
                <c:pt idx="864">
                  <c:v>12.23</c:v>
                </c:pt>
                <c:pt idx="865">
                  <c:v>12.19</c:v>
                </c:pt>
                <c:pt idx="866">
                  <c:v>12.19</c:v>
                </c:pt>
                <c:pt idx="867">
                  <c:v>12.15</c:v>
                </c:pt>
                <c:pt idx="868">
                  <c:v>12.12</c:v>
                </c:pt>
                <c:pt idx="869">
                  <c:v>12.1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常压阻尼温差01!$G$1</c:f>
              <c:strCache>
                <c:ptCount val="1"/>
                <c:pt idx="0">
                  <c:v>供电曲线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常压阻尼温差01!$E$2:$E$871</c:f>
              <c:strCache>
                <c:ptCount val="870"/>
                <c:pt idx="0">
                  <c:v>t</c:v>
                </c:pt>
                <c:pt idx="1" c:formatCode="0.00_);[Red]\(0.00\)">
                  <c:v>0.00 </c:v>
                </c:pt>
                <c:pt idx="2" c:formatCode="0.00_);[Red]\(0.00\)">
                  <c:v>0.05 </c:v>
                </c:pt>
                <c:pt idx="3" c:formatCode="0.00_);[Red]\(0.00\)">
                  <c:v>0.10 </c:v>
                </c:pt>
                <c:pt idx="4" c:formatCode="0.00_);[Red]\(0.00\)">
                  <c:v>0.15 </c:v>
                </c:pt>
                <c:pt idx="5" c:formatCode="0.00_);[Red]\(0.00\)">
                  <c:v>0.20 </c:v>
                </c:pt>
                <c:pt idx="6" c:formatCode="0.00_);[Red]\(0.00\)">
                  <c:v>0.25 </c:v>
                </c:pt>
                <c:pt idx="7" c:formatCode="0.00_);[Red]\(0.00\)">
                  <c:v>0.30 </c:v>
                </c:pt>
                <c:pt idx="8" c:formatCode="0.00_);[Red]\(0.00\)">
                  <c:v>0.35 </c:v>
                </c:pt>
                <c:pt idx="9" c:formatCode="0.00_);[Red]\(0.00\)">
                  <c:v>0.40 </c:v>
                </c:pt>
                <c:pt idx="10" c:formatCode="0.00_);[Red]\(0.00\)">
                  <c:v>0.45 </c:v>
                </c:pt>
                <c:pt idx="11" c:formatCode="0.00_);[Red]\(0.00\)">
                  <c:v>0.50 </c:v>
                </c:pt>
                <c:pt idx="12" c:formatCode="0.00_);[Red]\(0.00\)">
                  <c:v>0.55 </c:v>
                </c:pt>
                <c:pt idx="13" c:formatCode="0.00_);[Red]\(0.00\)">
                  <c:v>0.60 </c:v>
                </c:pt>
                <c:pt idx="14" c:formatCode="0.00_);[Red]\(0.00\)">
                  <c:v>0.65 </c:v>
                </c:pt>
                <c:pt idx="15" c:formatCode="0.00_);[Red]\(0.00\)">
                  <c:v>0.70 </c:v>
                </c:pt>
                <c:pt idx="16" c:formatCode="0.00_);[Red]\(0.00\)">
                  <c:v>0.75 </c:v>
                </c:pt>
                <c:pt idx="17" c:formatCode="0.00_);[Red]\(0.00\)">
                  <c:v>0.80 </c:v>
                </c:pt>
                <c:pt idx="18" c:formatCode="0.00_);[Red]\(0.00\)">
                  <c:v>0.85 </c:v>
                </c:pt>
                <c:pt idx="19" c:formatCode="0.00_);[Red]\(0.00\)">
                  <c:v>0.90 </c:v>
                </c:pt>
                <c:pt idx="20" c:formatCode="0.00_);[Red]\(0.00\)">
                  <c:v>0.95 </c:v>
                </c:pt>
                <c:pt idx="21" c:formatCode="0.00_);[Red]\(0.00\)">
                  <c:v>1.00 </c:v>
                </c:pt>
                <c:pt idx="22" c:formatCode="0.00_);[Red]\(0.00\)">
                  <c:v>1.05 </c:v>
                </c:pt>
                <c:pt idx="23" c:formatCode="0.00_);[Red]\(0.00\)">
                  <c:v>1.10 </c:v>
                </c:pt>
                <c:pt idx="24" c:formatCode="0.00_);[Red]\(0.00\)">
                  <c:v>1.15 </c:v>
                </c:pt>
                <c:pt idx="25" c:formatCode="0.00_);[Red]\(0.00\)">
                  <c:v>1.20 </c:v>
                </c:pt>
                <c:pt idx="26" c:formatCode="0.00_);[Red]\(0.00\)">
                  <c:v>1.25 </c:v>
                </c:pt>
                <c:pt idx="27" c:formatCode="0.00_);[Red]\(0.00\)">
                  <c:v>1.30 </c:v>
                </c:pt>
                <c:pt idx="28" c:formatCode="0.00_);[Red]\(0.00\)">
                  <c:v>1.35 </c:v>
                </c:pt>
                <c:pt idx="29" c:formatCode="0.00_);[Red]\(0.00\)">
                  <c:v>1.40 </c:v>
                </c:pt>
                <c:pt idx="30" c:formatCode="0.00_);[Red]\(0.00\)">
                  <c:v>1.45 </c:v>
                </c:pt>
                <c:pt idx="31" c:formatCode="0.00_);[Red]\(0.00\)">
                  <c:v>1.50 </c:v>
                </c:pt>
                <c:pt idx="32" c:formatCode="0.00_);[Red]\(0.00\)">
                  <c:v>1.55 </c:v>
                </c:pt>
                <c:pt idx="33" c:formatCode="0.00_);[Red]\(0.00\)">
                  <c:v>1.60 </c:v>
                </c:pt>
                <c:pt idx="34" c:formatCode="0.00_);[Red]\(0.00\)">
                  <c:v>1.65 </c:v>
                </c:pt>
                <c:pt idx="35" c:formatCode="0.00_);[Red]\(0.00\)">
                  <c:v>1.70 </c:v>
                </c:pt>
                <c:pt idx="36" c:formatCode="0.00_);[Red]\(0.00\)">
                  <c:v>1.75 </c:v>
                </c:pt>
                <c:pt idx="37" c:formatCode="0.00_);[Red]\(0.00\)">
                  <c:v>1.80 </c:v>
                </c:pt>
                <c:pt idx="38" c:formatCode="0.00_);[Red]\(0.00\)">
                  <c:v>1.85 </c:v>
                </c:pt>
                <c:pt idx="39" c:formatCode="0.00_);[Red]\(0.00\)">
                  <c:v>1.90 </c:v>
                </c:pt>
                <c:pt idx="40" c:formatCode="0.00_);[Red]\(0.00\)">
                  <c:v>1.95 </c:v>
                </c:pt>
                <c:pt idx="41" c:formatCode="0.00_);[Red]\(0.00\)">
                  <c:v>2.00 </c:v>
                </c:pt>
                <c:pt idx="42" c:formatCode="0.00_);[Red]\(0.00\)">
                  <c:v>2.05 </c:v>
                </c:pt>
                <c:pt idx="43" c:formatCode="0.00_);[Red]\(0.00\)">
                  <c:v>2.10 </c:v>
                </c:pt>
                <c:pt idx="44" c:formatCode="0.00_);[Red]\(0.00\)">
                  <c:v>2.15 </c:v>
                </c:pt>
                <c:pt idx="45" c:formatCode="0.00_);[Red]\(0.00\)">
                  <c:v>2.20 </c:v>
                </c:pt>
                <c:pt idx="46" c:formatCode="0.00_);[Red]\(0.00\)">
                  <c:v>2.25 </c:v>
                </c:pt>
                <c:pt idx="47" c:formatCode="0.00_);[Red]\(0.00\)">
                  <c:v>2.30 </c:v>
                </c:pt>
                <c:pt idx="48" c:formatCode="0.00_);[Red]\(0.00\)">
                  <c:v>2.35 </c:v>
                </c:pt>
                <c:pt idx="49" c:formatCode="0.00_);[Red]\(0.00\)">
                  <c:v>2.40 </c:v>
                </c:pt>
                <c:pt idx="50" c:formatCode="0.00_);[Red]\(0.00\)">
                  <c:v>2.45 </c:v>
                </c:pt>
                <c:pt idx="51" c:formatCode="0.00_);[Red]\(0.00\)">
                  <c:v>2.50 </c:v>
                </c:pt>
                <c:pt idx="52" c:formatCode="0.00_);[Red]\(0.00\)">
                  <c:v>2.55 </c:v>
                </c:pt>
                <c:pt idx="53" c:formatCode="0.00_);[Red]\(0.00\)">
                  <c:v>2.60 </c:v>
                </c:pt>
                <c:pt idx="54" c:formatCode="0.00_);[Red]\(0.00\)">
                  <c:v>2.65 </c:v>
                </c:pt>
                <c:pt idx="55" c:formatCode="0.00_);[Red]\(0.00\)">
                  <c:v>2.70 </c:v>
                </c:pt>
                <c:pt idx="56" c:formatCode="0.00_);[Red]\(0.00\)">
                  <c:v>2.75 </c:v>
                </c:pt>
                <c:pt idx="57" c:formatCode="0.00_);[Red]\(0.00\)">
                  <c:v>2.80 </c:v>
                </c:pt>
                <c:pt idx="58" c:formatCode="0.00_);[Red]\(0.00\)">
                  <c:v>2.85 </c:v>
                </c:pt>
                <c:pt idx="59" c:formatCode="0.00_);[Red]\(0.00\)">
                  <c:v>2.90 </c:v>
                </c:pt>
                <c:pt idx="60" c:formatCode="0.00_);[Red]\(0.00\)">
                  <c:v>2.95 </c:v>
                </c:pt>
                <c:pt idx="61" c:formatCode="0.00_);[Red]\(0.00\)">
                  <c:v>3.00 </c:v>
                </c:pt>
                <c:pt idx="62" c:formatCode="0.00_);[Red]\(0.00\)">
                  <c:v>3.05 </c:v>
                </c:pt>
                <c:pt idx="63" c:formatCode="0.00_);[Red]\(0.00\)">
                  <c:v>3.10 </c:v>
                </c:pt>
                <c:pt idx="64" c:formatCode="0.00_);[Red]\(0.00\)">
                  <c:v>3.15 </c:v>
                </c:pt>
                <c:pt idx="65" c:formatCode="0.00_);[Red]\(0.00\)">
                  <c:v>3.20 </c:v>
                </c:pt>
                <c:pt idx="66" c:formatCode="0.00_);[Red]\(0.00\)">
                  <c:v>3.25 </c:v>
                </c:pt>
                <c:pt idx="67" c:formatCode="0.00_);[Red]\(0.00\)">
                  <c:v>3.30 </c:v>
                </c:pt>
                <c:pt idx="68" c:formatCode="0.00_);[Red]\(0.00\)">
                  <c:v>3.35 </c:v>
                </c:pt>
                <c:pt idx="69" c:formatCode="0.00_);[Red]\(0.00\)">
                  <c:v>3.40 </c:v>
                </c:pt>
                <c:pt idx="70" c:formatCode="0.00_);[Red]\(0.00\)">
                  <c:v>3.45 </c:v>
                </c:pt>
                <c:pt idx="71" c:formatCode="0.00_);[Red]\(0.00\)">
                  <c:v>3.50 </c:v>
                </c:pt>
                <c:pt idx="72" c:formatCode="0.00_);[Red]\(0.00\)">
                  <c:v>3.55 </c:v>
                </c:pt>
                <c:pt idx="73" c:formatCode="0.00_);[Red]\(0.00\)">
                  <c:v>3.60 </c:v>
                </c:pt>
                <c:pt idx="74" c:formatCode="0.00_);[Red]\(0.00\)">
                  <c:v>3.65 </c:v>
                </c:pt>
                <c:pt idx="75" c:formatCode="0.00_);[Red]\(0.00\)">
                  <c:v>3.70 </c:v>
                </c:pt>
                <c:pt idx="76" c:formatCode="0.00_);[Red]\(0.00\)">
                  <c:v>3.75 </c:v>
                </c:pt>
                <c:pt idx="77" c:formatCode="0.00_);[Red]\(0.00\)">
                  <c:v>3.80 </c:v>
                </c:pt>
                <c:pt idx="78" c:formatCode="0.00_);[Red]\(0.00\)">
                  <c:v>3.85 </c:v>
                </c:pt>
                <c:pt idx="79" c:formatCode="0.00_);[Red]\(0.00\)">
                  <c:v>3.90 </c:v>
                </c:pt>
                <c:pt idx="80" c:formatCode="0.00_);[Red]\(0.00\)">
                  <c:v>3.95 </c:v>
                </c:pt>
                <c:pt idx="81" c:formatCode="0.00_);[Red]\(0.00\)">
                  <c:v>4.00 </c:v>
                </c:pt>
                <c:pt idx="82" c:formatCode="0.00_);[Red]\(0.00\)">
                  <c:v>4.05 </c:v>
                </c:pt>
                <c:pt idx="83" c:formatCode="0.00_);[Red]\(0.00\)">
                  <c:v>4.10 </c:v>
                </c:pt>
                <c:pt idx="84" c:formatCode="0.00_);[Red]\(0.00\)">
                  <c:v>4.15 </c:v>
                </c:pt>
                <c:pt idx="85" c:formatCode="0.00_);[Red]\(0.00\)">
                  <c:v>4.20 </c:v>
                </c:pt>
                <c:pt idx="86" c:formatCode="0.00_);[Red]\(0.00\)">
                  <c:v>4.25 </c:v>
                </c:pt>
                <c:pt idx="87" c:formatCode="0.00_);[Red]\(0.00\)">
                  <c:v>4.30 </c:v>
                </c:pt>
                <c:pt idx="88" c:formatCode="0.00_);[Red]\(0.00\)">
                  <c:v>4.35 </c:v>
                </c:pt>
                <c:pt idx="89" c:formatCode="0.00_);[Red]\(0.00\)">
                  <c:v>4.40 </c:v>
                </c:pt>
                <c:pt idx="90" c:formatCode="0.00_);[Red]\(0.00\)">
                  <c:v>4.45 </c:v>
                </c:pt>
                <c:pt idx="91" c:formatCode="0.00_);[Red]\(0.00\)">
                  <c:v>4.50 </c:v>
                </c:pt>
                <c:pt idx="92" c:formatCode="0.00_);[Red]\(0.00\)">
                  <c:v>4.55 </c:v>
                </c:pt>
                <c:pt idx="93" c:formatCode="0.00_);[Red]\(0.00\)">
                  <c:v>4.60 </c:v>
                </c:pt>
                <c:pt idx="94" c:formatCode="0.00_);[Red]\(0.00\)">
                  <c:v>4.65 </c:v>
                </c:pt>
                <c:pt idx="95" c:formatCode="0.00_);[Red]\(0.00\)">
                  <c:v>4.70 </c:v>
                </c:pt>
                <c:pt idx="96" c:formatCode="0.00_);[Red]\(0.00\)">
                  <c:v>4.75 </c:v>
                </c:pt>
                <c:pt idx="97" c:formatCode="0.00_);[Red]\(0.00\)">
                  <c:v>4.80 </c:v>
                </c:pt>
                <c:pt idx="98" c:formatCode="0.00_);[Red]\(0.00\)">
                  <c:v>4.85 </c:v>
                </c:pt>
                <c:pt idx="99" c:formatCode="0.00_);[Red]\(0.00\)">
                  <c:v>4.90 </c:v>
                </c:pt>
                <c:pt idx="100" c:formatCode="0.00_);[Red]\(0.00\)">
                  <c:v>4.95 </c:v>
                </c:pt>
                <c:pt idx="101" c:formatCode="0.00_);[Red]\(0.00\)">
                  <c:v>5.00 </c:v>
                </c:pt>
                <c:pt idx="102" c:formatCode="0.00_);[Red]\(0.00\)">
                  <c:v>5.05 </c:v>
                </c:pt>
                <c:pt idx="103" c:formatCode="0.00_);[Red]\(0.00\)">
                  <c:v>5.10 </c:v>
                </c:pt>
                <c:pt idx="104" c:formatCode="0.00_);[Red]\(0.00\)">
                  <c:v>5.15 </c:v>
                </c:pt>
                <c:pt idx="105" c:formatCode="0.00_);[Red]\(0.00\)">
                  <c:v>5.20 </c:v>
                </c:pt>
                <c:pt idx="106" c:formatCode="0.00_);[Red]\(0.00\)">
                  <c:v>5.25 </c:v>
                </c:pt>
                <c:pt idx="107" c:formatCode="0.00_);[Red]\(0.00\)">
                  <c:v>5.30 </c:v>
                </c:pt>
                <c:pt idx="108" c:formatCode="0.00_);[Red]\(0.00\)">
                  <c:v>5.35 </c:v>
                </c:pt>
                <c:pt idx="109" c:formatCode="0.00_);[Red]\(0.00\)">
                  <c:v>5.40 </c:v>
                </c:pt>
                <c:pt idx="110" c:formatCode="0.00_);[Red]\(0.00\)">
                  <c:v>5.45 </c:v>
                </c:pt>
                <c:pt idx="111" c:formatCode="0.00_);[Red]\(0.00\)">
                  <c:v>5.50 </c:v>
                </c:pt>
                <c:pt idx="112" c:formatCode="0.00_);[Red]\(0.00\)">
                  <c:v>5.55 </c:v>
                </c:pt>
                <c:pt idx="113" c:formatCode="0.00_);[Red]\(0.00\)">
                  <c:v>5.60 </c:v>
                </c:pt>
                <c:pt idx="114" c:formatCode="0.00_);[Red]\(0.00\)">
                  <c:v>5.65 </c:v>
                </c:pt>
                <c:pt idx="115" c:formatCode="0.00_);[Red]\(0.00\)">
                  <c:v>5.70 </c:v>
                </c:pt>
                <c:pt idx="116" c:formatCode="0.00_);[Red]\(0.00\)">
                  <c:v>5.75 </c:v>
                </c:pt>
                <c:pt idx="117" c:formatCode="0.00_);[Red]\(0.00\)">
                  <c:v>5.80 </c:v>
                </c:pt>
                <c:pt idx="118" c:formatCode="0.00_);[Red]\(0.00\)">
                  <c:v>5.85 </c:v>
                </c:pt>
                <c:pt idx="119" c:formatCode="0.00_);[Red]\(0.00\)">
                  <c:v>5.90 </c:v>
                </c:pt>
                <c:pt idx="120" c:formatCode="0.00_);[Red]\(0.00\)">
                  <c:v>5.95 </c:v>
                </c:pt>
                <c:pt idx="121" c:formatCode="0.00_);[Red]\(0.00\)">
                  <c:v>6.00 </c:v>
                </c:pt>
                <c:pt idx="122" c:formatCode="0.00_);[Red]\(0.00\)">
                  <c:v>6.05 </c:v>
                </c:pt>
                <c:pt idx="123" c:formatCode="0.00_);[Red]\(0.00\)">
                  <c:v>6.10 </c:v>
                </c:pt>
                <c:pt idx="124" c:formatCode="0.00_);[Red]\(0.00\)">
                  <c:v>6.15 </c:v>
                </c:pt>
                <c:pt idx="125" c:formatCode="0.00_);[Red]\(0.00\)">
                  <c:v>6.20 </c:v>
                </c:pt>
                <c:pt idx="126" c:formatCode="0.00_);[Red]\(0.00\)">
                  <c:v>6.25 </c:v>
                </c:pt>
                <c:pt idx="127" c:formatCode="0.00_);[Red]\(0.00\)">
                  <c:v>6.30 </c:v>
                </c:pt>
                <c:pt idx="128" c:formatCode="0.00_);[Red]\(0.00\)">
                  <c:v>6.35 </c:v>
                </c:pt>
                <c:pt idx="129" c:formatCode="0.00_);[Red]\(0.00\)">
                  <c:v>6.40 </c:v>
                </c:pt>
                <c:pt idx="130" c:formatCode="0.00_);[Red]\(0.00\)">
                  <c:v>6.45 </c:v>
                </c:pt>
                <c:pt idx="131" c:formatCode="0.00_);[Red]\(0.00\)">
                  <c:v>6.50 </c:v>
                </c:pt>
                <c:pt idx="132" c:formatCode="0.00_);[Red]\(0.00\)">
                  <c:v>6.55 </c:v>
                </c:pt>
                <c:pt idx="133" c:formatCode="0.00_);[Red]\(0.00\)">
                  <c:v>6.60 </c:v>
                </c:pt>
                <c:pt idx="134" c:formatCode="0.00_);[Red]\(0.00\)">
                  <c:v>6.65 </c:v>
                </c:pt>
                <c:pt idx="135" c:formatCode="0.00_);[Red]\(0.00\)">
                  <c:v>6.70 </c:v>
                </c:pt>
                <c:pt idx="136" c:formatCode="0.00_);[Red]\(0.00\)">
                  <c:v>6.75 </c:v>
                </c:pt>
                <c:pt idx="137" c:formatCode="0.00_);[Red]\(0.00\)">
                  <c:v>6.80 </c:v>
                </c:pt>
                <c:pt idx="138" c:formatCode="0.00_);[Red]\(0.00\)">
                  <c:v>6.85 </c:v>
                </c:pt>
                <c:pt idx="139" c:formatCode="0.00_);[Red]\(0.00\)">
                  <c:v>6.90 </c:v>
                </c:pt>
                <c:pt idx="140" c:formatCode="0.00_);[Red]\(0.00\)">
                  <c:v>6.95 </c:v>
                </c:pt>
                <c:pt idx="141" c:formatCode="0.00_);[Red]\(0.00\)">
                  <c:v>7.00 </c:v>
                </c:pt>
                <c:pt idx="142" c:formatCode="0.00_);[Red]\(0.00\)">
                  <c:v>7.05 </c:v>
                </c:pt>
                <c:pt idx="143" c:formatCode="0.00_);[Red]\(0.00\)">
                  <c:v>7.10 </c:v>
                </c:pt>
                <c:pt idx="144" c:formatCode="0.00_);[Red]\(0.00\)">
                  <c:v>7.15 </c:v>
                </c:pt>
                <c:pt idx="145" c:formatCode="0.00_);[Red]\(0.00\)">
                  <c:v>7.20 </c:v>
                </c:pt>
                <c:pt idx="146" c:formatCode="0.00_);[Red]\(0.00\)">
                  <c:v>7.25 </c:v>
                </c:pt>
                <c:pt idx="147" c:formatCode="0.00_);[Red]\(0.00\)">
                  <c:v>7.30 </c:v>
                </c:pt>
                <c:pt idx="148" c:formatCode="0.00_);[Red]\(0.00\)">
                  <c:v>7.35 </c:v>
                </c:pt>
                <c:pt idx="149" c:formatCode="0.00_);[Red]\(0.00\)">
                  <c:v>7.40 </c:v>
                </c:pt>
                <c:pt idx="150" c:formatCode="0.00_);[Red]\(0.00\)">
                  <c:v>7.45 </c:v>
                </c:pt>
                <c:pt idx="151" c:formatCode="0.00_);[Red]\(0.00\)">
                  <c:v>7.50 </c:v>
                </c:pt>
                <c:pt idx="152" c:formatCode="0.00_);[Red]\(0.00\)">
                  <c:v>7.55 </c:v>
                </c:pt>
                <c:pt idx="153" c:formatCode="0.00_);[Red]\(0.00\)">
                  <c:v>7.60 </c:v>
                </c:pt>
                <c:pt idx="154" c:formatCode="0.00_);[Red]\(0.00\)">
                  <c:v>7.65 </c:v>
                </c:pt>
                <c:pt idx="155" c:formatCode="0.00_);[Red]\(0.00\)">
                  <c:v>7.70 </c:v>
                </c:pt>
                <c:pt idx="156" c:formatCode="0.00_);[Red]\(0.00\)">
                  <c:v>7.75 </c:v>
                </c:pt>
                <c:pt idx="157" c:formatCode="0.00_);[Red]\(0.00\)">
                  <c:v>7.80 </c:v>
                </c:pt>
                <c:pt idx="158" c:formatCode="0.00_);[Red]\(0.00\)">
                  <c:v>7.85 </c:v>
                </c:pt>
                <c:pt idx="159" c:formatCode="0.00_);[Red]\(0.00\)">
                  <c:v>7.90 </c:v>
                </c:pt>
                <c:pt idx="160" c:formatCode="0.00_);[Red]\(0.00\)">
                  <c:v>7.95 </c:v>
                </c:pt>
                <c:pt idx="161" c:formatCode="0.00_);[Red]\(0.00\)">
                  <c:v>8.00 </c:v>
                </c:pt>
                <c:pt idx="162" c:formatCode="0.00_);[Red]\(0.00\)">
                  <c:v>8.05 </c:v>
                </c:pt>
                <c:pt idx="163" c:formatCode="0.00_);[Red]\(0.00\)">
                  <c:v>8.10 </c:v>
                </c:pt>
                <c:pt idx="164" c:formatCode="0.00_);[Red]\(0.00\)">
                  <c:v>8.15 </c:v>
                </c:pt>
                <c:pt idx="165" c:formatCode="0.00_);[Red]\(0.00\)">
                  <c:v>8.20 </c:v>
                </c:pt>
                <c:pt idx="166" c:formatCode="0.00_);[Red]\(0.00\)">
                  <c:v>8.25 </c:v>
                </c:pt>
                <c:pt idx="167" c:formatCode="0.00_);[Red]\(0.00\)">
                  <c:v>8.30 </c:v>
                </c:pt>
                <c:pt idx="168" c:formatCode="0.00_);[Red]\(0.00\)">
                  <c:v>8.35 </c:v>
                </c:pt>
                <c:pt idx="169" c:formatCode="0.00_);[Red]\(0.00\)">
                  <c:v>8.40 </c:v>
                </c:pt>
                <c:pt idx="170" c:formatCode="0.00_);[Red]\(0.00\)">
                  <c:v>8.45 </c:v>
                </c:pt>
                <c:pt idx="171" c:formatCode="0.00_);[Red]\(0.00\)">
                  <c:v>8.50 </c:v>
                </c:pt>
                <c:pt idx="172" c:formatCode="0.00_);[Red]\(0.00\)">
                  <c:v>8.55 </c:v>
                </c:pt>
                <c:pt idx="173" c:formatCode="0.00_);[Red]\(0.00\)">
                  <c:v>8.60 </c:v>
                </c:pt>
                <c:pt idx="174" c:formatCode="0.00_);[Red]\(0.00\)">
                  <c:v>8.65 </c:v>
                </c:pt>
                <c:pt idx="175" c:formatCode="0.00_);[Red]\(0.00\)">
                  <c:v>8.70 </c:v>
                </c:pt>
                <c:pt idx="176" c:formatCode="0.00_);[Red]\(0.00\)">
                  <c:v>8.75 </c:v>
                </c:pt>
                <c:pt idx="177" c:formatCode="0.00_);[Red]\(0.00\)">
                  <c:v>8.80 </c:v>
                </c:pt>
                <c:pt idx="178" c:formatCode="0.00_);[Red]\(0.00\)">
                  <c:v>8.85 </c:v>
                </c:pt>
                <c:pt idx="179" c:formatCode="0.00_);[Red]\(0.00\)">
                  <c:v>8.90 </c:v>
                </c:pt>
                <c:pt idx="180" c:formatCode="0.00_);[Red]\(0.00\)">
                  <c:v>8.95 </c:v>
                </c:pt>
                <c:pt idx="181" c:formatCode="0.00_);[Red]\(0.00\)">
                  <c:v>9.00 </c:v>
                </c:pt>
                <c:pt idx="182" c:formatCode="0.00_);[Red]\(0.00\)">
                  <c:v>9.05 </c:v>
                </c:pt>
                <c:pt idx="183" c:formatCode="0.00_);[Red]\(0.00\)">
                  <c:v>9.10 </c:v>
                </c:pt>
                <c:pt idx="184" c:formatCode="0.00_);[Red]\(0.00\)">
                  <c:v>9.15 </c:v>
                </c:pt>
                <c:pt idx="185" c:formatCode="0.00_);[Red]\(0.00\)">
                  <c:v>9.20 </c:v>
                </c:pt>
                <c:pt idx="186" c:formatCode="0.00_);[Red]\(0.00\)">
                  <c:v>9.25 </c:v>
                </c:pt>
                <c:pt idx="187" c:formatCode="0.00_);[Red]\(0.00\)">
                  <c:v>9.30 </c:v>
                </c:pt>
                <c:pt idx="188" c:formatCode="0.00_);[Red]\(0.00\)">
                  <c:v>9.35 </c:v>
                </c:pt>
                <c:pt idx="189" c:formatCode="0.00_);[Red]\(0.00\)">
                  <c:v>9.40 </c:v>
                </c:pt>
                <c:pt idx="190" c:formatCode="0.00_);[Red]\(0.00\)">
                  <c:v>9.45 </c:v>
                </c:pt>
                <c:pt idx="191" c:formatCode="0.00_);[Red]\(0.00\)">
                  <c:v>9.50 </c:v>
                </c:pt>
                <c:pt idx="192" c:formatCode="0.00_);[Red]\(0.00\)">
                  <c:v>9.55 </c:v>
                </c:pt>
                <c:pt idx="193" c:formatCode="0.00_);[Red]\(0.00\)">
                  <c:v>9.60 </c:v>
                </c:pt>
                <c:pt idx="194" c:formatCode="0.00_);[Red]\(0.00\)">
                  <c:v>9.65 </c:v>
                </c:pt>
                <c:pt idx="195" c:formatCode="0.00_);[Red]\(0.00\)">
                  <c:v>9.70 </c:v>
                </c:pt>
                <c:pt idx="196" c:formatCode="0.00_);[Red]\(0.00\)">
                  <c:v>9.75 </c:v>
                </c:pt>
                <c:pt idx="197" c:formatCode="0.00_);[Red]\(0.00\)">
                  <c:v>9.80 </c:v>
                </c:pt>
                <c:pt idx="198" c:formatCode="0.00_);[Red]\(0.00\)">
                  <c:v>9.85 </c:v>
                </c:pt>
                <c:pt idx="199" c:formatCode="0.00_);[Red]\(0.00\)">
                  <c:v>9.90 </c:v>
                </c:pt>
                <c:pt idx="200" c:formatCode="0.00_);[Red]\(0.00\)">
                  <c:v>9.95 </c:v>
                </c:pt>
                <c:pt idx="201" c:formatCode="0.00_);[Red]\(0.00\)">
                  <c:v>10.00 </c:v>
                </c:pt>
                <c:pt idx="202" c:formatCode="0.00_);[Red]\(0.00\)">
                  <c:v>10.05 </c:v>
                </c:pt>
                <c:pt idx="203" c:formatCode="0.00_);[Red]\(0.00\)">
                  <c:v>10.10 </c:v>
                </c:pt>
                <c:pt idx="204" c:formatCode="0.00_);[Red]\(0.00\)">
                  <c:v>10.15 </c:v>
                </c:pt>
                <c:pt idx="205" c:formatCode="0.00_);[Red]\(0.00\)">
                  <c:v>10.20 </c:v>
                </c:pt>
                <c:pt idx="206" c:formatCode="0.00_);[Red]\(0.00\)">
                  <c:v>10.25 </c:v>
                </c:pt>
                <c:pt idx="207" c:formatCode="0.00_);[Red]\(0.00\)">
                  <c:v>10.30 </c:v>
                </c:pt>
                <c:pt idx="208" c:formatCode="0.00_);[Red]\(0.00\)">
                  <c:v>10.35 </c:v>
                </c:pt>
                <c:pt idx="209" c:formatCode="0.00_);[Red]\(0.00\)">
                  <c:v>10.40 </c:v>
                </c:pt>
                <c:pt idx="210" c:formatCode="0.00_);[Red]\(0.00\)">
                  <c:v>10.45 </c:v>
                </c:pt>
                <c:pt idx="211" c:formatCode="0.00_);[Red]\(0.00\)">
                  <c:v>10.50 </c:v>
                </c:pt>
                <c:pt idx="212" c:formatCode="0.00_);[Red]\(0.00\)">
                  <c:v>10.55 </c:v>
                </c:pt>
                <c:pt idx="213" c:formatCode="0.00_);[Red]\(0.00\)">
                  <c:v>10.60 </c:v>
                </c:pt>
                <c:pt idx="214" c:formatCode="0.00_);[Red]\(0.00\)">
                  <c:v>10.65 </c:v>
                </c:pt>
                <c:pt idx="215" c:formatCode="0.00_);[Red]\(0.00\)">
                  <c:v>10.70 </c:v>
                </c:pt>
                <c:pt idx="216" c:formatCode="0.00_);[Red]\(0.00\)">
                  <c:v>10.75 </c:v>
                </c:pt>
                <c:pt idx="217" c:formatCode="0.00_);[Red]\(0.00\)">
                  <c:v>10.80 </c:v>
                </c:pt>
                <c:pt idx="218" c:formatCode="0.00_);[Red]\(0.00\)">
                  <c:v>10.85 </c:v>
                </c:pt>
                <c:pt idx="219" c:formatCode="0.00_);[Red]\(0.00\)">
                  <c:v>10.90 </c:v>
                </c:pt>
                <c:pt idx="220" c:formatCode="0.00_);[Red]\(0.00\)">
                  <c:v>10.95 </c:v>
                </c:pt>
                <c:pt idx="221" c:formatCode="0.00_);[Red]\(0.00\)">
                  <c:v>11.00 </c:v>
                </c:pt>
                <c:pt idx="222" c:formatCode="0.00_);[Red]\(0.00\)">
                  <c:v>11.05 </c:v>
                </c:pt>
                <c:pt idx="223" c:formatCode="0.00_);[Red]\(0.00\)">
                  <c:v>11.10 </c:v>
                </c:pt>
                <c:pt idx="224" c:formatCode="0.00_);[Red]\(0.00\)">
                  <c:v>11.15 </c:v>
                </c:pt>
                <c:pt idx="225" c:formatCode="0.00_);[Red]\(0.00\)">
                  <c:v>11.20 </c:v>
                </c:pt>
                <c:pt idx="226" c:formatCode="0.00_);[Red]\(0.00\)">
                  <c:v>11.25 </c:v>
                </c:pt>
                <c:pt idx="227" c:formatCode="0.00_);[Red]\(0.00\)">
                  <c:v>11.30 </c:v>
                </c:pt>
                <c:pt idx="228" c:formatCode="0.00_);[Red]\(0.00\)">
                  <c:v>11.35 </c:v>
                </c:pt>
                <c:pt idx="229" c:formatCode="0.00_);[Red]\(0.00\)">
                  <c:v>11.40 </c:v>
                </c:pt>
                <c:pt idx="230" c:formatCode="0.00_);[Red]\(0.00\)">
                  <c:v>11.45 </c:v>
                </c:pt>
                <c:pt idx="231" c:formatCode="0.00_);[Red]\(0.00\)">
                  <c:v>11.50 </c:v>
                </c:pt>
                <c:pt idx="232" c:formatCode="0.00_);[Red]\(0.00\)">
                  <c:v>11.55 </c:v>
                </c:pt>
                <c:pt idx="233" c:formatCode="0.00_);[Red]\(0.00\)">
                  <c:v>11.60 </c:v>
                </c:pt>
                <c:pt idx="234" c:formatCode="0.00_);[Red]\(0.00\)">
                  <c:v>11.65 </c:v>
                </c:pt>
                <c:pt idx="235" c:formatCode="0.00_);[Red]\(0.00\)">
                  <c:v>11.70 </c:v>
                </c:pt>
                <c:pt idx="236" c:formatCode="0.00_);[Red]\(0.00\)">
                  <c:v>11.75 </c:v>
                </c:pt>
                <c:pt idx="237" c:formatCode="0.00_);[Red]\(0.00\)">
                  <c:v>11.80 </c:v>
                </c:pt>
                <c:pt idx="238" c:formatCode="0.00_);[Red]\(0.00\)">
                  <c:v>11.85 </c:v>
                </c:pt>
                <c:pt idx="239" c:formatCode="0.00_);[Red]\(0.00\)">
                  <c:v>11.90 </c:v>
                </c:pt>
                <c:pt idx="240" c:formatCode="0.00_);[Red]\(0.00\)">
                  <c:v>11.95 </c:v>
                </c:pt>
                <c:pt idx="241" c:formatCode="0.00_);[Red]\(0.00\)">
                  <c:v>12.00 </c:v>
                </c:pt>
                <c:pt idx="242" c:formatCode="0.00_);[Red]\(0.00\)">
                  <c:v>12.05 </c:v>
                </c:pt>
                <c:pt idx="243" c:formatCode="0.00_);[Red]\(0.00\)">
                  <c:v>12.10 </c:v>
                </c:pt>
                <c:pt idx="244" c:formatCode="0.00_);[Red]\(0.00\)">
                  <c:v>12.15 </c:v>
                </c:pt>
                <c:pt idx="245" c:formatCode="0.00_);[Red]\(0.00\)">
                  <c:v>12.20 </c:v>
                </c:pt>
                <c:pt idx="246" c:formatCode="0.00_);[Red]\(0.00\)">
                  <c:v>12.25 </c:v>
                </c:pt>
                <c:pt idx="247" c:formatCode="0.00_);[Red]\(0.00\)">
                  <c:v>12.30 </c:v>
                </c:pt>
                <c:pt idx="248" c:formatCode="0.00_);[Red]\(0.00\)">
                  <c:v>12.35 </c:v>
                </c:pt>
                <c:pt idx="249" c:formatCode="0.00_);[Red]\(0.00\)">
                  <c:v>12.40 </c:v>
                </c:pt>
                <c:pt idx="250" c:formatCode="0.00_);[Red]\(0.00\)">
                  <c:v>12.45 </c:v>
                </c:pt>
                <c:pt idx="251" c:formatCode="0.00_);[Red]\(0.00\)">
                  <c:v>12.50 </c:v>
                </c:pt>
                <c:pt idx="252" c:formatCode="0.00_);[Red]\(0.00\)">
                  <c:v>12.55 </c:v>
                </c:pt>
                <c:pt idx="253" c:formatCode="0.00_);[Red]\(0.00\)">
                  <c:v>12.60 </c:v>
                </c:pt>
                <c:pt idx="254" c:formatCode="0.00_);[Red]\(0.00\)">
                  <c:v>12.65 </c:v>
                </c:pt>
                <c:pt idx="255" c:formatCode="0.00_);[Red]\(0.00\)">
                  <c:v>12.70 </c:v>
                </c:pt>
                <c:pt idx="256" c:formatCode="0.00_);[Red]\(0.00\)">
                  <c:v>12.75 </c:v>
                </c:pt>
                <c:pt idx="257" c:formatCode="0.00_);[Red]\(0.00\)">
                  <c:v>12.80 </c:v>
                </c:pt>
                <c:pt idx="258" c:formatCode="0.00_);[Red]\(0.00\)">
                  <c:v>12.85 </c:v>
                </c:pt>
                <c:pt idx="259" c:formatCode="0.00_);[Red]\(0.00\)">
                  <c:v>12.90 </c:v>
                </c:pt>
                <c:pt idx="260" c:formatCode="0.00_);[Red]\(0.00\)">
                  <c:v>12.95 </c:v>
                </c:pt>
                <c:pt idx="261" c:formatCode="0.00_);[Red]\(0.00\)">
                  <c:v>13.00 </c:v>
                </c:pt>
                <c:pt idx="262" c:formatCode="0.00_);[Red]\(0.00\)">
                  <c:v>13.05 </c:v>
                </c:pt>
                <c:pt idx="263" c:formatCode="0.00_);[Red]\(0.00\)">
                  <c:v>13.10 </c:v>
                </c:pt>
                <c:pt idx="264" c:formatCode="0.00_);[Red]\(0.00\)">
                  <c:v>13.15 </c:v>
                </c:pt>
                <c:pt idx="265" c:formatCode="0.00_);[Red]\(0.00\)">
                  <c:v>13.20 </c:v>
                </c:pt>
                <c:pt idx="266" c:formatCode="0.00_);[Red]\(0.00\)">
                  <c:v>13.25 </c:v>
                </c:pt>
                <c:pt idx="267" c:formatCode="0.00_);[Red]\(0.00\)">
                  <c:v>13.30 </c:v>
                </c:pt>
                <c:pt idx="268" c:formatCode="0.00_);[Red]\(0.00\)">
                  <c:v>13.35 </c:v>
                </c:pt>
                <c:pt idx="269" c:formatCode="0.00_);[Red]\(0.00\)">
                  <c:v>13.40 </c:v>
                </c:pt>
                <c:pt idx="270" c:formatCode="0.00_);[Red]\(0.00\)">
                  <c:v>13.45 </c:v>
                </c:pt>
                <c:pt idx="271" c:formatCode="0.00_);[Red]\(0.00\)">
                  <c:v>13.50 </c:v>
                </c:pt>
                <c:pt idx="272" c:formatCode="0.00_);[Red]\(0.00\)">
                  <c:v>13.55 </c:v>
                </c:pt>
                <c:pt idx="273" c:formatCode="0.00_);[Red]\(0.00\)">
                  <c:v>13.60 </c:v>
                </c:pt>
                <c:pt idx="274" c:formatCode="0.00_);[Red]\(0.00\)">
                  <c:v>13.65 </c:v>
                </c:pt>
                <c:pt idx="275" c:formatCode="0.00_);[Red]\(0.00\)">
                  <c:v>13.70 </c:v>
                </c:pt>
                <c:pt idx="276" c:formatCode="0.00_);[Red]\(0.00\)">
                  <c:v>13.75 </c:v>
                </c:pt>
                <c:pt idx="277" c:formatCode="0.00_);[Red]\(0.00\)">
                  <c:v>13.80 </c:v>
                </c:pt>
                <c:pt idx="278" c:formatCode="0.00_);[Red]\(0.00\)">
                  <c:v>13.85 </c:v>
                </c:pt>
                <c:pt idx="279" c:formatCode="0.00_);[Red]\(0.00\)">
                  <c:v>13.90 </c:v>
                </c:pt>
                <c:pt idx="280" c:formatCode="0.00_);[Red]\(0.00\)">
                  <c:v>13.95 </c:v>
                </c:pt>
                <c:pt idx="281" c:formatCode="0.00_);[Red]\(0.00\)">
                  <c:v>14.00 </c:v>
                </c:pt>
                <c:pt idx="282" c:formatCode="0.00_);[Red]\(0.00\)">
                  <c:v>14.05 </c:v>
                </c:pt>
                <c:pt idx="283" c:formatCode="0.00_);[Red]\(0.00\)">
                  <c:v>14.10 </c:v>
                </c:pt>
                <c:pt idx="284" c:formatCode="0.00_);[Red]\(0.00\)">
                  <c:v>14.15 </c:v>
                </c:pt>
                <c:pt idx="285" c:formatCode="0.00_);[Red]\(0.00\)">
                  <c:v>14.20 </c:v>
                </c:pt>
                <c:pt idx="286" c:formatCode="0.00_);[Red]\(0.00\)">
                  <c:v>14.25 </c:v>
                </c:pt>
                <c:pt idx="287" c:formatCode="0.00_);[Red]\(0.00\)">
                  <c:v>14.30 </c:v>
                </c:pt>
                <c:pt idx="288" c:formatCode="0.00_);[Red]\(0.00\)">
                  <c:v>14.35 </c:v>
                </c:pt>
                <c:pt idx="289" c:formatCode="0.00_);[Red]\(0.00\)">
                  <c:v>14.40 </c:v>
                </c:pt>
                <c:pt idx="290" c:formatCode="0.00_);[Red]\(0.00\)">
                  <c:v>14.45 </c:v>
                </c:pt>
                <c:pt idx="291" c:formatCode="0.00_);[Red]\(0.00\)">
                  <c:v>14.50 </c:v>
                </c:pt>
                <c:pt idx="292" c:formatCode="0.00_);[Red]\(0.00\)">
                  <c:v>14.55 </c:v>
                </c:pt>
                <c:pt idx="293" c:formatCode="0.00_);[Red]\(0.00\)">
                  <c:v>14.60 </c:v>
                </c:pt>
                <c:pt idx="294" c:formatCode="0.00_);[Red]\(0.00\)">
                  <c:v>14.65 </c:v>
                </c:pt>
                <c:pt idx="295" c:formatCode="0.00_);[Red]\(0.00\)">
                  <c:v>14.70 </c:v>
                </c:pt>
                <c:pt idx="296" c:formatCode="0.00_);[Red]\(0.00\)">
                  <c:v>14.75 </c:v>
                </c:pt>
                <c:pt idx="297" c:formatCode="0.00_);[Red]\(0.00\)">
                  <c:v>14.80 </c:v>
                </c:pt>
                <c:pt idx="298" c:formatCode="0.00_);[Red]\(0.00\)">
                  <c:v>14.85 </c:v>
                </c:pt>
                <c:pt idx="299" c:formatCode="0.00_);[Red]\(0.00\)">
                  <c:v>14.90 </c:v>
                </c:pt>
                <c:pt idx="300" c:formatCode="0.00_);[Red]\(0.00\)">
                  <c:v>14.95 </c:v>
                </c:pt>
                <c:pt idx="301" c:formatCode="0.00_);[Red]\(0.00\)">
                  <c:v>15.00 </c:v>
                </c:pt>
                <c:pt idx="302" c:formatCode="0.00_);[Red]\(0.00\)">
                  <c:v>15.05 </c:v>
                </c:pt>
                <c:pt idx="303" c:formatCode="0.00_);[Red]\(0.00\)">
                  <c:v>15.10 </c:v>
                </c:pt>
                <c:pt idx="304" c:formatCode="0.00_);[Red]\(0.00\)">
                  <c:v>15.15 </c:v>
                </c:pt>
                <c:pt idx="305" c:formatCode="0.00_);[Red]\(0.00\)">
                  <c:v>15.20 </c:v>
                </c:pt>
                <c:pt idx="306" c:formatCode="0.00_);[Red]\(0.00\)">
                  <c:v>15.25 </c:v>
                </c:pt>
                <c:pt idx="307" c:formatCode="0.00_);[Red]\(0.00\)">
                  <c:v>15.30 </c:v>
                </c:pt>
                <c:pt idx="308" c:formatCode="0.00_);[Red]\(0.00\)">
                  <c:v>15.35 </c:v>
                </c:pt>
                <c:pt idx="309" c:formatCode="0.00_);[Red]\(0.00\)">
                  <c:v>15.40 </c:v>
                </c:pt>
                <c:pt idx="310" c:formatCode="0.00_);[Red]\(0.00\)">
                  <c:v>15.45 </c:v>
                </c:pt>
                <c:pt idx="311" c:formatCode="0.00_);[Red]\(0.00\)">
                  <c:v>15.50 </c:v>
                </c:pt>
                <c:pt idx="312" c:formatCode="0.00_);[Red]\(0.00\)">
                  <c:v>15.55 </c:v>
                </c:pt>
                <c:pt idx="313" c:formatCode="0.00_);[Red]\(0.00\)">
                  <c:v>15.60 </c:v>
                </c:pt>
                <c:pt idx="314" c:formatCode="0.00_);[Red]\(0.00\)">
                  <c:v>15.65 </c:v>
                </c:pt>
                <c:pt idx="315" c:formatCode="0.00_);[Red]\(0.00\)">
                  <c:v>15.70 </c:v>
                </c:pt>
                <c:pt idx="316" c:formatCode="0.00_);[Red]\(0.00\)">
                  <c:v>15.75 </c:v>
                </c:pt>
                <c:pt idx="317" c:formatCode="0.00_);[Red]\(0.00\)">
                  <c:v>15.80 </c:v>
                </c:pt>
                <c:pt idx="318" c:formatCode="0.00_);[Red]\(0.00\)">
                  <c:v>15.85 </c:v>
                </c:pt>
                <c:pt idx="319" c:formatCode="0.00_);[Red]\(0.00\)">
                  <c:v>15.90 </c:v>
                </c:pt>
                <c:pt idx="320" c:formatCode="0.00_);[Red]\(0.00\)">
                  <c:v>15.95 </c:v>
                </c:pt>
                <c:pt idx="321" c:formatCode="0.00_);[Red]\(0.00\)">
                  <c:v>16.00 </c:v>
                </c:pt>
                <c:pt idx="322" c:formatCode="0.00_);[Red]\(0.00\)">
                  <c:v>16.05 </c:v>
                </c:pt>
                <c:pt idx="323" c:formatCode="0.00_);[Red]\(0.00\)">
                  <c:v>16.10 </c:v>
                </c:pt>
                <c:pt idx="324" c:formatCode="0.00_);[Red]\(0.00\)">
                  <c:v>16.15 </c:v>
                </c:pt>
                <c:pt idx="325" c:formatCode="0.00_);[Red]\(0.00\)">
                  <c:v>16.20 </c:v>
                </c:pt>
                <c:pt idx="326" c:formatCode="0.00_);[Red]\(0.00\)">
                  <c:v>16.25 </c:v>
                </c:pt>
                <c:pt idx="327" c:formatCode="0.00_);[Red]\(0.00\)">
                  <c:v>16.30 </c:v>
                </c:pt>
                <c:pt idx="328" c:formatCode="0.00_);[Red]\(0.00\)">
                  <c:v>16.35 </c:v>
                </c:pt>
                <c:pt idx="329" c:formatCode="0.00_);[Red]\(0.00\)">
                  <c:v>16.40 </c:v>
                </c:pt>
                <c:pt idx="330" c:formatCode="0.00_);[Red]\(0.00\)">
                  <c:v>16.45 </c:v>
                </c:pt>
                <c:pt idx="331" c:formatCode="0.00_);[Red]\(0.00\)">
                  <c:v>16.50 </c:v>
                </c:pt>
                <c:pt idx="332" c:formatCode="0.00_);[Red]\(0.00\)">
                  <c:v>16.55 </c:v>
                </c:pt>
                <c:pt idx="333" c:formatCode="0.00_);[Red]\(0.00\)">
                  <c:v>16.60 </c:v>
                </c:pt>
                <c:pt idx="334" c:formatCode="0.00_);[Red]\(0.00\)">
                  <c:v>16.65 </c:v>
                </c:pt>
                <c:pt idx="335" c:formatCode="0.00_);[Red]\(0.00\)">
                  <c:v>16.70 </c:v>
                </c:pt>
                <c:pt idx="336" c:formatCode="0.00_);[Red]\(0.00\)">
                  <c:v>16.75 </c:v>
                </c:pt>
                <c:pt idx="337" c:formatCode="0.00_);[Red]\(0.00\)">
                  <c:v>16.80 </c:v>
                </c:pt>
                <c:pt idx="338" c:formatCode="0.00_);[Red]\(0.00\)">
                  <c:v>16.85 </c:v>
                </c:pt>
                <c:pt idx="339" c:formatCode="0.00_);[Red]\(0.00\)">
                  <c:v>16.90 </c:v>
                </c:pt>
                <c:pt idx="340" c:formatCode="0.00_);[Red]\(0.00\)">
                  <c:v>16.95 </c:v>
                </c:pt>
                <c:pt idx="341" c:formatCode="0.00_);[Red]\(0.00\)">
                  <c:v>17.00 </c:v>
                </c:pt>
                <c:pt idx="342" c:formatCode="0.00_);[Red]\(0.00\)">
                  <c:v>17.05 </c:v>
                </c:pt>
                <c:pt idx="343" c:formatCode="0.00_);[Red]\(0.00\)">
                  <c:v>17.10 </c:v>
                </c:pt>
                <c:pt idx="344" c:formatCode="0.00_);[Red]\(0.00\)">
                  <c:v>17.15 </c:v>
                </c:pt>
                <c:pt idx="345" c:formatCode="0.00_);[Red]\(0.00\)">
                  <c:v>17.20 </c:v>
                </c:pt>
                <c:pt idx="346" c:formatCode="0.00_);[Red]\(0.00\)">
                  <c:v>17.25 </c:v>
                </c:pt>
                <c:pt idx="347" c:formatCode="0.00_);[Red]\(0.00\)">
                  <c:v>17.30 </c:v>
                </c:pt>
                <c:pt idx="348" c:formatCode="0.00_);[Red]\(0.00\)">
                  <c:v>17.35 </c:v>
                </c:pt>
                <c:pt idx="349" c:formatCode="0.00_);[Red]\(0.00\)">
                  <c:v>17.40 </c:v>
                </c:pt>
                <c:pt idx="350" c:formatCode="0.00_);[Red]\(0.00\)">
                  <c:v>17.45 </c:v>
                </c:pt>
                <c:pt idx="351" c:formatCode="0.00_);[Red]\(0.00\)">
                  <c:v>17.50 </c:v>
                </c:pt>
                <c:pt idx="352" c:formatCode="0.00_);[Red]\(0.00\)">
                  <c:v>17.55 </c:v>
                </c:pt>
                <c:pt idx="353" c:formatCode="0.00_);[Red]\(0.00\)">
                  <c:v>17.60 </c:v>
                </c:pt>
                <c:pt idx="354" c:formatCode="0.00_);[Red]\(0.00\)">
                  <c:v>17.65 </c:v>
                </c:pt>
                <c:pt idx="355" c:formatCode="0.00_);[Red]\(0.00\)">
                  <c:v>17.70 </c:v>
                </c:pt>
                <c:pt idx="356" c:formatCode="0.00_);[Red]\(0.00\)">
                  <c:v>17.75 </c:v>
                </c:pt>
                <c:pt idx="357" c:formatCode="0.00_);[Red]\(0.00\)">
                  <c:v>17.80 </c:v>
                </c:pt>
                <c:pt idx="358" c:formatCode="0.00_);[Red]\(0.00\)">
                  <c:v>17.85 </c:v>
                </c:pt>
                <c:pt idx="359" c:formatCode="0.00_);[Red]\(0.00\)">
                  <c:v>17.90 </c:v>
                </c:pt>
                <c:pt idx="360" c:formatCode="0.00_);[Red]\(0.00\)">
                  <c:v>17.95 </c:v>
                </c:pt>
                <c:pt idx="361" c:formatCode="0.00_);[Red]\(0.00\)">
                  <c:v>18.00 </c:v>
                </c:pt>
                <c:pt idx="362" c:formatCode="0.00_);[Red]\(0.00\)">
                  <c:v>18.05 </c:v>
                </c:pt>
                <c:pt idx="363" c:formatCode="0.00_);[Red]\(0.00\)">
                  <c:v>18.10 </c:v>
                </c:pt>
                <c:pt idx="364" c:formatCode="0.00_);[Red]\(0.00\)">
                  <c:v>18.15 </c:v>
                </c:pt>
                <c:pt idx="365" c:formatCode="0.00_);[Red]\(0.00\)">
                  <c:v>18.20 </c:v>
                </c:pt>
                <c:pt idx="366" c:formatCode="0.00_);[Red]\(0.00\)">
                  <c:v>18.25 </c:v>
                </c:pt>
                <c:pt idx="367" c:formatCode="0.00_);[Red]\(0.00\)">
                  <c:v>18.30 </c:v>
                </c:pt>
                <c:pt idx="368" c:formatCode="0.00_);[Red]\(0.00\)">
                  <c:v>18.35 </c:v>
                </c:pt>
                <c:pt idx="369" c:formatCode="0.00_);[Red]\(0.00\)">
                  <c:v>18.40 </c:v>
                </c:pt>
                <c:pt idx="370" c:formatCode="0.00_);[Red]\(0.00\)">
                  <c:v>18.45 </c:v>
                </c:pt>
                <c:pt idx="371" c:formatCode="0.00_);[Red]\(0.00\)">
                  <c:v>18.50 </c:v>
                </c:pt>
                <c:pt idx="372" c:formatCode="0.00_);[Red]\(0.00\)">
                  <c:v>18.55 </c:v>
                </c:pt>
                <c:pt idx="373" c:formatCode="0.00_);[Red]\(0.00\)">
                  <c:v>18.60 </c:v>
                </c:pt>
                <c:pt idx="374" c:formatCode="0.00_);[Red]\(0.00\)">
                  <c:v>18.65 </c:v>
                </c:pt>
                <c:pt idx="375" c:formatCode="0.00_);[Red]\(0.00\)">
                  <c:v>18.70 </c:v>
                </c:pt>
                <c:pt idx="376" c:formatCode="0.00_);[Red]\(0.00\)">
                  <c:v>18.75 </c:v>
                </c:pt>
                <c:pt idx="377" c:formatCode="0.00_);[Red]\(0.00\)">
                  <c:v>18.80 </c:v>
                </c:pt>
                <c:pt idx="378" c:formatCode="0.00_);[Red]\(0.00\)">
                  <c:v>18.85 </c:v>
                </c:pt>
                <c:pt idx="379" c:formatCode="0.00_);[Red]\(0.00\)">
                  <c:v>18.90 </c:v>
                </c:pt>
                <c:pt idx="380" c:formatCode="0.00_);[Red]\(0.00\)">
                  <c:v>18.95 </c:v>
                </c:pt>
                <c:pt idx="381" c:formatCode="0.00_);[Red]\(0.00\)">
                  <c:v>19.00 </c:v>
                </c:pt>
                <c:pt idx="382" c:formatCode="0.00_);[Red]\(0.00\)">
                  <c:v>19.05 </c:v>
                </c:pt>
                <c:pt idx="383" c:formatCode="0.00_);[Red]\(0.00\)">
                  <c:v>19.10 </c:v>
                </c:pt>
                <c:pt idx="384" c:formatCode="0.00_);[Red]\(0.00\)">
                  <c:v>19.15 </c:v>
                </c:pt>
                <c:pt idx="385" c:formatCode="0.00_);[Red]\(0.00\)">
                  <c:v>19.20 </c:v>
                </c:pt>
                <c:pt idx="386" c:formatCode="0.00_);[Red]\(0.00\)">
                  <c:v>19.25 </c:v>
                </c:pt>
                <c:pt idx="387" c:formatCode="0.00_);[Red]\(0.00\)">
                  <c:v>19.30 </c:v>
                </c:pt>
                <c:pt idx="388" c:formatCode="0.00_);[Red]\(0.00\)">
                  <c:v>19.35 </c:v>
                </c:pt>
                <c:pt idx="389" c:formatCode="0.00_);[Red]\(0.00\)">
                  <c:v>19.40 </c:v>
                </c:pt>
                <c:pt idx="390" c:formatCode="0.00_);[Red]\(0.00\)">
                  <c:v>19.45 </c:v>
                </c:pt>
                <c:pt idx="391" c:formatCode="0.00_);[Red]\(0.00\)">
                  <c:v>19.50 </c:v>
                </c:pt>
                <c:pt idx="392" c:formatCode="0.00_);[Red]\(0.00\)">
                  <c:v>19.55 </c:v>
                </c:pt>
                <c:pt idx="393" c:formatCode="0.00_);[Red]\(0.00\)">
                  <c:v>19.60 </c:v>
                </c:pt>
                <c:pt idx="394" c:formatCode="0.00_);[Red]\(0.00\)">
                  <c:v>19.65 </c:v>
                </c:pt>
                <c:pt idx="395" c:formatCode="0.00_);[Red]\(0.00\)">
                  <c:v>19.70 </c:v>
                </c:pt>
                <c:pt idx="396" c:formatCode="0.00_);[Red]\(0.00\)">
                  <c:v>19.75 </c:v>
                </c:pt>
                <c:pt idx="397" c:formatCode="0.00_);[Red]\(0.00\)">
                  <c:v>19.80 </c:v>
                </c:pt>
                <c:pt idx="398" c:formatCode="0.00_);[Red]\(0.00\)">
                  <c:v>19.85 </c:v>
                </c:pt>
                <c:pt idx="399" c:formatCode="0.00_);[Red]\(0.00\)">
                  <c:v>19.90 </c:v>
                </c:pt>
                <c:pt idx="400" c:formatCode="0.00_);[Red]\(0.00\)">
                  <c:v>19.95 </c:v>
                </c:pt>
                <c:pt idx="401" c:formatCode="0.00_);[Red]\(0.00\)">
                  <c:v>20.00 </c:v>
                </c:pt>
                <c:pt idx="402" c:formatCode="0.00_);[Red]\(0.00\)">
                  <c:v>20.05 </c:v>
                </c:pt>
                <c:pt idx="403" c:formatCode="0.00_);[Red]\(0.00\)">
                  <c:v>20.10 </c:v>
                </c:pt>
                <c:pt idx="404" c:formatCode="0.00_);[Red]\(0.00\)">
                  <c:v>20.15 </c:v>
                </c:pt>
                <c:pt idx="405" c:formatCode="0.00_);[Red]\(0.00\)">
                  <c:v>20.20 </c:v>
                </c:pt>
                <c:pt idx="406" c:formatCode="0.00_);[Red]\(0.00\)">
                  <c:v>20.25 </c:v>
                </c:pt>
                <c:pt idx="407" c:formatCode="0.00_);[Red]\(0.00\)">
                  <c:v>20.30 </c:v>
                </c:pt>
                <c:pt idx="408" c:formatCode="0.00_);[Red]\(0.00\)">
                  <c:v>20.35 </c:v>
                </c:pt>
                <c:pt idx="409" c:formatCode="0.00_);[Red]\(0.00\)">
                  <c:v>20.40 </c:v>
                </c:pt>
                <c:pt idx="410" c:formatCode="0.00_);[Red]\(0.00\)">
                  <c:v>20.45 </c:v>
                </c:pt>
                <c:pt idx="411" c:formatCode="0.00_);[Red]\(0.00\)">
                  <c:v>20.50 </c:v>
                </c:pt>
                <c:pt idx="412" c:formatCode="0.00_);[Red]\(0.00\)">
                  <c:v>20.55 </c:v>
                </c:pt>
                <c:pt idx="413" c:formatCode="0.00_);[Red]\(0.00\)">
                  <c:v>20.60 </c:v>
                </c:pt>
                <c:pt idx="414" c:formatCode="0.00_);[Red]\(0.00\)">
                  <c:v>20.65 </c:v>
                </c:pt>
                <c:pt idx="415" c:formatCode="0.00_);[Red]\(0.00\)">
                  <c:v>20.70 </c:v>
                </c:pt>
                <c:pt idx="416" c:formatCode="0.00_);[Red]\(0.00\)">
                  <c:v>20.75 </c:v>
                </c:pt>
                <c:pt idx="417" c:formatCode="0.00_);[Red]\(0.00\)">
                  <c:v>20.80 </c:v>
                </c:pt>
                <c:pt idx="418" c:formatCode="0.00_);[Red]\(0.00\)">
                  <c:v>20.85 </c:v>
                </c:pt>
                <c:pt idx="419" c:formatCode="0.00_);[Red]\(0.00\)">
                  <c:v>20.90 </c:v>
                </c:pt>
                <c:pt idx="420" c:formatCode="0.00_);[Red]\(0.00\)">
                  <c:v>20.95 </c:v>
                </c:pt>
                <c:pt idx="421" c:formatCode="0.00_);[Red]\(0.00\)">
                  <c:v>21.00 </c:v>
                </c:pt>
                <c:pt idx="422" c:formatCode="0.00_);[Red]\(0.00\)">
                  <c:v>21.05 </c:v>
                </c:pt>
                <c:pt idx="423" c:formatCode="0.00_);[Red]\(0.00\)">
                  <c:v>21.10 </c:v>
                </c:pt>
                <c:pt idx="424" c:formatCode="0.00_);[Red]\(0.00\)">
                  <c:v>21.15 </c:v>
                </c:pt>
                <c:pt idx="425" c:formatCode="0.00_);[Red]\(0.00\)">
                  <c:v>21.20 </c:v>
                </c:pt>
                <c:pt idx="426" c:formatCode="0.00_);[Red]\(0.00\)">
                  <c:v>21.25 </c:v>
                </c:pt>
                <c:pt idx="427" c:formatCode="0.00_);[Red]\(0.00\)">
                  <c:v>21.30 </c:v>
                </c:pt>
                <c:pt idx="428" c:formatCode="0.00_);[Red]\(0.00\)">
                  <c:v>21.35 </c:v>
                </c:pt>
                <c:pt idx="429" c:formatCode="0.00_);[Red]\(0.00\)">
                  <c:v>21.40 </c:v>
                </c:pt>
                <c:pt idx="430" c:formatCode="0.00_);[Red]\(0.00\)">
                  <c:v>21.45 </c:v>
                </c:pt>
                <c:pt idx="431" c:formatCode="0.00_);[Red]\(0.00\)">
                  <c:v>21.50 </c:v>
                </c:pt>
                <c:pt idx="432" c:formatCode="0.00_);[Red]\(0.00\)">
                  <c:v>21.55 </c:v>
                </c:pt>
                <c:pt idx="433" c:formatCode="0.00_);[Red]\(0.00\)">
                  <c:v>21.60 </c:v>
                </c:pt>
                <c:pt idx="434" c:formatCode="0.00_);[Red]\(0.00\)">
                  <c:v>21.65 </c:v>
                </c:pt>
                <c:pt idx="435" c:formatCode="0.00_);[Red]\(0.00\)">
                  <c:v>21.70 </c:v>
                </c:pt>
                <c:pt idx="436" c:formatCode="0.00_);[Red]\(0.00\)">
                  <c:v>21.75 </c:v>
                </c:pt>
                <c:pt idx="437" c:formatCode="0.00_);[Red]\(0.00\)">
                  <c:v>21.80 </c:v>
                </c:pt>
                <c:pt idx="438" c:formatCode="0.00_);[Red]\(0.00\)">
                  <c:v>21.85 </c:v>
                </c:pt>
                <c:pt idx="439" c:formatCode="0.00_);[Red]\(0.00\)">
                  <c:v>21.90 </c:v>
                </c:pt>
                <c:pt idx="440" c:formatCode="0.00_);[Red]\(0.00\)">
                  <c:v>21.95 </c:v>
                </c:pt>
                <c:pt idx="441" c:formatCode="0.00_);[Red]\(0.00\)">
                  <c:v>22.00 </c:v>
                </c:pt>
                <c:pt idx="442" c:formatCode="0.00_);[Red]\(0.00\)">
                  <c:v>22.05 </c:v>
                </c:pt>
                <c:pt idx="443" c:formatCode="0.00_);[Red]\(0.00\)">
                  <c:v>22.10 </c:v>
                </c:pt>
                <c:pt idx="444" c:formatCode="0.00_);[Red]\(0.00\)">
                  <c:v>22.15 </c:v>
                </c:pt>
                <c:pt idx="445" c:formatCode="0.00_);[Red]\(0.00\)">
                  <c:v>22.20 </c:v>
                </c:pt>
                <c:pt idx="446" c:formatCode="0.00_);[Red]\(0.00\)">
                  <c:v>22.25 </c:v>
                </c:pt>
                <c:pt idx="447" c:formatCode="0.00_);[Red]\(0.00\)">
                  <c:v>22.30 </c:v>
                </c:pt>
                <c:pt idx="448" c:formatCode="0.00_);[Red]\(0.00\)">
                  <c:v>22.35 </c:v>
                </c:pt>
                <c:pt idx="449" c:formatCode="0.00_);[Red]\(0.00\)">
                  <c:v>22.40 </c:v>
                </c:pt>
                <c:pt idx="450" c:formatCode="0.00_);[Red]\(0.00\)">
                  <c:v>22.45 </c:v>
                </c:pt>
                <c:pt idx="451" c:formatCode="0.00_);[Red]\(0.00\)">
                  <c:v>22.50 </c:v>
                </c:pt>
                <c:pt idx="452" c:formatCode="0.00_);[Red]\(0.00\)">
                  <c:v>22.55 </c:v>
                </c:pt>
                <c:pt idx="453" c:formatCode="0.00_);[Red]\(0.00\)">
                  <c:v>22.60 </c:v>
                </c:pt>
                <c:pt idx="454" c:formatCode="0.00_);[Red]\(0.00\)">
                  <c:v>22.65 </c:v>
                </c:pt>
                <c:pt idx="455" c:formatCode="0.00_);[Red]\(0.00\)">
                  <c:v>22.70 </c:v>
                </c:pt>
                <c:pt idx="456" c:formatCode="0.00_);[Red]\(0.00\)">
                  <c:v>22.75 </c:v>
                </c:pt>
                <c:pt idx="457" c:formatCode="0.00_);[Red]\(0.00\)">
                  <c:v>22.80 </c:v>
                </c:pt>
                <c:pt idx="458" c:formatCode="0.00_);[Red]\(0.00\)">
                  <c:v>22.85 </c:v>
                </c:pt>
                <c:pt idx="459" c:formatCode="0.00_);[Red]\(0.00\)">
                  <c:v>22.90 </c:v>
                </c:pt>
                <c:pt idx="460" c:formatCode="0.00_);[Red]\(0.00\)">
                  <c:v>22.95 </c:v>
                </c:pt>
                <c:pt idx="461" c:formatCode="0.00_);[Red]\(0.00\)">
                  <c:v>23.00 </c:v>
                </c:pt>
                <c:pt idx="462" c:formatCode="0.00_);[Red]\(0.00\)">
                  <c:v>23.05 </c:v>
                </c:pt>
                <c:pt idx="463" c:formatCode="0.00_);[Red]\(0.00\)">
                  <c:v>23.10 </c:v>
                </c:pt>
                <c:pt idx="464" c:formatCode="0.00_);[Red]\(0.00\)">
                  <c:v>23.15 </c:v>
                </c:pt>
                <c:pt idx="465" c:formatCode="0.00_);[Red]\(0.00\)">
                  <c:v>23.20 </c:v>
                </c:pt>
                <c:pt idx="466" c:formatCode="0.00_);[Red]\(0.00\)">
                  <c:v>23.25 </c:v>
                </c:pt>
                <c:pt idx="467" c:formatCode="0.00_);[Red]\(0.00\)">
                  <c:v>23.30 </c:v>
                </c:pt>
                <c:pt idx="468" c:formatCode="0.00_);[Red]\(0.00\)">
                  <c:v>23.35 </c:v>
                </c:pt>
                <c:pt idx="469" c:formatCode="0.00_);[Red]\(0.00\)">
                  <c:v>23.40 </c:v>
                </c:pt>
                <c:pt idx="470" c:formatCode="0.00_);[Red]\(0.00\)">
                  <c:v>23.45 </c:v>
                </c:pt>
                <c:pt idx="471" c:formatCode="0.00_);[Red]\(0.00\)">
                  <c:v>23.50 </c:v>
                </c:pt>
                <c:pt idx="472" c:formatCode="0.00_);[Red]\(0.00\)">
                  <c:v>23.55 </c:v>
                </c:pt>
                <c:pt idx="473" c:formatCode="0.00_);[Red]\(0.00\)">
                  <c:v>23.60 </c:v>
                </c:pt>
                <c:pt idx="474" c:formatCode="0.00_);[Red]\(0.00\)">
                  <c:v>23.65 </c:v>
                </c:pt>
                <c:pt idx="475" c:formatCode="0.00_);[Red]\(0.00\)">
                  <c:v>23.70 </c:v>
                </c:pt>
                <c:pt idx="476" c:formatCode="0.00_);[Red]\(0.00\)">
                  <c:v>23.75 </c:v>
                </c:pt>
                <c:pt idx="477" c:formatCode="0.00_);[Red]\(0.00\)">
                  <c:v>23.80 </c:v>
                </c:pt>
                <c:pt idx="478" c:formatCode="0.00_);[Red]\(0.00\)">
                  <c:v>23.85 </c:v>
                </c:pt>
                <c:pt idx="479" c:formatCode="0.00_);[Red]\(0.00\)">
                  <c:v>23.90 </c:v>
                </c:pt>
                <c:pt idx="480" c:formatCode="0.00_);[Red]\(0.00\)">
                  <c:v>23.95 </c:v>
                </c:pt>
                <c:pt idx="481" c:formatCode="0.00_);[Red]\(0.00\)">
                  <c:v>24.00 </c:v>
                </c:pt>
                <c:pt idx="482" c:formatCode="0.00_);[Red]\(0.00\)">
                  <c:v>24.05 </c:v>
                </c:pt>
                <c:pt idx="483" c:formatCode="0.00_);[Red]\(0.00\)">
                  <c:v>24.10 </c:v>
                </c:pt>
                <c:pt idx="484" c:formatCode="0.00_);[Red]\(0.00\)">
                  <c:v>24.15 </c:v>
                </c:pt>
                <c:pt idx="485" c:formatCode="0.00_);[Red]\(0.00\)">
                  <c:v>24.20 </c:v>
                </c:pt>
                <c:pt idx="486" c:formatCode="0.00_);[Red]\(0.00\)">
                  <c:v>24.25 </c:v>
                </c:pt>
                <c:pt idx="487" c:formatCode="0.00_);[Red]\(0.00\)">
                  <c:v>24.30 </c:v>
                </c:pt>
                <c:pt idx="488" c:formatCode="0.00_);[Red]\(0.00\)">
                  <c:v>24.35 </c:v>
                </c:pt>
                <c:pt idx="489" c:formatCode="0.00_);[Red]\(0.00\)">
                  <c:v>24.45 </c:v>
                </c:pt>
                <c:pt idx="490" c:formatCode="0.00_);[Red]\(0.00\)">
                  <c:v>24.50 </c:v>
                </c:pt>
                <c:pt idx="491" c:formatCode="0.00_);[Red]\(0.00\)">
                  <c:v>24.55 </c:v>
                </c:pt>
                <c:pt idx="492" c:formatCode="0.00_);[Red]\(0.00\)">
                  <c:v>24.60 </c:v>
                </c:pt>
                <c:pt idx="493" c:formatCode="0.00_);[Red]\(0.00\)">
                  <c:v>24.65 </c:v>
                </c:pt>
                <c:pt idx="494" c:formatCode="0.00_);[Red]\(0.00\)">
                  <c:v>24.70 </c:v>
                </c:pt>
                <c:pt idx="495" c:formatCode="0.00_);[Red]\(0.00\)">
                  <c:v>24.75 </c:v>
                </c:pt>
                <c:pt idx="496" c:formatCode="0.00_);[Red]\(0.00\)">
                  <c:v>24.80 </c:v>
                </c:pt>
                <c:pt idx="497" c:formatCode="0.00_);[Red]\(0.00\)">
                  <c:v>24.85 </c:v>
                </c:pt>
                <c:pt idx="498" c:formatCode="0.00_);[Red]\(0.00\)">
                  <c:v>24.90 </c:v>
                </c:pt>
                <c:pt idx="499" c:formatCode="0.00_);[Red]\(0.00\)">
                  <c:v>24.95 </c:v>
                </c:pt>
                <c:pt idx="500" c:formatCode="0.00_);[Red]\(0.00\)">
                  <c:v>25.00 </c:v>
                </c:pt>
                <c:pt idx="501" c:formatCode="0.00_);[Red]\(0.00\)">
                  <c:v>25.05 </c:v>
                </c:pt>
                <c:pt idx="502" c:formatCode="0.00_);[Red]\(0.00\)">
                  <c:v>25.10 </c:v>
                </c:pt>
                <c:pt idx="503" c:formatCode="0.00_);[Red]\(0.00\)">
                  <c:v>25.15 </c:v>
                </c:pt>
                <c:pt idx="504" c:formatCode="0.00_);[Red]\(0.00\)">
                  <c:v>25.20 </c:v>
                </c:pt>
                <c:pt idx="505" c:formatCode="0.00_);[Red]\(0.00\)">
                  <c:v>25.25 </c:v>
                </c:pt>
                <c:pt idx="506" c:formatCode="0.00_);[Red]\(0.00\)">
                  <c:v>25.30 </c:v>
                </c:pt>
                <c:pt idx="507" c:formatCode="0.00_);[Red]\(0.00\)">
                  <c:v>25.35 </c:v>
                </c:pt>
                <c:pt idx="508" c:formatCode="0.00_);[Red]\(0.00\)">
                  <c:v>25.40 </c:v>
                </c:pt>
                <c:pt idx="509" c:formatCode="0.00_);[Red]\(0.00\)">
                  <c:v>25.45 </c:v>
                </c:pt>
                <c:pt idx="510" c:formatCode="0.00_);[Red]\(0.00\)">
                  <c:v>25.50 </c:v>
                </c:pt>
                <c:pt idx="511" c:formatCode="0.00_);[Red]\(0.00\)">
                  <c:v>25.55 </c:v>
                </c:pt>
                <c:pt idx="512" c:formatCode="0.00_);[Red]\(0.00\)">
                  <c:v>25.60 </c:v>
                </c:pt>
                <c:pt idx="513" c:formatCode="0.00_);[Red]\(0.00\)">
                  <c:v>25.65 </c:v>
                </c:pt>
                <c:pt idx="514" c:formatCode="0.00_);[Red]\(0.00\)">
                  <c:v>25.70 </c:v>
                </c:pt>
                <c:pt idx="515" c:formatCode="0.00_);[Red]\(0.00\)">
                  <c:v>25.75 </c:v>
                </c:pt>
                <c:pt idx="516" c:formatCode="0.00_);[Red]\(0.00\)">
                  <c:v>25.80 </c:v>
                </c:pt>
                <c:pt idx="517" c:formatCode="0.00_);[Red]\(0.00\)">
                  <c:v>25.85 </c:v>
                </c:pt>
                <c:pt idx="518" c:formatCode="0.00_);[Red]\(0.00\)">
                  <c:v>25.90 </c:v>
                </c:pt>
                <c:pt idx="519" c:formatCode="0.00_);[Red]\(0.00\)">
                  <c:v>25.95 </c:v>
                </c:pt>
                <c:pt idx="520" c:formatCode="0.00_);[Red]\(0.00\)">
                  <c:v>26.00 </c:v>
                </c:pt>
                <c:pt idx="521" c:formatCode="0.00_);[Red]\(0.00\)">
                  <c:v>26.05 </c:v>
                </c:pt>
                <c:pt idx="522" c:formatCode="0.00_);[Red]\(0.00\)">
                  <c:v>26.10 </c:v>
                </c:pt>
                <c:pt idx="523" c:formatCode="0.00_);[Red]\(0.00\)">
                  <c:v>26.15 </c:v>
                </c:pt>
                <c:pt idx="524" c:formatCode="0.00_);[Red]\(0.00\)">
                  <c:v>26.20 </c:v>
                </c:pt>
                <c:pt idx="525" c:formatCode="0.00_);[Red]\(0.00\)">
                  <c:v>26.25 </c:v>
                </c:pt>
                <c:pt idx="526" c:formatCode="0.00_);[Red]\(0.00\)">
                  <c:v>26.30 </c:v>
                </c:pt>
                <c:pt idx="527" c:formatCode="0.00_);[Red]\(0.00\)">
                  <c:v>26.35 </c:v>
                </c:pt>
                <c:pt idx="528" c:formatCode="0.00_);[Red]\(0.00\)">
                  <c:v>26.40 </c:v>
                </c:pt>
                <c:pt idx="529" c:formatCode="0.00_);[Red]\(0.00\)">
                  <c:v>26.45 </c:v>
                </c:pt>
                <c:pt idx="530" c:formatCode="0.00_);[Red]\(0.00\)">
                  <c:v>26.50 </c:v>
                </c:pt>
                <c:pt idx="531" c:formatCode="0.00_);[Red]\(0.00\)">
                  <c:v>26.55 </c:v>
                </c:pt>
                <c:pt idx="532" c:formatCode="0.00_);[Red]\(0.00\)">
                  <c:v>26.60 </c:v>
                </c:pt>
                <c:pt idx="533" c:formatCode="0.00_);[Red]\(0.00\)">
                  <c:v>26.65 </c:v>
                </c:pt>
                <c:pt idx="534" c:formatCode="0.00_);[Red]\(0.00\)">
                  <c:v>26.70 </c:v>
                </c:pt>
                <c:pt idx="535" c:formatCode="0.00_);[Red]\(0.00\)">
                  <c:v>26.75 </c:v>
                </c:pt>
                <c:pt idx="536" c:formatCode="0.00_);[Red]\(0.00\)">
                  <c:v>26.80 </c:v>
                </c:pt>
                <c:pt idx="537" c:formatCode="0.00_);[Red]\(0.00\)">
                  <c:v>26.85 </c:v>
                </c:pt>
                <c:pt idx="538" c:formatCode="0.00_);[Red]\(0.00\)">
                  <c:v>26.90 </c:v>
                </c:pt>
                <c:pt idx="539" c:formatCode="0.00_);[Red]\(0.00\)">
                  <c:v>26.95 </c:v>
                </c:pt>
                <c:pt idx="540" c:formatCode="0.00_);[Red]\(0.00\)">
                  <c:v>27.00 </c:v>
                </c:pt>
                <c:pt idx="541" c:formatCode="0.00_);[Red]\(0.00\)">
                  <c:v>27.05 </c:v>
                </c:pt>
                <c:pt idx="542" c:formatCode="0.00_);[Red]\(0.00\)">
                  <c:v>27.10 </c:v>
                </c:pt>
                <c:pt idx="543" c:formatCode="0.00_);[Red]\(0.00\)">
                  <c:v>27.15 </c:v>
                </c:pt>
                <c:pt idx="544" c:formatCode="0.00_);[Red]\(0.00\)">
                  <c:v>27.20 </c:v>
                </c:pt>
                <c:pt idx="545" c:formatCode="0.00_);[Red]\(0.00\)">
                  <c:v>27.25 </c:v>
                </c:pt>
                <c:pt idx="546" c:formatCode="0.00_);[Red]\(0.00\)">
                  <c:v>27.30 </c:v>
                </c:pt>
                <c:pt idx="547" c:formatCode="0.00_);[Red]\(0.00\)">
                  <c:v>27.35 </c:v>
                </c:pt>
                <c:pt idx="548" c:formatCode="0.00_);[Red]\(0.00\)">
                  <c:v>27.40 </c:v>
                </c:pt>
                <c:pt idx="549" c:formatCode="0.00_);[Red]\(0.00\)">
                  <c:v>27.45 </c:v>
                </c:pt>
                <c:pt idx="550" c:formatCode="0.00_);[Red]\(0.00\)">
                  <c:v>27.50 </c:v>
                </c:pt>
                <c:pt idx="551" c:formatCode="0.00_);[Red]\(0.00\)">
                  <c:v>27.55 </c:v>
                </c:pt>
                <c:pt idx="552" c:formatCode="0.00_);[Red]\(0.00\)">
                  <c:v>27.60 </c:v>
                </c:pt>
                <c:pt idx="553" c:formatCode="0.00_);[Red]\(0.00\)">
                  <c:v>27.65 </c:v>
                </c:pt>
                <c:pt idx="554" c:formatCode="0.00_);[Red]\(0.00\)">
                  <c:v>27.70 </c:v>
                </c:pt>
                <c:pt idx="555" c:formatCode="0.00_);[Red]\(0.00\)">
                  <c:v>27.75 </c:v>
                </c:pt>
                <c:pt idx="556" c:formatCode="0.00_);[Red]\(0.00\)">
                  <c:v>27.80 </c:v>
                </c:pt>
                <c:pt idx="557" c:formatCode="0.00_);[Red]\(0.00\)">
                  <c:v>27.85 </c:v>
                </c:pt>
                <c:pt idx="558" c:formatCode="0.00_);[Red]\(0.00\)">
                  <c:v>27.90 </c:v>
                </c:pt>
                <c:pt idx="559" c:formatCode="0.00_);[Red]\(0.00\)">
                  <c:v>27.95 </c:v>
                </c:pt>
                <c:pt idx="560" c:formatCode="0.00_);[Red]\(0.00\)">
                  <c:v>28.00 </c:v>
                </c:pt>
                <c:pt idx="561" c:formatCode="0.00_);[Red]\(0.00\)">
                  <c:v>28.05 </c:v>
                </c:pt>
                <c:pt idx="562" c:formatCode="0.00_);[Red]\(0.00\)">
                  <c:v>28.10 </c:v>
                </c:pt>
                <c:pt idx="563" c:formatCode="0.00_);[Red]\(0.00\)">
                  <c:v>28.15 </c:v>
                </c:pt>
                <c:pt idx="564" c:formatCode="0.00_);[Red]\(0.00\)">
                  <c:v>28.20 </c:v>
                </c:pt>
                <c:pt idx="565" c:formatCode="0.00_);[Red]\(0.00\)">
                  <c:v>28.25 </c:v>
                </c:pt>
                <c:pt idx="566" c:formatCode="0.00_);[Red]\(0.00\)">
                  <c:v>28.30 </c:v>
                </c:pt>
                <c:pt idx="567" c:formatCode="0.00_);[Red]\(0.00\)">
                  <c:v>28.35 </c:v>
                </c:pt>
                <c:pt idx="568" c:formatCode="0.00_);[Red]\(0.00\)">
                  <c:v>28.40 </c:v>
                </c:pt>
                <c:pt idx="569" c:formatCode="0.00_);[Red]\(0.00\)">
                  <c:v>28.45 </c:v>
                </c:pt>
                <c:pt idx="570" c:formatCode="0.00_);[Red]\(0.00\)">
                  <c:v>28.50 </c:v>
                </c:pt>
                <c:pt idx="571" c:formatCode="0.00_);[Red]\(0.00\)">
                  <c:v>28.55 </c:v>
                </c:pt>
                <c:pt idx="572" c:formatCode="0.00_);[Red]\(0.00\)">
                  <c:v>28.60 </c:v>
                </c:pt>
                <c:pt idx="573" c:formatCode="0.00_);[Red]\(0.00\)">
                  <c:v>28.65 </c:v>
                </c:pt>
                <c:pt idx="574" c:formatCode="0.00_);[Red]\(0.00\)">
                  <c:v>28.70 </c:v>
                </c:pt>
                <c:pt idx="575" c:formatCode="0.00_);[Red]\(0.00\)">
                  <c:v>28.75 </c:v>
                </c:pt>
                <c:pt idx="576" c:formatCode="0.00_);[Red]\(0.00\)">
                  <c:v>28.80 </c:v>
                </c:pt>
                <c:pt idx="577" c:formatCode="0.00_);[Red]\(0.00\)">
                  <c:v>28.85 </c:v>
                </c:pt>
                <c:pt idx="578" c:formatCode="0.00_);[Red]\(0.00\)">
                  <c:v>28.90 </c:v>
                </c:pt>
                <c:pt idx="579" c:formatCode="0.00_);[Red]\(0.00\)">
                  <c:v>28.95 </c:v>
                </c:pt>
                <c:pt idx="580" c:formatCode="0.00_);[Red]\(0.00\)">
                  <c:v>29.00 </c:v>
                </c:pt>
                <c:pt idx="581" c:formatCode="0.00_);[Red]\(0.00\)">
                  <c:v>29.05 </c:v>
                </c:pt>
                <c:pt idx="582" c:formatCode="0.00_);[Red]\(0.00\)">
                  <c:v>29.10 </c:v>
                </c:pt>
                <c:pt idx="583" c:formatCode="0.00_);[Red]\(0.00\)">
                  <c:v>29.15 </c:v>
                </c:pt>
                <c:pt idx="584" c:formatCode="0.00_);[Red]\(0.00\)">
                  <c:v>29.20 </c:v>
                </c:pt>
                <c:pt idx="585" c:formatCode="0.00_);[Red]\(0.00\)">
                  <c:v>29.25 </c:v>
                </c:pt>
                <c:pt idx="586" c:formatCode="0.00_);[Red]\(0.00\)">
                  <c:v>29.30 </c:v>
                </c:pt>
                <c:pt idx="587" c:formatCode="0.00_);[Red]\(0.00\)">
                  <c:v>29.35 </c:v>
                </c:pt>
                <c:pt idx="588" c:formatCode="0.00_);[Red]\(0.00\)">
                  <c:v>29.40 </c:v>
                </c:pt>
                <c:pt idx="589" c:formatCode="0.00_);[Red]\(0.00\)">
                  <c:v>29.45 </c:v>
                </c:pt>
                <c:pt idx="590" c:formatCode="0.00_);[Red]\(0.00\)">
                  <c:v>29.50 </c:v>
                </c:pt>
                <c:pt idx="591" c:formatCode="0.00_);[Red]\(0.00\)">
                  <c:v>29.55 </c:v>
                </c:pt>
                <c:pt idx="592" c:formatCode="0.00_);[Red]\(0.00\)">
                  <c:v>29.60 </c:v>
                </c:pt>
                <c:pt idx="593" c:formatCode="0.00_);[Red]\(0.00\)">
                  <c:v>29.65 </c:v>
                </c:pt>
                <c:pt idx="594" c:formatCode="0.00_);[Red]\(0.00\)">
                  <c:v>29.70 </c:v>
                </c:pt>
                <c:pt idx="595" c:formatCode="0.00_);[Red]\(0.00\)">
                  <c:v>29.75 </c:v>
                </c:pt>
                <c:pt idx="596" c:formatCode="0.00_);[Red]\(0.00\)">
                  <c:v>29.80 </c:v>
                </c:pt>
                <c:pt idx="597" c:formatCode="0.00_);[Red]\(0.00\)">
                  <c:v>29.85 </c:v>
                </c:pt>
                <c:pt idx="598" c:formatCode="0.00_);[Red]\(0.00\)">
                  <c:v>29.90 </c:v>
                </c:pt>
                <c:pt idx="599" c:formatCode="0.00_);[Red]\(0.00\)">
                  <c:v>29.95 </c:v>
                </c:pt>
                <c:pt idx="600" c:formatCode="0.00_);[Red]\(0.00\)">
                  <c:v>30.00 </c:v>
                </c:pt>
                <c:pt idx="601" c:formatCode="0.00_);[Red]\(0.00\)">
                  <c:v>30.05 </c:v>
                </c:pt>
                <c:pt idx="602" c:formatCode="0.00_);[Red]\(0.00\)">
                  <c:v>30.10 </c:v>
                </c:pt>
                <c:pt idx="603" c:formatCode="0.00_);[Red]\(0.00\)">
                  <c:v>30.15 </c:v>
                </c:pt>
                <c:pt idx="604" c:formatCode="0.00_);[Red]\(0.00\)">
                  <c:v>30.20 </c:v>
                </c:pt>
                <c:pt idx="605" c:formatCode="0.00_);[Red]\(0.00\)">
                  <c:v>30.25 </c:v>
                </c:pt>
                <c:pt idx="606" c:formatCode="0.00_);[Red]\(0.00\)">
                  <c:v>30.30 </c:v>
                </c:pt>
                <c:pt idx="607" c:formatCode="0.00_);[Red]\(0.00\)">
                  <c:v>30.35 </c:v>
                </c:pt>
                <c:pt idx="608" c:formatCode="0.00_);[Red]\(0.00\)">
                  <c:v>30.40 </c:v>
                </c:pt>
                <c:pt idx="609" c:formatCode="0.00_);[Red]\(0.00\)">
                  <c:v>30.45 </c:v>
                </c:pt>
                <c:pt idx="610" c:formatCode="0.00_);[Red]\(0.00\)">
                  <c:v>30.50 </c:v>
                </c:pt>
                <c:pt idx="611" c:formatCode="0.00_);[Red]\(0.00\)">
                  <c:v>30.55 </c:v>
                </c:pt>
                <c:pt idx="612" c:formatCode="0.00_);[Red]\(0.00\)">
                  <c:v>30.60 </c:v>
                </c:pt>
                <c:pt idx="613" c:formatCode="0.00_);[Red]\(0.00\)">
                  <c:v>30.65 </c:v>
                </c:pt>
                <c:pt idx="614" c:formatCode="0.00_);[Red]\(0.00\)">
                  <c:v>30.70 </c:v>
                </c:pt>
                <c:pt idx="615" c:formatCode="0.00_);[Red]\(0.00\)">
                  <c:v>30.75 </c:v>
                </c:pt>
                <c:pt idx="616" c:formatCode="0.00_);[Red]\(0.00\)">
                  <c:v>30.80 </c:v>
                </c:pt>
                <c:pt idx="617" c:formatCode="0.00_);[Red]\(0.00\)">
                  <c:v>30.85 </c:v>
                </c:pt>
                <c:pt idx="618" c:formatCode="0.00_);[Red]\(0.00\)">
                  <c:v>30.90 </c:v>
                </c:pt>
                <c:pt idx="619" c:formatCode="0.00_);[Red]\(0.00\)">
                  <c:v>30.95 </c:v>
                </c:pt>
                <c:pt idx="620" c:formatCode="0.00_);[Red]\(0.00\)">
                  <c:v>31.00 </c:v>
                </c:pt>
                <c:pt idx="621" c:formatCode="0.00_);[Red]\(0.00\)">
                  <c:v>31.05 </c:v>
                </c:pt>
                <c:pt idx="622" c:formatCode="0.00_);[Red]\(0.00\)">
                  <c:v>31.10 </c:v>
                </c:pt>
                <c:pt idx="623" c:formatCode="0.00_);[Red]\(0.00\)">
                  <c:v>31.15 </c:v>
                </c:pt>
                <c:pt idx="624" c:formatCode="0.00_);[Red]\(0.00\)">
                  <c:v>31.20 </c:v>
                </c:pt>
                <c:pt idx="625" c:formatCode="0.00_);[Red]\(0.00\)">
                  <c:v>31.25 </c:v>
                </c:pt>
                <c:pt idx="626" c:formatCode="0.00_);[Red]\(0.00\)">
                  <c:v>31.30 </c:v>
                </c:pt>
                <c:pt idx="627" c:formatCode="0.00_);[Red]\(0.00\)">
                  <c:v>31.35 </c:v>
                </c:pt>
                <c:pt idx="628" c:formatCode="0.00_);[Red]\(0.00\)">
                  <c:v>31.40 </c:v>
                </c:pt>
                <c:pt idx="629" c:formatCode="0.00_);[Red]\(0.00\)">
                  <c:v>31.45 </c:v>
                </c:pt>
                <c:pt idx="630" c:formatCode="0.00_);[Red]\(0.00\)">
                  <c:v>31.50 </c:v>
                </c:pt>
                <c:pt idx="631" c:formatCode="0.00_);[Red]\(0.00\)">
                  <c:v>31.55 </c:v>
                </c:pt>
                <c:pt idx="632" c:formatCode="0.00_);[Red]\(0.00\)">
                  <c:v>31.60 </c:v>
                </c:pt>
                <c:pt idx="633" c:formatCode="0.00_);[Red]\(0.00\)">
                  <c:v>31.65 </c:v>
                </c:pt>
                <c:pt idx="634" c:formatCode="0.00_);[Red]\(0.00\)">
                  <c:v>31.70 </c:v>
                </c:pt>
                <c:pt idx="635" c:formatCode="0.00_);[Red]\(0.00\)">
                  <c:v>31.75 </c:v>
                </c:pt>
                <c:pt idx="636" c:formatCode="0.00_);[Red]\(0.00\)">
                  <c:v>31.80 </c:v>
                </c:pt>
                <c:pt idx="637" c:formatCode="0.00_);[Red]\(0.00\)">
                  <c:v>31.85 </c:v>
                </c:pt>
                <c:pt idx="638" c:formatCode="0.00_);[Red]\(0.00\)">
                  <c:v>31.90 </c:v>
                </c:pt>
                <c:pt idx="639" c:formatCode="0.00_);[Red]\(0.00\)">
                  <c:v>31.95 </c:v>
                </c:pt>
                <c:pt idx="640" c:formatCode="0.00_);[Red]\(0.00\)">
                  <c:v>32.00 </c:v>
                </c:pt>
                <c:pt idx="641" c:formatCode="0.00_);[Red]\(0.00\)">
                  <c:v>32.05 </c:v>
                </c:pt>
                <c:pt idx="642" c:formatCode="0.00_);[Red]\(0.00\)">
                  <c:v>32.10 </c:v>
                </c:pt>
                <c:pt idx="643" c:formatCode="0.00_);[Red]\(0.00\)">
                  <c:v>32.15 </c:v>
                </c:pt>
                <c:pt idx="644" c:formatCode="0.00_);[Red]\(0.00\)">
                  <c:v>32.20 </c:v>
                </c:pt>
                <c:pt idx="645" c:formatCode="0.00_);[Red]\(0.00\)">
                  <c:v>32.25 </c:v>
                </c:pt>
                <c:pt idx="646" c:formatCode="0.00_);[Red]\(0.00\)">
                  <c:v>32.30 </c:v>
                </c:pt>
                <c:pt idx="647" c:formatCode="0.00_);[Red]\(0.00\)">
                  <c:v>32.35 </c:v>
                </c:pt>
                <c:pt idx="648" c:formatCode="0.00_);[Red]\(0.00\)">
                  <c:v>32.40 </c:v>
                </c:pt>
                <c:pt idx="649" c:formatCode="0.00_);[Red]\(0.00\)">
                  <c:v>32.45 </c:v>
                </c:pt>
                <c:pt idx="650" c:formatCode="0.00_);[Red]\(0.00\)">
                  <c:v>32.50 </c:v>
                </c:pt>
                <c:pt idx="651" c:formatCode="0.00_);[Red]\(0.00\)">
                  <c:v>32.55 </c:v>
                </c:pt>
                <c:pt idx="652" c:formatCode="0.00_);[Red]\(0.00\)">
                  <c:v>32.60 </c:v>
                </c:pt>
                <c:pt idx="653" c:formatCode="0.00_);[Red]\(0.00\)">
                  <c:v>32.65 </c:v>
                </c:pt>
                <c:pt idx="654" c:formatCode="0.00_);[Red]\(0.00\)">
                  <c:v>32.70 </c:v>
                </c:pt>
                <c:pt idx="655" c:formatCode="0.00_);[Red]\(0.00\)">
                  <c:v>32.75 </c:v>
                </c:pt>
                <c:pt idx="656" c:formatCode="0.00_);[Red]\(0.00\)">
                  <c:v>32.80 </c:v>
                </c:pt>
                <c:pt idx="657" c:formatCode="0.00_);[Red]\(0.00\)">
                  <c:v>32.85 </c:v>
                </c:pt>
                <c:pt idx="658" c:formatCode="0.00_);[Red]\(0.00\)">
                  <c:v>32.90 </c:v>
                </c:pt>
                <c:pt idx="659" c:formatCode="0.00_);[Red]\(0.00\)">
                  <c:v>32.95 </c:v>
                </c:pt>
                <c:pt idx="660" c:formatCode="0.00_);[Red]\(0.00\)">
                  <c:v>33.00 </c:v>
                </c:pt>
                <c:pt idx="661" c:formatCode="0.00_);[Red]\(0.00\)">
                  <c:v>33.05 </c:v>
                </c:pt>
                <c:pt idx="662" c:formatCode="0.00_);[Red]\(0.00\)">
                  <c:v>33.10 </c:v>
                </c:pt>
                <c:pt idx="663" c:formatCode="0.00_);[Red]\(0.00\)">
                  <c:v>33.15 </c:v>
                </c:pt>
                <c:pt idx="664" c:formatCode="0.00_);[Red]\(0.00\)">
                  <c:v>33.20 </c:v>
                </c:pt>
                <c:pt idx="665" c:formatCode="0.00_);[Red]\(0.00\)">
                  <c:v>33.25 </c:v>
                </c:pt>
                <c:pt idx="666" c:formatCode="0.00_);[Red]\(0.00\)">
                  <c:v>33.30 </c:v>
                </c:pt>
                <c:pt idx="667" c:formatCode="0.00_);[Red]\(0.00\)">
                  <c:v>33.35 </c:v>
                </c:pt>
                <c:pt idx="668" c:formatCode="0.00_);[Red]\(0.00\)">
                  <c:v>33.40 </c:v>
                </c:pt>
                <c:pt idx="669" c:formatCode="0.00_);[Red]\(0.00\)">
                  <c:v>33.45 </c:v>
                </c:pt>
                <c:pt idx="670" c:formatCode="0.00_);[Red]\(0.00\)">
                  <c:v>33.50 </c:v>
                </c:pt>
                <c:pt idx="671" c:formatCode="0.00_);[Red]\(0.00\)">
                  <c:v>33.55 </c:v>
                </c:pt>
                <c:pt idx="672" c:formatCode="0.00_);[Red]\(0.00\)">
                  <c:v>33.60 </c:v>
                </c:pt>
                <c:pt idx="673" c:formatCode="0.00_);[Red]\(0.00\)">
                  <c:v>33.65 </c:v>
                </c:pt>
                <c:pt idx="674" c:formatCode="0.00_);[Red]\(0.00\)">
                  <c:v>33.70 </c:v>
                </c:pt>
                <c:pt idx="675" c:formatCode="0.00_);[Red]\(0.00\)">
                  <c:v>33.75 </c:v>
                </c:pt>
                <c:pt idx="676" c:formatCode="0.00_);[Red]\(0.00\)">
                  <c:v>33.80 </c:v>
                </c:pt>
                <c:pt idx="677" c:formatCode="0.00_);[Red]\(0.00\)">
                  <c:v>33.85 </c:v>
                </c:pt>
                <c:pt idx="678" c:formatCode="0.00_);[Red]\(0.00\)">
                  <c:v>33.90 </c:v>
                </c:pt>
                <c:pt idx="679" c:formatCode="0.00_);[Red]\(0.00\)">
                  <c:v>33.95 </c:v>
                </c:pt>
                <c:pt idx="680" c:formatCode="0.00_);[Red]\(0.00\)">
                  <c:v>34.00 </c:v>
                </c:pt>
                <c:pt idx="681" c:formatCode="0.00_);[Red]\(0.00\)">
                  <c:v>34.05 </c:v>
                </c:pt>
                <c:pt idx="682" c:formatCode="0.00_);[Red]\(0.00\)">
                  <c:v>34.10 </c:v>
                </c:pt>
                <c:pt idx="683" c:formatCode="0.00_);[Red]\(0.00\)">
                  <c:v>34.15 </c:v>
                </c:pt>
                <c:pt idx="684" c:formatCode="0.00_);[Red]\(0.00\)">
                  <c:v>34.20 </c:v>
                </c:pt>
                <c:pt idx="685" c:formatCode="0.00_);[Red]\(0.00\)">
                  <c:v>34.25 </c:v>
                </c:pt>
                <c:pt idx="686" c:formatCode="0.00_);[Red]\(0.00\)">
                  <c:v>34.30 </c:v>
                </c:pt>
                <c:pt idx="687" c:formatCode="0.00_);[Red]\(0.00\)">
                  <c:v>34.35 </c:v>
                </c:pt>
                <c:pt idx="688" c:formatCode="0.00_);[Red]\(0.00\)">
                  <c:v>34.40 </c:v>
                </c:pt>
                <c:pt idx="689" c:formatCode="0.00_);[Red]\(0.00\)">
                  <c:v>34.45 </c:v>
                </c:pt>
                <c:pt idx="690" c:formatCode="0.00_);[Red]\(0.00\)">
                  <c:v>34.50 </c:v>
                </c:pt>
                <c:pt idx="691" c:formatCode="0.00_);[Red]\(0.00\)">
                  <c:v>34.55 </c:v>
                </c:pt>
                <c:pt idx="692" c:formatCode="0.00_);[Red]\(0.00\)">
                  <c:v>34.60 </c:v>
                </c:pt>
                <c:pt idx="693" c:formatCode="0.00_);[Red]\(0.00\)">
                  <c:v>34.65 </c:v>
                </c:pt>
                <c:pt idx="694" c:formatCode="0.00_);[Red]\(0.00\)">
                  <c:v>34.70 </c:v>
                </c:pt>
                <c:pt idx="695" c:formatCode="0.00_);[Red]\(0.00\)">
                  <c:v>34.75 </c:v>
                </c:pt>
                <c:pt idx="696" c:formatCode="0.00_);[Red]\(0.00\)">
                  <c:v>34.80 </c:v>
                </c:pt>
                <c:pt idx="697" c:formatCode="0.00_);[Red]\(0.00\)">
                  <c:v>34.85 </c:v>
                </c:pt>
                <c:pt idx="698" c:formatCode="0.00_);[Red]\(0.00\)">
                  <c:v>34.90 </c:v>
                </c:pt>
                <c:pt idx="699" c:formatCode="0.00_);[Red]\(0.00\)">
                  <c:v>34.95 </c:v>
                </c:pt>
                <c:pt idx="700" c:formatCode="0.00_);[Red]\(0.00\)">
                  <c:v>35.00 </c:v>
                </c:pt>
                <c:pt idx="701" c:formatCode="0.00_);[Red]\(0.00\)">
                  <c:v>35.05 </c:v>
                </c:pt>
                <c:pt idx="702" c:formatCode="0.00_);[Red]\(0.00\)">
                  <c:v>35.10 </c:v>
                </c:pt>
                <c:pt idx="703" c:formatCode="0.00_);[Red]\(0.00\)">
                  <c:v>35.15 </c:v>
                </c:pt>
                <c:pt idx="704" c:formatCode="0.00_);[Red]\(0.00\)">
                  <c:v>35.20 </c:v>
                </c:pt>
                <c:pt idx="705" c:formatCode="0.00_);[Red]\(0.00\)">
                  <c:v>35.25 </c:v>
                </c:pt>
                <c:pt idx="706" c:formatCode="0.00_);[Red]\(0.00\)">
                  <c:v>35.30 </c:v>
                </c:pt>
                <c:pt idx="707" c:formatCode="0.00_);[Red]\(0.00\)">
                  <c:v>35.35 </c:v>
                </c:pt>
                <c:pt idx="708" c:formatCode="0.00_);[Red]\(0.00\)">
                  <c:v>35.40 </c:v>
                </c:pt>
                <c:pt idx="709" c:formatCode="0.00_);[Red]\(0.00\)">
                  <c:v>35.45 </c:v>
                </c:pt>
                <c:pt idx="710" c:formatCode="0.00_);[Red]\(0.00\)">
                  <c:v>35.50 </c:v>
                </c:pt>
                <c:pt idx="711" c:formatCode="0.00_);[Red]\(0.00\)">
                  <c:v>35.55 </c:v>
                </c:pt>
                <c:pt idx="712" c:formatCode="0.00_);[Red]\(0.00\)">
                  <c:v>35.60 </c:v>
                </c:pt>
                <c:pt idx="713" c:formatCode="0.00_);[Red]\(0.00\)">
                  <c:v>35.65 </c:v>
                </c:pt>
                <c:pt idx="714" c:formatCode="0.00_);[Red]\(0.00\)">
                  <c:v>35.70 </c:v>
                </c:pt>
                <c:pt idx="715" c:formatCode="0.00_);[Red]\(0.00\)">
                  <c:v>35.75 </c:v>
                </c:pt>
                <c:pt idx="716" c:formatCode="0.00_);[Red]\(0.00\)">
                  <c:v>35.80 </c:v>
                </c:pt>
                <c:pt idx="717" c:formatCode="0.00_);[Red]\(0.00\)">
                  <c:v>35.85 </c:v>
                </c:pt>
                <c:pt idx="718" c:formatCode="0.00_);[Red]\(0.00\)">
                  <c:v>35.90 </c:v>
                </c:pt>
                <c:pt idx="719" c:formatCode="0.00_);[Red]\(0.00\)">
                  <c:v>35.95 </c:v>
                </c:pt>
                <c:pt idx="720" c:formatCode="0.00_);[Red]\(0.00\)">
                  <c:v>36.00 </c:v>
                </c:pt>
                <c:pt idx="721" c:formatCode="0.00_);[Red]\(0.00\)">
                  <c:v>36.05 </c:v>
                </c:pt>
                <c:pt idx="722" c:formatCode="0.00_);[Red]\(0.00\)">
                  <c:v>36.10 </c:v>
                </c:pt>
                <c:pt idx="723" c:formatCode="0.00_);[Red]\(0.00\)">
                  <c:v>36.15 </c:v>
                </c:pt>
                <c:pt idx="724" c:formatCode="0.00_);[Red]\(0.00\)">
                  <c:v>36.20 </c:v>
                </c:pt>
                <c:pt idx="725" c:formatCode="0.00_);[Red]\(0.00\)">
                  <c:v>36.25 </c:v>
                </c:pt>
                <c:pt idx="726" c:formatCode="0.00_);[Red]\(0.00\)">
                  <c:v>36.30 </c:v>
                </c:pt>
                <c:pt idx="727" c:formatCode="0.00_);[Red]\(0.00\)">
                  <c:v>36.35 </c:v>
                </c:pt>
                <c:pt idx="728" c:formatCode="0.00_);[Red]\(0.00\)">
                  <c:v>36.40 </c:v>
                </c:pt>
                <c:pt idx="729" c:formatCode="0.00_);[Red]\(0.00\)">
                  <c:v>36.45 </c:v>
                </c:pt>
                <c:pt idx="730" c:formatCode="0.00_);[Red]\(0.00\)">
                  <c:v>36.50 </c:v>
                </c:pt>
                <c:pt idx="731" c:formatCode="0.00_);[Red]\(0.00\)">
                  <c:v>36.55 </c:v>
                </c:pt>
                <c:pt idx="732" c:formatCode="0.00_);[Red]\(0.00\)">
                  <c:v>36.60 </c:v>
                </c:pt>
                <c:pt idx="733" c:formatCode="0.00_);[Red]\(0.00\)">
                  <c:v>36.65 </c:v>
                </c:pt>
                <c:pt idx="734" c:formatCode="0.00_);[Red]\(0.00\)">
                  <c:v>36.70 </c:v>
                </c:pt>
                <c:pt idx="735" c:formatCode="0.00_);[Red]\(0.00\)">
                  <c:v>36.75 </c:v>
                </c:pt>
                <c:pt idx="736" c:formatCode="0.00_);[Red]\(0.00\)">
                  <c:v>36.80 </c:v>
                </c:pt>
                <c:pt idx="737" c:formatCode="0.00_);[Red]\(0.00\)">
                  <c:v>36.85 </c:v>
                </c:pt>
                <c:pt idx="738" c:formatCode="0.00_);[Red]\(0.00\)">
                  <c:v>36.90 </c:v>
                </c:pt>
                <c:pt idx="739" c:formatCode="0.00_);[Red]\(0.00\)">
                  <c:v>36.95 </c:v>
                </c:pt>
                <c:pt idx="740" c:formatCode="0.00_);[Red]\(0.00\)">
                  <c:v>37.00 </c:v>
                </c:pt>
                <c:pt idx="741" c:formatCode="0.00_);[Red]\(0.00\)">
                  <c:v>37.05 </c:v>
                </c:pt>
                <c:pt idx="742" c:formatCode="0.00_);[Red]\(0.00\)">
                  <c:v>37.10 </c:v>
                </c:pt>
                <c:pt idx="743" c:formatCode="0.00_);[Red]\(0.00\)">
                  <c:v>37.15 </c:v>
                </c:pt>
                <c:pt idx="744" c:formatCode="0.00_);[Red]\(0.00\)">
                  <c:v>37.20 </c:v>
                </c:pt>
                <c:pt idx="745" c:formatCode="0.00_);[Red]\(0.00\)">
                  <c:v>37.25 </c:v>
                </c:pt>
                <c:pt idx="746" c:formatCode="0.00_);[Red]\(0.00\)">
                  <c:v>37.30 </c:v>
                </c:pt>
                <c:pt idx="747" c:formatCode="0.00_);[Red]\(0.00\)">
                  <c:v>37.35 </c:v>
                </c:pt>
                <c:pt idx="748" c:formatCode="0.00_);[Red]\(0.00\)">
                  <c:v>37.40 </c:v>
                </c:pt>
                <c:pt idx="749" c:formatCode="0.00_);[Red]\(0.00\)">
                  <c:v>37.45 </c:v>
                </c:pt>
                <c:pt idx="750" c:formatCode="0.00_);[Red]\(0.00\)">
                  <c:v>37.50 </c:v>
                </c:pt>
                <c:pt idx="751" c:formatCode="0.00_);[Red]\(0.00\)">
                  <c:v>37.55 </c:v>
                </c:pt>
                <c:pt idx="752" c:formatCode="0.00_);[Red]\(0.00\)">
                  <c:v>37.60 </c:v>
                </c:pt>
                <c:pt idx="753" c:formatCode="0.00_);[Red]\(0.00\)">
                  <c:v>37.65 </c:v>
                </c:pt>
                <c:pt idx="754" c:formatCode="0.00_);[Red]\(0.00\)">
                  <c:v>37.70 </c:v>
                </c:pt>
                <c:pt idx="755" c:formatCode="0.00_);[Red]\(0.00\)">
                  <c:v>37.75 </c:v>
                </c:pt>
                <c:pt idx="756" c:formatCode="0.00_);[Red]\(0.00\)">
                  <c:v>37.80 </c:v>
                </c:pt>
                <c:pt idx="757" c:formatCode="0.00_);[Red]\(0.00\)">
                  <c:v>37.85 </c:v>
                </c:pt>
                <c:pt idx="758" c:formatCode="0.00_);[Red]\(0.00\)">
                  <c:v>37.90 </c:v>
                </c:pt>
                <c:pt idx="759" c:formatCode="0.00_);[Red]\(0.00\)">
                  <c:v>37.95 </c:v>
                </c:pt>
                <c:pt idx="760" c:formatCode="0.00_);[Red]\(0.00\)">
                  <c:v>38.00 </c:v>
                </c:pt>
                <c:pt idx="761" c:formatCode="0.00_);[Red]\(0.00\)">
                  <c:v>38.05 </c:v>
                </c:pt>
                <c:pt idx="762" c:formatCode="0.00_);[Red]\(0.00\)">
                  <c:v>38.10 </c:v>
                </c:pt>
                <c:pt idx="763" c:formatCode="0.00_);[Red]\(0.00\)">
                  <c:v>38.15 </c:v>
                </c:pt>
                <c:pt idx="764" c:formatCode="0.00_);[Red]\(0.00\)">
                  <c:v>38.20 </c:v>
                </c:pt>
                <c:pt idx="765" c:formatCode="0.00_);[Red]\(0.00\)">
                  <c:v>38.25 </c:v>
                </c:pt>
                <c:pt idx="766" c:formatCode="0.00_);[Red]\(0.00\)">
                  <c:v>38.30 </c:v>
                </c:pt>
                <c:pt idx="767" c:formatCode="0.00_);[Red]\(0.00\)">
                  <c:v>38.35 </c:v>
                </c:pt>
                <c:pt idx="768" c:formatCode="0.00_);[Red]\(0.00\)">
                  <c:v>38.40 </c:v>
                </c:pt>
                <c:pt idx="769" c:formatCode="0.00_);[Red]\(0.00\)">
                  <c:v>38.45 </c:v>
                </c:pt>
                <c:pt idx="770" c:formatCode="0.00_);[Red]\(0.00\)">
                  <c:v>38.50 </c:v>
                </c:pt>
                <c:pt idx="771" c:formatCode="0.00_);[Red]\(0.00\)">
                  <c:v>38.55 </c:v>
                </c:pt>
                <c:pt idx="772" c:formatCode="0.00_);[Red]\(0.00\)">
                  <c:v>38.60 </c:v>
                </c:pt>
                <c:pt idx="773" c:formatCode="0.00_);[Red]\(0.00\)">
                  <c:v>38.65 </c:v>
                </c:pt>
                <c:pt idx="774" c:formatCode="0.00_);[Red]\(0.00\)">
                  <c:v>38.70 </c:v>
                </c:pt>
                <c:pt idx="775" c:formatCode="0.00_);[Red]\(0.00\)">
                  <c:v>38.75 </c:v>
                </c:pt>
                <c:pt idx="776" c:formatCode="0.00_);[Red]\(0.00\)">
                  <c:v>38.80 </c:v>
                </c:pt>
                <c:pt idx="777" c:formatCode="0.00_);[Red]\(0.00\)">
                  <c:v>38.85 </c:v>
                </c:pt>
                <c:pt idx="778" c:formatCode="0.00_);[Red]\(0.00\)">
                  <c:v>38.90 </c:v>
                </c:pt>
                <c:pt idx="779" c:formatCode="0.00_);[Red]\(0.00\)">
                  <c:v>38.95 </c:v>
                </c:pt>
                <c:pt idx="780" c:formatCode="0.00_);[Red]\(0.00\)">
                  <c:v>39.00 </c:v>
                </c:pt>
                <c:pt idx="781" c:formatCode="0.00_);[Red]\(0.00\)">
                  <c:v>39.05 </c:v>
                </c:pt>
                <c:pt idx="782" c:formatCode="0.00_);[Red]\(0.00\)">
                  <c:v>39.10 </c:v>
                </c:pt>
                <c:pt idx="783" c:formatCode="0.00_);[Red]\(0.00\)">
                  <c:v>39.15 </c:v>
                </c:pt>
                <c:pt idx="784" c:formatCode="0.00_);[Red]\(0.00\)">
                  <c:v>39.20 </c:v>
                </c:pt>
                <c:pt idx="785" c:formatCode="0.00_);[Red]\(0.00\)">
                  <c:v>39.25 </c:v>
                </c:pt>
                <c:pt idx="786" c:formatCode="0.00_);[Red]\(0.00\)">
                  <c:v>39.30 </c:v>
                </c:pt>
                <c:pt idx="787" c:formatCode="0.00_);[Red]\(0.00\)">
                  <c:v>39.35 </c:v>
                </c:pt>
                <c:pt idx="788" c:formatCode="0.00_);[Red]\(0.00\)">
                  <c:v>39.40 </c:v>
                </c:pt>
                <c:pt idx="789" c:formatCode="0.00_);[Red]\(0.00\)">
                  <c:v>39.45 </c:v>
                </c:pt>
                <c:pt idx="790" c:formatCode="0.00_);[Red]\(0.00\)">
                  <c:v>39.50 </c:v>
                </c:pt>
                <c:pt idx="791" c:formatCode="0.00_);[Red]\(0.00\)">
                  <c:v>39.55 </c:v>
                </c:pt>
                <c:pt idx="792" c:formatCode="0.00_);[Red]\(0.00\)">
                  <c:v>39.60 </c:v>
                </c:pt>
                <c:pt idx="793" c:formatCode="0.00_);[Red]\(0.00\)">
                  <c:v>39.65 </c:v>
                </c:pt>
                <c:pt idx="794" c:formatCode="0.00_);[Red]\(0.00\)">
                  <c:v>39.70 </c:v>
                </c:pt>
                <c:pt idx="795" c:formatCode="0.00_);[Red]\(0.00\)">
                  <c:v>39.75 </c:v>
                </c:pt>
                <c:pt idx="796" c:formatCode="0.00_);[Red]\(0.00\)">
                  <c:v>39.80 </c:v>
                </c:pt>
                <c:pt idx="797" c:formatCode="0.00_);[Red]\(0.00\)">
                  <c:v>39.85 </c:v>
                </c:pt>
                <c:pt idx="798" c:formatCode="0.00_);[Red]\(0.00\)">
                  <c:v>39.90 </c:v>
                </c:pt>
                <c:pt idx="799" c:formatCode="0.00_);[Red]\(0.00\)">
                  <c:v>39.95 </c:v>
                </c:pt>
                <c:pt idx="800" c:formatCode="0.00_);[Red]\(0.00\)">
                  <c:v>40.00 </c:v>
                </c:pt>
                <c:pt idx="801" c:formatCode="0.00_);[Red]\(0.00\)">
                  <c:v>40.05 </c:v>
                </c:pt>
                <c:pt idx="802" c:formatCode="0.00_);[Red]\(0.00\)">
                  <c:v>40.10 </c:v>
                </c:pt>
                <c:pt idx="803" c:formatCode="0.00_);[Red]\(0.00\)">
                  <c:v>40.15 </c:v>
                </c:pt>
                <c:pt idx="804" c:formatCode="0.00_);[Red]\(0.00\)">
                  <c:v>40.20 </c:v>
                </c:pt>
                <c:pt idx="805" c:formatCode="0.00_);[Red]\(0.00\)">
                  <c:v>40.25 </c:v>
                </c:pt>
                <c:pt idx="806" c:formatCode="0.00_);[Red]\(0.00\)">
                  <c:v>40.30 </c:v>
                </c:pt>
                <c:pt idx="807" c:formatCode="0.00_);[Red]\(0.00\)">
                  <c:v>40.35 </c:v>
                </c:pt>
                <c:pt idx="808" c:formatCode="0.00_);[Red]\(0.00\)">
                  <c:v>40.40 </c:v>
                </c:pt>
                <c:pt idx="809" c:formatCode="0.00_);[Red]\(0.00\)">
                  <c:v>40.45 </c:v>
                </c:pt>
                <c:pt idx="810" c:formatCode="0.00_);[Red]\(0.00\)">
                  <c:v>40.50 </c:v>
                </c:pt>
                <c:pt idx="811" c:formatCode="0.00_);[Red]\(0.00\)">
                  <c:v>40.55 </c:v>
                </c:pt>
                <c:pt idx="812" c:formatCode="0.00_);[Red]\(0.00\)">
                  <c:v>40.60 </c:v>
                </c:pt>
                <c:pt idx="813" c:formatCode="0.00_);[Red]\(0.00\)">
                  <c:v>40.65 </c:v>
                </c:pt>
                <c:pt idx="814" c:formatCode="0.00_);[Red]\(0.00\)">
                  <c:v>40.70 </c:v>
                </c:pt>
                <c:pt idx="815" c:formatCode="0.00_);[Red]\(0.00\)">
                  <c:v>40.75 </c:v>
                </c:pt>
                <c:pt idx="816" c:formatCode="0.00_);[Red]\(0.00\)">
                  <c:v>40.80 </c:v>
                </c:pt>
                <c:pt idx="817" c:formatCode="0.00_);[Red]\(0.00\)">
                  <c:v>40.85 </c:v>
                </c:pt>
                <c:pt idx="818" c:formatCode="0.00_);[Red]\(0.00\)">
                  <c:v>40.90 </c:v>
                </c:pt>
                <c:pt idx="819" c:formatCode="0.00_);[Red]\(0.00\)">
                  <c:v>40.95 </c:v>
                </c:pt>
                <c:pt idx="820" c:formatCode="0.00_);[Red]\(0.00\)">
                  <c:v>41.00 </c:v>
                </c:pt>
                <c:pt idx="821" c:formatCode="0.00_);[Red]\(0.00\)">
                  <c:v>41.05 </c:v>
                </c:pt>
                <c:pt idx="822" c:formatCode="0.00_);[Red]\(0.00\)">
                  <c:v>41.10 </c:v>
                </c:pt>
                <c:pt idx="823" c:formatCode="0.00_);[Red]\(0.00\)">
                  <c:v>41.15 </c:v>
                </c:pt>
                <c:pt idx="824" c:formatCode="0.00_);[Red]\(0.00\)">
                  <c:v>41.20 </c:v>
                </c:pt>
                <c:pt idx="825" c:formatCode="0.00_);[Red]\(0.00\)">
                  <c:v>41.25 </c:v>
                </c:pt>
                <c:pt idx="826" c:formatCode="0.00_);[Red]\(0.00\)">
                  <c:v>41.30 </c:v>
                </c:pt>
                <c:pt idx="827" c:formatCode="0.00_);[Red]\(0.00\)">
                  <c:v>41.35 </c:v>
                </c:pt>
                <c:pt idx="828" c:formatCode="0.00_);[Red]\(0.00\)">
                  <c:v>41.40 </c:v>
                </c:pt>
                <c:pt idx="829" c:formatCode="0.00_);[Red]\(0.00\)">
                  <c:v>41.45 </c:v>
                </c:pt>
                <c:pt idx="830" c:formatCode="0.00_);[Red]\(0.00\)">
                  <c:v>41.50 </c:v>
                </c:pt>
                <c:pt idx="831" c:formatCode="0.00_);[Red]\(0.00\)">
                  <c:v>41.55 </c:v>
                </c:pt>
                <c:pt idx="832" c:formatCode="0.00_);[Red]\(0.00\)">
                  <c:v>41.60 </c:v>
                </c:pt>
                <c:pt idx="833" c:formatCode="0.00_);[Red]\(0.00\)">
                  <c:v>41.65 </c:v>
                </c:pt>
                <c:pt idx="834" c:formatCode="0.00_);[Red]\(0.00\)">
                  <c:v>41.70 </c:v>
                </c:pt>
                <c:pt idx="835" c:formatCode="0.00_);[Red]\(0.00\)">
                  <c:v>41.75 </c:v>
                </c:pt>
                <c:pt idx="836" c:formatCode="0.00_);[Red]\(0.00\)">
                  <c:v>41.80 </c:v>
                </c:pt>
                <c:pt idx="837" c:formatCode="0.00_);[Red]\(0.00\)">
                  <c:v>41.85 </c:v>
                </c:pt>
                <c:pt idx="838" c:formatCode="0.00_);[Red]\(0.00\)">
                  <c:v>41.90 </c:v>
                </c:pt>
                <c:pt idx="839" c:formatCode="0.00_);[Red]\(0.00\)">
                  <c:v>41.95 </c:v>
                </c:pt>
                <c:pt idx="840" c:formatCode="0.00_);[Red]\(0.00\)">
                  <c:v>42.00 </c:v>
                </c:pt>
                <c:pt idx="841" c:formatCode="0.00_);[Red]\(0.00\)">
                  <c:v>42.05 </c:v>
                </c:pt>
                <c:pt idx="842" c:formatCode="0.00_);[Red]\(0.00\)">
                  <c:v>42.10 </c:v>
                </c:pt>
                <c:pt idx="843" c:formatCode="0.00_);[Red]\(0.00\)">
                  <c:v>42.15 </c:v>
                </c:pt>
                <c:pt idx="844" c:formatCode="0.00_);[Red]\(0.00\)">
                  <c:v>42.20 </c:v>
                </c:pt>
                <c:pt idx="845" c:formatCode="0.00_);[Red]\(0.00\)">
                  <c:v>42.25 </c:v>
                </c:pt>
                <c:pt idx="846" c:formatCode="0.00_);[Red]\(0.00\)">
                  <c:v>42.30 </c:v>
                </c:pt>
                <c:pt idx="847" c:formatCode="0.00_);[Red]\(0.00\)">
                  <c:v>42.35 </c:v>
                </c:pt>
                <c:pt idx="848" c:formatCode="0.00_);[Red]\(0.00\)">
                  <c:v>42.40 </c:v>
                </c:pt>
                <c:pt idx="849" c:formatCode="0.00_);[Red]\(0.00\)">
                  <c:v>42.45 </c:v>
                </c:pt>
                <c:pt idx="850" c:formatCode="0.00_);[Red]\(0.00\)">
                  <c:v>42.50 </c:v>
                </c:pt>
                <c:pt idx="851" c:formatCode="0.00_);[Red]\(0.00\)">
                  <c:v>42.55 </c:v>
                </c:pt>
                <c:pt idx="852" c:formatCode="0.00_);[Red]\(0.00\)">
                  <c:v>42.60 </c:v>
                </c:pt>
                <c:pt idx="853" c:formatCode="0.00_);[Red]\(0.00\)">
                  <c:v>42.65 </c:v>
                </c:pt>
                <c:pt idx="854" c:formatCode="0.00_);[Red]\(0.00\)">
                  <c:v>42.70 </c:v>
                </c:pt>
                <c:pt idx="855" c:formatCode="0.00_);[Red]\(0.00\)">
                  <c:v>42.75 </c:v>
                </c:pt>
                <c:pt idx="856" c:formatCode="0.00_);[Red]\(0.00\)">
                  <c:v>42.80 </c:v>
                </c:pt>
                <c:pt idx="857" c:formatCode="0.00_);[Red]\(0.00\)">
                  <c:v>42.85 </c:v>
                </c:pt>
                <c:pt idx="858" c:formatCode="0.00_);[Red]\(0.00\)">
                  <c:v>42.90 </c:v>
                </c:pt>
                <c:pt idx="859" c:formatCode="0.00_);[Red]\(0.00\)">
                  <c:v>42.95 </c:v>
                </c:pt>
                <c:pt idx="860" c:formatCode="0.00_);[Red]\(0.00\)">
                  <c:v>43.00 </c:v>
                </c:pt>
                <c:pt idx="861" c:formatCode="0.00_);[Red]\(0.00\)">
                  <c:v>43.05 </c:v>
                </c:pt>
                <c:pt idx="862" c:formatCode="0.00_);[Red]\(0.00\)">
                  <c:v>43.10 </c:v>
                </c:pt>
                <c:pt idx="863" c:formatCode="0.00_);[Red]\(0.00\)">
                  <c:v>43.15 </c:v>
                </c:pt>
                <c:pt idx="864" c:formatCode="0.00_);[Red]\(0.00\)">
                  <c:v>43.20 </c:v>
                </c:pt>
                <c:pt idx="865" c:formatCode="0.00_);[Red]\(0.00\)">
                  <c:v>43.25 </c:v>
                </c:pt>
                <c:pt idx="866" c:formatCode="0.00_);[Red]\(0.00\)">
                  <c:v>43.30 </c:v>
                </c:pt>
                <c:pt idx="867" c:formatCode="0.00_);[Red]\(0.00\)">
                  <c:v>43.35 </c:v>
                </c:pt>
                <c:pt idx="868" c:formatCode="0.00_);[Red]\(0.00\)">
                  <c:v>43.40 </c:v>
                </c:pt>
                <c:pt idx="869" c:formatCode="0.00_);[Red]\(0.00\)">
                  <c:v>43.45 </c:v>
                </c:pt>
              </c:strCache>
            </c:strRef>
          </c:cat>
          <c:val>
            <c:numRef>
              <c:f>常压阻尼温差01!$G$2:$G$871</c:f>
              <c:numCache>
                <c:formatCode>General</c:formatCode>
                <c:ptCount val="8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40</c:v>
                </c:pt>
                <c:pt idx="137">
                  <c:v>40</c:v>
                </c:pt>
                <c:pt idx="138">
                  <c:v>40</c:v>
                </c:pt>
                <c:pt idx="139">
                  <c:v>40</c:v>
                </c:pt>
                <c:pt idx="140">
                  <c:v>40</c:v>
                </c:pt>
                <c:pt idx="141">
                  <c:v>40</c:v>
                </c:pt>
                <c:pt idx="142">
                  <c:v>40</c:v>
                </c:pt>
                <c:pt idx="143">
                  <c:v>40</c:v>
                </c:pt>
                <c:pt idx="144">
                  <c:v>40</c:v>
                </c:pt>
                <c:pt idx="145">
                  <c:v>40</c:v>
                </c:pt>
                <c:pt idx="146">
                  <c:v>40</c:v>
                </c:pt>
                <c:pt idx="147">
                  <c:v>40</c:v>
                </c:pt>
                <c:pt idx="148">
                  <c:v>40</c:v>
                </c:pt>
                <c:pt idx="149">
                  <c:v>40</c:v>
                </c:pt>
                <c:pt idx="150">
                  <c:v>40</c:v>
                </c:pt>
                <c:pt idx="151">
                  <c:v>40</c:v>
                </c:pt>
                <c:pt idx="152">
                  <c:v>40</c:v>
                </c:pt>
                <c:pt idx="153">
                  <c:v>40</c:v>
                </c:pt>
                <c:pt idx="154">
                  <c:v>40</c:v>
                </c:pt>
                <c:pt idx="155">
                  <c:v>40</c:v>
                </c:pt>
                <c:pt idx="156">
                  <c:v>40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40</c:v>
                </c:pt>
                <c:pt idx="265">
                  <c:v>40</c:v>
                </c:pt>
                <c:pt idx="266">
                  <c:v>40</c:v>
                </c:pt>
                <c:pt idx="267">
                  <c:v>40</c:v>
                </c:pt>
                <c:pt idx="268">
                  <c:v>40</c:v>
                </c:pt>
                <c:pt idx="269">
                  <c:v>40</c:v>
                </c:pt>
                <c:pt idx="270">
                  <c:v>40</c:v>
                </c:pt>
                <c:pt idx="271">
                  <c:v>40</c:v>
                </c:pt>
                <c:pt idx="272">
                  <c:v>40</c:v>
                </c:pt>
                <c:pt idx="273">
                  <c:v>40</c:v>
                </c:pt>
                <c:pt idx="274">
                  <c:v>40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40</c:v>
                </c:pt>
                <c:pt idx="280">
                  <c:v>40</c:v>
                </c:pt>
                <c:pt idx="281">
                  <c:v>40</c:v>
                </c:pt>
                <c:pt idx="282">
                  <c:v>40</c:v>
                </c:pt>
                <c:pt idx="283">
                  <c:v>40</c:v>
                </c:pt>
                <c:pt idx="284">
                  <c:v>40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40</c:v>
                </c:pt>
                <c:pt idx="347">
                  <c:v>40</c:v>
                </c:pt>
                <c:pt idx="348">
                  <c:v>40</c:v>
                </c:pt>
                <c:pt idx="349">
                  <c:v>40</c:v>
                </c:pt>
                <c:pt idx="350">
                  <c:v>40</c:v>
                </c:pt>
                <c:pt idx="351">
                  <c:v>40</c:v>
                </c:pt>
                <c:pt idx="352">
                  <c:v>40</c:v>
                </c:pt>
                <c:pt idx="353">
                  <c:v>40</c:v>
                </c:pt>
                <c:pt idx="354">
                  <c:v>40</c:v>
                </c:pt>
                <c:pt idx="355">
                  <c:v>40</c:v>
                </c:pt>
                <c:pt idx="356">
                  <c:v>40</c:v>
                </c:pt>
                <c:pt idx="357">
                  <c:v>40</c:v>
                </c:pt>
                <c:pt idx="358">
                  <c:v>40</c:v>
                </c:pt>
                <c:pt idx="359">
                  <c:v>40</c:v>
                </c:pt>
                <c:pt idx="360">
                  <c:v>40</c:v>
                </c:pt>
                <c:pt idx="361">
                  <c:v>40</c:v>
                </c:pt>
                <c:pt idx="362">
                  <c:v>40</c:v>
                </c:pt>
                <c:pt idx="363">
                  <c:v>40</c:v>
                </c:pt>
                <c:pt idx="364">
                  <c:v>40</c:v>
                </c:pt>
                <c:pt idx="365">
                  <c:v>40</c:v>
                </c:pt>
                <c:pt idx="366">
                  <c:v>40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40</c:v>
                </c:pt>
                <c:pt idx="403">
                  <c:v>40</c:v>
                </c:pt>
                <c:pt idx="404">
                  <c:v>40</c:v>
                </c:pt>
                <c:pt idx="405">
                  <c:v>40</c:v>
                </c:pt>
                <c:pt idx="406">
                  <c:v>40</c:v>
                </c:pt>
                <c:pt idx="407">
                  <c:v>40</c:v>
                </c:pt>
                <c:pt idx="408">
                  <c:v>40</c:v>
                </c:pt>
                <c:pt idx="409">
                  <c:v>40</c:v>
                </c:pt>
                <c:pt idx="410">
                  <c:v>40</c:v>
                </c:pt>
                <c:pt idx="411">
                  <c:v>40</c:v>
                </c:pt>
                <c:pt idx="412">
                  <c:v>40</c:v>
                </c:pt>
                <c:pt idx="413">
                  <c:v>40</c:v>
                </c:pt>
                <c:pt idx="414">
                  <c:v>40</c:v>
                </c:pt>
                <c:pt idx="415">
                  <c:v>40</c:v>
                </c:pt>
                <c:pt idx="416">
                  <c:v>40</c:v>
                </c:pt>
                <c:pt idx="417">
                  <c:v>40</c:v>
                </c:pt>
                <c:pt idx="418">
                  <c:v>40</c:v>
                </c:pt>
                <c:pt idx="419">
                  <c:v>40</c:v>
                </c:pt>
                <c:pt idx="420">
                  <c:v>40</c:v>
                </c:pt>
                <c:pt idx="421">
                  <c:v>40</c:v>
                </c:pt>
                <c:pt idx="422">
                  <c:v>40</c:v>
                </c:pt>
                <c:pt idx="423">
                  <c:v>0</c:v>
                </c:pt>
                <c:pt idx="424">
                  <c:v>40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40</c:v>
                </c:pt>
                <c:pt idx="486">
                  <c:v>40</c:v>
                </c:pt>
                <c:pt idx="487">
                  <c:v>40</c:v>
                </c:pt>
                <c:pt idx="488">
                  <c:v>40</c:v>
                </c:pt>
                <c:pt idx="489">
                  <c:v>40</c:v>
                </c:pt>
                <c:pt idx="490">
                  <c:v>40</c:v>
                </c:pt>
                <c:pt idx="491">
                  <c:v>40</c:v>
                </c:pt>
                <c:pt idx="492">
                  <c:v>40</c:v>
                </c:pt>
                <c:pt idx="493">
                  <c:v>40</c:v>
                </c:pt>
                <c:pt idx="494">
                  <c:v>40</c:v>
                </c:pt>
                <c:pt idx="495">
                  <c:v>40</c:v>
                </c:pt>
                <c:pt idx="496">
                  <c:v>40</c:v>
                </c:pt>
                <c:pt idx="497">
                  <c:v>40</c:v>
                </c:pt>
                <c:pt idx="498">
                  <c:v>40</c:v>
                </c:pt>
                <c:pt idx="499">
                  <c:v>40</c:v>
                </c:pt>
                <c:pt idx="500">
                  <c:v>40</c:v>
                </c:pt>
                <c:pt idx="501">
                  <c:v>40</c:v>
                </c:pt>
                <c:pt idx="502">
                  <c:v>40</c:v>
                </c:pt>
                <c:pt idx="503">
                  <c:v>40</c:v>
                </c:pt>
                <c:pt idx="504">
                  <c:v>40</c:v>
                </c:pt>
                <c:pt idx="505">
                  <c:v>40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5681929"/>
        <c:axId val="137677526"/>
      </c:lineChart>
      <c:catAx>
        <c:axId val="24568192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677526"/>
        <c:crosses val="autoZero"/>
        <c:auto val="1"/>
        <c:lblAlgn val="ctr"/>
        <c:lblOffset val="100"/>
        <c:noMultiLvlLbl val="0"/>
      </c:catAx>
      <c:valAx>
        <c:axId val="13767752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568192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c1f1b28-1400-42cc-88dd-a57a7b295fa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常压静止01!$F$2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常压静止01!$E$3:$E$303</c:f>
              <c:numCache>
                <c:formatCode>0.00_);[Red]\(0.00\)</c:formatCode>
                <c:ptCount val="301"/>
                <c:pt idx="0" c:formatCode="0.00_);[Red]\(0.00\)">
                  <c:v>0</c:v>
                </c:pt>
                <c:pt idx="1" c:formatCode="0.00_);[Red]\(0.00\)">
                  <c:v>0.05</c:v>
                </c:pt>
                <c:pt idx="2" c:formatCode="0.00_);[Red]\(0.00\)">
                  <c:v>0.1</c:v>
                </c:pt>
                <c:pt idx="3" c:formatCode="0.00_);[Red]\(0.00\)">
                  <c:v>0.15</c:v>
                </c:pt>
                <c:pt idx="4" c:formatCode="0.00_);[Red]\(0.00\)">
                  <c:v>0.2</c:v>
                </c:pt>
                <c:pt idx="5" c:formatCode="0.00_);[Red]\(0.00\)">
                  <c:v>0.25</c:v>
                </c:pt>
                <c:pt idx="6" c:formatCode="0.00_);[Red]\(0.00\)">
                  <c:v>0.3</c:v>
                </c:pt>
                <c:pt idx="7" c:formatCode="0.00_);[Red]\(0.00\)">
                  <c:v>0.35</c:v>
                </c:pt>
                <c:pt idx="8" c:formatCode="0.00_);[Red]\(0.00\)">
                  <c:v>0.4</c:v>
                </c:pt>
                <c:pt idx="9" c:formatCode="0.00_);[Red]\(0.00\)">
                  <c:v>0.45</c:v>
                </c:pt>
                <c:pt idx="10" c:formatCode="0.00_);[Red]\(0.00\)">
                  <c:v>0.5</c:v>
                </c:pt>
                <c:pt idx="11" c:formatCode="0.00_);[Red]\(0.00\)">
                  <c:v>0.55</c:v>
                </c:pt>
                <c:pt idx="12" c:formatCode="0.00_);[Red]\(0.00\)">
                  <c:v>0.6</c:v>
                </c:pt>
                <c:pt idx="13" c:formatCode="0.00_);[Red]\(0.00\)">
                  <c:v>0.65</c:v>
                </c:pt>
                <c:pt idx="14" c:formatCode="0.00_);[Red]\(0.00\)">
                  <c:v>0.7</c:v>
                </c:pt>
                <c:pt idx="15" c:formatCode="0.00_);[Red]\(0.00\)">
                  <c:v>0.75</c:v>
                </c:pt>
                <c:pt idx="16" c:formatCode="0.00_);[Red]\(0.00\)">
                  <c:v>0.8</c:v>
                </c:pt>
                <c:pt idx="17" c:formatCode="0.00_);[Red]\(0.00\)">
                  <c:v>0.85</c:v>
                </c:pt>
                <c:pt idx="18" c:formatCode="0.00_);[Red]\(0.00\)">
                  <c:v>0.9</c:v>
                </c:pt>
                <c:pt idx="19" c:formatCode="0.00_);[Red]\(0.00\)">
                  <c:v>0.95</c:v>
                </c:pt>
                <c:pt idx="20" c:formatCode="0.00_);[Red]\(0.00\)">
                  <c:v>1</c:v>
                </c:pt>
                <c:pt idx="21" c:formatCode="0.00_);[Red]\(0.00\)">
                  <c:v>1.05</c:v>
                </c:pt>
                <c:pt idx="22" c:formatCode="0.00_);[Red]\(0.00\)">
                  <c:v>1.1</c:v>
                </c:pt>
                <c:pt idx="23" c:formatCode="0.00_);[Red]\(0.00\)">
                  <c:v>1.15</c:v>
                </c:pt>
                <c:pt idx="24" c:formatCode="0.00_);[Red]\(0.00\)">
                  <c:v>1.2</c:v>
                </c:pt>
                <c:pt idx="25" c:formatCode="0.00_);[Red]\(0.00\)">
                  <c:v>1.25</c:v>
                </c:pt>
                <c:pt idx="26" c:formatCode="0.00_);[Red]\(0.00\)">
                  <c:v>1.3</c:v>
                </c:pt>
                <c:pt idx="27" c:formatCode="0.00_);[Red]\(0.00\)">
                  <c:v>1.35</c:v>
                </c:pt>
                <c:pt idx="28" c:formatCode="0.00_);[Red]\(0.00\)">
                  <c:v>1.4</c:v>
                </c:pt>
                <c:pt idx="29" c:formatCode="0.00_);[Red]\(0.00\)">
                  <c:v>1.45</c:v>
                </c:pt>
                <c:pt idx="30" c:formatCode="0.00_);[Red]\(0.00\)">
                  <c:v>1.5</c:v>
                </c:pt>
                <c:pt idx="31" c:formatCode="0.00_);[Red]\(0.00\)">
                  <c:v>1.55</c:v>
                </c:pt>
                <c:pt idx="32" c:formatCode="0.00_);[Red]\(0.00\)">
                  <c:v>1.6</c:v>
                </c:pt>
                <c:pt idx="33" c:formatCode="0.00_);[Red]\(0.00\)">
                  <c:v>1.65</c:v>
                </c:pt>
                <c:pt idx="34" c:formatCode="0.00_);[Red]\(0.00\)">
                  <c:v>1.7</c:v>
                </c:pt>
                <c:pt idx="35" c:formatCode="0.00_);[Red]\(0.00\)">
                  <c:v>1.75</c:v>
                </c:pt>
                <c:pt idx="36" c:formatCode="0.00_);[Red]\(0.00\)">
                  <c:v>1.8</c:v>
                </c:pt>
                <c:pt idx="37" c:formatCode="0.00_);[Red]\(0.00\)">
                  <c:v>1.85</c:v>
                </c:pt>
                <c:pt idx="38" c:formatCode="0.00_);[Red]\(0.00\)">
                  <c:v>1.9</c:v>
                </c:pt>
                <c:pt idx="39" c:formatCode="0.00_);[Red]\(0.00\)">
                  <c:v>1.95</c:v>
                </c:pt>
                <c:pt idx="40" c:formatCode="0.00_);[Red]\(0.00\)">
                  <c:v>2</c:v>
                </c:pt>
                <c:pt idx="41" c:formatCode="0.00_);[Red]\(0.00\)">
                  <c:v>2.05</c:v>
                </c:pt>
                <c:pt idx="42" c:formatCode="0.00_);[Red]\(0.00\)">
                  <c:v>2.1</c:v>
                </c:pt>
                <c:pt idx="43" c:formatCode="0.00_);[Red]\(0.00\)">
                  <c:v>2.15</c:v>
                </c:pt>
                <c:pt idx="44" c:formatCode="0.00_);[Red]\(0.00\)">
                  <c:v>2.2</c:v>
                </c:pt>
                <c:pt idx="45" c:formatCode="0.00_);[Red]\(0.00\)">
                  <c:v>2.25</c:v>
                </c:pt>
                <c:pt idx="46" c:formatCode="0.00_);[Red]\(0.00\)">
                  <c:v>2.3</c:v>
                </c:pt>
                <c:pt idx="47" c:formatCode="0.00_);[Red]\(0.00\)">
                  <c:v>2.35</c:v>
                </c:pt>
                <c:pt idx="48" c:formatCode="0.00_);[Red]\(0.00\)">
                  <c:v>2.4</c:v>
                </c:pt>
                <c:pt idx="49" c:formatCode="0.00_);[Red]\(0.00\)">
                  <c:v>2.45</c:v>
                </c:pt>
                <c:pt idx="50" c:formatCode="0.00_);[Red]\(0.00\)">
                  <c:v>2.5</c:v>
                </c:pt>
                <c:pt idx="51" c:formatCode="0.00_);[Red]\(0.00\)">
                  <c:v>2.55</c:v>
                </c:pt>
                <c:pt idx="52" c:formatCode="0.00_);[Red]\(0.00\)">
                  <c:v>2.6</c:v>
                </c:pt>
                <c:pt idx="53" c:formatCode="0.00_);[Red]\(0.00\)">
                  <c:v>2.65</c:v>
                </c:pt>
                <c:pt idx="54" c:formatCode="0.00_);[Red]\(0.00\)">
                  <c:v>2.7</c:v>
                </c:pt>
                <c:pt idx="55" c:formatCode="0.00_);[Red]\(0.00\)">
                  <c:v>2.75</c:v>
                </c:pt>
                <c:pt idx="56" c:formatCode="0.00_);[Red]\(0.00\)">
                  <c:v>2.8</c:v>
                </c:pt>
                <c:pt idx="57" c:formatCode="0.00_);[Red]\(0.00\)">
                  <c:v>2.85</c:v>
                </c:pt>
                <c:pt idx="58" c:formatCode="0.00_);[Red]\(0.00\)">
                  <c:v>2.9</c:v>
                </c:pt>
                <c:pt idx="59" c:formatCode="0.00_);[Red]\(0.00\)">
                  <c:v>2.95</c:v>
                </c:pt>
                <c:pt idx="60" c:formatCode="0.00_);[Red]\(0.00\)">
                  <c:v>3</c:v>
                </c:pt>
                <c:pt idx="61" c:formatCode="0.00_);[Red]\(0.00\)">
                  <c:v>3.05</c:v>
                </c:pt>
                <c:pt idx="62" c:formatCode="0.00_);[Red]\(0.00\)">
                  <c:v>3.1</c:v>
                </c:pt>
                <c:pt idx="63" c:formatCode="0.00_);[Red]\(0.00\)">
                  <c:v>3.15</c:v>
                </c:pt>
                <c:pt idx="64" c:formatCode="0.00_);[Red]\(0.00\)">
                  <c:v>3.2</c:v>
                </c:pt>
                <c:pt idx="65" c:formatCode="0.00_);[Red]\(0.00\)">
                  <c:v>3.25</c:v>
                </c:pt>
                <c:pt idx="66" c:formatCode="0.00_);[Red]\(0.00\)">
                  <c:v>3.3</c:v>
                </c:pt>
                <c:pt idx="67" c:formatCode="0.00_);[Red]\(0.00\)">
                  <c:v>3.35</c:v>
                </c:pt>
                <c:pt idx="68" c:formatCode="0.00_);[Red]\(0.00\)">
                  <c:v>3.4</c:v>
                </c:pt>
                <c:pt idx="69" c:formatCode="0.00_);[Red]\(0.00\)">
                  <c:v>3.45</c:v>
                </c:pt>
                <c:pt idx="70" c:formatCode="0.00_);[Red]\(0.00\)">
                  <c:v>3.5</c:v>
                </c:pt>
                <c:pt idx="71" c:formatCode="0.00_);[Red]\(0.00\)">
                  <c:v>3.55</c:v>
                </c:pt>
                <c:pt idx="72" c:formatCode="0.00_);[Red]\(0.00\)">
                  <c:v>3.6</c:v>
                </c:pt>
                <c:pt idx="73" c:formatCode="0.00_);[Red]\(0.00\)">
                  <c:v>3.65</c:v>
                </c:pt>
                <c:pt idx="74" c:formatCode="0.00_);[Red]\(0.00\)">
                  <c:v>3.7</c:v>
                </c:pt>
                <c:pt idx="75" c:formatCode="0.00_);[Red]\(0.00\)">
                  <c:v>3.75</c:v>
                </c:pt>
                <c:pt idx="76" c:formatCode="0.00_);[Red]\(0.00\)">
                  <c:v>3.8</c:v>
                </c:pt>
                <c:pt idx="77" c:formatCode="0.00_);[Red]\(0.00\)">
                  <c:v>3.85</c:v>
                </c:pt>
                <c:pt idx="78" c:formatCode="0.00_);[Red]\(0.00\)">
                  <c:v>3.9</c:v>
                </c:pt>
                <c:pt idx="79" c:formatCode="0.00_);[Red]\(0.00\)">
                  <c:v>3.95</c:v>
                </c:pt>
                <c:pt idx="80" c:formatCode="0.00_);[Red]\(0.00\)">
                  <c:v>4</c:v>
                </c:pt>
                <c:pt idx="81" c:formatCode="0.00_);[Red]\(0.00\)">
                  <c:v>4.05</c:v>
                </c:pt>
                <c:pt idx="82" c:formatCode="0.00_);[Red]\(0.00\)">
                  <c:v>4.1</c:v>
                </c:pt>
                <c:pt idx="83" c:formatCode="0.00_);[Red]\(0.00\)">
                  <c:v>4.15</c:v>
                </c:pt>
                <c:pt idx="84" c:formatCode="0.00_);[Red]\(0.00\)">
                  <c:v>4.2</c:v>
                </c:pt>
                <c:pt idx="85" c:formatCode="0.00_);[Red]\(0.00\)">
                  <c:v>4.25</c:v>
                </c:pt>
                <c:pt idx="86" c:formatCode="0.00_);[Red]\(0.00\)">
                  <c:v>4.3</c:v>
                </c:pt>
                <c:pt idx="87" c:formatCode="0.00_);[Red]\(0.00\)">
                  <c:v>4.35</c:v>
                </c:pt>
                <c:pt idx="88" c:formatCode="0.00_);[Red]\(0.00\)">
                  <c:v>4.4</c:v>
                </c:pt>
                <c:pt idx="89" c:formatCode="0.00_);[Red]\(0.00\)">
                  <c:v>4.45</c:v>
                </c:pt>
                <c:pt idx="90" c:formatCode="0.00_);[Red]\(0.00\)">
                  <c:v>4.5</c:v>
                </c:pt>
                <c:pt idx="91" c:formatCode="0.00_);[Red]\(0.00\)">
                  <c:v>4.55</c:v>
                </c:pt>
                <c:pt idx="92" c:formatCode="0.00_);[Red]\(0.00\)">
                  <c:v>4.6</c:v>
                </c:pt>
                <c:pt idx="93" c:formatCode="0.00_);[Red]\(0.00\)">
                  <c:v>4.65</c:v>
                </c:pt>
                <c:pt idx="94" c:formatCode="0.00_);[Red]\(0.00\)">
                  <c:v>4.7</c:v>
                </c:pt>
                <c:pt idx="95" c:formatCode="0.00_);[Red]\(0.00\)">
                  <c:v>4.75</c:v>
                </c:pt>
                <c:pt idx="96" c:formatCode="0.00_);[Red]\(0.00\)">
                  <c:v>4.8</c:v>
                </c:pt>
                <c:pt idx="97" c:formatCode="0.00_);[Red]\(0.00\)">
                  <c:v>4.85</c:v>
                </c:pt>
                <c:pt idx="98" c:formatCode="0.00_);[Red]\(0.00\)">
                  <c:v>4.9</c:v>
                </c:pt>
                <c:pt idx="99" c:formatCode="0.00_);[Red]\(0.00\)">
                  <c:v>4.95</c:v>
                </c:pt>
                <c:pt idx="100" c:formatCode="0.00_);[Red]\(0.00\)">
                  <c:v>5</c:v>
                </c:pt>
                <c:pt idx="101" c:formatCode="0.00_);[Red]\(0.00\)">
                  <c:v>5.05</c:v>
                </c:pt>
                <c:pt idx="102" c:formatCode="0.00_);[Red]\(0.00\)">
                  <c:v>5.1</c:v>
                </c:pt>
                <c:pt idx="103" c:formatCode="0.00_);[Red]\(0.00\)">
                  <c:v>5.15</c:v>
                </c:pt>
                <c:pt idx="104" c:formatCode="0.00_);[Red]\(0.00\)">
                  <c:v>5.2</c:v>
                </c:pt>
                <c:pt idx="105" c:formatCode="0.00_);[Red]\(0.00\)">
                  <c:v>5.25</c:v>
                </c:pt>
                <c:pt idx="106" c:formatCode="0.00_);[Red]\(0.00\)">
                  <c:v>5.3</c:v>
                </c:pt>
                <c:pt idx="107" c:formatCode="0.00_);[Red]\(0.00\)">
                  <c:v>5.35</c:v>
                </c:pt>
                <c:pt idx="108" c:formatCode="0.00_);[Red]\(0.00\)">
                  <c:v>5.4</c:v>
                </c:pt>
                <c:pt idx="109" c:formatCode="0.00_);[Red]\(0.00\)">
                  <c:v>5.45</c:v>
                </c:pt>
                <c:pt idx="110" c:formatCode="0.00_);[Red]\(0.00\)">
                  <c:v>5.5</c:v>
                </c:pt>
                <c:pt idx="111" c:formatCode="0.00_);[Red]\(0.00\)">
                  <c:v>5.55</c:v>
                </c:pt>
                <c:pt idx="112" c:formatCode="0.00_);[Red]\(0.00\)">
                  <c:v>5.6</c:v>
                </c:pt>
                <c:pt idx="113" c:formatCode="0.00_);[Red]\(0.00\)">
                  <c:v>5.65</c:v>
                </c:pt>
                <c:pt idx="114" c:formatCode="0.00_);[Red]\(0.00\)">
                  <c:v>5.7</c:v>
                </c:pt>
                <c:pt idx="115" c:formatCode="0.00_);[Red]\(0.00\)">
                  <c:v>5.75</c:v>
                </c:pt>
                <c:pt idx="116" c:formatCode="0.00_);[Red]\(0.00\)">
                  <c:v>5.8</c:v>
                </c:pt>
                <c:pt idx="117" c:formatCode="0.00_);[Red]\(0.00\)">
                  <c:v>5.85</c:v>
                </c:pt>
                <c:pt idx="118" c:formatCode="0.00_);[Red]\(0.00\)">
                  <c:v>5.9</c:v>
                </c:pt>
                <c:pt idx="119" c:formatCode="0.00_);[Red]\(0.00\)">
                  <c:v>5.95</c:v>
                </c:pt>
                <c:pt idx="120" c:formatCode="0.00_);[Red]\(0.00\)">
                  <c:v>6</c:v>
                </c:pt>
                <c:pt idx="121" c:formatCode="0.00_);[Red]\(0.00\)">
                  <c:v>6.05</c:v>
                </c:pt>
                <c:pt idx="122" c:formatCode="0.00_);[Red]\(0.00\)">
                  <c:v>6.1</c:v>
                </c:pt>
                <c:pt idx="123" c:formatCode="0.00_);[Red]\(0.00\)">
                  <c:v>6.15</c:v>
                </c:pt>
                <c:pt idx="124" c:formatCode="0.00_);[Red]\(0.00\)">
                  <c:v>6.2</c:v>
                </c:pt>
                <c:pt idx="125" c:formatCode="0.00_);[Red]\(0.00\)">
                  <c:v>6.25</c:v>
                </c:pt>
                <c:pt idx="126" c:formatCode="0.00_);[Red]\(0.00\)">
                  <c:v>6.3</c:v>
                </c:pt>
                <c:pt idx="127" c:formatCode="0.00_);[Red]\(0.00\)">
                  <c:v>6.35</c:v>
                </c:pt>
                <c:pt idx="128" c:formatCode="0.00_);[Red]\(0.00\)">
                  <c:v>6.4</c:v>
                </c:pt>
                <c:pt idx="129" c:formatCode="0.00_);[Red]\(0.00\)">
                  <c:v>6.45</c:v>
                </c:pt>
                <c:pt idx="130" c:formatCode="0.00_);[Red]\(0.00\)">
                  <c:v>6.5</c:v>
                </c:pt>
                <c:pt idx="131" c:formatCode="0.00_);[Red]\(0.00\)">
                  <c:v>6.55</c:v>
                </c:pt>
                <c:pt idx="132" c:formatCode="0.00_);[Red]\(0.00\)">
                  <c:v>6.6</c:v>
                </c:pt>
                <c:pt idx="133" c:formatCode="0.00_);[Red]\(0.00\)">
                  <c:v>6.65</c:v>
                </c:pt>
                <c:pt idx="134" c:formatCode="0.00_);[Red]\(0.00\)">
                  <c:v>6.7</c:v>
                </c:pt>
                <c:pt idx="135" c:formatCode="0.00_);[Red]\(0.00\)">
                  <c:v>6.75</c:v>
                </c:pt>
                <c:pt idx="136" c:formatCode="0.00_);[Red]\(0.00\)">
                  <c:v>6.8</c:v>
                </c:pt>
                <c:pt idx="137" c:formatCode="0.00_);[Red]\(0.00\)">
                  <c:v>6.85</c:v>
                </c:pt>
                <c:pt idx="138" c:formatCode="0.00_);[Red]\(0.00\)">
                  <c:v>6.9</c:v>
                </c:pt>
                <c:pt idx="139" c:formatCode="0.00_);[Red]\(0.00\)">
                  <c:v>6.95</c:v>
                </c:pt>
                <c:pt idx="140" c:formatCode="0.00_);[Red]\(0.00\)">
                  <c:v>7</c:v>
                </c:pt>
                <c:pt idx="141" c:formatCode="0.00_);[Red]\(0.00\)">
                  <c:v>7.05</c:v>
                </c:pt>
                <c:pt idx="142" c:formatCode="0.00_);[Red]\(0.00\)">
                  <c:v>7.1</c:v>
                </c:pt>
                <c:pt idx="143" c:formatCode="0.00_);[Red]\(0.00\)">
                  <c:v>7.15</c:v>
                </c:pt>
                <c:pt idx="144" c:formatCode="0.00_);[Red]\(0.00\)">
                  <c:v>7.2</c:v>
                </c:pt>
                <c:pt idx="145" c:formatCode="0.00_);[Red]\(0.00\)">
                  <c:v>7.25</c:v>
                </c:pt>
                <c:pt idx="146" c:formatCode="0.00_);[Red]\(0.00\)">
                  <c:v>7.3</c:v>
                </c:pt>
                <c:pt idx="147" c:formatCode="0.00_);[Red]\(0.00\)">
                  <c:v>7.35</c:v>
                </c:pt>
                <c:pt idx="148" c:formatCode="0.00_);[Red]\(0.00\)">
                  <c:v>7.4</c:v>
                </c:pt>
                <c:pt idx="149" c:formatCode="0.00_);[Red]\(0.00\)">
                  <c:v>7.45</c:v>
                </c:pt>
                <c:pt idx="150" c:formatCode="0.00_);[Red]\(0.00\)">
                  <c:v>7.5</c:v>
                </c:pt>
                <c:pt idx="151" c:formatCode="0.00_);[Red]\(0.00\)">
                  <c:v>7.55</c:v>
                </c:pt>
                <c:pt idx="152" c:formatCode="0.00_);[Red]\(0.00\)">
                  <c:v>7.6</c:v>
                </c:pt>
                <c:pt idx="153" c:formatCode="0.00_);[Red]\(0.00\)">
                  <c:v>7.65</c:v>
                </c:pt>
                <c:pt idx="154" c:formatCode="0.00_);[Red]\(0.00\)">
                  <c:v>7.7</c:v>
                </c:pt>
                <c:pt idx="155" c:formatCode="0.00_);[Red]\(0.00\)">
                  <c:v>7.75</c:v>
                </c:pt>
                <c:pt idx="156" c:formatCode="0.00_);[Red]\(0.00\)">
                  <c:v>7.8</c:v>
                </c:pt>
                <c:pt idx="157" c:formatCode="0.00_);[Red]\(0.00\)">
                  <c:v>7.85</c:v>
                </c:pt>
                <c:pt idx="158" c:formatCode="0.00_);[Red]\(0.00\)">
                  <c:v>7.9</c:v>
                </c:pt>
                <c:pt idx="159" c:formatCode="0.00_);[Red]\(0.00\)">
                  <c:v>7.95</c:v>
                </c:pt>
                <c:pt idx="160" c:formatCode="0.00_);[Red]\(0.00\)">
                  <c:v>8</c:v>
                </c:pt>
                <c:pt idx="161" c:formatCode="0.00_);[Red]\(0.00\)">
                  <c:v>8.05</c:v>
                </c:pt>
                <c:pt idx="162" c:formatCode="0.00_);[Red]\(0.00\)">
                  <c:v>8.1</c:v>
                </c:pt>
                <c:pt idx="163" c:formatCode="0.00_);[Red]\(0.00\)">
                  <c:v>8.15</c:v>
                </c:pt>
                <c:pt idx="164" c:formatCode="0.00_);[Red]\(0.00\)">
                  <c:v>8.2</c:v>
                </c:pt>
                <c:pt idx="165" c:formatCode="0.00_);[Red]\(0.00\)">
                  <c:v>8.25</c:v>
                </c:pt>
                <c:pt idx="166" c:formatCode="0.00_);[Red]\(0.00\)">
                  <c:v>8.3</c:v>
                </c:pt>
                <c:pt idx="167" c:formatCode="0.00_);[Red]\(0.00\)">
                  <c:v>8.35</c:v>
                </c:pt>
                <c:pt idx="168" c:formatCode="0.00_);[Red]\(0.00\)">
                  <c:v>8.4</c:v>
                </c:pt>
                <c:pt idx="169" c:formatCode="0.00_);[Red]\(0.00\)">
                  <c:v>8.45</c:v>
                </c:pt>
                <c:pt idx="170" c:formatCode="0.00_);[Red]\(0.00\)">
                  <c:v>8.5</c:v>
                </c:pt>
                <c:pt idx="171" c:formatCode="0.00_);[Red]\(0.00\)">
                  <c:v>8.55</c:v>
                </c:pt>
                <c:pt idx="172" c:formatCode="0.00_);[Red]\(0.00\)">
                  <c:v>8.6</c:v>
                </c:pt>
                <c:pt idx="173" c:formatCode="0.00_);[Red]\(0.00\)">
                  <c:v>8.65</c:v>
                </c:pt>
                <c:pt idx="174" c:formatCode="0.00_);[Red]\(0.00\)">
                  <c:v>8.7</c:v>
                </c:pt>
                <c:pt idx="175" c:formatCode="0.00_);[Red]\(0.00\)">
                  <c:v>8.75</c:v>
                </c:pt>
                <c:pt idx="176" c:formatCode="0.00_);[Red]\(0.00\)">
                  <c:v>8.8</c:v>
                </c:pt>
                <c:pt idx="177" c:formatCode="0.00_);[Red]\(0.00\)">
                  <c:v>8.85</c:v>
                </c:pt>
                <c:pt idx="178" c:formatCode="0.00_);[Red]\(0.00\)">
                  <c:v>8.9</c:v>
                </c:pt>
                <c:pt idx="179" c:formatCode="0.00_);[Red]\(0.00\)">
                  <c:v>8.95</c:v>
                </c:pt>
                <c:pt idx="180" c:formatCode="0.00_);[Red]\(0.00\)">
                  <c:v>9</c:v>
                </c:pt>
                <c:pt idx="181" c:formatCode="0.00_);[Red]\(0.00\)">
                  <c:v>9.05</c:v>
                </c:pt>
                <c:pt idx="182" c:formatCode="0.00_);[Red]\(0.00\)">
                  <c:v>9.1</c:v>
                </c:pt>
                <c:pt idx="183" c:formatCode="0.00_);[Red]\(0.00\)">
                  <c:v>9.15</c:v>
                </c:pt>
                <c:pt idx="184" c:formatCode="0.00_);[Red]\(0.00\)">
                  <c:v>9.2</c:v>
                </c:pt>
                <c:pt idx="185" c:formatCode="0.00_);[Red]\(0.00\)">
                  <c:v>9.25</c:v>
                </c:pt>
                <c:pt idx="186" c:formatCode="0.00_);[Red]\(0.00\)">
                  <c:v>9.3</c:v>
                </c:pt>
                <c:pt idx="187" c:formatCode="0.00_);[Red]\(0.00\)">
                  <c:v>9.35</c:v>
                </c:pt>
                <c:pt idx="188" c:formatCode="0.00_);[Red]\(0.00\)">
                  <c:v>9.4</c:v>
                </c:pt>
                <c:pt idx="189" c:formatCode="0.00_);[Red]\(0.00\)">
                  <c:v>9.45</c:v>
                </c:pt>
                <c:pt idx="190" c:formatCode="0.00_);[Red]\(0.00\)">
                  <c:v>9.5</c:v>
                </c:pt>
                <c:pt idx="191" c:formatCode="0.00_);[Red]\(0.00\)">
                  <c:v>9.55</c:v>
                </c:pt>
                <c:pt idx="192" c:formatCode="0.00_);[Red]\(0.00\)">
                  <c:v>9.6</c:v>
                </c:pt>
                <c:pt idx="193" c:formatCode="0.00_);[Red]\(0.00\)">
                  <c:v>9.65</c:v>
                </c:pt>
                <c:pt idx="194" c:formatCode="0.00_);[Red]\(0.00\)">
                  <c:v>9.7</c:v>
                </c:pt>
                <c:pt idx="195" c:formatCode="0.00_);[Red]\(0.00\)">
                  <c:v>9.75</c:v>
                </c:pt>
                <c:pt idx="196" c:formatCode="0.00_);[Red]\(0.00\)">
                  <c:v>9.8</c:v>
                </c:pt>
                <c:pt idx="197" c:formatCode="0.00_);[Red]\(0.00\)">
                  <c:v>9.85</c:v>
                </c:pt>
                <c:pt idx="198" c:formatCode="0.00_);[Red]\(0.00\)">
                  <c:v>9.9</c:v>
                </c:pt>
                <c:pt idx="199" c:formatCode="0.00_);[Red]\(0.00\)">
                  <c:v>9.95</c:v>
                </c:pt>
                <c:pt idx="200" c:formatCode="0.00_);[Red]\(0.00\)">
                  <c:v>10</c:v>
                </c:pt>
                <c:pt idx="201" c:formatCode="0.00_);[Red]\(0.00\)">
                  <c:v>10.05</c:v>
                </c:pt>
                <c:pt idx="202" c:formatCode="0.00_);[Red]\(0.00\)">
                  <c:v>10.1</c:v>
                </c:pt>
                <c:pt idx="203" c:formatCode="0.00_);[Red]\(0.00\)">
                  <c:v>10.15</c:v>
                </c:pt>
                <c:pt idx="204" c:formatCode="0.00_);[Red]\(0.00\)">
                  <c:v>10.2</c:v>
                </c:pt>
                <c:pt idx="205" c:formatCode="0.00_);[Red]\(0.00\)">
                  <c:v>10.25</c:v>
                </c:pt>
                <c:pt idx="206" c:formatCode="0.00_);[Red]\(0.00\)">
                  <c:v>10.3</c:v>
                </c:pt>
                <c:pt idx="207" c:formatCode="0.00_);[Red]\(0.00\)">
                  <c:v>10.35</c:v>
                </c:pt>
                <c:pt idx="208" c:formatCode="0.00_);[Red]\(0.00\)">
                  <c:v>10.4</c:v>
                </c:pt>
                <c:pt idx="209" c:formatCode="0.00_);[Red]\(0.00\)">
                  <c:v>10.45</c:v>
                </c:pt>
                <c:pt idx="210" c:formatCode="0.00_);[Red]\(0.00\)">
                  <c:v>10.5</c:v>
                </c:pt>
                <c:pt idx="211" c:formatCode="0.00_);[Red]\(0.00\)">
                  <c:v>10.55</c:v>
                </c:pt>
                <c:pt idx="212" c:formatCode="0.00_);[Red]\(0.00\)">
                  <c:v>10.6</c:v>
                </c:pt>
                <c:pt idx="213" c:formatCode="0.00_);[Red]\(0.00\)">
                  <c:v>10.65</c:v>
                </c:pt>
                <c:pt idx="214" c:formatCode="0.00_);[Red]\(0.00\)">
                  <c:v>10.7</c:v>
                </c:pt>
                <c:pt idx="215" c:formatCode="0.00_);[Red]\(0.00\)">
                  <c:v>10.75</c:v>
                </c:pt>
                <c:pt idx="216" c:formatCode="0.00_);[Red]\(0.00\)">
                  <c:v>10.8</c:v>
                </c:pt>
                <c:pt idx="217" c:formatCode="0.00_);[Red]\(0.00\)">
                  <c:v>10.85</c:v>
                </c:pt>
                <c:pt idx="218" c:formatCode="0.00_);[Red]\(0.00\)">
                  <c:v>10.9</c:v>
                </c:pt>
                <c:pt idx="219" c:formatCode="0.00_);[Red]\(0.00\)">
                  <c:v>10.95</c:v>
                </c:pt>
                <c:pt idx="220" c:formatCode="0.00_);[Red]\(0.00\)">
                  <c:v>11</c:v>
                </c:pt>
                <c:pt idx="221" c:formatCode="0.00_);[Red]\(0.00\)">
                  <c:v>11.05</c:v>
                </c:pt>
                <c:pt idx="222" c:formatCode="0.00_);[Red]\(0.00\)">
                  <c:v>11.1</c:v>
                </c:pt>
                <c:pt idx="223" c:formatCode="0.00_);[Red]\(0.00\)">
                  <c:v>11.15</c:v>
                </c:pt>
                <c:pt idx="224" c:formatCode="0.00_);[Red]\(0.00\)">
                  <c:v>11.2</c:v>
                </c:pt>
                <c:pt idx="225" c:formatCode="0.00_);[Red]\(0.00\)">
                  <c:v>11.25</c:v>
                </c:pt>
                <c:pt idx="226" c:formatCode="0.00_);[Red]\(0.00\)">
                  <c:v>11.3</c:v>
                </c:pt>
                <c:pt idx="227" c:formatCode="0.00_);[Red]\(0.00\)">
                  <c:v>11.35</c:v>
                </c:pt>
                <c:pt idx="228" c:formatCode="0.00_);[Red]\(0.00\)">
                  <c:v>11.4</c:v>
                </c:pt>
                <c:pt idx="229" c:formatCode="0.00_);[Red]\(0.00\)">
                  <c:v>11.45</c:v>
                </c:pt>
                <c:pt idx="230" c:formatCode="0.00_);[Red]\(0.00\)">
                  <c:v>11.5</c:v>
                </c:pt>
                <c:pt idx="231" c:formatCode="0.00_);[Red]\(0.00\)">
                  <c:v>11.55</c:v>
                </c:pt>
                <c:pt idx="232" c:formatCode="0.00_);[Red]\(0.00\)">
                  <c:v>11.6</c:v>
                </c:pt>
                <c:pt idx="233" c:formatCode="0.00_);[Red]\(0.00\)">
                  <c:v>11.65</c:v>
                </c:pt>
                <c:pt idx="234" c:formatCode="0.00_);[Red]\(0.00\)">
                  <c:v>11.7</c:v>
                </c:pt>
                <c:pt idx="235" c:formatCode="0.00_);[Red]\(0.00\)">
                  <c:v>11.75</c:v>
                </c:pt>
                <c:pt idx="236" c:formatCode="0.00_);[Red]\(0.00\)">
                  <c:v>11.8</c:v>
                </c:pt>
                <c:pt idx="237" c:formatCode="0.00_);[Red]\(0.00\)">
                  <c:v>11.85</c:v>
                </c:pt>
                <c:pt idx="238" c:formatCode="0.00_);[Red]\(0.00\)">
                  <c:v>11.9</c:v>
                </c:pt>
                <c:pt idx="239" c:formatCode="0.00_);[Red]\(0.00\)">
                  <c:v>11.95</c:v>
                </c:pt>
                <c:pt idx="240" c:formatCode="0.00_);[Red]\(0.00\)">
                  <c:v>12</c:v>
                </c:pt>
                <c:pt idx="241" c:formatCode="0.00_);[Red]\(0.00\)">
                  <c:v>12.05</c:v>
                </c:pt>
                <c:pt idx="242" c:formatCode="0.00_);[Red]\(0.00\)">
                  <c:v>12.1</c:v>
                </c:pt>
                <c:pt idx="243" c:formatCode="0.00_);[Red]\(0.00\)">
                  <c:v>12.15</c:v>
                </c:pt>
                <c:pt idx="244" c:formatCode="0.00_);[Red]\(0.00\)">
                  <c:v>12.2</c:v>
                </c:pt>
                <c:pt idx="245" c:formatCode="0.00_);[Red]\(0.00\)">
                  <c:v>12.25</c:v>
                </c:pt>
                <c:pt idx="246" c:formatCode="0.00_);[Red]\(0.00\)">
                  <c:v>12.3</c:v>
                </c:pt>
                <c:pt idx="247" c:formatCode="0.00_);[Red]\(0.00\)">
                  <c:v>12.35</c:v>
                </c:pt>
                <c:pt idx="248" c:formatCode="0.00_);[Red]\(0.00\)">
                  <c:v>12.4</c:v>
                </c:pt>
                <c:pt idx="249" c:formatCode="0.00_);[Red]\(0.00\)">
                  <c:v>12.45</c:v>
                </c:pt>
                <c:pt idx="250" c:formatCode="0.00_);[Red]\(0.00\)">
                  <c:v>12.5</c:v>
                </c:pt>
                <c:pt idx="251" c:formatCode="0.00_);[Red]\(0.00\)">
                  <c:v>12.55</c:v>
                </c:pt>
                <c:pt idx="252" c:formatCode="0.00_);[Red]\(0.00\)">
                  <c:v>12.6</c:v>
                </c:pt>
                <c:pt idx="253" c:formatCode="0.00_);[Red]\(0.00\)">
                  <c:v>12.65</c:v>
                </c:pt>
                <c:pt idx="254" c:formatCode="0.00_);[Red]\(0.00\)">
                  <c:v>12.7</c:v>
                </c:pt>
                <c:pt idx="255" c:formatCode="0.00_);[Red]\(0.00\)">
                  <c:v>12.75</c:v>
                </c:pt>
                <c:pt idx="256" c:formatCode="0.00_);[Red]\(0.00\)">
                  <c:v>12.8</c:v>
                </c:pt>
                <c:pt idx="257" c:formatCode="0.00_);[Red]\(0.00\)">
                  <c:v>12.85</c:v>
                </c:pt>
                <c:pt idx="258" c:formatCode="0.00_);[Red]\(0.00\)">
                  <c:v>12.9</c:v>
                </c:pt>
                <c:pt idx="259" c:formatCode="0.00_);[Red]\(0.00\)">
                  <c:v>12.95</c:v>
                </c:pt>
                <c:pt idx="260" c:formatCode="0.00_);[Red]\(0.00\)">
                  <c:v>13</c:v>
                </c:pt>
                <c:pt idx="261" c:formatCode="0.00_);[Red]\(0.00\)">
                  <c:v>13.05</c:v>
                </c:pt>
                <c:pt idx="262" c:formatCode="0.00_);[Red]\(0.00\)">
                  <c:v>13.1</c:v>
                </c:pt>
                <c:pt idx="263" c:formatCode="0.00_);[Red]\(0.00\)">
                  <c:v>13.15</c:v>
                </c:pt>
                <c:pt idx="264" c:formatCode="0.00_);[Red]\(0.00\)">
                  <c:v>13.2</c:v>
                </c:pt>
                <c:pt idx="265" c:formatCode="0.00_);[Red]\(0.00\)">
                  <c:v>13.25</c:v>
                </c:pt>
                <c:pt idx="266" c:formatCode="0.00_);[Red]\(0.00\)">
                  <c:v>13.3</c:v>
                </c:pt>
                <c:pt idx="267" c:formatCode="0.00_);[Red]\(0.00\)">
                  <c:v>13.35</c:v>
                </c:pt>
                <c:pt idx="268" c:formatCode="0.00_);[Red]\(0.00\)">
                  <c:v>13.4</c:v>
                </c:pt>
                <c:pt idx="269" c:formatCode="0.00_);[Red]\(0.00\)">
                  <c:v>13.45</c:v>
                </c:pt>
                <c:pt idx="270" c:formatCode="0.00_);[Red]\(0.00\)">
                  <c:v>13.5</c:v>
                </c:pt>
                <c:pt idx="271" c:formatCode="0.00_);[Red]\(0.00\)">
                  <c:v>13.55</c:v>
                </c:pt>
                <c:pt idx="272" c:formatCode="0.00_);[Red]\(0.00\)">
                  <c:v>13.6</c:v>
                </c:pt>
                <c:pt idx="273" c:formatCode="0.00_);[Red]\(0.00\)">
                  <c:v>13.65</c:v>
                </c:pt>
                <c:pt idx="274" c:formatCode="0.00_);[Red]\(0.00\)">
                  <c:v>13.7</c:v>
                </c:pt>
                <c:pt idx="275" c:formatCode="0.00_);[Red]\(0.00\)">
                  <c:v>13.75</c:v>
                </c:pt>
                <c:pt idx="276" c:formatCode="0.00_);[Red]\(0.00\)">
                  <c:v>13.8</c:v>
                </c:pt>
                <c:pt idx="277" c:formatCode="0.00_);[Red]\(0.00\)">
                  <c:v>13.85</c:v>
                </c:pt>
                <c:pt idx="278" c:formatCode="0.00_);[Red]\(0.00\)">
                  <c:v>13.9</c:v>
                </c:pt>
                <c:pt idx="279" c:formatCode="0.00_);[Red]\(0.00\)">
                  <c:v>13.95</c:v>
                </c:pt>
                <c:pt idx="280" c:formatCode="0.00_);[Red]\(0.00\)">
                  <c:v>14</c:v>
                </c:pt>
                <c:pt idx="281" c:formatCode="0.00_);[Red]\(0.00\)">
                  <c:v>14.05</c:v>
                </c:pt>
                <c:pt idx="282" c:formatCode="0.00_);[Red]\(0.00\)">
                  <c:v>14.1</c:v>
                </c:pt>
                <c:pt idx="283" c:formatCode="0.00_);[Red]\(0.00\)">
                  <c:v>14.15</c:v>
                </c:pt>
                <c:pt idx="284" c:formatCode="0.00_);[Red]\(0.00\)">
                  <c:v>14.2</c:v>
                </c:pt>
                <c:pt idx="285" c:formatCode="0.00_);[Red]\(0.00\)">
                  <c:v>14.25</c:v>
                </c:pt>
                <c:pt idx="286" c:formatCode="0.00_);[Red]\(0.00\)">
                  <c:v>14.3</c:v>
                </c:pt>
                <c:pt idx="287" c:formatCode="0.00_);[Red]\(0.00\)">
                  <c:v>14.35</c:v>
                </c:pt>
                <c:pt idx="288" c:formatCode="0.00_);[Red]\(0.00\)">
                  <c:v>14.4</c:v>
                </c:pt>
                <c:pt idx="289" c:formatCode="0.00_);[Red]\(0.00\)">
                  <c:v>14.45</c:v>
                </c:pt>
                <c:pt idx="290" c:formatCode="0.00_);[Red]\(0.00\)">
                  <c:v>14.5</c:v>
                </c:pt>
                <c:pt idx="291" c:formatCode="0.00_);[Red]\(0.00\)">
                  <c:v>14.55</c:v>
                </c:pt>
                <c:pt idx="292" c:formatCode="0.00_);[Red]\(0.00\)">
                  <c:v>14.6</c:v>
                </c:pt>
                <c:pt idx="293" c:formatCode="0.00_);[Red]\(0.00\)">
                  <c:v>14.65</c:v>
                </c:pt>
                <c:pt idx="294" c:formatCode="0.00_);[Red]\(0.00\)">
                  <c:v>14.7</c:v>
                </c:pt>
                <c:pt idx="295" c:formatCode="0.00_);[Red]\(0.00\)">
                  <c:v>14.75</c:v>
                </c:pt>
                <c:pt idx="296" c:formatCode="0.00_);[Red]\(0.00\)">
                  <c:v>14.8</c:v>
                </c:pt>
                <c:pt idx="297" c:formatCode="0.00_);[Red]\(0.00\)">
                  <c:v>14.85</c:v>
                </c:pt>
                <c:pt idx="298" c:formatCode="0.00_);[Red]\(0.00\)">
                  <c:v>14.9</c:v>
                </c:pt>
                <c:pt idx="299" c:formatCode="0.00_);[Red]\(0.00\)">
                  <c:v>14.95</c:v>
                </c:pt>
                <c:pt idx="300" c:formatCode="0.00_);[Red]\(0.00\)">
                  <c:v>15</c:v>
                </c:pt>
              </c:numCache>
            </c:numRef>
          </c:cat>
          <c:val>
            <c:numRef>
              <c:f>常压静止01!$F$3:$F$303</c:f>
              <c:numCache>
                <c:formatCode>General</c:formatCode>
                <c:ptCount val="301"/>
                <c:pt idx="0">
                  <c:v>0.2675</c:v>
                </c:pt>
                <c:pt idx="1">
                  <c:v>0.2763</c:v>
                </c:pt>
                <c:pt idx="2">
                  <c:v>0.2886</c:v>
                </c:pt>
                <c:pt idx="3">
                  <c:v>0.2949</c:v>
                </c:pt>
                <c:pt idx="4">
                  <c:v>0.2636</c:v>
                </c:pt>
                <c:pt idx="5">
                  <c:v>0.2614</c:v>
                </c:pt>
                <c:pt idx="6">
                  <c:v>0.2713</c:v>
                </c:pt>
                <c:pt idx="7">
                  <c:v>0.2347</c:v>
                </c:pt>
                <c:pt idx="8">
                  <c:v>0.2333</c:v>
                </c:pt>
                <c:pt idx="9">
                  <c:v>0.2483</c:v>
                </c:pt>
                <c:pt idx="10">
                  <c:v>0.2931</c:v>
                </c:pt>
                <c:pt idx="11">
                  <c:v>0.2722</c:v>
                </c:pt>
                <c:pt idx="12">
                  <c:v>0.242</c:v>
                </c:pt>
                <c:pt idx="13">
                  <c:v>0.2914</c:v>
                </c:pt>
                <c:pt idx="14">
                  <c:v>0.2959</c:v>
                </c:pt>
                <c:pt idx="15">
                  <c:v>0.2878</c:v>
                </c:pt>
                <c:pt idx="16">
                  <c:v>0.257</c:v>
                </c:pt>
                <c:pt idx="17">
                  <c:v>0.258</c:v>
                </c:pt>
                <c:pt idx="18">
                  <c:v>0.2339</c:v>
                </c:pt>
                <c:pt idx="19">
                  <c:v>0.2408</c:v>
                </c:pt>
                <c:pt idx="20">
                  <c:v>0.2514</c:v>
                </c:pt>
                <c:pt idx="21">
                  <c:v>0.2536</c:v>
                </c:pt>
                <c:pt idx="22">
                  <c:v>0.2928</c:v>
                </c:pt>
                <c:pt idx="23">
                  <c:v>0.2691</c:v>
                </c:pt>
                <c:pt idx="24">
                  <c:v>0.1811</c:v>
                </c:pt>
                <c:pt idx="25">
                  <c:v>0.01868</c:v>
                </c:pt>
                <c:pt idx="26">
                  <c:v>-0.2041</c:v>
                </c:pt>
                <c:pt idx="27">
                  <c:v>-0.3935</c:v>
                </c:pt>
                <c:pt idx="28">
                  <c:v>-0.5096</c:v>
                </c:pt>
                <c:pt idx="29">
                  <c:v>-0.4049</c:v>
                </c:pt>
                <c:pt idx="30">
                  <c:v>-0.2437</c:v>
                </c:pt>
                <c:pt idx="31">
                  <c:v>0.1313</c:v>
                </c:pt>
                <c:pt idx="32">
                  <c:v>0.5961</c:v>
                </c:pt>
                <c:pt idx="33">
                  <c:v>1.105</c:v>
                </c:pt>
                <c:pt idx="34">
                  <c:v>1.606</c:v>
                </c:pt>
                <c:pt idx="35">
                  <c:v>1.857</c:v>
                </c:pt>
                <c:pt idx="36">
                  <c:v>1.924</c:v>
                </c:pt>
                <c:pt idx="37">
                  <c:v>1.782</c:v>
                </c:pt>
                <c:pt idx="38">
                  <c:v>1.346</c:v>
                </c:pt>
                <c:pt idx="39">
                  <c:v>0.9568</c:v>
                </c:pt>
                <c:pt idx="40">
                  <c:v>0.2848</c:v>
                </c:pt>
                <c:pt idx="41">
                  <c:v>-0.3056</c:v>
                </c:pt>
                <c:pt idx="42">
                  <c:v>-0.5993</c:v>
                </c:pt>
                <c:pt idx="43">
                  <c:v>-0.7028</c:v>
                </c:pt>
                <c:pt idx="44">
                  <c:v>-0.6218</c:v>
                </c:pt>
                <c:pt idx="45">
                  <c:v>-0.2721</c:v>
                </c:pt>
                <c:pt idx="46">
                  <c:v>0.239</c:v>
                </c:pt>
                <c:pt idx="47">
                  <c:v>0.9825</c:v>
                </c:pt>
                <c:pt idx="48">
                  <c:v>1.582</c:v>
                </c:pt>
                <c:pt idx="49">
                  <c:v>2.201</c:v>
                </c:pt>
                <c:pt idx="50">
                  <c:v>2.694</c:v>
                </c:pt>
                <c:pt idx="51">
                  <c:v>2.777</c:v>
                </c:pt>
                <c:pt idx="52">
                  <c:v>2.634</c:v>
                </c:pt>
                <c:pt idx="53">
                  <c:v>2.083</c:v>
                </c:pt>
                <c:pt idx="54">
                  <c:v>1.339</c:v>
                </c:pt>
                <c:pt idx="55">
                  <c:v>0.8272</c:v>
                </c:pt>
                <c:pt idx="56">
                  <c:v>0.1249</c:v>
                </c:pt>
                <c:pt idx="57">
                  <c:v>-0.375</c:v>
                </c:pt>
                <c:pt idx="58">
                  <c:v>-0.6163</c:v>
                </c:pt>
                <c:pt idx="59">
                  <c:v>-0.5746</c:v>
                </c:pt>
                <c:pt idx="60">
                  <c:v>-0.2911</c:v>
                </c:pt>
                <c:pt idx="61">
                  <c:v>0.3083</c:v>
                </c:pt>
                <c:pt idx="62">
                  <c:v>1.023</c:v>
                </c:pt>
                <c:pt idx="63">
                  <c:v>1.553</c:v>
                </c:pt>
                <c:pt idx="64">
                  <c:v>2.113</c:v>
                </c:pt>
                <c:pt idx="65">
                  <c:v>2.614</c:v>
                </c:pt>
                <c:pt idx="66">
                  <c:v>2.835</c:v>
                </c:pt>
                <c:pt idx="67">
                  <c:v>2.756</c:v>
                </c:pt>
                <c:pt idx="68">
                  <c:v>2.391</c:v>
                </c:pt>
                <c:pt idx="69">
                  <c:v>1.847</c:v>
                </c:pt>
                <c:pt idx="70">
                  <c:v>1.276</c:v>
                </c:pt>
                <c:pt idx="71">
                  <c:v>0.8347</c:v>
                </c:pt>
                <c:pt idx="72">
                  <c:v>0.3537</c:v>
                </c:pt>
                <c:pt idx="73">
                  <c:v>0.04835</c:v>
                </c:pt>
                <c:pt idx="74">
                  <c:v>-0.1262</c:v>
                </c:pt>
                <c:pt idx="75">
                  <c:v>0.0197</c:v>
                </c:pt>
                <c:pt idx="76">
                  <c:v>0.273</c:v>
                </c:pt>
                <c:pt idx="77">
                  <c:v>0.7066</c:v>
                </c:pt>
                <c:pt idx="78">
                  <c:v>1.242</c:v>
                </c:pt>
                <c:pt idx="79">
                  <c:v>1.611</c:v>
                </c:pt>
                <c:pt idx="80">
                  <c:v>1.98</c:v>
                </c:pt>
                <c:pt idx="81">
                  <c:v>2.218</c:v>
                </c:pt>
                <c:pt idx="82">
                  <c:v>2.438</c:v>
                </c:pt>
                <c:pt idx="83">
                  <c:v>2.358</c:v>
                </c:pt>
                <c:pt idx="84">
                  <c:v>2.171</c:v>
                </c:pt>
                <c:pt idx="85">
                  <c:v>1.799</c:v>
                </c:pt>
                <c:pt idx="86">
                  <c:v>1.45</c:v>
                </c:pt>
                <c:pt idx="87">
                  <c:v>1.236</c:v>
                </c:pt>
                <c:pt idx="88">
                  <c:v>0.9964</c:v>
                </c:pt>
                <c:pt idx="89">
                  <c:v>0.8457</c:v>
                </c:pt>
                <c:pt idx="90">
                  <c:v>0.5996</c:v>
                </c:pt>
                <c:pt idx="91">
                  <c:v>0.5814</c:v>
                </c:pt>
                <c:pt idx="92">
                  <c:v>0.673</c:v>
                </c:pt>
                <c:pt idx="93">
                  <c:v>0.8432</c:v>
                </c:pt>
                <c:pt idx="94">
                  <c:v>1.026</c:v>
                </c:pt>
                <c:pt idx="95">
                  <c:v>1.289</c:v>
                </c:pt>
                <c:pt idx="96">
                  <c:v>1.573</c:v>
                </c:pt>
                <c:pt idx="97">
                  <c:v>1.95</c:v>
                </c:pt>
                <c:pt idx="98">
                  <c:v>2.248</c:v>
                </c:pt>
                <c:pt idx="99">
                  <c:v>2.502</c:v>
                </c:pt>
                <c:pt idx="100">
                  <c:v>2.439</c:v>
                </c:pt>
                <c:pt idx="101">
                  <c:v>2.314</c:v>
                </c:pt>
                <c:pt idx="102">
                  <c:v>2.118</c:v>
                </c:pt>
                <c:pt idx="103">
                  <c:v>1.691</c:v>
                </c:pt>
                <c:pt idx="104">
                  <c:v>1.271</c:v>
                </c:pt>
                <c:pt idx="105">
                  <c:v>0.912</c:v>
                </c:pt>
                <c:pt idx="106">
                  <c:v>0.5852</c:v>
                </c:pt>
                <c:pt idx="107">
                  <c:v>0.3591</c:v>
                </c:pt>
                <c:pt idx="108">
                  <c:v>0.335</c:v>
                </c:pt>
                <c:pt idx="109">
                  <c:v>0.4443</c:v>
                </c:pt>
                <c:pt idx="110">
                  <c:v>0.7259</c:v>
                </c:pt>
                <c:pt idx="111">
                  <c:v>1.093</c:v>
                </c:pt>
                <c:pt idx="112">
                  <c:v>1.651</c:v>
                </c:pt>
                <c:pt idx="113">
                  <c:v>2.116</c:v>
                </c:pt>
                <c:pt idx="114">
                  <c:v>2.553</c:v>
                </c:pt>
                <c:pt idx="115">
                  <c:v>2.678</c:v>
                </c:pt>
                <c:pt idx="116">
                  <c:v>2.731</c:v>
                </c:pt>
                <c:pt idx="117">
                  <c:v>2.623</c:v>
                </c:pt>
                <c:pt idx="118">
                  <c:v>2.207</c:v>
                </c:pt>
                <c:pt idx="119">
                  <c:v>1.793</c:v>
                </c:pt>
                <c:pt idx="120">
                  <c:v>1.245</c:v>
                </c:pt>
                <c:pt idx="121">
                  <c:v>0.7447</c:v>
                </c:pt>
                <c:pt idx="122">
                  <c:v>0.4036</c:v>
                </c:pt>
                <c:pt idx="123">
                  <c:v>0.2719</c:v>
                </c:pt>
                <c:pt idx="124">
                  <c:v>0.3066</c:v>
                </c:pt>
                <c:pt idx="125">
                  <c:v>0.495</c:v>
                </c:pt>
                <c:pt idx="126">
                  <c:v>1.016</c:v>
                </c:pt>
                <c:pt idx="127">
                  <c:v>1.584</c:v>
                </c:pt>
                <c:pt idx="128">
                  <c:v>2.016</c:v>
                </c:pt>
                <c:pt idx="129">
                  <c:v>2.427</c:v>
                </c:pt>
                <c:pt idx="130">
                  <c:v>2.696</c:v>
                </c:pt>
                <c:pt idx="131">
                  <c:v>2.826</c:v>
                </c:pt>
                <c:pt idx="132">
                  <c:v>2.768</c:v>
                </c:pt>
                <c:pt idx="133">
                  <c:v>2.552</c:v>
                </c:pt>
                <c:pt idx="134">
                  <c:v>2.053</c:v>
                </c:pt>
                <c:pt idx="135">
                  <c:v>1.595</c:v>
                </c:pt>
                <c:pt idx="136">
                  <c:v>1.215</c:v>
                </c:pt>
                <c:pt idx="137">
                  <c:v>0.9327</c:v>
                </c:pt>
                <c:pt idx="138">
                  <c:v>0.7893</c:v>
                </c:pt>
                <c:pt idx="139">
                  <c:v>0.6635</c:v>
                </c:pt>
                <c:pt idx="140">
                  <c:v>0.7704</c:v>
                </c:pt>
                <c:pt idx="141">
                  <c:v>0.9466</c:v>
                </c:pt>
                <c:pt idx="142">
                  <c:v>1.28</c:v>
                </c:pt>
                <c:pt idx="143">
                  <c:v>1.636</c:v>
                </c:pt>
                <c:pt idx="144">
                  <c:v>1.972</c:v>
                </c:pt>
                <c:pt idx="145">
                  <c:v>2.261</c:v>
                </c:pt>
                <c:pt idx="146">
                  <c:v>2.522</c:v>
                </c:pt>
                <c:pt idx="147">
                  <c:v>2.553</c:v>
                </c:pt>
                <c:pt idx="148">
                  <c:v>2.49</c:v>
                </c:pt>
                <c:pt idx="149">
                  <c:v>2.338</c:v>
                </c:pt>
                <c:pt idx="150">
                  <c:v>2.105</c:v>
                </c:pt>
                <c:pt idx="151">
                  <c:v>1.813</c:v>
                </c:pt>
                <c:pt idx="152">
                  <c:v>1.596</c:v>
                </c:pt>
                <c:pt idx="153">
                  <c:v>1.342</c:v>
                </c:pt>
                <c:pt idx="154">
                  <c:v>1.177</c:v>
                </c:pt>
                <c:pt idx="155">
                  <c:v>1.025</c:v>
                </c:pt>
                <c:pt idx="156">
                  <c:v>1.05</c:v>
                </c:pt>
                <c:pt idx="157">
                  <c:v>1.093</c:v>
                </c:pt>
                <c:pt idx="158">
                  <c:v>1.189</c:v>
                </c:pt>
                <c:pt idx="159">
                  <c:v>1.386</c:v>
                </c:pt>
                <c:pt idx="160">
                  <c:v>1.683</c:v>
                </c:pt>
                <c:pt idx="161">
                  <c:v>1.926</c:v>
                </c:pt>
                <c:pt idx="162">
                  <c:v>2.263</c:v>
                </c:pt>
                <c:pt idx="163">
                  <c:v>2.619</c:v>
                </c:pt>
                <c:pt idx="164">
                  <c:v>2.772</c:v>
                </c:pt>
                <c:pt idx="165">
                  <c:v>2.792</c:v>
                </c:pt>
                <c:pt idx="166">
                  <c:v>2.64</c:v>
                </c:pt>
                <c:pt idx="167">
                  <c:v>2.425</c:v>
                </c:pt>
                <c:pt idx="168">
                  <c:v>2.076</c:v>
                </c:pt>
                <c:pt idx="169">
                  <c:v>1.647</c:v>
                </c:pt>
                <c:pt idx="170">
                  <c:v>1.323</c:v>
                </c:pt>
                <c:pt idx="171">
                  <c:v>1.011</c:v>
                </c:pt>
                <c:pt idx="172">
                  <c:v>0.8655</c:v>
                </c:pt>
                <c:pt idx="173">
                  <c:v>0.7879</c:v>
                </c:pt>
                <c:pt idx="174">
                  <c:v>0.9764</c:v>
                </c:pt>
                <c:pt idx="175">
                  <c:v>1.296</c:v>
                </c:pt>
                <c:pt idx="176">
                  <c:v>1.645</c:v>
                </c:pt>
                <c:pt idx="177">
                  <c:v>2.131</c:v>
                </c:pt>
                <c:pt idx="178">
                  <c:v>2.542</c:v>
                </c:pt>
                <c:pt idx="179">
                  <c:v>2.79</c:v>
                </c:pt>
                <c:pt idx="180">
                  <c:v>2.906</c:v>
                </c:pt>
                <c:pt idx="181">
                  <c:v>2.799</c:v>
                </c:pt>
                <c:pt idx="182">
                  <c:v>2.601</c:v>
                </c:pt>
                <c:pt idx="183">
                  <c:v>2.171</c:v>
                </c:pt>
                <c:pt idx="184">
                  <c:v>1.777</c:v>
                </c:pt>
                <c:pt idx="185">
                  <c:v>1.436</c:v>
                </c:pt>
                <c:pt idx="186">
                  <c:v>1.269</c:v>
                </c:pt>
                <c:pt idx="187">
                  <c:v>1.227</c:v>
                </c:pt>
                <c:pt idx="188">
                  <c:v>1.44</c:v>
                </c:pt>
                <c:pt idx="189">
                  <c:v>1.822</c:v>
                </c:pt>
                <c:pt idx="190">
                  <c:v>2.184</c:v>
                </c:pt>
                <c:pt idx="191">
                  <c:v>2.637</c:v>
                </c:pt>
                <c:pt idx="192">
                  <c:v>2.875</c:v>
                </c:pt>
                <c:pt idx="193">
                  <c:v>2.845</c:v>
                </c:pt>
                <c:pt idx="194">
                  <c:v>2.712</c:v>
                </c:pt>
                <c:pt idx="195">
                  <c:v>2.443</c:v>
                </c:pt>
                <c:pt idx="196">
                  <c:v>2.046</c:v>
                </c:pt>
                <c:pt idx="197">
                  <c:v>1.683</c:v>
                </c:pt>
                <c:pt idx="198">
                  <c:v>1.394</c:v>
                </c:pt>
                <c:pt idx="199">
                  <c:v>1.38</c:v>
                </c:pt>
                <c:pt idx="200">
                  <c:v>1.5</c:v>
                </c:pt>
                <c:pt idx="201">
                  <c:v>1.737</c:v>
                </c:pt>
                <c:pt idx="202">
                  <c:v>2.092</c:v>
                </c:pt>
                <c:pt idx="203">
                  <c:v>2.409</c:v>
                </c:pt>
                <c:pt idx="204">
                  <c:v>2.602</c:v>
                </c:pt>
                <c:pt idx="205">
                  <c:v>2.605</c:v>
                </c:pt>
                <c:pt idx="206">
                  <c:v>2.632</c:v>
                </c:pt>
                <c:pt idx="207">
                  <c:v>2.466</c:v>
                </c:pt>
                <c:pt idx="208">
                  <c:v>2.116</c:v>
                </c:pt>
                <c:pt idx="209">
                  <c:v>1.728</c:v>
                </c:pt>
                <c:pt idx="210">
                  <c:v>1.363</c:v>
                </c:pt>
                <c:pt idx="211">
                  <c:v>1.313</c:v>
                </c:pt>
                <c:pt idx="212">
                  <c:v>1.254</c:v>
                </c:pt>
                <c:pt idx="213">
                  <c:v>1.36</c:v>
                </c:pt>
                <c:pt idx="214">
                  <c:v>1.689</c:v>
                </c:pt>
                <c:pt idx="215">
                  <c:v>1.953</c:v>
                </c:pt>
                <c:pt idx="216">
                  <c:v>2.211</c:v>
                </c:pt>
                <c:pt idx="217">
                  <c:v>2.383</c:v>
                </c:pt>
                <c:pt idx="218">
                  <c:v>2.394</c:v>
                </c:pt>
                <c:pt idx="219">
                  <c:v>2.216</c:v>
                </c:pt>
                <c:pt idx="220">
                  <c:v>1.977</c:v>
                </c:pt>
                <c:pt idx="221">
                  <c:v>1.629</c:v>
                </c:pt>
                <c:pt idx="222">
                  <c:v>1.344</c:v>
                </c:pt>
                <c:pt idx="223">
                  <c:v>1.247</c:v>
                </c:pt>
                <c:pt idx="224">
                  <c:v>1.173</c:v>
                </c:pt>
                <c:pt idx="225">
                  <c:v>1.266</c:v>
                </c:pt>
                <c:pt idx="226">
                  <c:v>1.406</c:v>
                </c:pt>
                <c:pt idx="227">
                  <c:v>1.746</c:v>
                </c:pt>
                <c:pt idx="228">
                  <c:v>1.957</c:v>
                </c:pt>
                <c:pt idx="229">
                  <c:v>2.092</c:v>
                </c:pt>
                <c:pt idx="230">
                  <c:v>2.063</c:v>
                </c:pt>
                <c:pt idx="231">
                  <c:v>1.921</c:v>
                </c:pt>
                <c:pt idx="232">
                  <c:v>1.741</c:v>
                </c:pt>
                <c:pt idx="233">
                  <c:v>1.388</c:v>
                </c:pt>
                <c:pt idx="234">
                  <c:v>1.167</c:v>
                </c:pt>
                <c:pt idx="235">
                  <c:v>0.9967</c:v>
                </c:pt>
                <c:pt idx="236">
                  <c:v>0.9649</c:v>
                </c:pt>
                <c:pt idx="237">
                  <c:v>1.131</c:v>
                </c:pt>
                <c:pt idx="238">
                  <c:v>1.295</c:v>
                </c:pt>
                <c:pt idx="239">
                  <c:v>1.478</c:v>
                </c:pt>
                <c:pt idx="240">
                  <c:v>1.736</c:v>
                </c:pt>
                <c:pt idx="241">
                  <c:v>1.787</c:v>
                </c:pt>
                <c:pt idx="242">
                  <c:v>1.871</c:v>
                </c:pt>
                <c:pt idx="243">
                  <c:v>1.816</c:v>
                </c:pt>
                <c:pt idx="244">
                  <c:v>1.627</c:v>
                </c:pt>
                <c:pt idx="245">
                  <c:v>1.358</c:v>
                </c:pt>
                <c:pt idx="246">
                  <c:v>1.144</c:v>
                </c:pt>
                <c:pt idx="247">
                  <c:v>0.9601</c:v>
                </c:pt>
                <c:pt idx="248">
                  <c:v>0.9685</c:v>
                </c:pt>
                <c:pt idx="249">
                  <c:v>1.095</c:v>
                </c:pt>
                <c:pt idx="250">
                  <c:v>1.22</c:v>
                </c:pt>
                <c:pt idx="251">
                  <c:v>1.443</c:v>
                </c:pt>
                <c:pt idx="252">
                  <c:v>1.65</c:v>
                </c:pt>
                <c:pt idx="253">
                  <c:v>1.763</c:v>
                </c:pt>
                <c:pt idx="254">
                  <c:v>1.829</c:v>
                </c:pt>
                <c:pt idx="255">
                  <c:v>1.795</c:v>
                </c:pt>
                <c:pt idx="256">
                  <c:v>1.656</c:v>
                </c:pt>
                <c:pt idx="257">
                  <c:v>1.391</c:v>
                </c:pt>
                <c:pt idx="258">
                  <c:v>1.157</c:v>
                </c:pt>
                <c:pt idx="259">
                  <c:v>1.004</c:v>
                </c:pt>
                <c:pt idx="260">
                  <c:v>0.976</c:v>
                </c:pt>
                <c:pt idx="261">
                  <c:v>1.085</c:v>
                </c:pt>
                <c:pt idx="262">
                  <c:v>1.201</c:v>
                </c:pt>
                <c:pt idx="263">
                  <c:v>1.378</c:v>
                </c:pt>
                <c:pt idx="264">
                  <c:v>1.581</c:v>
                </c:pt>
                <c:pt idx="265">
                  <c:v>1.662</c:v>
                </c:pt>
                <c:pt idx="266">
                  <c:v>1.647</c:v>
                </c:pt>
                <c:pt idx="267">
                  <c:v>1.558</c:v>
                </c:pt>
                <c:pt idx="268">
                  <c:v>1.468</c:v>
                </c:pt>
                <c:pt idx="269">
                  <c:v>1.293</c:v>
                </c:pt>
                <c:pt idx="270">
                  <c:v>1.075</c:v>
                </c:pt>
                <c:pt idx="271">
                  <c:v>0.9011</c:v>
                </c:pt>
                <c:pt idx="272">
                  <c:v>0.7953</c:v>
                </c:pt>
                <c:pt idx="273">
                  <c:v>0.8054</c:v>
                </c:pt>
                <c:pt idx="274">
                  <c:v>0.8729</c:v>
                </c:pt>
                <c:pt idx="275">
                  <c:v>1.025</c:v>
                </c:pt>
                <c:pt idx="276">
                  <c:v>1.255</c:v>
                </c:pt>
                <c:pt idx="277">
                  <c:v>1.289</c:v>
                </c:pt>
                <c:pt idx="278">
                  <c:v>1.276</c:v>
                </c:pt>
                <c:pt idx="279">
                  <c:v>1.195</c:v>
                </c:pt>
                <c:pt idx="280">
                  <c:v>1.083</c:v>
                </c:pt>
                <c:pt idx="281">
                  <c:v>0.9366</c:v>
                </c:pt>
                <c:pt idx="282">
                  <c:v>0.8138</c:v>
                </c:pt>
                <c:pt idx="283">
                  <c:v>0.6441</c:v>
                </c:pt>
                <c:pt idx="284">
                  <c:v>0.6079</c:v>
                </c:pt>
                <c:pt idx="285">
                  <c:v>0.643</c:v>
                </c:pt>
                <c:pt idx="286">
                  <c:v>0.7744</c:v>
                </c:pt>
                <c:pt idx="287">
                  <c:v>0.8643</c:v>
                </c:pt>
                <c:pt idx="288">
                  <c:v>1.015</c:v>
                </c:pt>
                <c:pt idx="289">
                  <c:v>1.151</c:v>
                </c:pt>
                <c:pt idx="290">
                  <c:v>1.152</c:v>
                </c:pt>
                <c:pt idx="291">
                  <c:v>1.123</c:v>
                </c:pt>
                <c:pt idx="292">
                  <c:v>1.025</c:v>
                </c:pt>
                <c:pt idx="293">
                  <c:v>0.9096</c:v>
                </c:pt>
                <c:pt idx="294">
                  <c:v>0.8008</c:v>
                </c:pt>
                <c:pt idx="295">
                  <c:v>0.6325</c:v>
                </c:pt>
                <c:pt idx="296">
                  <c:v>0.6168</c:v>
                </c:pt>
                <c:pt idx="297">
                  <c:v>0.6769</c:v>
                </c:pt>
                <c:pt idx="298">
                  <c:v>0.7695</c:v>
                </c:pt>
                <c:pt idx="299">
                  <c:v>0.8463</c:v>
                </c:pt>
                <c:pt idx="300">
                  <c:v>0.9888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常压静止01!$G$2</c:f>
              <c:strCache>
                <c:ptCount val="1"/>
                <c:pt idx="0">
                  <c:v>luma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常压静止01!$E$3:$E$303</c:f>
              <c:numCache>
                <c:formatCode>0.00_);[Red]\(0.00\)</c:formatCode>
                <c:ptCount val="301"/>
                <c:pt idx="0" c:formatCode="0.00_);[Red]\(0.00\)">
                  <c:v>0</c:v>
                </c:pt>
                <c:pt idx="1" c:formatCode="0.00_);[Red]\(0.00\)">
                  <c:v>0.05</c:v>
                </c:pt>
                <c:pt idx="2" c:formatCode="0.00_);[Red]\(0.00\)">
                  <c:v>0.1</c:v>
                </c:pt>
                <c:pt idx="3" c:formatCode="0.00_);[Red]\(0.00\)">
                  <c:v>0.15</c:v>
                </c:pt>
                <c:pt idx="4" c:formatCode="0.00_);[Red]\(0.00\)">
                  <c:v>0.2</c:v>
                </c:pt>
                <c:pt idx="5" c:formatCode="0.00_);[Red]\(0.00\)">
                  <c:v>0.25</c:v>
                </c:pt>
                <c:pt idx="6" c:formatCode="0.00_);[Red]\(0.00\)">
                  <c:v>0.3</c:v>
                </c:pt>
                <c:pt idx="7" c:formatCode="0.00_);[Red]\(0.00\)">
                  <c:v>0.35</c:v>
                </c:pt>
                <c:pt idx="8" c:formatCode="0.00_);[Red]\(0.00\)">
                  <c:v>0.4</c:v>
                </c:pt>
                <c:pt idx="9" c:formatCode="0.00_);[Red]\(0.00\)">
                  <c:v>0.45</c:v>
                </c:pt>
                <c:pt idx="10" c:formatCode="0.00_);[Red]\(0.00\)">
                  <c:v>0.5</c:v>
                </c:pt>
                <c:pt idx="11" c:formatCode="0.00_);[Red]\(0.00\)">
                  <c:v>0.55</c:v>
                </c:pt>
                <c:pt idx="12" c:formatCode="0.00_);[Red]\(0.00\)">
                  <c:v>0.6</c:v>
                </c:pt>
                <c:pt idx="13" c:formatCode="0.00_);[Red]\(0.00\)">
                  <c:v>0.65</c:v>
                </c:pt>
                <c:pt idx="14" c:formatCode="0.00_);[Red]\(0.00\)">
                  <c:v>0.7</c:v>
                </c:pt>
                <c:pt idx="15" c:formatCode="0.00_);[Red]\(0.00\)">
                  <c:v>0.75</c:v>
                </c:pt>
                <c:pt idx="16" c:formatCode="0.00_);[Red]\(0.00\)">
                  <c:v>0.8</c:v>
                </c:pt>
                <c:pt idx="17" c:formatCode="0.00_);[Red]\(0.00\)">
                  <c:v>0.85</c:v>
                </c:pt>
                <c:pt idx="18" c:formatCode="0.00_);[Red]\(0.00\)">
                  <c:v>0.9</c:v>
                </c:pt>
                <c:pt idx="19" c:formatCode="0.00_);[Red]\(0.00\)">
                  <c:v>0.95</c:v>
                </c:pt>
                <c:pt idx="20" c:formatCode="0.00_);[Red]\(0.00\)">
                  <c:v>1</c:v>
                </c:pt>
                <c:pt idx="21" c:formatCode="0.00_);[Red]\(0.00\)">
                  <c:v>1.05</c:v>
                </c:pt>
                <c:pt idx="22" c:formatCode="0.00_);[Red]\(0.00\)">
                  <c:v>1.1</c:v>
                </c:pt>
                <c:pt idx="23" c:formatCode="0.00_);[Red]\(0.00\)">
                  <c:v>1.15</c:v>
                </c:pt>
                <c:pt idx="24" c:formatCode="0.00_);[Red]\(0.00\)">
                  <c:v>1.2</c:v>
                </c:pt>
                <c:pt idx="25" c:formatCode="0.00_);[Red]\(0.00\)">
                  <c:v>1.25</c:v>
                </c:pt>
                <c:pt idx="26" c:formatCode="0.00_);[Red]\(0.00\)">
                  <c:v>1.3</c:v>
                </c:pt>
                <c:pt idx="27" c:formatCode="0.00_);[Red]\(0.00\)">
                  <c:v>1.35</c:v>
                </c:pt>
                <c:pt idx="28" c:formatCode="0.00_);[Red]\(0.00\)">
                  <c:v>1.4</c:v>
                </c:pt>
                <c:pt idx="29" c:formatCode="0.00_);[Red]\(0.00\)">
                  <c:v>1.45</c:v>
                </c:pt>
                <c:pt idx="30" c:formatCode="0.00_);[Red]\(0.00\)">
                  <c:v>1.5</c:v>
                </c:pt>
                <c:pt idx="31" c:formatCode="0.00_);[Red]\(0.00\)">
                  <c:v>1.55</c:v>
                </c:pt>
                <c:pt idx="32" c:formatCode="0.00_);[Red]\(0.00\)">
                  <c:v>1.6</c:v>
                </c:pt>
                <c:pt idx="33" c:formatCode="0.00_);[Red]\(0.00\)">
                  <c:v>1.65</c:v>
                </c:pt>
                <c:pt idx="34" c:formatCode="0.00_);[Red]\(0.00\)">
                  <c:v>1.7</c:v>
                </c:pt>
                <c:pt idx="35" c:formatCode="0.00_);[Red]\(0.00\)">
                  <c:v>1.75</c:v>
                </c:pt>
                <c:pt idx="36" c:formatCode="0.00_);[Red]\(0.00\)">
                  <c:v>1.8</c:v>
                </c:pt>
                <c:pt idx="37" c:formatCode="0.00_);[Red]\(0.00\)">
                  <c:v>1.85</c:v>
                </c:pt>
                <c:pt idx="38" c:formatCode="0.00_);[Red]\(0.00\)">
                  <c:v>1.9</c:v>
                </c:pt>
                <c:pt idx="39" c:formatCode="0.00_);[Red]\(0.00\)">
                  <c:v>1.95</c:v>
                </c:pt>
                <c:pt idx="40" c:formatCode="0.00_);[Red]\(0.00\)">
                  <c:v>2</c:v>
                </c:pt>
                <c:pt idx="41" c:formatCode="0.00_);[Red]\(0.00\)">
                  <c:v>2.05</c:v>
                </c:pt>
                <c:pt idx="42" c:formatCode="0.00_);[Red]\(0.00\)">
                  <c:v>2.1</c:v>
                </c:pt>
                <c:pt idx="43" c:formatCode="0.00_);[Red]\(0.00\)">
                  <c:v>2.15</c:v>
                </c:pt>
                <c:pt idx="44" c:formatCode="0.00_);[Red]\(0.00\)">
                  <c:v>2.2</c:v>
                </c:pt>
                <c:pt idx="45" c:formatCode="0.00_);[Red]\(0.00\)">
                  <c:v>2.25</c:v>
                </c:pt>
                <c:pt idx="46" c:formatCode="0.00_);[Red]\(0.00\)">
                  <c:v>2.3</c:v>
                </c:pt>
                <c:pt idx="47" c:formatCode="0.00_);[Red]\(0.00\)">
                  <c:v>2.35</c:v>
                </c:pt>
                <c:pt idx="48" c:formatCode="0.00_);[Red]\(0.00\)">
                  <c:v>2.4</c:v>
                </c:pt>
                <c:pt idx="49" c:formatCode="0.00_);[Red]\(0.00\)">
                  <c:v>2.45</c:v>
                </c:pt>
                <c:pt idx="50" c:formatCode="0.00_);[Red]\(0.00\)">
                  <c:v>2.5</c:v>
                </c:pt>
                <c:pt idx="51" c:formatCode="0.00_);[Red]\(0.00\)">
                  <c:v>2.55</c:v>
                </c:pt>
                <c:pt idx="52" c:formatCode="0.00_);[Red]\(0.00\)">
                  <c:v>2.6</c:v>
                </c:pt>
                <c:pt idx="53" c:formatCode="0.00_);[Red]\(0.00\)">
                  <c:v>2.65</c:v>
                </c:pt>
                <c:pt idx="54" c:formatCode="0.00_);[Red]\(0.00\)">
                  <c:v>2.7</c:v>
                </c:pt>
                <c:pt idx="55" c:formatCode="0.00_);[Red]\(0.00\)">
                  <c:v>2.75</c:v>
                </c:pt>
                <c:pt idx="56" c:formatCode="0.00_);[Red]\(0.00\)">
                  <c:v>2.8</c:v>
                </c:pt>
                <c:pt idx="57" c:formatCode="0.00_);[Red]\(0.00\)">
                  <c:v>2.85</c:v>
                </c:pt>
                <c:pt idx="58" c:formatCode="0.00_);[Red]\(0.00\)">
                  <c:v>2.9</c:v>
                </c:pt>
                <c:pt idx="59" c:formatCode="0.00_);[Red]\(0.00\)">
                  <c:v>2.95</c:v>
                </c:pt>
                <c:pt idx="60" c:formatCode="0.00_);[Red]\(0.00\)">
                  <c:v>3</c:v>
                </c:pt>
                <c:pt idx="61" c:formatCode="0.00_);[Red]\(0.00\)">
                  <c:v>3.05</c:v>
                </c:pt>
                <c:pt idx="62" c:formatCode="0.00_);[Red]\(0.00\)">
                  <c:v>3.1</c:v>
                </c:pt>
                <c:pt idx="63" c:formatCode="0.00_);[Red]\(0.00\)">
                  <c:v>3.15</c:v>
                </c:pt>
                <c:pt idx="64" c:formatCode="0.00_);[Red]\(0.00\)">
                  <c:v>3.2</c:v>
                </c:pt>
                <c:pt idx="65" c:formatCode="0.00_);[Red]\(0.00\)">
                  <c:v>3.25</c:v>
                </c:pt>
                <c:pt idx="66" c:formatCode="0.00_);[Red]\(0.00\)">
                  <c:v>3.3</c:v>
                </c:pt>
                <c:pt idx="67" c:formatCode="0.00_);[Red]\(0.00\)">
                  <c:v>3.35</c:v>
                </c:pt>
                <c:pt idx="68" c:formatCode="0.00_);[Red]\(0.00\)">
                  <c:v>3.4</c:v>
                </c:pt>
                <c:pt idx="69" c:formatCode="0.00_);[Red]\(0.00\)">
                  <c:v>3.45</c:v>
                </c:pt>
                <c:pt idx="70" c:formatCode="0.00_);[Red]\(0.00\)">
                  <c:v>3.5</c:v>
                </c:pt>
                <c:pt idx="71" c:formatCode="0.00_);[Red]\(0.00\)">
                  <c:v>3.55</c:v>
                </c:pt>
                <c:pt idx="72" c:formatCode="0.00_);[Red]\(0.00\)">
                  <c:v>3.6</c:v>
                </c:pt>
                <c:pt idx="73" c:formatCode="0.00_);[Red]\(0.00\)">
                  <c:v>3.65</c:v>
                </c:pt>
                <c:pt idx="74" c:formatCode="0.00_);[Red]\(0.00\)">
                  <c:v>3.7</c:v>
                </c:pt>
                <c:pt idx="75" c:formatCode="0.00_);[Red]\(0.00\)">
                  <c:v>3.75</c:v>
                </c:pt>
                <c:pt idx="76" c:formatCode="0.00_);[Red]\(0.00\)">
                  <c:v>3.8</c:v>
                </c:pt>
                <c:pt idx="77" c:formatCode="0.00_);[Red]\(0.00\)">
                  <c:v>3.85</c:v>
                </c:pt>
                <c:pt idx="78" c:formatCode="0.00_);[Red]\(0.00\)">
                  <c:v>3.9</c:v>
                </c:pt>
                <c:pt idx="79" c:formatCode="0.00_);[Red]\(0.00\)">
                  <c:v>3.95</c:v>
                </c:pt>
                <c:pt idx="80" c:formatCode="0.00_);[Red]\(0.00\)">
                  <c:v>4</c:v>
                </c:pt>
                <c:pt idx="81" c:formatCode="0.00_);[Red]\(0.00\)">
                  <c:v>4.05</c:v>
                </c:pt>
                <c:pt idx="82" c:formatCode="0.00_);[Red]\(0.00\)">
                  <c:v>4.1</c:v>
                </c:pt>
                <c:pt idx="83" c:formatCode="0.00_);[Red]\(0.00\)">
                  <c:v>4.15</c:v>
                </c:pt>
                <c:pt idx="84" c:formatCode="0.00_);[Red]\(0.00\)">
                  <c:v>4.2</c:v>
                </c:pt>
                <c:pt idx="85" c:formatCode="0.00_);[Red]\(0.00\)">
                  <c:v>4.25</c:v>
                </c:pt>
                <c:pt idx="86" c:formatCode="0.00_);[Red]\(0.00\)">
                  <c:v>4.3</c:v>
                </c:pt>
                <c:pt idx="87" c:formatCode="0.00_);[Red]\(0.00\)">
                  <c:v>4.35</c:v>
                </c:pt>
                <c:pt idx="88" c:formatCode="0.00_);[Red]\(0.00\)">
                  <c:v>4.4</c:v>
                </c:pt>
                <c:pt idx="89" c:formatCode="0.00_);[Red]\(0.00\)">
                  <c:v>4.45</c:v>
                </c:pt>
                <c:pt idx="90" c:formatCode="0.00_);[Red]\(0.00\)">
                  <c:v>4.5</c:v>
                </c:pt>
                <c:pt idx="91" c:formatCode="0.00_);[Red]\(0.00\)">
                  <c:v>4.55</c:v>
                </c:pt>
                <c:pt idx="92" c:formatCode="0.00_);[Red]\(0.00\)">
                  <c:v>4.6</c:v>
                </c:pt>
                <c:pt idx="93" c:formatCode="0.00_);[Red]\(0.00\)">
                  <c:v>4.65</c:v>
                </c:pt>
                <c:pt idx="94" c:formatCode="0.00_);[Red]\(0.00\)">
                  <c:v>4.7</c:v>
                </c:pt>
                <c:pt idx="95" c:formatCode="0.00_);[Red]\(0.00\)">
                  <c:v>4.75</c:v>
                </c:pt>
                <c:pt idx="96" c:formatCode="0.00_);[Red]\(0.00\)">
                  <c:v>4.8</c:v>
                </c:pt>
                <c:pt idx="97" c:formatCode="0.00_);[Red]\(0.00\)">
                  <c:v>4.85</c:v>
                </c:pt>
                <c:pt idx="98" c:formatCode="0.00_);[Red]\(0.00\)">
                  <c:v>4.9</c:v>
                </c:pt>
                <c:pt idx="99" c:formatCode="0.00_);[Red]\(0.00\)">
                  <c:v>4.95</c:v>
                </c:pt>
                <c:pt idx="100" c:formatCode="0.00_);[Red]\(0.00\)">
                  <c:v>5</c:v>
                </c:pt>
                <c:pt idx="101" c:formatCode="0.00_);[Red]\(0.00\)">
                  <c:v>5.05</c:v>
                </c:pt>
                <c:pt idx="102" c:formatCode="0.00_);[Red]\(0.00\)">
                  <c:v>5.1</c:v>
                </c:pt>
                <c:pt idx="103" c:formatCode="0.00_);[Red]\(0.00\)">
                  <c:v>5.15</c:v>
                </c:pt>
                <c:pt idx="104" c:formatCode="0.00_);[Red]\(0.00\)">
                  <c:v>5.2</c:v>
                </c:pt>
                <c:pt idx="105" c:formatCode="0.00_);[Red]\(0.00\)">
                  <c:v>5.25</c:v>
                </c:pt>
                <c:pt idx="106" c:formatCode="0.00_);[Red]\(0.00\)">
                  <c:v>5.3</c:v>
                </c:pt>
                <c:pt idx="107" c:formatCode="0.00_);[Red]\(0.00\)">
                  <c:v>5.35</c:v>
                </c:pt>
                <c:pt idx="108" c:formatCode="0.00_);[Red]\(0.00\)">
                  <c:v>5.4</c:v>
                </c:pt>
                <c:pt idx="109" c:formatCode="0.00_);[Red]\(0.00\)">
                  <c:v>5.45</c:v>
                </c:pt>
                <c:pt idx="110" c:formatCode="0.00_);[Red]\(0.00\)">
                  <c:v>5.5</c:v>
                </c:pt>
                <c:pt idx="111" c:formatCode="0.00_);[Red]\(0.00\)">
                  <c:v>5.55</c:v>
                </c:pt>
                <c:pt idx="112" c:formatCode="0.00_);[Red]\(0.00\)">
                  <c:v>5.6</c:v>
                </c:pt>
                <c:pt idx="113" c:formatCode="0.00_);[Red]\(0.00\)">
                  <c:v>5.65</c:v>
                </c:pt>
                <c:pt idx="114" c:formatCode="0.00_);[Red]\(0.00\)">
                  <c:v>5.7</c:v>
                </c:pt>
                <c:pt idx="115" c:formatCode="0.00_);[Red]\(0.00\)">
                  <c:v>5.75</c:v>
                </c:pt>
                <c:pt idx="116" c:formatCode="0.00_);[Red]\(0.00\)">
                  <c:v>5.8</c:v>
                </c:pt>
                <c:pt idx="117" c:formatCode="0.00_);[Red]\(0.00\)">
                  <c:v>5.85</c:v>
                </c:pt>
                <c:pt idx="118" c:formatCode="0.00_);[Red]\(0.00\)">
                  <c:v>5.9</c:v>
                </c:pt>
                <c:pt idx="119" c:formatCode="0.00_);[Red]\(0.00\)">
                  <c:v>5.95</c:v>
                </c:pt>
                <c:pt idx="120" c:formatCode="0.00_);[Red]\(0.00\)">
                  <c:v>6</c:v>
                </c:pt>
                <c:pt idx="121" c:formatCode="0.00_);[Red]\(0.00\)">
                  <c:v>6.05</c:v>
                </c:pt>
                <c:pt idx="122" c:formatCode="0.00_);[Red]\(0.00\)">
                  <c:v>6.1</c:v>
                </c:pt>
                <c:pt idx="123" c:formatCode="0.00_);[Red]\(0.00\)">
                  <c:v>6.15</c:v>
                </c:pt>
                <c:pt idx="124" c:formatCode="0.00_);[Red]\(0.00\)">
                  <c:v>6.2</c:v>
                </c:pt>
                <c:pt idx="125" c:formatCode="0.00_);[Red]\(0.00\)">
                  <c:v>6.25</c:v>
                </c:pt>
                <c:pt idx="126" c:formatCode="0.00_);[Red]\(0.00\)">
                  <c:v>6.3</c:v>
                </c:pt>
                <c:pt idx="127" c:formatCode="0.00_);[Red]\(0.00\)">
                  <c:v>6.35</c:v>
                </c:pt>
                <c:pt idx="128" c:formatCode="0.00_);[Red]\(0.00\)">
                  <c:v>6.4</c:v>
                </c:pt>
                <c:pt idx="129" c:formatCode="0.00_);[Red]\(0.00\)">
                  <c:v>6.45</c:v>
                </c:pt>
                <c:pt idx="130" c:formatCode="0.00_);[Red]\(0.00\)">
                  <c:v>6.5</c:v>
                </c:pt>
                <c:pt idx="131" c:formatCode="0.00_);[Red]\(0.00\)">
                  <c:v>6.55</c:v>
                </c:pt>
                <c:pt idx="132" c:formatCode="0.00_);[Red]\(0.00\)">
                  <c:v>6.6</c:v>
                </c:pt>
                <c:pt idx="133" c:formatCode="0.00_);[Red]\(0.00\)">
                  <c:v>6.65</c:v>
                </c:pt>
                <c:pt idx="134" c:formatCode="0.00_);[Red]\(0.00\)">
                  <c:v>6.7</c:v>
                </c:pt>
                <c:pt idx="135" c:formatCode="0.00_);[Red]\(0.00\)">
                  <c:v>6.75</c:v>
                </c:pt>
                <c:pt idx="136" c:formatCode="0.00_);[Red]\(0.00\)">
                  <c:v>6.8</c:v>
                </c:pt>
                <c:pt idx="137" c:formatCode="0.00_);[Red]\(0.00\)">
                  <c:v>6.85</c:v>
                </c:pt>
                <c:pt idx="138" c:formatCode="0.00_);[Red]\(0.00\)">
                  <c:v>6.9</c:v>
                </c:pt>
                <c:pt idx="139" c:formatCode="0.00_);[Red]\(0.00\)">
                  <c:v>6.95</c:v>
                </c:pt>
                <c:pt idx="140" c:formatCode="0.00_);[Red]\(0.00\)">
                  <c:v>7</c:v>
                </c:pt>
                <c:pt idx="141" c:formatCode="0.00_);[Red]\(0.00\)">
                  <c:v>7.05</c:v>
                </c:pt>
                <c:pt idx="142" c:formatCode="0.00_);[Red]\(0.00\)">
                  <c:v>7.1</c:v>
                </c:pt>
                <c:pt idx="143" c:formatCode="0.00_);[Red]\(0.00\)">
                  <c:v>7.15</c:v>
                </c:pt>
                <c:pt idx="144" c:formatCode="0.00_);[Red]\(0.00\)">
                  <c:v>7.2</c:v>
                </c:pt>
                <c:pt idx="145" c:formatCode="0.00_);[Red]\(0.00\)">
                  <c:v>7.25</c:v>
                </c:pt>
                <c:pt idx="146" c:formatCode="0.00_);[Red]\(0.00\)">
                  <c:v>7.3</c:v>
                </c:pt>
                <c:pt idx="147" c:formatCode="0.00_);[Red]\(0.00\)">
                  <c:v>7.35</c:v>
                </c:pt>
                <c:pt idx="148" c:formatCode="0.00_);[Red]\(0.00\)">
                  <c:v>7.4</c:v>
                </c:pt>
                <c:pt idx="149" c:formatCode="0.00_);[Red]\(0.00\)">
                  <c:v>7.45</c:v>
                </c:pt>
                <c:pt idx="150" c:formatCode="0.00_);[Red]\(0.00\)">
                  <c:v>7.5</c:v>
                </c:pt>
                <c:pt idx="151" c:formatCode="0.00_);[Red]\(0.00\)">
                  <c:v>7.55</c:v>
                </c:pt>
                <c:pt idx="152" c:formatCode="0.00_);[Red]\(0.00\)">
                  <c:v>7.6</c:v>
                </c:pt>
                <c:pt idx="153" c:formatCode="0.00_);[Red]\(0.00\)">
                  <c:v>7.65</c:v>
                </c:pt>
                <c:pt idx="154" c:formatCode="0.00_);[Red]\(0.00\)">
                  <c:v>7.7</c:v>
                </c:pt>
                <c:pt idx="155" c:formatCode="0.00_);[Red]\(0.00\)">
                  <c:v>7.75</c:v>
                </c:pt>
                <c:pt idx="156" c:formatCode="0.00_);[Red]\(0.00\)">
                  <c:v>7.8</c:v>
                </c:pt>
                <c:pt idx="157" c:formatCode="0.00_);[Red]\(0.00\)">
                  <c:v>7.85</c:v>
                </c:pt>
                <c:pt idx="158" c:formatCode="0.00_);[Red]\(0.00\)">
                  <c:v>7.9</c:v>
                </c:pt>
                <c:pt idx="159" c:formatCode="0.00_);[Red]\(0.00\)">
                  <c:v>7.95</c:v>
                </c:pt>
                <c:pt idx="160" c:formatCode="0.00_);[Red]\(0.00\)">
                  <c:v>8</c:v>
                </c:pt>
                <c:pt idx="161" c:formatCode="0.00_);[Red]\(0.00\)">
                  <c:v>8.05</c:v>
                </c:pt>
                <c:pt idx="162" c:formatCode="0.00_);[Red]\(0.00\)">
                  <c:v>8.1</c:v>
                </c:pt>
                <c:pt idx="163" c:formatCode="0.00_);[Red]\(0.00\)">
                  <c:v>8.15</c:v>
                </c:pt>
                <c:pt idx="164" c:formatCode="0.00_);[Red]\(0.00\)">
                  <c:v>8.2</c:v>
                </c:pt>
                <c:pt idx="165" c:formatCode="0.00_);[Red]\(0.00\)">
                  <c:v>8.25</c:v>
                </c:pt>
                <c:pt idx="166" c:formatCode="0.00_);[Red]\(0.00\)">
                  <c:v>8.3</c:v>
                </c:pt>
                <c:pt idx="167" c:formatCode="0.00_);[Red]\(0.00\)">
                  <c:v>8.35</c:v>
                </c:pt>
                <c:pt idx="168" c:formatCode="0.00_);[Red]\(0.00\)">
                  <c:v>8.4</c:v>
                </c:pt>
                <c:pt idx="169" c:formatCode="0.00_);[Red]\(0.00\)">
                  <c:v>8.45</c:v>
                </c:pt>
                <c:pt idx="170" c:formatCode="0.00_);[Red]\(0.00\)">
                  <c:v>8.5</c:v>
                </c:pt>
                <c:pt idx="171" c:formatCode="0.00_);[Red]\(0.00\)">
                  <c:v>8.55</c:v>
                </c:pt>
                <c:pt idx="172" c:formatCode="0.00_);[Red]\(0.00\)">
                  <c:v>8.6</c:v>
                </c:pt>
                <c:pt idx="173" c:formatCode="0.00_);[Red]\(0.00\)">
                  <c:v>8.65</c:v>
                </c:pt>
                <c:pt idx="174" c:formatCode="0.00_);[Red]\(0.00\)">
                  <c:v>8.7</c:v>
                </c:pt>
                <c:pt idx="175" c:formatCode="0.00_);[Red]\(0.00\)">
                  <c:v>8.75</c:v>
                </c:pt>
                <c:pt idx="176" c:formatCode="0.00_);[Red]\(0.00\)">
                  <c:v>8.8</c:v>
                </c:pt>
                <c:pt idx="177" c:formatCode="0.00_);[Red]\(0.00\)">
                  <c:v>8.85</c:v>
                </c:pt>
                <c:pt idx="178" c:formatCode="0.00_);[Red]\(0.00\)">
                  <c:v>8.9</c:v>
                </c:pt>
                <c:pt idx="179" c:formatCode="0.00_);[Red]\(0.00\)">
                  <c:v>8.95</c:v>
                </c:pt>
                <c:pt idx="180" c:formatCode="0.00_);[Red]\(0.00\)">
                  <c:v>9</c:v>
                </c:pt>
                <c:pt idx="181" c:formatCode="0.00_);[Red]\(0.00\)">
                  <c:v>9.05</c:v>
                </c:pt>
                <c:pt idx="182" c:formatCode="0.00_);[Red]\(0.00\)">
                  <c:v>9.1</c:v>
                </c:pt>
                <c:pt idx="183" c:formatCode="0.00_);[Red]\(0.00\)">
                  <c:v>9.15</c:v>
                </c:pt>
                <c:pt idx="184" c:formatCode="0.00_);[Red]\(0.00\)">
                  <c:v>9.2</c:v>
                </c:pt>
                <c:pt idx="185" c:formatCode="0.00_);[Red]\(0.00\)">
                  <c:v>9.25</c:v>
                </c:pt>
                <c:pt idx="186" c:formatCode="0.00_);[Red]\(0.00\)">
                  <c:v>9.3</c:v>
                </c:pt>
                <c:pt idx="187" c:formatCode="0.00_);[Red]\(0.00\)">
                  <c:v>9.35</c:v>
                </c:pt>
                <c:pt idx="188" c:formatCode="0.00_);[Red]\(0.00\)">
                  <c:v>9.4</c:v>
                </c:pt>
                <c:pt idx="189" c:formatCode="0.00_);[Red]\(0.00\)">
                  <c:v>9.45</c:v>
                </c:pt>
                <c:pt idx="190" c:formatCode="0.00_);[Red]\(0.00\)">
                  <c:v>9.5</c:v>
                </c:pt>
                <c:pt idx="191" c:formatCode="0.00_);[Red]\(0.00\)">
                  <c:v>9.55</c:v>
                </c:pt>
                <c:pt idx="192" c:formatCode="0.00_);[Red]\(0.00\)">
                  <c:v>9.6</c:v>
                </c:pt>
                <c:pt idx="193" c:formatCode="0.00_);[Red]\(0.00\)">
                  <c:v>9.65</c:v>
                </c:pt>
                <c:pt idx="194" c:formatCode="0.00_);[Red]\(0.00\)">
                  <c:v>9.7</c:v>
                </c:pt>
                <c:pt idx="195" c:formatCode="0.00_);[Red]\(0.00\)">
                  <c:v>9.75</c:v>
                </c:pt>
                <c:pt idx="196" c:formatCode="0.00_);[Red]\(0.00\)">
                  <c:v>9.8</c:v>
                </c:pt>
                <c:pt idx="197" c:formatCode="0.00_);[Red]\(0.00\)">
                  <c:v>9.85</c:v>
                </c:pt>
                <c:pt idx="198" c:formatCode="0.00_);[Red]\(0.00\)">
                  <c:v>9.9</c:v>
                </c:pt>
                <c:pt idx="199" c:formatCode="0.00_);[Red]\(0.00\)">
                  <c:v>9.95</c:v>
                </c:pt>
                <c:pt idx="200" c:formatCode="0.00_);[Red]\(0.00\)">
                  <c:v>10</c:v>
                </c:pt>
                <c:pt idx="201" c:formatCode="0.00_);[Red]\(0.00\)">
                  <c:v>10.05</c:v>
                </c:pt>
                <c:pt idx="202" c:formatCode="0.00_);[Red]\(0.00\)">
                  <c:v>10.1</c:v>
                </c:pt>
                <c:pt idx="203" c:formatCode="0.00_);[Red]\(0.00\)">
                  <c:v>10.15</c:v>
                </c:pt>
                <c:pt idx="204" c:formatCode="0.00_);[Red]\(0.00\)">
                  <c:v>10.2</c:v>
                </c:pt>
                <c:pt idx="205" c:formatCode="0.00_);[Red]\(0.00\)">
                  <c:v>10.25</c:v>
                </c:pt>
                <c:pt idx="206" c:formatCode="0.00_);[Red]\(0.00\)">
                  <c:v>10.3</c:v>
                </c:pt>
                <c:pt idx="207" c:formatCode="0.00_);[Red]\(0.00\)">
                  <c:v>10.35</c:v>
                </c:pt>
                <c:pt idx="208" c:formatCode="0.00_);[Red]\(0.00\)">
                  <c:v>10.4</c:v>
                </c:pt>
                <c:pt idx="209" c:formatCode="0.00_);[Red]\(0.00\)">
                  <c:v>10.45</c:v>
                </c:pt>
                <c:pt idx="210" c:formatCode="0.00_);[Red]\(0.00\)">
                  <c:v>10.5</c:v>
                </c:pt>
                <c:pt idx="211" c:formatCode="0.00_);[Red]\(0.00\)">
                  <c:v>10.55</c:v>
                </c:pt>
                <c:pt idx="212" c:formatCode="0.00_);[Red]\(0.00\)">
                  <c:v>10.6</c:v>
                </c:pt>
                <c:pt idx="213" c:formatCode="0.00_);[Red]\(0.00\)">
                  <c:v>10.65</c:v>
                </c:pt>
                <c:pt idx="214" c:formatCode="0.00_);[Red]\(0.00\)">
                  <c:v>10.7</c:v>
                </c:pt>
                <c:pt idx="215" c:formatCode="0.00_);[Red]\(0.00\)">
                  <c:v>10.75</c:v>
                </c:pt>
                <c:pt idx="216" c:formatCode="0.00_);[Red]\(0.00\)">
                  <c:v>10.8</c:v>
                </c:pt>
                <c:pt idx="217" c:formatCode="0.00_);[Red]\(0.00\)">
                  <c:v>10.85</c:v>
                </c:pt>
                <c:pt idx="218" c:formatCode="0.00_);[Red]\(0.00\)">
                  <c:v>10.9</c:v>
                </c:pt>
                <c:pt idx="219" c:formatCode="0.00_);[Red]\(0.00\)">
                  <c:v>10.95</c:v>
                </c:pt>
                <c:pt idx="220" c:formatCode="0.00_);[Red]\(0.00\)">
                  <c:v>11</c:v>
                </c:pt>
                <c:pt idx="221" c:formatCode="0.00_);[Red]\(0.00\)">
                  <c:v>11.05</c:v>
                </c:pt>
                <c:pt idx="222" c:formatCode="0.00_);[Red]\(0.00\)">
                  <c:v>11.1</c:v>
                </c:pt>
                <c:pt idx="223" c:formatCode="0.00_);[Red]\(0.00\)">
                  <c:v>11.15</c:v>
                </c:pt>
                <c:pt idx="224" c:formatCode="0.00_);[Red]\(0.00\)">
                  <c:v>11.2</c:v>
                </c:pt>
                <c:pt idx="225" c:formatCode="0.00_);[Red]\(0.00\)">
                  <c:v>11.25</c:v>
                </c:pt>
                <c:pt idx="226" c:formatCode="0.00_);[Red]\(0.00\)">
                  <c:v>11.3</c:v>
                </c:pt>
                <c:pt idx="227" c:formatCode="0.00_);[Red]\(0.00\)">
                  <c:v>11.35</c:v>
                </c:pt>
                <c:pt idx="228" c:formatCode="0.00_);[Red]\(0.00\)">
                  <c:v>11.4</c:v>
                </c:pt>
                <c:pt idx="229" c:formatCode="0.00_);[Red]\(0.00\)">
                  <c:v>11.45</c:v>
                </c:pt>
                <c:pt idx="230" c:formatCode="0.00_);[Red]\(0.00\)">
                  <c:v>11.5</c:v>
                </c:pt>
                <c:pt idx="231" c:formatCode="0.00_);[Red]\(0.00\)">
                  <c:v>11.55</c:v>
                </c:pt>
                <c:pt idx="232" c:formatCode="0.00_);[Red]\(0.00\)">
                  <c:v>11.6</c:v>
                </c:pt>
                <c:pt idx="233" c:formatCode="0.00_);[Red]\(0.00\)">
                  <c:v>11.65</c:v>
                </c:pt>
                <c:pt idx="234" c:formatCode="0.00_);[Red]\(0.00\)">
                  <c:v>11.7</c:v>
                </c:pt>
                <c:pt idx="235" c:formatCode="0.00_);[Red]\(0.00\)">
                  <c:v>11.75</c:v>
                </c:pt>
                <c:pt idx="236" c:formatCode="0.00_);[Red]\(0.00\)">
                  <c:v>11.8</c:v>
                </c:pt>
                <c:pt idx="237" c:formatCode="0.00_);[Red]\(0.00\)">
                  <c:v>11.85</c:v>
                </c:pt>
                <c:pt idx="238" c:formatCode="0.00_);[Red]\(0.00\)">
                  <c:v>11.9</c:v>
                </c:pt>
                <c:pt idx="239" c:formatCode="0.00_);[Red]\(0.00\)">
                  <c:v>11.95</c:v>
                </c:pt>
                <c:pt idx="240" c:formatCode="0.00_);[Red]\(0.00\)">
                  <c:v>12</c:v>
                </c:pt>
                <c:pt idx="241" c:formatCode="0.00_);[Red]\(0.00\)">
                  <c:v>12.05</c:v>
                </c:pt>
                <c:pt idx="242" c:formatCode="0.00_);[Red]\(0.00\)">
                  <c:v>12.1</c:v>
                </c:pt>
                <c:pt idx="243" c:formatCode="0.00_);[Red]\(0.00\)">
                  <c:v>12.15</c:v>
                </c:pt>
                <c:pt idx="244" c:formatCode="0.00_);[Red]\(0.00\)">
                  <c:v>12.2</c:v>
                </c:pt>
                <c:pt idx="245" c:formatCode="0.00_);[Red]\(0.00\)">
                  <c:v>12.25</c:v>
                </c:pt>
                <c:pt idx="246" c:formatCode="0.00_);[Red]\(0.00\)">
                  <c:v>12.3</c:v>
                </c:pt>
                <c:pt idx="247" c:formatCode="0.00_);[Red]\(0.00\)">
                  <c:v>12.35</c:v>
                </c:pt>
                <c:pt idx="248" c:formatCode="0.00_);[Red]\(0.00\)">
                  <c:v>12.4</c:v>
                </c:pt>
                <c:pt idx="249" c:formatCode="0.00_);[Red]\(0.00\)">
                  <c:v>12.45</c:v>
                </c:pt>
                <c:pt idx="250" c:formatCode="0.00_);[Red]\(0.00\)">
                  <c:v>12.5</c:v>
                </c:pt>
                <c:pt idx="251" c:formatCode="0.00_);[Red]\(0.00\)">
                  <c:v>12.55</c:v>
                </c:pt>
                <c:pt idx="252" c:formatCode="0.00_);[Red]\(0.00\)">
                  <c:v>12.6</c:v>
                </c:pt>
                <c:pt idx="253" c:formatCode="0.00_);[Red]\(0.00\)">
                  <c:v>12.65</c:v>
                </c:pt>
                <c:pt idx="254" c:formatCode="0.00_);[Red]\(0.00\)">
                  <c:v>12.7</c:v>
                </c:pt>
                <c:pt idx="255" c:formatCode="0.00_);[Red]\(0.00\)">
                  <c:v>12.75</c:v>
                </c:pt>
                <c:pt idx="256" c:formatCode="0.00_);[Red]\(0.00\)">
                  <c:v>12.8</c:v>
                </c:pt>
                <c:pt idx="257" c:formatCode="0.00_);[Red]\(0.00\)">
                  <c:v>12.85</c:v>
                </c:pt>
                <c:pt idx="258" c:formatCode="0.00_);[Red]\(0.00\)">
                  <c:v>12.9</c:v>
                </c:pt>
                <c:pt idx="259" c:formatCode="0.00_);[Red]\(0.00\)">
                  <c:v>12.95</c:v>
                </c:pt>
                <c:pt idx="260" c:formatCode="0.00_);[Red]\(0.00\)">
                  <c:v>13</c:v>
                </c:pt>
                <c:pt idx="261" c:formatCode="0.00_);[Red]\(0.00\)">
                  <c:v>13.05</c:v>
                </c:pt>
                <c:pt idx="262" c:formatCode="0.00_);[Red]\(0.00\)">
                  <c:v>13.1</c:v>
                </c:pt>
                <c:pt idx="263" c:formatCode="0.00_);[Red]\(0.00\)">
                  <c:v>13.15</c:v>
                </c:pt>
                <c:pt idx="264" c:formatCode="0.00_);[Red]\(0.00\)">
                  <c:v>13.2</c:v>
                </c:pt>
                <c:pt idx="265" c:formatCode="0.00_);[Red]\(0.00\)">
                  <c:v>13.25</c:v>
                </c:pt>
                <c:pt idx="266" c:formatCode="0.00_);[Red]\(0.00\)">
                  <c:v>13.3</c:v>
                </c:pt>
                <c:pt idx="267" c:formatCode="0.00_);[Red]\(0.00\)">
                  <c:v>13.35</c:v>
                </c:pt>
                <c:pt idx="268" c:formatCode="0.00_);[Red]\(0.00\)">
                  <c:v>13.4</c:v>
                </c:pt>
                <c:pt idx="269" c:formatCode="0.00_);[Red]\(0.00\)">
                  <c:v>13.45</c:v>
                </c:pt>
                <c:pt idx="270" c:formatCode="0.00_);[Red]\(0.00\)">
                  <c:v>13.5</c:v>
                </c:pt>
                <c:pt idx="271" c:formatCode="0.00_);[Red]\(0.00\)">
                  <c:v>13.55</c:v>
                </c:pt>
                <c:pt idx="272" c:formatCode="0.00_);[Red]\(0.00\)">
                  <c:v>13.6</c:v>
                </c:pt>
                <c:pt idx="273" c:formatCode="0.00_);[Red]\(0.00\)">
                  <c:v>13.65</c:v>
                </c:pt>
                <c:pt idx="274" c:formatCode="0.00_);[Red]\(0.00\)">
                  <c:v>13.7</c:v>
                </c:pt>
                <c:pt idx="275" c:formatCode="0.00_);[Red]\(0.00\)">
                  <c:v>13.75</c:v>
                </c:pt>
                <c:pt idx="276" c:formatCode="0.00_);[Red]\(0.00\)">
                  <c:v>13.8</c:v>
                </c:pt>
                <c:pt idx="277" c:formatCode="0.00_);[Red]\(0.00\)">
                  <c:v>13.85</c:v>
                </c:pt>
                <c:pt idx="278" c:formatCode="0.00_);[Red]\(0.00\)">
                  <c:v>13.9</c:v>
                </c:pt>
                <c:pt idx="279" c:formatCode="0.00_);[Red]\(0.00\)">
                  <c:v>13.95</c:v>
                </c:pt>
                <c:pt idx="280" c:formatCode="0.00_);[Red]\(0.00\)">
                  <c:v>14</c:v>
                </c:pt>
                <c:pt idx="281" c:formatCode="0.00_);[Red]\(0.00\)">
                  <c:v>14.05</c:v>
                </c:pt>
                <c:pt idx="282" c:formatCode="0.00_);[Red]\(0.00\)">
                  <c:v>14.1</c:v>
                </c:pt>
                <c:pt idx="283" c:formatCode="0.00_);[Red]\(0.00\)">
                  <c:v>14.15</c:v>
                </c:pt>
                <c:pt idx="284" c:formatCode="0.00_);[Red]\(0.00\)">
                  <c:v>14.2</c:v>
                </c:pt>
                <c:pt idx="285" c:formatCode="0.00_);[Red]\(0.00\)">
                  <c:v>14.25</c:v>
                </c:pt>
                <c:pt idx="286" c:formatCode="0.00_);[Red]\(0.00\)">
                  <c:v>14.3</c:v>
                </c:pt>
                <c:pt idx="287" c:formatCode="0.00_);[Red]\(0.00\)">
                  <c:v>14.35</c:v>
                </c:pt>
                <c:pt idx="288" c:formatCode="0.00_);[Red]\(0.00\)">
                  <c:v>14.4</c:v>
                </c:pt>
                <c:pt idx="289" c:formatCode="0.00_);[Red]\(0.00\)">
                  <c:v>14.45</c:v>
                </c:pt>
                <c:pt idx="290" c:formatCode="0.00_);[Red]\(0.00\)">
                  <c:v>14.5</c:v>
                </c:pt>
                <c:pt idx="291" c:formatCode="0.00_);[Red]\(0.00\)">
                  <c:v>14.55</c:v>
                </c:pt>
                <c:pt idx="292" c:formatCode="0.00_);[Red]\(0.00\)">
                  <c:v>14.6</c:v>
                </c:pt>
                <c:pt idx="293" c:formatCode="0.00_);[Red]\(0.00\)">
                  <c:v>14.65</c:v>
                </c:pt>
                <c:pt idx="294" c:formatCode="0.00_);[Red]\(0.00\)">
                  <c:v>14.7</c:v>
                </c:pt>
                <c:pt idx="295" c:formatCode="0.00_);[Red]\(0.00\)">
                  <c:v>14.75</c:v>
                </c:pt>
                <c:pt idx="296" c:formatCode="0.00_);[Red]\(0.00\)">
                  <c:v>14.8</c:v>
                </c:pt>
                <c:pt idx="297" c:formatCode="0.00_);[Red]\(0.00\)">
                  <c:v>14.85</c:v>
                </c:pt>
                <c:pt idx="298" c:formatCode="0.00_);[Red]\(0.00\)">
                  <c:v>14.9</c:v>
                </c:pt>
                <c:pt idx="299" c:formatCode="0.00_);[Red]\(0.00\)">
                  <c:v>14.95</c:v>
                </c:pt>
                <c:pt idx="300" c:formatCode="0.00_);[Red]\(0.00\)">
                  <c:v>15</c:v>
                </c:pt>
              </c:numCache>
            </c:numRef>
          </c:cat>
          <c:val>
            <c:numRef>
              <c:f>常压静止01!$G$3:$G$303</c:f>
              <c:numCache>
                <c:formatCode>General</c:formatCode>
                <c:ptCount val="3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20070619"/>
        <c:axId val="692494012"/>
      </c:lineChart>
      <c:catAx>
        <c:axId val="6200706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2494012"/>
        <c:crosses val="autoZero"/>
        <c:auto val="1"/>
        <c:lblAlgn val="ctr"/>
        <c:lblOffset val="100"/>
        <c:noMultiLvlLbl val="0"/>
      </c:catAx>
      <c:valAx>
        <c:axId val="6924940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00706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f3f15d8-f96a-4da7-a9ad-4cb74d06d9c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阻尼运动温差接入曲线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'常压阻尼温差01 (2)'!$F$2</c:f>
              <c:strCache>
                <c:ptCount val="1"/>
                <c:pt idx="0">
                  <c:v>运动数据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'常压阻尼温差01 (2)'!$E$3:$E$236</c:f>
              <c:strCache>
                <c:ptCount val="234"/>
                <c:pt idx="0">
                  <c:v>t</c:v>
                </c:pt>
                <c:pt idx="1">
                  <c:v>0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0.2</c:v>
                </c:pt>
                <c:pt idx="6">
                  <c:v>0.25</c:v>
                </c:pt>
                <c:pt idx="7">
                  <c:v>0.3</c:v>
                </c:pt>
                <c:pt idx="8">
                  <c:v>0.35</c:v>
                </c:pt>
                <c:pt idx="9">
                  <c:v>0.4</c:v>
                </c:pt>
                <c:pt idx="10">
                  <c:v>0.45</c:v>
                </c:pt>
                <c:pt idx="11">
                  <c:v>0.5</c:v>
                </c:pt>
                <c:pt idx="12">
                  <c:v>0.55</c:v>
                </c:pt>
                <c:pt idx="13">
                  <c:v>0.6</c:v>
                </c:pt>
                <c:pt idx="14">
                  <c:v>0.65</c:v>
                </c:pt>
                <c:pt idx="15">
                  <c:v>0.7</c:v>
                </c:pt>
                <c:pt idx="16">
                  <c:v>0.75</c:v>
                </c:pt>
                <c:pt idx="17">
                  <c:v>0.8</c:v>
                </c:pt>
                <c:pt idx="18">
                  <c:v>0.85</c:v>
                </c:pt>
                <c:pt idx="19">
                  <c:v>0.9</c:v>
                </c:pt>
                <c:pt idx="20">
                  <c:v>0.95</c:v>
                </c:pt>
                <c:pt idx="21">
                  <c:v>1</c:v>
                </c:pt>
                <c:pt idx="22">
                  <c:v>1.05</c:v>
                </c:pt>
                <c:pt idx="23">
                  <c:v>1.1</c:v>
                </c:pt>
                <c:pt idx="24">
                  <c:v>1.15</c:v>
                </c:pt>
                <c:pt idx="25">
                  <c:v>1.2</c:v>
                </c:pt>
                <c:pt idx="26">
                  <c:v>1.25</c:v>
                </c:pt>
                <c:pt idx="27">
                  <c:v>1.3</c:v>
                </c:pt>
                <c:pt idx="28">
                  <c:v>1.35</c:v>
                </c:pt>
                <c:pt idx="29">
                  <c:v>1.4</c:v>
                </c:pt>
                <c:pt idx="30">
                  <c:v>1.45</c:v>
                </c:pt>
                <c:pt idx="31">
                  <c:v>1.5</c:v>
                </c:pt>
                <c:pt idx="32">
                  <c:v>1.55</c:v>
                </c:pt>
                <c:pt idx="33">
                  <c:v>1.6</c:v>
                </c:pt>
                <c:pt idx="34">
                  <c:v>1.65</c:v>
                </c:pt>
                <c:pt idx="35">
                  <c:v>1.7</c:v>
                </c:pt>
                <c:pt idx="36">
                  <c:v>1.75</c:v>
                </c:pt>
                <c:pt idx="37">
                  <c:v>1.8</c:v>
                </c:pt>
                <c:pt idx="38">
                  <c:v>1.85</c:v>
                </c:pt>
                <c:pt idx="39">
                  <c:v>1.9</c:v>
                </c:pt>
                <c:pt idx="40">
                  <c:v>1.95</c:v>
                </c:pt>
                <c:pt idx="41">
                  <c:v>2</c:v>
                </c:pt>
                <c:pt idx="42">
                  <c:v>2.05</c:v>
                </c:pt>
                <c:pt idx="43">
                  <c:v>2.1</c:v>
                </c:pt>
                <c:pt idx="44">
                  <c:v>2.15</c:v>
                </c:pt>
                <c:pt idx="45">
                  <c:v>2.2</c:v>
                </c:pt>
                <c:pt idx="46">
                  <c:v>2.25</c:v>
                </c:pt>
                <c:pt idx="47">
                  <c:v>2.3</c:v>
                </c:pt>
                <c:pt idx="48">
                  <c:v>2.35</c:v>
                </c:pt>
                <c:pt idx="49">
                  <c:v>2.4</c:v>
                </c:pt>
                <c:pt idx="50">
                  <c:v>2.45</c:v>
                </c:pt>
                <c:pt idx="51">
                  <c:v>2.5</c:v>
                </c:pt>
                <c:pt idx="52">
                  <c:v>2.55</c:v>
                </c:pt>
                <c:pt idx="53">
                  <c:v>2.6</c:v>
                </c:pt>
                <c:pt idx="54">
                  <c:v>2.65</c:v>
                </c:pt>
                <c:pt idx="55">
                  <c:v>2.7</c:v>
                </c:pt>
                <c:pt idx="56">
                  <c:v>2.75</c:v>
                </c:pt>
                <c:pt idx="57">
                  <c:v>2.8</c:v>
                </c:pt>
                <c:pt idx="58">
                  <c:v>2.85</c:v>
                </c:pt>
                <c:pt idx="59">
                  <c:v>2.9</c:v>
                </c:pt>
                <c:pt idx="60">
                  <c:v>2.95</c:v>
                </c:pt>
                <c:pt idx="61">
                  <c:v>3</c:v>
                </c:pt>
                <c:pt idx="62">
                  <c:v>3.05</c:v>
                </c:pt>
                <c:pt idx="63">
                  <c:v>3.1</c:v>
                </c:pt>
                <c:pt idx="64">
                  <c:v>3.15</c:v>
                </c:pt>
                <c:pt idx="65">
                  <c:v>3.2</c:v>
                </c:pt>
                <c:pt idx="66">
                  <c:v>3.25</c:v>
                </c:pt>
                <c:pt idx="67">
                  <c:v>3.3</c:v>
                </c:pt>
                <c:pt idx="68">
                  <c:v>3.35</c:v>
                </c:pt>
                <c:pt idx="69">
                  <c:v>3.4</c:v>
                </c:pt>
                <c:pt idx="70">
                  <c:v>3.45</c:v>
                </c:pt>
                <c:pt idx="71">
                  <c:v>3.5</c:v>
                </c:pt>
                <c:pt idx="72">
                  <c:v>3.55</c:v>
                </c:pt>
                <c:pt idx="73">
                  <c:v>3.6</c:v>
                </c:pt>
                <c:pt idx="74">
                  <c:v>3.65</c:v>
                </c:pt>
                <c:pt idx="75">
                  <c:v>3.7</c:v>
                </c:pt>
                <c:pt idx="76">
                  <c:v>3.75</c:v>
                </c:pt>
                <c:pt idx="77">
                  <c:v>3.8</c:v>
                </c:pt>
                <c:pt idx="78">
                  <c:v>3.85</c:v>
                </c:pt>
                <c:pt idx="79">
                  <c:v>3.9</c:v>
                </c:pt>
                <c:pt idx="80">
                  <c:v>3.95</c:v>
                </c:pt>
                <c:pt idx="81">
                  <c:v>4</c:v>
                </c:pt>
                <c:pt idx="82">
                  <c:v>4.05</c:v>
                </c:pt>
                <c:pt idx="83">
                  <c:v>4.1</c:v>
                </c:pt>
                <c:pt idx="84">
                  <c:v>4.15</c:v>
                </c:pt>
                <c:pt idx="85">
                  <c:v>4.2</c:v>
                </c:pt>
                <c:pt idx="86">
                  <c:v>4.25</c:v>
                </c:pt>
                <c:pt idx="87">
                  <c:v>4.3</c:v>
                </c:pt>
                <c:pt idx="88">
                  <c:v>4.35</c:v>
                </c:pt>
                <c:pt idx="89">
                  <c:v>4.4</c:v>
                </c:pt>
                <c:pt idx="90">
                  <c:v>4.45</c:v>
                </c:pt>
                <c:pt idx="91">
                  <c:v>4.5</c:v>
                </c:pt>
                <c:pt idx="92">
                  <c:v>4.55</c:v>
                </c:pt>
                <c:pt idx="93">
                  <c:v>4.6</c:v>
                </c:pt>
                <c:pt idx="94">
                  <c:v>4.65</c:v>
                </c:pt>
                <c:pt idx="95">
                  <c:v>4.7</c:v>
                </c:pt>
                <c:pt idx="96">
                  <c:v>4.75</c:v>
                </c:pt>
                <c:pt idx="97">
                  <c:v>4.8</c:v>
                </c:pt>
                <c:pt idx="98">
                  <c:v>4.85</c:v>
                </c:pt>
                <c:pt idx="99">
                  <c:v>4.9</c:v>
                </c:pt>
                <c:pt idx="100">
                  <c:v>4.95</c:v>
                </c:pt>
                <c:pt idx="101">
                  <c:v>5</c:v>
                </c:pt>
                <c:pt idx="102">
                  <c:v>5.05</c:v>
                </c:pt>
                <c:pt idx="103">
                  <c:v>5.1</c:v>
                </c:pt>
                <c:pt idx="104">
                  <c:v>5.15</c:v>
                </c:pt>
                <c:pt idx="105">
                  <c:v>5.2</c:v>
                </c:pt>
                <c:pt idx="106">
                  <c:v>5.25</c:v>
                </c:pt>
                <c:pt idx="107">
                  <c:v>5.3</c:v>
                </c:pt>
                <c:pt idx="108">
                  <c:v>5.35</c:v>
                </c:pt>
                <c:pt idx="109">
                  <c:v>5.4</c:v>
                </c:pt>
                <c:pt idx="110">
                  <c:v>5.45</c:v>
                </c:pt>
                <c:pt idx="111">
                  <c:v>5.5</c:v>
                </c:pt>
                <c:pt idx="112">
                  <c:v>5.55</c:v>
                </c:pt>
                <c:pt idx="113">
                  <c:v>5.6</c:v>
                </c:pt>
                <c:pt idx="114">
                  <c:v>5.65</c:v>
                </c:pt>
                <c:pt idx="115">
                  <c:v>5.7</c:v>
                </c:pt>
                <c:pt idx="116">
                  <c:v>5.75</c:v>
                </c:pt>
                <c:pt idx="117">
                  <c:v>5.8</c:v>
                </c:pt>
                <c:pt idx="118">
                  <c:v>5.85</c:v>
                </c:pt>
                <c:pt idx="119">
                  <c:v>5.9</c:v>
                </c:pt>
                <c:pt idx="120">
                  <c:v>5.95</c:v>
                </c:pt>
                <c:pt idx="121">
                  <c:v>6</c:v>
                </c:pt>
                <c:pt idx="122">
                  <c:v>6.05</c:v>
                </c:pt>
                <c:pt idx="123">
                  <c:v>6.1</c:v>
                </c:pt>
                <c:pt idx="124">
                  <c:v>6.15</c:v>
                </c:pt>
                <c:pt idx="125">
                  <c:v>6.2</c:v>
                </c:pt>
                <c:pt idx="126">
                  <c:v>6.25</c:v>
                </c:pt>
                <c:pt idx="127">
                  <c:v>6.3</c:v>
                </c:pt>
                <c:pt idx="128">
                  <c:v>6.35</c:v>
                </c:pt>
                <c:pt idx="129">
                  <c:v>6.4</c:v>
                </c:pt>
                <c:pt idx="130">
                  <c:v>6.45</c:v>
                </c:pt>
                <c:pt idx="131">
                  <c:v>6.5</c:v>
                </c:pt>
                <c:pt idx="132">
                  <c:v>6.55</c:v>
                </c:pt>
                <c:pt idx="133">
                  <c:v>6.6</c:v>
                </c:pt>
                <c:pt idx="134">
                  <c:v>6.65</c:v>
                </c:pt>
                <c:pt idx="135">
                  <c:v>6.7</c:v>
                </c:pt>
                <c:pt idx="136">
                  <c:v>6.75</c:v>
                </c:pt>
                <c:pt idx="137">
                  <c:v>6.8</c:v>
                </c:pt>
                <c:pt idx="138">
                  <c:v>6.85</c:v>
                </c:pt>
                <c:pt idx="139">
                  <c:v>6.9</c:v>
                </c:pt>
                <c:pt idx="140">
                  <c:v>6.95</c:v>
                </c:pt>
                <c:pt idx="141">
                  <c:v>7</c:v>
                </c:pt>
                <c:pt idx="142">
                  <c:v>7.05</c:v>
                </c:pt>
                <c:pt idx="143">
                  <c:v>7.1</c:v>
                </c:pt>
                <c:pt idx="144">
                  <c:v>7.15</c:v>
                </c:pt>
                <c:pt idx="145">
                  <c:v>7.2</c:v>
                </c:pt>
                <c:pt idx="146">
                  <c:v>7.25</c:v>
                </c:pt>
                <c:pt idx="147">
                  <c:v>7.3</c:v>
                </c:pt>
                <c:pt idx="148">
                  <c:v>7.35</c:v>
                </c:pt>
                <c:pt idx="149">
                  <c:v>7.4</c:v>
                </c:pt>
                <c:pt idx="150">
                  <c:v>7.45</c:v>
                </c:pt>
                <c:pt idx="151">
                  <c:v>7.5</c:v>
                </c:pt>
                <c:pt idx="152">
                  <c:v>7.55</c:v>
                </c:pt>
                <c:pt idx="153">
                  <c:v>7.6</c:v>
                </c:pt>
                <c:pt idx="154">
                  <c:v>7.65</c:v>
                </c:pt>
                <c:pt idx="155">
                  <c:v>7.7</c:v>
                </c:pt>
                <c:pt idx="156">
                  <c:v>7.75</c:v>
                </c:pt>
                <c:pt idx="157">
                  <c:v>7.8</c:v>
                </c:pt>
                <c:pt idx="158">
                  <c:v>7.85</c:v>
                </c:pt>
                <c:pt idx="159">
                  <c:v>7.9</c:v>
                </c:pt>
                <c:pt idx="160">
                  <c:v>7.95</c:v>
                </c:pt>
                <c:pt idx="161">
                  <c:v>8</c:v>
                </c:pt>
                <c:pt idx="162">
                  <c:v>8.05</c:v>
                </c:pt>
                <c:pt idx="163">
                  <c:v>8.1</c:v>
                </c:pt>
                <c:pt idx="164">
                  <c:v>8.15</c:v>
                </c:pt>
                <c:pt idx="165">
                  <c:v>8.2</c:v>
                </c:pt>
                <c:pt idx="166">
                  <c:v>8.25</c:v>
                </c:pt>
                <c:pt idx="167">
                  <c:v>8.3</c:v>
                </c:pt>
                <c:pt idx="168">
                  <c:v>8.35</c:v>
                </c:pt>
                <c:pt idx="169">
                  <c:v>8.4</c:v>
                </c:pt>
                <c:pt idx="170">
                  <c:v>8.45</c:v>
                </c:pt>
                <c:pt idx="171">
                  <c:v>8.5</c:v>
                </c:pt>
                <c:pt idx="172">
                  <c:v>8.55</c:v>
                </c:pt>
                <c:pt idx="173">
                  <c:v>8.6</c:v>
                </c:pt>
                <c:pt idx="174">
                  <c:v>8.65</c:v>
                </c:pt>
                <c:pt idx="175">
                  <c:v>8.7</c:v>
                </c:pt>
                <c:pt idx="176">
                  <c:v>8.75</c:v>
                </c:pt>
                <c:pt idx="177">
                  <c:v>8.8</c:v>
                </c:pt>
                <c:pt idx="178">
                  <c:v>8.85</c:v>
                </c:pt>
                <c:pt idx="179">
                  <c:v>8.9</c:v>
                </c:pt>
                <c:pt idx="180">
                  <c:v>8.95</c:v>
                </c:pt>
                <c:pt idx="181">
                  <c:v>9</c:v>
                </c:pt>
                <c:pt idx="182">
                  <c:v>9.05</c:v>
                </c:pt>
                <c:pt idx="183">
                  <c:v>9.1</c:v>
                </c:pt>
                <c:pt idx="184">
                  <c:v>9.15</c:v>
                </c:pt>
                <c:pt idx="185">
                  <c:v>9.2</c:v>
                </c:pt>
                <c:pt idx="186">
                  <c:v>9.25</c:v>
                </c:pt>
                <c:pt idx="187">
                  <c:v>9.3</c:v>
                </c:pt>
                <c:pt idx="188">
                  <c:v>9.35</c:v>
                </c:pt>
                <c:pt idx="189">
                  <c:v>9.4</c:v>
                </c:pt>
                <c:pt idx="190">
                  <c:v>9.45</c:v>
                </c:pt>
                <c:pt idx="191">
                  <c:v>9.5</c:v>
                </c:pt>
                <c:pt idx="192">
                  <c:v>9.55</c:v>
                </c:pt>
                <c:pt idx="193">
                  <c:v>9.6</c:v>
                </c:pt>
                <c:pt idx="194">
                  <c:v>9.65</c:v>
                </c:pt>
                <c:pt idx="195">
                  <c:v>9.7</c:v>
                </c:pt>
                <c:pt idx="196">
                  <c:v>9.75</c:v>
                </c:pt>
                <c:pt idx="197">
                  <c:v>9.8</c:v>
                </c:pt>
                <c:pt idx="198">
                  <c:v>9.85</c:v>
                </c:pt>
                <c:pt idx="199">
                  <c:v>9.9</c:v>
                </c:pt>
                <c:pt idx="200">
                  <c:v>9.95</c:v>
                </c:pt>
                <c:pt idx="201">
                  <c:v>10</c:v>
                </c:pt>
                <c:pt idx="202">
                  <c:v>10.05</c:v>
                </c:pt>
                <c:pt idx="203">
                  <c:v>10.1</c:v>
                </c:pt>
                <c:pt idx="204">
                  <c:v>10.15</c:v>
                </c:pt>
                <c:pt idx="205">
                  <c:v>10.2</c:v>
                </c:pt>
                <c:pt idx="206">
                  <c:v>10.25</c:v>
                </c:pt>
                <c:pt idx="207">
                  <c:v>10.3</c:v>
                </c:pt>
                <c:pt idx="208">
                  <c:v>10.35</c:v>
                </c:pt>
                <c:pt idx="209">
                  <c:v>10.4</c:v>
                </c:pt>
                <c:pt idx="210">
                  <c:v>10.45</c:v>
                </c:pt>
                <c:pt idx="211">
                  <c:v>10.5</c:v>
                </c:pt>
                <c:pt idx="212">
                  <c:v>10.55</c:v>
                </c:pt>
                <c:pt idx="213">
                  <c:v>10.6</c:v>
                </c:pt>
                <c:pt idx="214">
                  <c:v>10.65</c:v>
                </c:pt>
                <c:pt idx="215">
                  <c:v>10.7</c:v>
                </c:pt>
                <c:pt idx="216">
                  <c:v>10.75</c:v>
                </c:pt>
                <c:pt idx="217">
                  <c:v>10.8</c:v>
                </c:pt>
                <c:pt idx="218">
                  <c:v>10.85</c:v>
                </c:pt>
                <c:pt idx="219">
                  <c:v>10.9</c:v>
                </c:pt>
                <c:pt idx="220">
                  <c:v>10.95</c:v>
                </c:pt>
                <c:pt idx="221">
                  <c:v>11</c:v>
                </c:pt>
                <c:pt idx="222">
                  <c:v>11.05</c:v>
                </c:pt>
                <c:pt idx="223">
                  <c:v>11.1</c:v>
                </c:pt>
                <c:pt idx="224">
                  <c:v>11.15</c:v>
                </c:pt>
                <c:pt idx="225">
                  <c:v>11.2</c:v>
                </c:pt>
                <c:pt idx="226">
                  <c:v>11.25</c:v>
                </c:pt>
                <c:pt idx="227">
                  <c:v>11.3</c:v>
                </c:pt>
                <c:pt idx="228">
                  <c:v>11.35</c:v>
                </c:pt>
                <c:pt idx="229">
                  <c:v>11.4</c:v>
                </c:pt>
                <c:pt idx="230">
                  <c:v>11.45</c:v>
                </c:pt>
                <c:pt idx="231">
                  <c:v>11.5</c:v>
                </c:pt>
                <c:pt idx="232">
                  <c:v>11.55</c:v>
                </c:pt>
                <c:pt idx="233">
                  <c:v>11.6</c:v>
                </c:pt>
              </c:strCache>
            </c:strRef>
          </c:cat>
          <c:val>
            <c:numRef>
              <c:f>'常压阻尼温差01 (2)'!$F$3:$F$236</c:f>
              <c:numCache>
                <c:formatCode>General</c:formatCode>
                <c:ptCount val="234"/>
                <c:pt idx="0">
                  <c:v>0</c:v>
                </c:pt>
                <c:pt idx="1">
                  <c:v>-7.78</c:v>
                </c:pt>
                <c:pt idx="2">
                  <c:v>-7.5461</c:v>
                </c:pt>
                <c:pt idx="3">
                  <c:v>-6.146</c:v>
                </c:pt>
                <c:pt idx="4">
                  <c:v>-4.428</c:v>
                </c:pt>
                <c:pt idx="5">
                  <c:v>-2.364</c:v>
                </c:pt>
                <c:pt idx="6">
                  <c:v>-0.125999999999999</c:v>
                </c:pt>
                <c:pt idx="7">
                  <c:v>2.2</c:v>
                </c:pt>
                <c:pt idx="8">
                  <c:v>4.22</c:v>
                </c:pt>
                <c:pt idx="9">
                  <c:v>5.92</c:v>
                </c:pt>
                <c:pt idx="10">
                  <c:v>6.96</c:v>
                </c:pt>
                <c:pt idx="11">
                  <c:v>7.51</c:v>
                </c:pt>
                <c:pt idx="12">
                  <c:v>7.38</c:v>
                </c:pt>
                <c:pt idx="13">
                  <c:v>6.39</c:v>
                </c:pt>
                <c:pt idx="14">
                  <c:v>5.03</c:v>
                </c:pt>
                <c:pt idx="15">
                  <c:v>3.16</c:v>
                </c:pt>
                <c:pt idx="16">
                  <c:v>0.971</c:v>
                </c:pt>
                <c:pt idx="17">
                  <c:v>-1.139</c:v>
                </c:pt>
                <c:pt idx="18">
                  <c:v>-3.007</c:v>
                </c:pt>
                <c:pt idx="19">
                  <c:v>-4.726</c:v>
                </c:pt>
                <c:pt idx="20">
                  <c:v>-5.877</c:v>
                </c:pt>
                <c:pt idx="21">
                  <c:v>-6.473</c:v>
                </c:pt>
                <c:pt idx="22">
                  <c:v>-6.429</c:v>
                </c:pt>
                <c:pt idx="23">
                  <c:v>-5.75</c:v>
                </c:pt>
                <c:pt idx="24">
                  <c:v>-4.435</c:v>
                </c:pt>
                <c:pt idx="25">
                  <c:v>-2.7</c:v>
                </c:pt>
                <c:pt idx="26">
                  <c:v>-0.781000000000001</c:v>
                </c:pt>
                <c:pt idx="27">
                  <c:v>1.292</c:v>
                </c:pt>
                <c:pt idx="28">
                  <c:v>3.16</c:v>
                </c:pt>
                <c:pt idx="29">
                  <c:v>4.76</c:v>
                </c:pt>
                <c:pt idx="30">
                  <c:v>5.75</c:v>
                </c:pt>
                <c:pt idx="31">
                  <c:v>6.27</c:v>
                </c:pt>
                <c:pt idx="32">
                  <c:v>6.22</c:v>
                </c:pt>
                <c:pt idx="33">
                  <c:v>5.59</c:v>
                </c:pt>
                <c:pt idx="34">
                  <c:v>4.34</c:v>
                </c:pt>
                <c:pt idx="35">
                  <c:v>2.63</c:v>
                </c:pt>
                <c:pt idx="36">
                  <c:v>0.711</c:v>
                </c:pt>
                <c:pt idx="37">
                  <c:v>-1.185</c:v>
                </c:pt>
                <c:pt idx="38">
                  <c:v>-2.986</c:v>
                </c:pt>
                <c:pt idx="39">
                  <c:v>-4.335</c:v>
                </c:pt>
                <c:pt idx="40">
                  <c:v>-5.284</c:v>
                </c:pt>
                <c:pt idx="41">
                  <c:v>-5.689</c:v>
                </c:pt>
                <c:pt idx="42">
                  <c:v>-5.607</c:v>
                </c:pt>
                <c:pt idx="43">
                  <c:v>-5.195</c:v>
                </c:pt>
                <c:pt idx="44">
                  <c:v>-4.55</c:v>
                </c:pt>
                <c:pt idx="45">
                  <c:v>-3.732</c:v>
                </c:pt>
                <c:pt idx="46">
                  <c:v>-3.148</c:v>
                </c:pt>
                <c:pt idx="47">
                  <c:v>-2.816</c:v>
                </c:pt>
                <c:pt idx="48">
                  <c:v>-2.487</c:v>
                </c:pt>
                <c:pt idx="49">
                  <c:v>-2.447</c:v>
                </c:pt>
                <c:pt idx="50">
                  <c:v>-2.494</c:v>
                </c:pt>
                <c:pt idx="51">
                  <c:v>-2.949</c:v>
                </c:pt>
                <c:pt idx="52">
                  <c:v>-3.955</c:v>
                </c:pt>
                <c:pt idx="53">
                  <c:v>-5.141</c:v>
                </c:pt>
                <c:pt idx="54">
                  <c:v>-6.237</c:v>
                </c:pt>
                <c:pt idx="55">
                  <c:v>-7.2775</c:v>
                </c:pt>
                <c:pt idx="56">
                  <c:v>-7.7346</c:v>
                </c:pt>
                <c:pt idx="57">
                  <c:v>-7.7485</c:v>
                </c:pt>
                <c:pt idx="58">
                  <c:v>-7.3443</c:v>
                </c:pt>
                <c:pt idx="59">
                  <c:v>-6.195</c:v>
                </c:pt>
                <c:pt idx="60">
                  <c:v>-5.233</c:v>
                </c:pt>
                <c:pt idx="61">
                  <c:v>-4.093</c:v>
                </c:pt>
                <c:pt idx="62">
                  <c:v>-3.281</c:v>
                </c:pt>
                <c:pt idx="63">
                  <c:v>-2.796</c:v>
                </c:pt>
                <c:pt idx="64">
                  <c:v>-2.703</c:v>
                </c:pt>
                <c:pt idx="65">
                  <c:v>-3.02</c:v>
                </c:pt>
                <c:pt idx="66">
                  <c:v>-3.665</c:v>
                </c:pt>
                <c:pt idx="67">
                  <c:v>-4.617</c:v>
                </c:pt>
                <c:pt idx="68">
                  <c:v>-5.571</c:v>
                </c:pt>
                <c:pt idx="69">
                  <c:v>-6.373</c:v>
                </c:pt>
                <c:pt idx="70">
                  <c:v>-6.864</c:v>
                </c:pt>
                <c:pt idx="71">
                  <c:v>-6.914</c:v>
                </c:pt>
                <c:pt idx="72">
                  <c:v>-6.488</c:v>
                </c:pt>
                <c:pt idx="73">
                  <c:v>-5.663</c:v>
                </c:pt>
                <c:pt idx="74">
                  <c:v>-4.839</c:v>
                </c:pt>
                <c:pt idx="75">
                  <c:v>-3.976</c:v>
                </c:pt>
                <c:pt idx="76">
                  <c:v>-3.32</c:v>
                </c:pt>
                <c:pt idx="77">
                  <c:v>-3.071</c:v>
                </c:pt>
                <c:pt idx="78">
                  <c:v>-3.13</c:v>
                </c:pt>
                <c:pt idx="79">
                  <c:v>-3.459</c:v>
                </c:pt>
                <c:pt idx="80">
                  <c:v>-4.105</c:v>
                </c:pt>
                <c:pt idx="81">
                  <c:v>-4.959</c:v>
                </c:pt>
                <c:pt idx="82">
                  <c:v>-5.642</c:v>
                </c:pt>
                <c:pt idx="83">
                  <c:v>-6.221</c:v>
                </c:pt>
                <c:pt idx="84">
                  <c:v>-6.435</c:v>
                </c:pt>
                <c:pt idx="85">
                  <c:v>-6.367</c:v>
                </c:pt>
                <c:pt idx="86">
                  <c:v>-5.974</c:v>
                </c:pt>
                <c:pt idx="87">
                  <c:v>-5.325</c:v>
                </c:pt>
                <c:pt idx="88">
                  <c:v>-4.494</c:v>
                </c:pt>
                <c:pt idx="89">
                  <c:v>-3.825</c:v>
                </c:pt>
                <c:pt idx="90">
                  <c:v>-3.414</c:v>
                </c:pt>
                <c:pt idx="91">
                  <c:v>-3.317</c:v>
                </c:pt>
                <c:pt idx="92">
                  <c:v>-3.484</c:v>
                </c:pt>
                <c:pt idx="93">
                  <c:v>-3.823</c:v>
                </c:pt>
                <c:pt idx="94">
                  <c:v>-4.553</c:v>
                </c:pt>
                <c:pt idx="95">
                  <c:v>-5.253</c:v>
                </c:pt>
                <c:pt idx="96">
                  <c:v>-5.85</c:v>
                </c:pt>
                <c:pt idx="97">
                  <c:v>-6.165</c:v>
                </c:pt>
                <c:pt idx="98">
                  <c:v>-6.21</c:v>
                </c:pt>
                <c:pt idx="99">
                  <c:v>-6.008</c:v>
                </c:pt>
                <c:pt idx="100">
                  <c:v>-5.647</c:v>
                </c:pt>
                <c:pt idx="101">
                  <c:v>-4.985</c:v>
                </c:pt>
                <c:pt idx="102">
                  <c:v>-4.243</c:v>
                </c:pt>
                <c:pt idx="103">
                  <c:v>-3.704</c:v>
                </c:pt>
                <c:pt idx="104">
                  <c:v>-3.412</c:v>
                </c:pt>
                <c:pt idx="105">
                  <c:v>-3.408</c:v>
                </c:pt>
                <c:pt idx="106">
                  <c:v>-3.645</c:v>
                </c:pt>
                <c:pt idx="107">
                  <c:v>-4.118</c:v>
                </c:pt>
                <c:pt idx="108">
                  <c:v>-4.737</c:v>
                </c:pt>
                <c:pt idx="109">
                  <c:v>-5.411</c:v>
                </c:pt>
                <c:pt idx="110">
                  <c:v>-5.807</c:v>
                </c:pt>
                <c:pt idx="111">
                  <c:v>-6.005</c:v>
                </c:pt>
                <c:pt idx="112">
                  <c:v>-5.977</c:v>
                </c:pt>
                <c:pt idx="113">
                  <c:v>-5.717</c:v>
                </c:pt>
                <c:pt idx="114">
                  <c:v>-5.238</c:v>
                </c:pt>
                <c:pt idx="115">
                  <c:v>-4.58</c:v>
                </c:pt>
                <c:pt idx="116">
                  <c:v>-3.98</c:v>
                </c:pt>
                <c:pt idx="117">
                  <c:v>-3.613</c:v>
                </c:pt>
                <c:pt idx="118">
                  <c:v>-3.502</c:v>
                </c:pt>
                <c:pt idx="119">
                  <c:v>-3.611</c:v>
                </c:pt>
                <c:pt idx="120">
                  <c:v>-3.872</c:v>
                </c:pt>
                <c:pt idx="121">
                  <c:v>-4.441</c:v>
                </c:pt>
                <c:pt idx="122">
                  <c:v>-5.076</c:v>
                </c:pt>
                <c:pt idx="123">
                  <c:v>-5.496</c:v>
                </c:pt>
                <c:pt idx="124">
                  <c:v>-5.844</c:v>
                </c:pt>
                <c:pt idx="125">
                  <c:v>-5.836</c:v>
                </c:pt>
                <c:pt idx="126">
                  <c:v>-5.675</c:v>
                </c:pt>
                <c:pt idx="127">
                  <c:v>-5.42</c:v>
                </c:pt>
                <c:pt idx="128">
                  <c:v>-4.917</c:v>
                </c:pt>
                <c:pt idx="129">
                  <c:v>-4.284</c:v>
                </c:pt>
                <c:pt idx="130">
                  <c:v>-3.903</c:v>
                </c:pt>
                <c:pt idx="131">
                  <c:v>-3.717</c:v>
                </c:pt>
                <c:pt idx="132">
                  <c:v>-3.669</c:v>
                </c:pt>
                <c:pt idx="133">
                  <c:v>-3.824</c:v>
                </c:pt>
                <c:pt idx="134">
                  <c:v>-4.279</c:v>
                </c:pt>
                <c:pt idx="135">
                  <c:v>-4.748</c:v>
                </c:pt>
                <c:pt idx="136">
                  <c:v>-5.281</c:v>
                </c:pt>
                <c:pt idx="137">
                  <c:v>-5.599</c:v>
                </c:pt>
                <c:pt idx="138">
                  <c:v>-5.801</c:v>
                </c:pt>
                <c:pt idx="139">
                  <c:v>-5.7</c:v>
                </c:pt>
                <c:pt idx="140">
                  <c:v>-5.468</c:v>
                </c:pt>
                <c:pt idx="141">
                  <c:v>-5.176</c:v>
                </c:pt>
                <c:pt idx="142">
                  <c:v>-4.722</c:v>
                </c:pt>
                <c:pt idx="143">
                  <c:v>-4.278</c:v>
                </c:pt>
                <c:pt idx="144">
                  <c:v>-3.984</c:v>
                </c:pt>
                <c:pt idx="145">
                  <c:v>-3.887</c:v>
                </c:pt>
                <c:pt idx="146">
                  <c:v>-4.025</c:v>
                </c:pt>
                <c:pt idx="147">
                  <c:v>-4.24</c:v>
                </c:pt>
                <c:pt idx="148">
                  <c:v>-4.676</c:v>
                </c:pt>
                <c:pt idx="149">
                  <c:v>-5.212</c:v>
                </c:pt>
                <c:pt idx="150">
                  <c:v>-5.556</c:v>
                </c:pt>
                <c:pt idx="151">
                  <c:v>-5.776</c:v>
                </c:pt>
                <c:pt idx="152">
                  <c:v>-5.749</c:v>
                </c:pt>
                <c:pt idx="153">
                  <c:v>-5.576</c:v>
                </c:pt>
                <c:pt idx="154">
                  <c:v>-5.316</c:v>
                </c:pt>
                <c:pt idx="155">
                  <c:v>-4.885</c:v>
                </c:pt>
                <c:pt idx="156">
                  <c:v>-4.457</c:v>
                </c:pt>
                <c:pt idx="157">
                  <c:v>-4.155</c:v>
                </c:pt>
                <c:pt idx="158">
                  <c:v>-3.968</c:v>
                </c:pt>
                <c:pt idx="159">
                  <c:v>-3.986</c:v>
                </c:pt>
                <c:pt idx="160">
                  <c:v>-4.193</c:v>
                </c:pt>
                <c:pt idx="161">
                  <c:v>-4.562</c:v>
                </c:pt>
                <c:pt idx="162">
                  <c:v>-4.925</c:v>
                </c:pt>
                <c:pt idx="163">
                  <c:v>-5.25</c:v>
                </c:pt>
                <c:pt idx="164">
                  <c:v>-5.458</c:v>
                </c:pt>
                <c:pt idx="165">
                  <c:v>-5.552</c:v>
                </c:pt>
                <c:pt idx="166">
                  <c:v>-5.517</c:v>
                </c:pt>
                <c:pt idx="167">
                  <c:v>-5.34</c:v>
                </c:pt>
                <c:pt idx="168">
                  <c:v>-5.004</c:v>
                </c:pt>
                <c:pt idx="169">
                  <c:v>-4.585</c:v>
                </c:pt>
                <c:pt idx="170">
                  <c:v>-4.25</c:v>
                </c:pt>
                <c:pt idx="171">
                  <c:v>-4.176</c:v>
                </c:pt>
                <c:pt idx="172">
                  <c:v>-4.258</c:v>
                </c:pt>
                <c:pt idx="173">
                  <c:v>-4.412</c:v>
                </c:pt>
                <c:pt idx="174">
                  <c:v>-4.597</c:v>
                </c:pt>
                <c:pt idx="175">
                  <c:v>-4.985</c:v>
                </c:pt>
                <c:pt idx="176">
                  <c:v>-5.278</c:v>
                </c:pt>
                <c:pt idx="177">
                  <c:v>-5.488</c:v>
                </c:pt>
                <c:pt idx="178">
                  <c:v>-5.609</c:v>
                </c:pt>
                <c:pt idx="179">
                  <c:v>-5.554</c:v>
                </c:pt>
                <c:pt idx="180">
                  <c:v>-5.443</c:v>
                </c:pt>
                <c:pt idx="181">
                  <c:v>-5.202</c:v>
                </c:pt>
                <c:pt idx="182">
                  <c:v>-4.879</c:v>
                </c:pt>
                <c:pt idx="183">
                  <c:v>-4.529</c:v>
                </c:pt>
                <c:pt idx="184">
                  <c:v>-4.293</c:v>
                </c:pt>
                <c:pt idx="185">
                  <c:v>-4.316</c:v>
                </c:pt>
                <c:pt idx="186">
                  <c:v>-4.434</c:v>
                </c:pt>
                <c:pt idx="187">
                  <c:v>-4.679</c:v>
                </c:pt>
                <c:pt idx="188">
                  <c:v>-5.003</c:v>
                </c:pt>
                <c:pt idx="189">
                  <c:v>-5.26</c:v>
                </c:pt>
                <c:pt idx="190">
                  <c:v>-5.447</c:v>
                </c:pt>
                <c:pt idx="191">
                  <c:v>-5.621</c:v>
                </c:pt>
                <c:pt idx="192">
                  <c:v>-5.573</c:v>
                </c:pt>
                <c:pt idx="193">
                  <c:v>-5.467</c:v>
                </c:pt>
                <c:pt idx="194">
                  <c:v>-5.284</c:v>
                </c:pt>
                <c:pt idx="195">
                  <c:v>-5.006</c:v>
                </c:pt>
                <c:pt idx="196">
                  <c:v>-4.653</c:v>
                </c:pt>
                <c:pt idx="197">
                  <c:v>-4.484</c:v>
                </c:pt>
                <c:pt idx="198">
                  <c:v>-4.384</c:v>
                </c:pt>
                <c:pt idx="199">
                  <c:v>-4.47</c:v>
                </c:pt>
                <c:pt idx="200">
                  <c:v>-4.627</c:v>
                </c:pt>
                <c:pt idx="201">
                  <c:v>-4.929</c:v>
                </c:pt>
                <c:pt idx="202">
                  <c:v>-5.121</c:v>
                </c:pt>
                <c:pt idx="203">
                  <c:v>-5.387</c:v>
                </c:pt>
                <c:pt idx="204">
                  <c:v>-5.401</c:v>
                </c:pt>
                <c:pt idx="205">
                  <c:v>-5.327</c:v>
                </c:pt>
                <c:pt idx="206">
                  <c:v>-5.243</c:v>
                </c:pt>
                <c:pt idx="207">
                  <c:v>-5.083</c:v>
                </c:pt>
                <c:pt idx="208">
                  <c:v>-4.906</c:v>
                </c:pt>
                <c:pt idx="209">
                  <c:v>-4.673</c:v>
                </c:pt>
                <c:pt idx="210">
                  <c:v>-4.537</c:v>
                </c:pt>
                <c:pt idx="211">
                  <c:v>-4.424</c:v>
                </c:pt>
                <c:pt idx="212">
                  <c:v>-4.465</c:v>
                </c:pt>
                <c:pt idx="213">
                  <c:v>-4.601</c:v>
                </c:pt>
                <c:pt idx="214">
                  <c:v>-4.862</c:v>
                </c:pt>
                <c:pt idx="215">
                  <c:v>-5.004</c:v>
                </c:pt>
                <c:pt idx="216">
                  <c:v>-5.191</c:v>
                </c:pt>
                <c:pt idx="217">
                  <c:v>-5.301</c:v>
                </c:pt>
                <c:pt idx="218">
                  <c:v>-5.284</c:v>
                </c:pt>
                <c:pt idx="219">
                  <c:v>-5.184</c:v>
                </c:pt>
                <c:pt idx="220">
                  <c:v>-5.051</c:v>
                </c:pt>
                <c:pt idx="221">
                  <c:v>-4.927</c:v>
                </c:pt>
                <c:pt idx="222">
                  <c:v>-4.652</c:v>
                </c:pt>
                <c:pt idx="223">
                  <c:v>-4.567</c:v>
                </c:pt>
                <c:pt idx="224">
                  <c:v>-4.447</c:v>
                </c:pt>
                <c:pt idx="225">
                  <c:v>-4.432</c:v>
                </c:pt>
                <c:pt idx="226">
                  <c:v>-4.529</c:v>
                </c:pt>
                <c:pt idx="227">
                  <c:v>-4.717</c:v>
                </c:pt>
                <c:pt idx="228">
                  <c:v>-4.916</c:v>
                </c:pt>
                <c:pt idx="229">
                  <c:v>-5.06</c:v>
                </c:pt>
                <c:pt idx="230">
                  <c:v>-5.263</c:v>
                </c:pt>
                <c:pt idx="231">
                  <c:v>-5.294</c:v>
                </c:pt>
                <c:pt idx="232">
                  <c:v>-5.213</c:v>
                </c:pt>
                <c:pt idx="233">
                  <c:v>-5.105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'常压阻尼温差01 (2)'!$G$2</c:f>
              <c:strCache>
                <c:ptCount val="1"/>
                <c:pt idx="0">
                  <c:v>供电数据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'常压阻尼温差01 (2)'!$E$3:$E$236</c:f>
              <c:strCache>
                <c:ptCount val="234"/>
                <c:pt idx="0">
                  <c:v>t</c:v>
                </c:pt>
                <c:pt idx="1">
                  <c:v>0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0.2</c:v>
                </c:pt>
                <c:pt idx="6">
                  <c:v>0.25</c:v>
                </c:pt>
                <c:pt idx="7">
                  <c:v>0.3</c:v>
                </c:pt>
                <c:pt idx="8">
                  <c:v>0.35</c:v>
                </c:pt>
                <c:pt idx="9">
                  <c:v>0.4</c:v>
                </c:pt>
                <c:pt idx="10">
                  <c:v>0.45</c:v>
                </c:pt>
                <c:pt idx="11">
                  <c:v>0.5</c:v>
                </c:pt>
                <c:pt idx="12">
                  <c:v>0.55</c:v>
                </c:pt>
                <c:pt idx="13">
                  <c:v>0.6</c:v>
                </c:pt>
                <c:pt idx="14">
                  <c:v>0.65</c:v>
                </c:pt>
                <c:pt idx="15">
                  <c:v>0.7</c:v>
                </c:pt>
                <c:pt idx="16">
                  <c:v>0.75</c:v>
                </c:pt>
                <c:pt idx="17">
                  <c:v>0.8</c:v>
                </c:pt>
                <c:pt idx="18">
                  <c:v>0.85</c:v>
                </c:pt>
                <c:pt idx="19">
                  <c:v>0.9</c:v>
                </c:pt>
                <c:pt idx="20">
                  <c:v>0.95</c:v>
                </c:pt>
                <c:pt idx="21">
                  <c:v>1</c:v>
                </c:pt>
                <c:pt idx="22">
                  <c:v>1.05</c:v>
                </c:pt>
                <c:pt idx="23">
                  <c:v>1.1</c:v>
                </c:pt>
                <c:pt idx="24">
                  <c:v>1.15</c:v>
                </c:pt>
                <c:pt idx="25">
                  <c:v>1.2</c:v>
                </c:pt>
                <c:pt idx="26">
                  <c:v>1.25</c:v>
                </c:pt>
                <c:pt idx="27">
                  <c:v>1.3</c:v>
                </c:pt>
                <c:pt idx="28">
                  <c:v>1.35</c:v>
                </c:pt>
                <c:pt idx="29">
                  <c:v>1.4</c:v>
                </c:pt>
                <c:pt idx="30">
                  <c:v>1.45</c:v>
                </c:pt>
                <c:pt idx="31">
                  <c:v>1.5</c:v>
                </c:pt>
                <c:pt idx="32">
                  <c:v>1.55</c:v>
                </c:pt>
                <c:pt idx="33">
                  <c:v>1.6</c:v>
                </c:pt>
                <c:pt idx="34">
                  <c:v>1.65</c:v>
                </c:pt>
                <c:pt idx="35">
                  <c:v>1.7</c:v>
                </c:pt>
                <c:pt idx="36">
                  <c:v>1.75</c:v>
                </c:pt>
                <c:pt idx="37">
                  <c:v>1.8</c:v>
                </c:pt>
                <c:pt idx="38">
                  <c:v>1.85</c:v>
                </c:pt>
                <c:pt idx="39">
                  <c:v>1.9</c:v>
                </c:pt>
                <c:pt idx="40">
                  <c:v>1.95</c:v>
                </c:pt>
                <c:pt idx="41">
                  <c:v>2</c:v>
                </c:pt>
                <c:pt idx="42">
                  <c:v>2.05</c:v>
                </c:pt>
                <c:pt idx="43">
                  <c:v>2.1</c:v>
                </c:pt>
                <c:pt idx="44">
                  <c:v>2.15</c:v>
                </c:pt>
                <c:pt idx="45">
                  <c:v>2.2</c:v>
                </c:pt>
                <c:pt idx="46">
                  <c:v>2.25</c:v>
                </c:pt>
                <c:pt idx="47">
                  <c:v>2.3</c:v>
                </c:pt>
                <c:pt idx="48">
                  <c:v>2.35</c:v>
                </c:pt>
                <c:pt idx="49">
                  <c:v>2.4</c:v>
                </c:pt>
                <c:pt idx="50">
                  <c:v>2.45</c:v>
                </c:pt>
                <c:pt idx="51">
                  <c:v>2.5</c:v>
                </c:pt>
                <c:pt idx="52">
                  <c:v>2.55</c:v>
                </c:pt>
                <c:pt idx="53">
                  <c:v>2.6</c:v>
                </c:pt>
                <c:pt idx="54">
                  <c:v>2.65</c:v>
                </c:pt>
                <c:pt idx="55">
                  <c:v>2.7</c:v>
                </c:pt>
                <c:pt idx="56">
                  <c:v>2.75</c:v>
                </c:pt>
                <c:pt idx="57">
                  <c:v>2.8</c:v>
                </c:pt>
                <c:pt idx="58">
                  <c:v>2.85</c:v>
                </c:pt>
                <c:pt idx="59">
                  <c:v>2.9</c:v>
                </c:pt>
                <c:pt idx="60">
                  <c:v>2.95</c:v>
                </c:pt>
                <c:pt idx="61">
                  <c:v>3</c:v>
                </c:pt>
                <c:pt idx="62">
                  <c:v>3.05</c:v>
                </c:pt>
                <c:pt idx="63">
                  <c:v>3.1</c:v>
                </c:pt>
                <c:pt idx="64">
                  <c:v>3.15</c:v>
                </c:pt>
                <c:pt idx="65">
                  <c:v>3.2</c:v>
                </c:pt>
                <c:pt idx="66">
                  <c:v>3.25</c:v>
                </c:pt>
                <c:pt idx="67">
                  <c:v>3.3</c:v>
                </c:pt>
                <c:pt idx="68">
                  <c:v>3.35</c:v>
                </c:pt>
                <c:pt idx="69">
                  <c:v>3.4</c:v>
                </c:pt>
                <c:pt idx="70">
                  <c:v>3.45</c:v>
                </c:pt>
                <c:pt idx="71">
                  <c:v>3.5</c:v>
                </c:pt>
                <c:pt idx="72">
                  <c:v>3.55</c:v>
                </c:pt>
                <c:pt idx="73">
                  <c:v>3.6</c:v>
                </c:pt>
                <c:pt idx="74">
                  <c:v>3.65</c:v>
                </c:pt>
                <c:pt idx="75">
                  <c:v>3.7</c:v>
                </c:pt>
                <c:pt idx="76">
                  <c:v>3.75</c:v>
                </c:pt>
                <c:pt idx="77">
                  <c:v>3.8</c:v>
                </c:pt>
                <c:pt idx="78">
                  <c:v>3.85</c:v>
                </c:pt>
                <c:pt idx="79">
                  <c:v>3.9</c:v>
                </c:pt>
                <c:pt idx="80">
                  <c:v>3.95</c:v>
                </c:pt>
                <c:pt idx="81">
                  <c:v>4</c:v>
                </c:pt>
                <c:pt idx="82">
                  <c:v>4.05</c:v>
                </c:pt>
                <c:pt idx="83">
                  <c:v>4.1</c:v>
                </c:pt>
                <c:pt idx="84">
                  <c:v>4.15</c:v>
                </c:pt>
                <c:pt idx="85">
                  <c:v>4.2</c:v>
                </c:pt>
                <c:pt idx="86">
                  <c:v>4.25</c:v>
                </c:pt>
                <c:pt idx="87">
                  <c:v>4.3</c:v>
                </c:pt>
                <c:pt idx="88">
                  <c:v>4.35</c:v>
                </c:pt>
                <c:pt idx="89">
                  <c:v>4.4</c:v>
                </c:pt>
                <c:pt idx="90">
                  <c:v>4.45</c:v>
                </c:pt>
                <c:pt idx="91">
                  <c:v>4.5</c:v>
                </c:pt>
                <c:pt idx="92">
                  <c:v>4.55</c:v>
                </c:pt>
                <c:pt idx="93">
                  <c:v>4.6</c:v>
                </c:pt>
                <c:pt idx="94">
                  <c:v>4.65</c:v>
                </c:pt>
                <c:pt idx="95">
                  <c:v>4.7</c:v>
                </c:pt>
                <c:pt idx="96">
                  <c:v>4.75</c:v>
                </c:pt>
                <c:pt idx="97">
                  <c:v>4.8</c:v>
                </c:pt>
                <c:pt idx="98">
                  <c:v>4.85</c:v>
                </c:pt>
                <c:pt idx="99">
                  <c:v>4.9</c:v>
                </c:pt>
                <c:pt idx="100">
                  <c:v>4.95</c:v>
                </c:pt>
                <c:pt idx="101">
                  <c:v>5</c:v>
                </c:pt>
                <c:pt idx="102">
                  <c:v>5.05</c:v>
                </c:pt>
                <c:pt idx="103">
                  <c:v>5.1</c:v>
                </c:pt>
                <c:pt idx="104">
                  <c:v>5.15</c:v>
                </c:pt>
                <c:pt idx="105">
                  <c:v>5.2</c:v>
                </c:pt>
                <c:pt idx="106">
                  <c:v>5.25</c:v>
                </c:pt>
                <c:pt idx="107">
                  <c:v>5.3</c:v>
                </c:pt>
                <c:pt idx="108">
                  <c:v>5.35</c:v>
                </c:pt>
                <c:pt idx="109">
                  <c:v>5.4</c:v>
                </c:pt>
                <c:pt idx="110">
                  <c:v>5.45</c:v>
                </c:pt>
                <c:pt idx="111">
                  <c:v>5.5</c:v>
                </c:pt>
                <c:pt idx="112">
                  <c:v>5.55</c:v>
                </c:pt>
                <c:pt idx="113">
                  <c:v>5.6</c:v>
                </c:pt>
                <c:pt idx="114">
                  <c:v>5.65</c:v>
                </c:pt>
                <c:pt idx="115">
                  <c:v>5.7</c:v>
                </c:pt>
                <c:pt idx="116">
                  <c:v>5.75</c:v>
                </c:pt>
                <c:pt idx="117">
                  <c:v>5.8</c:v>
                </c:pt>
                <c:pt idx="118">
                  <c:v>5.85</c:v>
                </c:pt>
                <c:pt idx="119">
                  <c:v>5.9</c:v>
                </c:pt>
                <c:pt idx="120">
                  <c:v>5.95</c:v>
                </c:pt>
                <c:pt idx="121">
                  <c:v>6</c:v>
                </c:pt>
                <c:pt idx="122">
                  <c:v>6.05</c:v>
                </c:pt>
                <c:pt idx="123">
                  <c:v>6.1</c:v>
                </c:pt>
                <c:pt idx="124">
                  <c:v>6.15</c:v>
                </c:pt>
                <c:pt idx="125">
                  <c:v>6.2</c:v>
                </c:pt>
                <c:pt idx="126">
                  <c:v>6.25</c:v>
                </c:pt>
                <c:pt idx="127">
                  <c:v>6.3</c:v>
                </c:pt>
                <c:pt idx="128">
                  <c:v>6.35</c:v>
                </c:pt>
                <c:pt idx="129">
                  <c:v>6.4</c:v>
                </c:pt>
                <c:pt idx="130">
                  <c:v>6.45</c:v>
                </c:pt>
                <c:pt idx="131">
                  <c:v>6.5</c:v>
                </c:pt>
                <c:pt idx="132">
                  <c:v>6.55</c:v>
                </c:pt>
                <c:pt idx="133">
                  <c:v>6.6</c:v>
                </c:pt>
                <c:pt idx="134">
                  <c:v>6.65</c:v>
                </c:pt>
                <c:pt idx="135">
                  <c:v>6.7</c:v>
                </c:pt>
                <c:pt idx="136">
                  <c:v>6.75</c:v>
                </c:pt>
                <c:pt idx="137">
                  <c:v>6.8</c:v>
                </c:pt>
                <c:pt idx="138">
                  <c:v>6.85</c:v>
                </c:pt>
                <c:pt idx="139">
                  <c:v>6.9</c:v>
                </c:pt>
                <c:pt idx="140">
                  <c:v>6.95</c:v>
                </c:pt>
                <c:pt idx="141">
                  <c:v>7</c:v>
                </c:pt>
                <c:pt idx="142">
                  <c:v>7.05</c:v>
                </c:pt>
                <c:pt idx="143">
                  <c:v>7.1</c:v>
                </c:pt>
                <c:pt idx="144">
                  <c:v>7.15</c:v>
                </c:pt>
                <c:pt idx="145">
                  <c:v>7.2</c:v>
                </c:pt>
                <c:pt idx="146">
                  <c:v>7.25</c:v>
                </c:pt>
                <c:pt idx="147">
                  <c:v>7.3</c:v>
                </c:pt>
                <c:pt idx="148">
                  <c:v>7.35</c:v>
                </c:pt>
                <c:pt idx="149">
                  <c:v>7.4</c:v>
                </c:pt>
                <c:pt idx="150">
                  <c:v>7.45</c:v>
                </c:pt>
                <c:pt idx="151">
                  <c:v>7.5</c:v>
                </c:pt>
                <c:pt idx="152">
                  <c:v>7.55</c:v>
                </c:pt>
                <c:pt idx="153">
                  <c:v>7.6</c:v>
                </c:pt>
                <c:pt idx="154">
                  <c:v>7.65</c:v>
                </c:pt>
                <c:pt idx="155">
                  <c:v>7.7</c:v>
                </c:pt>
                <c:pt idx="156">
                  <c:v>7.75</c:v>
                </c:pt>
                <c:pt idx="157">
                  <c:v>7.8</c:v>
                </c:pt>
                <c:pt idx="158">
                  <c:v>7.85</c:v>
                </c:pt>
                <c:pt idx="159">
                  <c:v>7.9</c:v>
                </c:pt>
                <c:pt idx="160">
                  <c:v>7.95</c:v>
                </c:pt>
                <c:pt idx="161">
                  <c:v>8</c:v>
                </c:pt>
                <c:pt idx="162">
                  <c:v>8.05</c:v>
                </c:pt>
                <c:pt idx="163">
                  <c:v>8.1</c:v>
                </c:pt>
                <c:pt idx="164">
                  <c:v>8.15</c:v>
                </c:pt>
                <c:pt idx="165">
                  <c:v>8.2</c:v>
                </c:pt>
                <c:pt idx="166">
                  <c:v>8.25</c:v>
                </c:pt>
                <c:pt idx="167">
                  <c:v>8.3</c:v>
                </c:pt>
                <c:pt idx="168">
                  <c:v>8.35</c:v>
                </c:pt>
                <c:pt idx="169">
                  <c:v>8.4</c:v>
                </c:pt>
                <c:pt idx="170">
                  <c:v>8.45</c:v>
                </c:pt>
                <c:pt idx="171">
                  <c:v>8.5</c:v>
                </c:pt>
                <c:pt idx="172">
                  <c:v>8.55</c:v>
                </c:pt>
                <c:pt idx="173">
                  <c:v>8.6</c:v>
                </c:pt>
                <c:pt idx="174">
                  <c:v>8.65</c:v>
                </c:pt>
                <c:pt idx="175">
                  <c:v>8.7</c:v>
                </c:pt>
                <c:pt idx="176">
                  <c:v>8.75</c:v>
                </c:pt>
                <c:pt idx="177">
                  <c:v>8.8</c:v>
                </c:pt>
                <c:pt idx="178">
                  <c:v>8.85</c:v>
                </c:pt>
                <c:pt idx="179">
                  <c:v>8.9</c:v>
                </c:pt>
                <c:pt idx="180">
                  <c:v>8.95</c:v>
                </c:pt>
                <c:pt idx="181">
                  <c:v>9</c:v>
                </c:pt>
                <c:pt idx="182">
                  <c:v>9.05</c:v>
                </c:pt>
                <c:pt idx="183">
                  <c:v>9.1</c:v>
                </c:pt>
                <c:pt idx="184">
                  <c:v>9.15</c:v>
                </c:pt>
                <c:pt idx="185">
                  <c:v>9.2</c:v>
                </c:pt>
                <c:pt idx="186">
                  <c:v>9.25</c:v>
                </c:pt>
                <c:pt idx="187">
                  <c:v>9.3</c:v>
                </c:pt>
                <c:pt idx="188">
                  <c:v>9.35</c:v>
                </c:pt>
                <c:pt idx="189">
                  <c:v>9.4</c:v>
                </c:pt>
                <c:pt idx="190">
                  <c:v>9.45</c:v>
                </c:pt>
                <c:pt idx="191">
                  <c:v>9.5</c:v>
                </c:pt>
                <c:pt idx="192">
                  <c:v>9.55</c:v>
                </c:pt>
                <c:pt idx="193">
                  <c:v>9.6</c:v>
                </c:pt>
                <c:pt idx="194">
                  <c:v>9.65</c:v>
                </c:pt>
                <c:pt idx="195">
                  <c:v>9.7</c:v>
                </c:pt>
                <c:pt idx="196">
                  <c:v>9.75</c:v>
                </c:pt>
                <c:pt idx="197">
                  <c:v>9.8</c:v>
                </c:pt>
                <c:pt idx="198">
                  <c:v>9.85</c:v>
                </c:pt>
                <c:pt idx="199">
                  <c:v>9.9</c:v>
                </c:pt>
                <c:pt idx="200">
                  <c:v>9.95</c:v>
                </c:pt>
                <c:pt idx="201">
                  <c:v>10</c:v>
                </c:pt>
                <c:pt idx="202">
                  <c:v>10.05</c:v>
                </c:pt>
                <c:pt idx="203">
                  <c:v>10.1</c:v>
                </c:pt>
                <c:pt idx="204">
                  <c:v>10.15</c:v>
                </c:pt>
                <c:pt idx="205">
                  <c:v>10.2</c:v>
                </c:pt>
                <c:pt idx="206">
                  <c:v>10.25</c:v>
                </c:pt>
                <c:pt idx="207">
                  <c:v>10.3</c:v>
                </c:pt>
                <c:pt idx="208">
                  <c:v>10.35</c:v>
                </c:pt>
                <c:pt idx="209">
                  <c:v>10.4</c:v>
                </c:pt>
                <c:pt idx="210">
                  <c:v>10.45</c:v>
                </c:pt>
                <c:pt idx="211">
                  <c:v>10.5</c:v>
                </c:pt>
                <c:pt idx="212">
                  <c:v>10.55</c:v>
                </c:pt>
                <c:pt idx="213">
                  <c:v>10.6</c:v>
                </c:pt>
                <c:pt idx="214">
                  <c:v>10.65</c:v>
                </c:pt>
                <c:pt idx="215">
                  <c:v>10.7</c:v>
                </c:pt>
                <c:pt idx="216">
                  <c:v>10.75</c:v>
                </c:pt>
                <c:pt idx="217">
                  <c:v>10.8</c:v>
                </c:pt>
                <c:pt idx="218">
                  <c:v>10.85</c:v>
                </c:pt>
                <c:pt idx="219">
                  <c:v>10.9</c:v>
                </c:pt>
                <c:pt idx="220">
                  <c:v>10.95</c:v>
                </c:pt>
                <c:pt idx="221">
                  <c:v>11</c:v>
                </c:pt>
                <c:pt idx="222">
                  <c:v>11.05</c:v>
                </c:pt>
                <c:pt idx="223">
                  <c:v>11.1</c:v>
                </c:pt>
                <c:pt idx="224">
                  <c:v>11.15</c:v>
                </c:pt>
                <c:pt idx="225">
                  <c:v>11.2</c:v>
                </c:pt>
                <c:pt idx="226">
                  <c:v>11.25</c:v>
                </c:pt>
                <c:pt idx="227">
                  <c:v>11.3</c:v>
                </c:pt>
                <c:pt idx="228">
                  <c:v>11.35</c:v>
                </c:pt>
                <c:pt idx="229">
                  <c:v>11.4</c:v>
                </c:pt>
                <c:pt idx="230">
                  <c:v>11.45</c:v>
                </c:pt>
                <c:pt idx="231">
                  <c:v>11.5</c:v>
                </c:pt>
                <c:pt idx="232">
                  <c:v>11.55</c:v>
                </c:pt>
                <c:pt idx="233">
                  <c:v>11.6</c:v>
                </c:pt>
              </c:strCache>
            </c:strRef>
          </c:cat>
          <c:val>
            <c:numRef>
              <c:f>'常压阻尼温差01 (2)'!$G$3:$G$236</c:f>
              <c:numCache>
                <c:formatCode>General</c:formatCode>
                <c:ptCount val="234"/>
                <c:pt idx="0">
                  <c:v>0</c:v>
                </c:pt>
                <c:pt idx="1">
                  <c:v>-8</c:v>
                </c:pt>
                <c:pt idx="2">
                  <c:v>-8</c:v>
                </c:pt>
                <c:pt idx="3">
                  <c:v>-8</c:v>
                </c:pt>
                <c:pt idx="4">
                  <c:v>-8</c:v>
                </c:pt>
                <c:pt idx="5">
                  <c:v>-8</c:v>
                </c:pt>
                <c:pt idx="6">
                  <c:v>-8</c:v>
                </c:pt>
                <c:pt idx="7">
                  <c:v>-8</c:v>
                </c:pt>
                <c:pt idx="8">
                  <c:v>-8</c:v>
                </c:pt>
                <c:pt idx="9">
                  <c:v>-8</c:v>
                </c:pt>
                <c:pt idx="10">
                  <c:v>-8</c:v>
                </c:pt>
                <c:pt idx="11">
                  <c:v>-8</c:v>
                </c:pt>
                <c:pt idx="12">
                  <c:v>-8</c:v>
                </c:pt>
                <c:pt idx="13">
                  <c:v>-8</c:v>
                </c:pt>
                <c:pt idx="14">
                  <c:v>-8</c:v>
                </c:pt>
                <c:pt idx="15">
                  <c:v>-8</c:v>
                </c:pt>
                <c:pt idx="16">
                  <c:v>-8</c:v>
                </c:pt>
                <c:pt idx="17">
                  <c:v>-8</c:v>
                </c:pt>
                <c:pt idx="18">
                  <c:v>-8</c:v>
                </c:pt>
                <c:pt idx="19">
                  <c:v>-8</c:v>
                </c:pt>
                <c:pt idx="20">
                  <c:v>-8</c:v>
                </c:pt>
                <c:pt idx="21">
                  <c:v>-8</c:v>
                </c:pt>
                <c:pt idx="22">
                  <c:v>-8</c:v>
                </c:pt>
                <c:pt idx="23">
                  <c:v>-8</c:v>
                </c:pt>
                <c:pt idx="24">
                  <c:v>-8</c:v>
                </c:pt>
                <c:pt idx="25">
                  <c:v>-8</c:v>
                </c:pt>
                <c:pt idx="26">
                  <c:v>-8</c:v>
                </c:pt>
                <c:pt idx="27">
                  <c:v>-8</c:v>
                </c:pt>
                <c:pt idx="28">
                  <c:v>-8</c:v>
                </c:pt>
                <c:pt idx="29">
                  <c:v>-8</c:v>
                </c:pt>
                <c:pt idx="30">
                  <c:v>-8</c:v>
                </c:pt>
                <c:pt idx="31">
                  <c:v>-8</c:v>
                </c:pt>
                <c:pt idx="32">
                  <c:v>-8</c:v>
                </c:pt>
                <c:pt idx="33">
                  <c:v>-8</c:v>
                </c:pt>
                <c:pt idx="34">
                  <c:v>-8</c:v>
                </c:pt>
                <c:pt idx="35">
                  <c:v>-8</c:v>
                </c:pt>
                <c:pt idx="36">
                  <c:v>-8</c:v>
                </c:pt>
                <c:pt idx="37">
                  <c:v>-8</c:v>
                </c:pt>
                <c:pt idx="38">
                  <c:v>-8</c:v>
                </c:pt>
                <c:pt idx="39">
                  <c:v>-8</c:v>
                </c:pt>
                <c:pt idx="40">
                  <c:v>-8</c:v>
                </c:pt>
                <c:pt idx="41">
                  <c:v>-8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-8</c:v>
                </c:pt>
                <c:pt idx="52">
                  <c:v>-8</c:v>
                </c:pt>
                <c:pt idx="53">
                  <c:v>-8</c:v>
                </c:pt>
                <c:pt idx="54">
                  <c:v>-8</c:v>
                </c:pt>
                <c:pt idx="55">
                  <c:v>-8</c:v>
                </c:pt>
                <c:pt idx="56">
                  <c:v>-8</c:v>
                </c:pt>
                <c:pt idx="57">
                  <c:v>-8</c:v>
                </c:pt>
                <c:pt idx="58">
                  <c:v>-8</c:v>
                </c:pt>
                <c:pt idx="59">
                  <c:v>-8</c:v>
                </c:pt>
                <c:pt idx="60">
                  <c:v>-8</c:v>
                </c:pt>
                <c:pt idx="61">
                  <c:v>-8</c:v>
                </c:pt>
                <c:pt idx="62">
                  <c:v>-8</c:v>
                </c:pt>
                <c:pt idx="63">
                  <c:v>-8</c:v>
                </c:pt>
                <c:pt idx="64">
                  <c:v>-8</c:v>
                </c:pt>
                <c:pt idx="65">
                  <c:v>-8</c:v>
                </c:pt>
                <c:pt idx="66">
                  <c:v>-8</c:v>
                </c:pt>
                <c:pt idx="67">
                  <c:v>-8</c:v>
                </c:pt>
                <c:pt idx="68">
                  <c:v>-8</c:v>
                </c:pt>
                <c:pt idx="69">
                  <c:v>-8</c:v>
                </c:pt>
                <c:pt idx="70">
                  <c:v>-8</c:v>
                </c:pt>
                <c:pt idx="71">
                  <c:v>-8</c:v>
                </c:pt>
                <c:pt idx="72">
                  <c:v>-8</c:v>
                </c:pt>
                <c:pt idx="73">
                  <c:v>-8</c:v>
                </c:pt>
                <c:pt idx="74">
                  <c:v>-8</c:v>
                </c:pt>
                <c:pt idx="75">
                  <c:v>-8</c:v>
                </c:pt>
                <c:pt idx="76">
                  <c:v>-8</c:v>
                </c:pt>
                <c:pt idx="77">
                  <c:v>-8</c:v>
                </c:pt>
                <c:pt idx="78">
                  <c:v>-8</c:v>
                </c:pt>
                <c:pt idx="79">
                  <c:v>-8</c:v>
                </c:pt>
                <c:pt idx="80">
                  <c:v>-8</c:v>
                </c:pt>
                <c:pt idx="81">
                  <c:v>-8</c:v>
                </c:pt>
                <c:pt idx="82">
                  <c:v>-8</c:v>
                </c:pt>
                <c:pt idx="83">
                  <c:v>-8</c:v>
                </c:pt>
                <c:pt idx="84">
                  <c:v>-8</c:v>
                </c:pt>
                <c:pt idx="85">
                  <c:v>-8</c:v>
                </c:pt>
                <c:pt idx="86">
                  <c:v>-8</c:v>
                </c:pt>
                <c:pt idx="87">
                  <c:v>-8</c:v>
                </c:pt>
                <c:pt idx="88">
                  <c:v>-8</c:v>
                </c:pt>
                <c:pt idx="89">
                  <c:v>-8</c:v>
                </c:pt>
                <c:pt idx="90">
                  <c:v>-8</c:v>
                </c:pt>
                <c:pt idx="91">
                  <c:v>-8</c:v>
                </c:pt>
                <c:pt idx="92">
                  <c:v>-8</c:v>
                </c:pt>
                <c:pt idx="93">
                  <c:v>-8</c:v>
                </c:pt>
                <c:pt idx="94">
                  <c:v>-8</c:v>
                </c:pt>
                <c:pt idx="95">
                  <c:v>-8</c:v>
                </c:pt>
                <c:pt idx="96">
                  <c:v>-8</c:v>
                </c:pt>
                <c:pt idx="97">
                  <c:v>-8</c:v>
                </c:pt>
                <c:pt idx="98">
                  <c:v>-8</c:v>
                </c:pt>
                <c:pt idx="99">
                  <c:v>-8</c:v>
                </c:pt>
                <c:pt idx="100">
                  <c:v>-8</c:v>
                </c:pt>
                <c:pt idx="101">
                  <c:v>-8</c:v>
                </c:pt>
                <c:pt idx="102">
                  <c:v>-8</c:v>
                </c:pt>
                <c:pt idx="103">
                  <c:v>-8</c:v>
                </c:pt>
                <c:pt idx="104">
                  <c:v>-8</c:v>
                </c:pt>
                <c:pt idx="105">
                  <c:v>-8</c:v>
                </c:pt>
                <c:pt idx="106">
                  <c:v>-8</c:v>
                </c:pt>
                <c:pt idx="107">
                  <c:v>-8</c:v>
                </c:pt>
                <c:pt idx="108">
                  <c:v>-8</c:v>
                </c:pt>
                <c:pt idx="109">
                  <c:v>-8</c:v>
                </c:pt>
                <c:pt idx="110">
                  <c:v>-8</c:v>
                </c:pt>
                <c:pt idx="111">
                  <c:v>-8</c:v>
                </c:pt>
                <c:pt idx="112">
                  <c:v>-8</c:v>
                </c:pt>
                <c:pt idx="113">
                  <c:v>-8</c:v>
                </c:pt>
                <c:pt idx="114">
                  <c:v>-8</c:v>
                </c:pt>
                <c:pt idx="115">
                  <c:v>-8</c:v>
                </c:pt>
                <c:pt idx="116">
                  <c:v>-8</c:v>
                </c:pt>
                <c:pt idx="117">
                  <c:v>-8</c:v>
                </c:pt>
                <c:pt idx="118">
                  <c:v>-8</c:v>
                </c:pt>
                <c:pt idx="119">
                  <c:v>-8</c:v>
                </c:pt>
                <c:pt idx="120">
                  <c:v>-8</c:v>
                </c:pt>
                <c:pt idx="121">
                  <c:v>-8</c:v>
                </c:pt>
                <c:pt idx="122">
                  <c:v>-8</c:v>
                </c:pt>
                <c:pt idx="123">
                  <c:v>-8</c:v>
                </c:pt>
                <c:pt idx="124">
                  <c:v>-8</c:v>
                </c:pt>
                <c:pt idx="125">
                  <c:v>-8</c:v>
                </c:pt>
                <c:pt idx="126">
                  <c:v>-8</c:v>
                </c:pt>
                <c:pt idx="127">
                  <c:v>-8</c:v>
                </c:pt>
                <c:pt idx="128">
                  <c:v>-8</c:v>
                </c:pt>
                <c:pt idx="129">
                  <c:v>-8</c:v>
                </c:pt>
                <c:pt idx="130">
                  <c:v>-8</c:v>
                </c:pt>
                <c:pt idx="131">
                  <c:v>-8</c:v>
                </c:pt>
                <c:pt idx="132">
                  <c:v>-8</c:v>
                </c:pt>
                <c:pt idx="133">
                  <c:v>-8</c:v>
                </c:pt>
                <c:pt idx="134">
                  <c:v>-8</c:v>
                </c:pt>
                <c:pt idx="135">
                  <c:v>-8</c:v>
                </c:pt>
                <c:pt idx="136">
                  <c:v>-8</c:v>
                </c:pt>
                <c:pt idx="137">
                  <c:v>-8</c:v>
                </c:pt>
                <c:pt idx="138">
                  <c:v>-8</c:v>
                </c:pt>
                <c:pt idx="139">
                  <c:v>-8</c:v>
                </c:pt>
                <c:pt idx="140">
                  <c:v>-8</c:v>
                </c:pt>
                <c:pt idx="141">
                  <c:v>-8</c:v>
                </c:pt>
                <c:pt idx="142">
                  <c:v>-8</c:v>
                </c:pt>
                <c:pt idx="143">
                  <c:v>-8</c:v>
                </c:pt>
                <c:pt idx="144">
                  <c:v>-8</c:v>
                </c:pt>
                <c:pt idx="145">
                  <c:v>-8</c:v>
                </c:pt>
                <c:pt idx="146">
                  <c:v>-8</c:v>
                </c:pt>
                <c:pt idx="147">
                  <c:v>-8</c:v>
                </c:pt>
                <c:pt idx="148">
                  <c:v>-8</c:v>
                </c:pt>
                <c:pt idx="149">
                  <c:v>-8</c:v>
                </c:pt>
                <c:pt idx="150">
                  <c:v>-8</c:v>
                </c:pt>
                <c:pt idx="151">
                  <c:v>-8</c:v>
                </c:pt>
                <c:pt idx="152">
                  <c:v>-8</c:v>
                </c:pt>
                <c:pt idx="153">
                  <c:v>-8</c:v>
                </c:pt>
                <c:pt idx="154">
                  <c:v>-8</c:v>
                </c:pt>
                <c:pt idx="155">
                  <c:v>-8</c:v>
                </c:pt>
                <c:pt idx="156">
                  <c:v>-8</c:v>
                </c:pt>
                <c:pt idx="157">
                  <c:v>-8</c:v>
                </c:pt>
                <c:pt idx="158">
                  <c:v>-8</c:v>
                </c:pt>
                <c:pt idx="159">
                  <c:v>-8</c:v>
                </c:pt>
                <c:pt idx="160">
                  <c:v>-8</c:v>
                </c:pt>
                <c:pt idx="161">
                  <c:v>-8</c:v>
                </c:pt>
                <c:pt idx="162">
                  <c:v>-8</c:v>
                </c:pt>
                <c:pt idx="163">
                  <c:v>-8</c:v>
                </c:pt>
                <c:pt idx="164">
                  <c:v>-8</c:v>
                </c:pt>
                <c:pt idx="165">
                  <c:v>-8</c:v>
                </c:pt>
                <c:pt idx="166">
                  <c:v>-8</c:v>
                </c:pt>
                <c:pt idx="167">
                  <c:v>-8</c:v>
                </c:pt>
                <c:pt idx="168">
                  <c:v>-8</c:v>
                </c:pt>
                <c:pt idx="169">
                  <c:v>-8</c:v>
                </c:pt>
                <c:pt idx="170">
                  <c:v>-8</c:v>
                </c:pt>
                <c:pt idx="171">
                  <c:v>-8</c:v>
                </c:pt>
                <c:pt idx="172">
                  <c:v>-8</c:v>
                </c:pt>
                <c:pt idx="173">
                  <c:v>-8</c:v>
                </c:pt>
                <c:pt idx="174">
                  <c:v>-8</c:v>
                </c:pt>
                <c:pt idx="175">
                  <c:v>-8</c:v>
                </c:pt>
                <c:pt idx="176">
                  <c:v>-8</c:v>
                </c:pt>
                <c:pt idx="177">
                  <c:v>-8</c:v>
                </c:pt>
                <c:pt idx="178">
                  <c:v>-8</c:v>
                </c:pt>
                <c:pt idx="179">
                  <c:v>-8</c:v>
                </c:pt>
                <c:pt idx="180">
                  <c:v>-8</c:v>
                </c:pt>
                <c:pt idx="181">
                  <c:v>-8</c:v>
                </c:pt>
                <c:pt idx="182">
                  <c:v>-8</c:v>
                </c:pt>
                <c:pt idx="183">
                  <c:v>-8</c:v>
                </c:pt>
                <c:pt idx="184">
                  <c:v>-8</c:v>
                </c:pt>
                <c:pt idx="185">
                  <c:v>-8</c:v>
                </c:pt>
                <c:pt idx="186">
                  <c:v>-8</c:v>
                </c:pt>
                <c:pt idx="187">
                  <c:v>-8</c:v>
                </c:pt>
                <c:pt idx="188">
                  <c:v>-8</c:v>
                </c:pt>
                <c:pt idx="189">
                  <c:v>-8</c:v>
                </c:pt>
                <c:pt idx="190">
                  <c:v>-8</c:v>
                </c:pt>
                <c:pt idx="191">
                  <c:v>-8</c:v>
                </c:pt>
                <c:pt idx="192">
                  <c:v>-8</c:v>
                </c:pt>
                <c:pt idx="193">
                  <c:v>-8</c:v>
                </c:pt>
                <c:pt idx="194">
                  <c:v>-8</c:v>
                </c:pt>
                <c:pt idx="195">
                  <c:v>-8</c:v>
                </c:pt>
                <c:pt idx="196">
                  <c:v>-8</c:v>
                </c:pt>
                <c:pt idx="197">
                  <c:v>-8</c:v>
                </c:pt>
                <c:pt idx="198">
                  <c:v>-8</c:v>
                </c:pt>
                <c:pt idx="199">
                  <c:v>-8</c:v>
                </c:pt>
                <c:pt idx="200">
                  <c:v>-8</c:v>
                </c:pt>
                <c:pt idx="201">
                  <c:v>-8</c:v>
                </c:pt>
                <c:pt idx="202">
                  <c:v>-8</c:v>
                </c:pt>
                <c:pt idx="203">
                  <c:v>-8</c:v>
                </c:pt>
                <c:pt idx="204">
                  <c:v>-8</c:v>
                </c:pt>
                <c:pt idx="205">
                  <c:v>-8</c:v>
                </c:pt>
                <c:pt idx="206">
                  <c:v>-8</c:v>
                </c:pt>
                <c:pt idx="207">
                  <c:v>-8</c:v>
                </c:pt>
                <c:pt idx="208">
                  <c:v>-8</c:v>
                </c:pt>
                <c:pt idx="209">
                  <c:v>-8</c:v>
                </c:pt>
                <c:pt idx="210">
                  <c:v>-8</c:v>
                </c:pt>
                <c:pt idx="211">
                  <c:v>-8</c:v>
                </c:pt>
                <c:pt idx="212">
                  <c:v>-8</c:v>
                </c:pt>
                <c:pt idx="213">
                  <c:v>-8</c:v>
                </c:pt>
                <c:pt idx="214">
                  <c:v>-8</c:v>
                </c:pt>
                <c:pt idx="215">
                  <c:v>-8</c:v>
                </c:pt>
                <c:pt idx="216">
                  <c:v>-8</c:v>
                </c:pt>
                <c:pt idx="217">
                  <c:v>-8</c:v>
                </c:pt>
                <c:pt idx="218">
                  <c:v>-8</c:v>
                </c:pt>
                <c:pt idx="219">
                  <c:v>-8</c:v>
                </c:pt>
                <c:pt idx="220">
                  <c:v>-8</c:v>
                </c:pt>
                <c:pt idx="221">
                  <c:v>-8</c:v>
                </c:pt>
                <c:pt idx="222">
                  <c:v>-8</c:v>
                </c:pt>
                <c:pt idx="223">
                  <c:v>-8</c:v>
                </c:pt>
                <c:pt idx="224">
                  <c:v>-8</c:v>
                </c:pt>
                <c:pt idx="225">
                  <c:v>-8</c:v>
                </c:pt>
                <c:pt idx="226">
                  <c:v>-8</c:v>
                </c:pt>
                <c:pt idx="227">
                  <c:v>-8</c:v>
                </c:pt>
                <c:pt idx="228">
                  <c:v>-8</c:v>
                </c:pt>
                <c:pt idx="229">
                  <c:v>-8</c:v>
                </c:pt>
                <c:pt idx="230">
                  <c:v>-8</c:v>
                </c:pt>
                <c:pt idx="231">
                  <c:v>-8</c:v>
                </c:pt>
                <c:pt idx="232">
                  <c:v>-8</c:v>
                </c:pt>
                <c:pt idx="233">
                  <c:v>-8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01441862"/>
        <c:axId val="574957029"/>
      </c:lineChart>
      <c:catAx>
        <c:axId val="30144186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4957029"/>
        <c:crosses val="autoZero"/>
        <c:auto val="1"/>
        <c:lblAlgn val="ctr"/>
        <c:lblOffset val="100"/>
        <c:noMultiLvlLbl val="0"/>
      </c:catAx>
      <c:valAx>
        <c:axId val="57495702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14418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d7d332a-916d-4049-8be5-f5829b74328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阻尼运动温差接入曲线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'100低压_阻尼温差01 (3)'!$F$2</c:f>
              <c:strCache>
                <c:ptCount val="1"/>
                <c:pt idx="0">
                  <c:v>运动数据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'100低压_阻尼温差01 (3)'!$E$3:$E$471</c:f>
              <c:strCache>
                <c:ptCount val="469"/>
                <c:pt idx="0">
                  <c:v>t</c:v>
                </c:pt>
                <c:pt idx="1">
                  <c:v>0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0.2</c:v>
                </c:pt>
                <c:pt idx="6">
                  <c:v>0.25</c:v>
                </c:pt>
                <c:pt idx="7">
                  <c:v>0.3</c:v>
                </c:pt>
                <c:pt idx="8">
                  <c:v>0.35</c:v>
                </c:pt>
                <c:pt idx="9">
                  <c:v>0.4</c:v>
                </c:pt>
                <c:pt idx="10">
                  <c:v>0.45</c:v>
                </c:pt>
                <c:pt idx="11">
                  <c:v>0.5</c:v>
                </c:pt>
                <c:pt idx="12">
                  <c:v>0.55</c:v>
                </c:pt>
                <c:pt idx="13">
                  <c:v>0.6</c:v>
                </c:pt>
                <c:pt idx="14">
                  <c:v>0.65</c:v>
                </c:pt>
                <c:pt idx="15">
                  <c:v>0.7</c:v>
                </c:pt>
                <c:pt idx="16">
                  <c:v>0.75</c:v>
                </c:pt>
                <c:pt idx="17">
                  <c:v>0.8</c:v>
                </c:pt>
                <c:pt idx="18">
                  <c:v>0.85</c:v>
                </c:pt>
                <c:pt idx="19">
                  <c:v>0.9</c:v>
                </c:pt>
                <c:pt idx="20">
                  <c:v>0.95</c:v>
                </c:pt>
                <c:pt idx="21">
                  <c:v>1</c:v>
                </c:pt>
                <c:pt idx="22">
                  <c:v>1.05</c:v>
                </c:pt>
                <c:pt idx="23">
                  <c:v>1.1</c:v>
                </c:pt>
                <c:pt idx="24">
                  <c:v>1.15</c:v>
                </c:pt>
                <c:pt idx="25">
                  <c:v>1.2</c:v>
                </c:pt>
                <c:pt idx="26">
                  <c:v>1.25</c:v>
                </c:pt>
                <c:pt idx="27">
                  <c:v>1.3</c:v>
                </c:pt>
                <c:pt idx="28">
                  <c:v>1.35</c:v>
                </c:pt>
                <c:pt idx="29">
                  <c:v>1.4</c:v>
                </c:pt>
                <c:pt idx="30">
                  <c:v>1.45</c:v>
                </c:pt>
                <c:pt idx="31">
                  <c:v>1.5</c:v>
                </c:pt>
                <c:pt idx="32">
                  <c:v>1.55</c:v>
                </c:pt>
                <c:pt idx="33">
                  <c:v>1.6</c:v>
                </c:pt>
                <c:pt idx="34">
                  <c:v>1.65</c:v>
                </c:pt>
                <c:pt idx="35">
                  <c:v>1.7</c:v>
                </c:pt>
                <c:pt idx="36">
                  <c:v>1.75</c:v>
                </c:pt>
                <c:pt idx="37">
                  <c:v>1.8</c:v>
                </c:pt>
                <c:pt idx="38">
                  <c:v>1.85</c:v>
                </c:pt>
                <c:pt idx="39">
                  <c:v>1.9</c:v>
                </c:pt>
                <c:pt idx="40">
                  <c:v>1.95</c:v>
                </c:pt>
                <c:pt idx="41">
                  <c:v>2</c:v>
                </c:pt>
                <c:pt idx="42">
                  <c:v>2.05</c:v>
                </c:pt>
                <c:pt idx="43">
                  <c:v>2.1</c:v>
                </c:pt>
                <c:pt idx="44">
                  <c:v>2.15</c:v>
                </c:pt>
                <c:pt idx="45">
                  <c:v>2.2</c:v>
                </c:pt>
                <c:pt idx="46">
                  <c:v>2.25</c:v>
                </c:pt>
                <c:pt idx="47">
                  <c:v>2.3</c:v>
                </c:pt>
                <c:pt idx="48">
                  <c:v>2.35</c:v>
                </c:pt>
                <c:pt idx="49">
                  <c:v>2.4</c:v>
                </c:pt>
                <c:pt idx="50">
                  <c:v>2.45</c:v>
                </c:pt>
                <c:pt idx="51">
                  <c:v>2.5</c:v>
                </c:pt>
                <c:pt idx="52">
                  <c:v>2.55</c:v>
                </c:pt>
                <c:pt idx="53">
                  <c:v>2.6</c:v>
                </c:pt>
                <c:pt idx="54">
                  <c:v>2.65</c:v>
                </c:pt>
                <c:pt idx="55">
                  <c:v>2.7</c:v>
                </c:pt>
                <c:pt idx="56">
                  <c:v>2.75</c:v>
                </c:pt>
                <c:pt idx="57">
                  <c:v>2.8</c:v>
                </c:pt>
                <c:pt idx="58">
                  <c:v>2.85</c:v>
                </c:pt>
                <c:pt idx="59">
                  <c:v>2.9</c:v>
                </c:pt>
                <c:pt idx="60">
                  <c:v>2.95</c:v>
                </c:pt>
                <c:pt idx="61">
                  <c:v>3</c:v>
                </c:pt>
                <c:pt idx="62">
                  <c:v>3.05</c:v>
                </c:pt>
                <c:pt idx="63">
                  <c:v>3.1</c:v>
                </c:pt>
                <c:pt idx="64">
                  <c:v>3.15</c:v>
                </c:pt>
                <c:pt idx="65">
                  <c:v>3.2</c:v>
                </c:pt>
                <c:pt idx="66">
                  <c:v>3.25</c:v>
                </c:pt>
                <c:pt idx="67">
                  <c:v>3.3</c:v>
                </c:pt>
                <c:pt idx="68">
                  <c:v>3.35</c:v>
                </c:pt>
                <c:pt idx="69">
                  <c:v>3.4</c:v>
                </c:pt>
                <c:pt idx="70">
                  <c:v>3.45</c:v>
                </c:pt>
                <c:pt idx="71">
                  <c:v>3.5</c:v>
                </c:pt>
                <c:pt idx="72">
                  <c:v>3.55</c:v>
                </c:pt>
                <c:pt idx="73">
                  <c:v>3.6</c:v>
                </c:pt>
                <c:pt idx="74">
                  <c:v>3.65</c:v>
                </c:pt>
                <c:pt idx="75">
                  <c:v>3.7</c:v>
                </c:pt>
                <c:pt idx="76">
                  <c:v>3.75</c:v>
                </c:pt>
                <c:pt idx="77">
                  <c:v>3.8</c:v>
                </c:pt>
                <c:pt idx="78">
                  <c:v>3.85</c:v>
                </c:pt>
                <c:pt idx="79">
                  <c:v>3.9</c:v>
                </c:pt>
                <c:pt idx="80">
                  <c:v>3.95</c:v>
                </c:pt>
                <c:pt idx="81">
                  <c:v>4</c:v>
                </c:pt>
                <c:pt idx="82">
                  <c:v>4.05</c:v>
                </c:pt>
                <c:pt idx="83">
                  <c:v>4.1</c:v>
                </c:pt>
                <c:pt idx="84">
                  <c:v>4.15</c:v>
                </c:pt>
                <c:pt idx="85">
                  <c:v>4.2</c:v>
                </c:pt>
                <c:pt idx="86">
                  <c:v>4.25</c:v>
                </c:pt>
                <c:pt idx="87">
                  <c:v>4.3</c:v>
                </c:pt>
                <c:pt idx="88">
                  <c:v>4.35</c:v>
                </c:pt>
                <c:pt idx="89">
                  <c:v>4.4</c:v>
                </c:pt>
                <c:pt idx="90">
                  <c:v>4.45</c:v>
                </c:pt>
                <c:pt idx="91">
                  <c:v>4.5</c:v>
                </c:pt>
                <c:pt idx="92">
                  <c:v>4.55</c:v>
                </c:pt>
                <c:pt idx="93">
                  <c:v>4.6</c:v>
                </c:pt>
                <c:pt idx="94">
                  <c:v>4.65</c:v>
                </c:pt>
                <c:pt idx="95">
                  <c:v>4.7</c:v>
                </c:pt>
                <c:pt idx="96">
                  <c:v>4.75</c:v>
                </c:pt>
                <c:pt idx="97">
                  <c:v>4.8</c:v>
                </c:pt>
                <c:pt idx="98">
                  <c:v>4.85</c:v>
                </c:pt>
                <c:pt idx="99">
                  <c:v>4.9</c:v>
                </c:pt>
                <c:pt idx="100">
                  <c:v>4.95</c:v>
                </c:pt>
                <c:pt idx="101">
                  <c:v>5</c:v>
                </c:pt>
                <c:pt idx="102">
                  <c:v>5.05</c:v>
                </c:pt>
                <c:pt idx="103">
                  <c:v>5.1</c:v>
                </c:pt>
                <c:pt idx="104">
                  <c:v>5.15</c:v>
                </c:pt>
                <c:pt idx="105">
                  <c:v>5.2</c:v>
                </c:pt>
                <c:pt idx="106">
                  <c:v>5.25</c:v>
                </c:pt>
                <c:pt idx="107">
                  <c:v>5.3</c:v>
                </c:pt>
                <c:pt idx="108">
                  <c:v>5.35</c:v>
                </c:pt>
                <c:pt idx="109">
                  <c:v>5.4</c:v>
                </c:pt>
                <c:pt idx="110">
                  <c:v>5.45</c:v>
                </c:pt>
                <c:pt idx="111">
                  <c:v>5.5</c:v>
                </c:pt>
                <c:pt idx="112">
                  <c:v>5.55</c:v>
                </c:pt>
                <c:pt idx="113">
                  <c:v>5.6</c:v>
                </c:pt>
                <c:pt idx="114">
                  <c:v>5.65</c:v>
                </c:pt>
                <c:pt idx="115">
                  <c:v>5.7</c:v>
                </c:pt>
                <c:pt idx="116">
                  <c:v>5.75</c:v>
                </c:pt>
                <c:pt idx="117">
                  <c:v>5.8</c:v>
                </c:pt>
                <c:pt idx="118">
                  <c:v>5.85</c:v>
                </c:pt>
                <c:pt idx="119">
                  <c:v>5.9</c:v>
                </c:pt>
                <c:pt idx="120">
                  <c:v>5.95</c:v>
                </c:pt>
                <c:pt idx="121">
                  <c:v>6</c:v>
                </c:pt>
                <c:pt idx="122">
                  <c:v>6.05</c:v>
                </c:pt>
                <c:pt idx="123">
                  <c:v>6.1</c:v>
                </c:pt>
                <c:pt idx="124">
                  <c:v>6.15</c:v>
                </c:pt>
                <c:pt idx="125">
                  <c:v>6.2</c:v>
                </c:pt>
                <c:pt idx="126">
                  <c:v>6.25</c:v>
                </c:pt>
                <c:pt idx="127">
                  <c:v>6.3</c:v>
                </c:pt>
                <c:pt idx="128">
                  <c:v>6.35</c:v>
                </c:pt>
                <c:pt idx="129">
                  <c:v>6.4</c:v>
                </c:pt>
                <c:pt idx="130">
                  <c:v>6.45</c:v>
                </c:pt>
                <c:pt idx="131">
                  <c:v>6.5</c:v>
                </c:pt>
                <c:pt idx="132">
                  <c:v>6.55</c:v>
                </c:pt>
                <c:pt idx="133">
                  <c:v>6.6</c:v>
                </c:pt>
                <c:pt idx="134">
                  <c:v>6.65</c:v>
                </c:pt>
                <c:pt idx="135">
                  <c:v>6.7</c:v>
                </c:pt>
                <c:pt idx="136">
                  <c:v>6.75</c:v>
                </c:pt>
                <c:pt idx="137">
                  <c:v>6.8</c:v>
                </c:pt>
                <c:pt idx="138">
                  <c:v>6.85</c:v>
                </c:pt>
                <c:pt idx="139">
                  <c:v>6.9</c:v>
                </c:pt>
                <c:pt idx="140">
                  <c:v>6.95</c:v>
                </c:pt>
                <c:pt idx="141">
                  <c:v>7</c:v>
                </c:pt>
                <c:pt idx="142">
                  <c:v>7.05</c:v>
                </c:pt>
                <c:pt idx="143">
                  <c:v>7.1</c:v>
                </c:pt>
                <c:pt idx="144">
                  <c:v>7.15</c:v>
                </c:pt>
                <c:pt idx="145">
                  <c:v>7.2</c:v>
                </c:pt>
                <c:pt idx="146">
                  <c:v>7.25</c:v>
                </c:pt>
                <c:pt idx="147">
                  <c:v>7.3</c:v>
                </c:pt>
                <c:pt idx="148">
                  <c:v>7.35</c:v>
                </c:pt>
                <c:pt idx="149">
                  <c:v>7.4</c:v>
                </c:pt>
                <c:pt idx="150">
                  <c:v>7.45</c:v>
                </c:pt>
                <c:pt idx="151">
                  <c:v>7.5</c:v>
                </c:pt>
                <c:pt idx="152">
                  <c:v>7.55</c:v>
                </c:pt>
                <c:pt idx="153">
                  <c:v>7.6</c:v>
                </c:pt>
                <c:pt idx="154">
                  <c:v>7.65</c:v>
                </c:pt>
                <c:pt idx="155">
                  <c:v>7.7</c:v>
                </c:pt>
                <c:pt idx="156">
                  <c:v>7.75</c:v>
                </c:pt>
                <c:pt idx="157">
                  <c:v>7.8</c:v>
                </c:pt>
                <c:pt idx="158">
                  <c:v>7.85</c:v>
                </c:pt>
                <c:pt idx="159">
                  <c:v>7.9</c:v>
                </c:pt>
                <c:pt idx="160">
                  <c:v>7.95</c:v>
                </c:pt>
                <c:pt idx="161">
                  <c:v>8</c:v>
                </c:pt>
                <c:pt idx="162">
                  <c:v>8.05</c:v>
                </c:pt>
                <c:pt idx="163">
                  <c:v>8.1</c:v>
                </c:pt>
                <c:pt idx="164">
                  <c:v>8.15</c:v>
                </c:pt>
                <c:pt idx="165">
                  <c:v>8.2</c:v>
                </c:pt>
                <c:pt idx="166">
                  <c:v>8.25</c:v>
                </c:pt>
                <c:pt idx="167">
                  <c:v>8.3</c:v>
                </c:pt>
                <c:pt idx="168">
                  <c:v>8.35</c:v>
                </c:pt>
                <c:pt idx="169">
                  <c:v>8.4</c:v>
                </c:pt>
                <c:pt idx="170">
                  <c:v>8.45</c:v>
                </c:pt>
                <c:pt idx="171">
                  <c:v>8.5</c:v>
                </c:pt>
                <c:pt idx="172">
                  <c:v>8.55</c:v>
                </c:pt>
                <c:pt idx="173">
                  <c:v>8.6</c:v>
                </c:pt>
                <c:pt idx="174">
                  <c:v>8.65</c:v>
                </c:pt>
                <c:pt idx="175">
                  <c:v>8.7</c:v>
                </c:pt>
                <c:pt idx="176">
                  <c:v>8.75</c:v>
                </c:pt>
                <c:pt idx="177">
                  <c:v>8.8</c:v>
                </c:pt>
                <c:pt idx="178">
                  <c:v>8.85</c:v>
                </c:pt>
                <c:pt idx="179">
                  <c:v>8.9</c:v>
                </c:pt>
                <c:pt idx="180">
                  <c:v>8.95</c:v>
                </c:pt>
                <c:pt idx="181">
                  <c:v>9</c:v>
                </c:pt>
                <c:pt idx="182">
                  <c:v>9.05</c:v>
                </c:pt>
                <c:pt idx="183">
                  <c:v>9.1</c:v>
                </c:pt>
                <c:pt idx="184">
                  <c:v>9.15</c:v>
                </c:pt>
                <c:pt idx="185">
                  <c:v>9.2</c:v>
                </c:pt>
                <c:pt idx="186">
                  <c:v>9.25</c:v>
                </c:pt>
                <c:pt idx="187">
                  <c:v>9.3</c:v>
                </c:pt>
                <c:pt idx="188">
                  <c:v>9.35</c:v>
                </c:pt>
                <c:pt idx="189">
                  <c:v>9.4</c:v>
                </c:pt>
                <c:pt idx="190">
                  <c:v>9.45</c:v>
                </c:pt>
                <c:pt idx="191">
                  <c:v>9.5</c:v>
                </c:pt>
                <c:pt idx="192">
                  <c:v>9.55</c:v>
                </c:pt>
                <c:pt idx="193">
                  <c:v>9.6</c:v>
                </c:pt>
                <c:pt idx="194">
                  <c:v>9.65</c:v>
                </c:pt>
                <c:pt idx="195">
                  <c:v>9.7</c:v>
                </c:pt>
                <c:pt idx="196">
                  <c:v>9.75</c:v>
                </c:pt>
                <c:pt idx="197">
                  <c:v>9.8</c:v>
                </c:pt>
                <c:pt idx="198">
                  <c:v>9.85</c:v>
                </c:pt>
                <c:pt idx="199">
                  <c:v>9.9</c:v>
                </c:pt>
                <c:pt idx="200">
                  <c:v>9.95</c:v>
                </c:pt>
                <c:pt idx="201">
                  <c:v>10</c:v>
                </c:pt>
                <c:pt idx="202">
                  <c:v>10.05</c:v>
                </c:pt>
                <c:pt idx="203">
                  <c:v>10.1</c:v>
                </c:pt>
                <c:pt idx="204">
                  <c:v>10.15</c:v>
                </c:pt>
                <c:pt idx="205">
                  <c:v>10.2</c:v>
                </c:pt>
                <c:pt idx="206">
                  <c:v>10.25</c:v>
                </c:pt>
                <c:pt idx="207">
                  <c:v>10.3</c:v>
                </c:pt>
                <c:pt idx="208">
                  <c:v>10.35</c:v>
                </c:pt>
                <c:pt idx="209">
                  <c:v>10.4</c:v>
                </c:pt>
                <c:pt idx="210">
                  <c:v>10.45</c:v>
                </c:pt>
                <c:pt idx="211">
                  <c:v>10.5</c:v>
                </c:pt>
                <c:pt idx="212">
                  <c:v>10.55</c:v>
                </c:pt>
                <c:pt idx="213">
                  <c:v>10.6</c:v>
                </c:pt>
                <c:pt idx="214">
                  <c:v>10.65</c:v>
                </c:pt>
                <c:pt idx="215">
                  <c:v>10.7</c:v>
                </c:pt>
                <c:pt idx="216">
                  <c:v>10.75</c:v>
                </c:pt>
                <c:pt idx="217">
                  <c:v>10.8</c:v>
                </c:pt>
                <c:pt idx="218">
                  <c:v>10.85</c:v>
                </c:pt>
                <c:pt idx="219">
                  <c:v>10.9</c:v>
                </c:pt>
                <c:pt idx="220">
                  <c:v>10.95</c:v>
                </c:pt>
                <c:pt idx="221">
                  <c:v>11</c:v>
                </c:pt>
                <c:pt idx="222">
                  <c:v>11.05</c:v>
                </c:pt>
                <c:pt idx="223">
                  <c:v>11.1</c:v>
                </c:pt>
                <c:pt idx="224">
                  <c:v>11.15</c:v>
                </c:pt>
                <c:pt idx="225">
                  <c:v>11.2</c:v>
                </c:pt>
                <c:pt idx="226">
                  <c:v>11.25</c:v>
                </c:pt>
                <c:pt idx="227">
                  <c:v>11.3</c:v>
                </c:pt>
                <c:pt idx="228">
                  <c:v>11.35</c:v>
                </c:pt>
                <c:pt idx="229">
                  <c:v>11.4</c:v>
                </c:pt>
                <c:pt idx="230">
                  <c:v>11.45</c:v>
                </c:pt>
                <c:pt idx="231">
                  <c:v>11.5</c:v>
                </c:pt>
                <c:pt idx="232">
                  <c:v>11.55</c:v>
                </c:pt>
                <c:pt idx="233">
                  <c:v>11.6</c:v>
                </c:pt>
                <c:pt idx="234">
                  <c:v>11.65</c:v>
                </c:pt>
                <c:pt idx="235">
                  <c:v>11.7</c:v>
                </c:pt>
                <c:pt idx="236">
                  <c:v>11.75</c:v>
                </c:pt>
                <c:pt idx="237">
                  <c:v>11.8</c:v>
                </c:pt>
                <c:pt idx="238">
                  <c:v>11.85</c:v>
                </c:pt>
                <c:pt idx="239">
                  <c:v>11.9</c:v>
                </c:pt>
                <c:pt idx="240">
                  <c:v>11.95</c:v>
                </c:pt>
                <c:pt idx="241">
                  <c:v>12</c:v>
                </c:pt>
                <c:pt idx="242">
                  <c:v>12.05</c:v>
                </c:pt>
                <c:pt idx="243">
                  <c:v>12.1</c:v>
                </c:pt>
                <c:pt idx="244">
                  <c:v>12.15</c:v>
                </c:pt>
                <c:pt idx="245">
                  <c:v>12.2</c:v>
                </c:pt>
                <c:pt idx="246">
                  <c:v>12.25</c:v>
                </c:pt>
                <c:pt idx="247">
                  <c:v>12.3</c:v>
                </c:pt>
                <c:pt idx="248">
                  <c:v>12.35</c:v>
                </c:pt>
                <c:pt idx="249">
                  <c:v>12.4</c:v>
                </c:pt>
                <c:pt idx="250">
                  <c:v>12.45</c:v>
                </c:pt>
                <c:pt idx="251">
                  <c:v>12.5</c:v>
                </c:pt>
                <c:pt idx="252">
                  <c:v>12.55</c:v>
                </c:pt>
                <c:pt idx="253">
                  <c:v>12.6</c:v>
                </c:pt>
                <c:pt idx="254">
                  <c:v>12.65</c:v>
                </c:pt>
                <c:pt idx="255">
                  <c:v>12.7</c:v>
                </c:pt>
                <c:pt idx="256">
                  <c:v>12.75</c:v>
                </c:pt>
                <c:pt idx="257">
                  <c:v>12.8</c:v>
                </c:pt>
                <c:pt idx="258">
                  <c:v>12.85</c:v>
                </c:pt>
                <c:pt idx="259">
                  <c:v>12.9</c:v>
                </c:pt>
                <c:pt idx="260">
                  <c:v>12.95</c:v>
                </c:pt>
                <c:pt idx="261">
                  <c:v>13</c:v>
                </c:pt>
                <c:pt idx="262">
                  <c:v>13.05</c:v>
                </c:pt>
                <c:pt idx="263">
                  <c:v>13.1</c:v>
                </c:pt>
                <c:pt idx="264">
                  <c:v>13.15</c:v>
                </c:pt>
                <c:pt idx="265">
                  <c:v>13.2</c:v>
                </c:pt>
                <c:pt idx="266">
                  <c:v>13.25</c:v>
                </c:pt>
                <c:pt idx="267">
                  <c:v>13.3</c:v>
                </c:pt>
                <c:pt idx="268">
                  <c:v>13.35</c:v>
                </c:pt>
                <c:pt idx="269">
                  <c:v>13.4</c:v>
                </c:pt>
                <c:pt idx="270">
                  <c:v>13.45</c:v>
                </c:pt>
                <c:pt idx="271">
                  <c:v>13.5</c:v>
                </c:pt>
                <c:pt idx="272">
                  <c:v>13.55</c:v>
                </c:pt>
                <c:pt idx="273">
                  <c:v>13.6</c:v>
                </c:pt>
                <c:pt idx="274">
                  <c:v>13.65</c:v>
                </c:pt>
                <c:pt idx="275">
                  <c:v>13.7</c:v>
                </c:pt>
                <c:pt idx="276">
                  <c:v>13.75</c:v>
                </c:pt>
                <c:pt idx="277">
                  <c:v>13.8</c:v>
                </c:pt>
                <c:pt idx="278">
                  <c:v>13.85</c:v>
                </c:pt>
                <c:pt idx="279">
                  <c:v>13.9</c:v>
                </c:pt>
                <c:pt idx="280">
                  <c:v>13.95</c:v>
                </c:pt>
                <c:pt idx="281">
                  <c:v>14</c:v>
                </c:pt>
                <c:pt idx="282">
                  <c:v>14.05</c:v>
                </c:pt>
                <c:pt idx="283">
                  <c:v>14.1</c:v>
                </c:pt>
                <c:pt idx="284">
                  <c:v>14.15</c:v>
                </c:pt>
                <c:pt idx="285">
                  <c:v>14.2</c:v>
                </c:pt>
                <c:pt idx="286">
                  <c:v>14.25</c:v>
                </c:pt>
                <c:pt idx="287">
                  <c:v>14.3</c:v>
                </c:pt>
                <c:pt idx="288">
                  <c:v>14.35</c:v>
                </c:pt>
                <c:pt idx="289">
                  <c:v>14.4</c:v>
                </c:pt>
                <c:pt idx="290">
                  <c:v>14.45</c:v>
                </c:pt>
                <c:pt idx="291">
                  <c:v>14.5</c:v>
                </c:pt>
                <c:pt idx="292">
                  <c:v>14.55</c:v>
                </c:pt>
                <c:pt idx="293">
                  <c:v>14.6</c:v>
                </c:pt>
                <c:pt idx="294">
                  <c:v>14.65</c:v>
                </c:pt>
                <c:pt idx="295">
                  <c:v>14.7</c:v>
                </c:pt>
                <c:pt idx="296">
                  <c:v>14.75</c:v>
                </c:pt>
                <c:pt idx="297">
                  <c:v>14.8</c:v>
                </c:pt>
                <c:pt idx="298">
                  <c:v>14.85</c:v>
                </c:pt>
                <c:pt idx="299">
                  <c:v>14.9</c:v>
                </c:pt>
                <c:pt idx="300">
                  <c:v>14.95</c:v>
                </c:pt>
                <c:pt idx="301">
                  <c:v>15</c:v>
                </c:pt>
                <c:pt idx="302">
                  <c:v>15.05</c:v>
                </c:pt>
                <c:pt idx="303">
                  <c:v>15.1</c:v>
                </c:pt>
                <c:pt idx="304">
                  <c:v>15.15</c:v>
                </c:pt>
                <c:pt idx="305">
                  <c:v>15.2</c:v>
                </c:pt>
                <c:pt idx="306">
                  <c:v>15.25</c:v>
                </c:pt>
                <c:pt idx="307">
                  <c:v>15.3</c:v>
                </c:pt>
                <c:pt idx="308">
                  <c:v>15.35</c:v>
                </c:pt>
                <c:pt idx="309">
                  <c:v>15.4</c:v>
                </c:pt>
                <c:pt idx="310">
                  <c:v>15.45</c:v>
                </c:pt>
                <c:pt idx="311">
                  <c:v>15.5</c:v>
                </c:pt>
                <c:pt idx="312">
                  <c:v>15.55</c:v>
                </c:pt>
                <c:pt idx="313">
                  <c:v>15.6</c:v>
                </c:pt>
                <c:pt idx="314">
                  <c:v>15.65</c:v>
                </c:pt>
                <c:pt idx="315">
                  <c:v>15.7</c:v>
                </c:pt>
                <c:pt idx="316">
                  <c:v>15.75</c:v>
                </c:pt>
                <c:pt idx="317">
                  <c:v>15.8</c:v>
                </c:pt>
                <c:pt idx="318">
                  <c:v>15.85</c:v>
                </c:pt>
                <c:pt idx="319">
                  <c:v>15.9</c:v>
                </c:pt>
                <c:pt idx="320">
                  <c:v>15.95</c:v>
                </c:pt>
                <c:pt idx="321">
                  <c:v>16</c:v>
                </c:pt>
                <c:pt idx="322">
                  <c:v>16.05</c:v>
                </c:pt>
                <c:pt idx="323">
                  <c:v>16.1</c:v>
                </c:pt>
                <c:pt idx="324">
                  <c:v>16.15</c:v>
                </c:pt>
                <c:pt idx="325">
                  <c:v>16.2</c:v>
                </c:pt>
                <c:pt idx="326">
                  <c:v>16.25</c:v>
                </c:pt>
                <c:pt idx="327">
                  <c:v>16.3</c:v>
                </c:pt>
                <c:pt idx="328">
                  <c:v>16.35</c:v>
                </c:pt>
                <c:pt idx="329">
                  <c:v>16.4</c:v>
                </c:pt>
                <c:pt idx="330">
                  <c:v>16.45</c:v>
                </c:pt>
                <c:pt idx="331">
                  <c:v>16.5</c:v>
                </c:pt>
                <c:pt idx="332">
                  <c:v>16.55</c:v>
                </c:pt>
                <c:pt idx="333">
                  <c:v>16.6</c:v>
                </c:pt>
                <c:pt idx="334">
                  <c:v>16.65</c:v>
                </c:pt>
                <c:pt idx="335">
                  <c:v>16.7</c:v>
                </c:pt>
                <c:pt idx="336">
                  <c:v>16.75</c:v>
                </c:pt>
                <c:pt idx="337">
                  <c:v>16.8</c:v>
                </c:pt>
                <c:pt idx="338">
                  <c:v>16.85</c:v>
                </c:pt>
                <c:pt idx="339">
                  <c:v>16.9</c:v>
                </c:pt>
                <c:pt idx="340">
                  <c:v>16.95</c:v>
                </c:pt>
                <c:pt idx="341">
                  <c:v>17</c:v>
                </c:pt>
                <c:pt idx="342">
                  <c:v>17.05</c:v>
                </c:pt>
                <c:pt idx="343">
                  <c:v>17.1</c:v>
                </c:pt>
                <c:pt idx="344">
                  <c:v>17.15</c:v>
                </c:pt>
                <c:pt idx="345">
                  <c:v>17.2</c:v>
                </c:pt>
                <c:pt idx="346">
                  <c:v>17.25</c:v>
                </c:pt>
                <c:pt idx="347">
                  <c:v>17.3</c:v>
                </c:pt>
                <c:pt idx="348">
                  <c:v>17.35</c:v>
                </c:pt>
                <c:pt idx="349">
                  <c:v>17.4</c:v>
                </c:pt>
                <c:pt idx="350">
                  <c:v>17.45</c:v>
                </c:pt>
                <c:pt idx="351">
                  <c:v>17.5</c:v>
                </c:pt>
                <c:pt idx="352">
                  <c:v>17.55</c:v>
                </c:pt>
                <c:pt idx="353">
                  <c:v>17.6</c:v>
                </c:pt>
                <c:pt idx="354">
                  <c:v>17.65</c:v>
                </c:pt>
                <c:pt idx="355">
                  <c:v>17.7</c:v>
                </c:pt>
                <c:pt idx="356">
                  <c:v>17.75</c:v>
                </c:pt>
                <c:pt idx="357">
                  <c:v>17.8</c:v>
                </c:pt>
                <c:pt idx="358">
                  <c:v>17.85</c:v>
                </c:pt>
                <c:pt idx="359">
                  <c:v>17.9</c:v>
                </c:pt>
                <c:pt idx="360">
                  <c:v>17.95</c:v>
                </c:pt>
                <c:pt idx="361">
                  <c:v>18</c:v>
                </c:pt>
                <c:pt idx="362">
                  <c:v>18.05</c:v>
                </c:pt>
                <c:pt idx="363">
                  <c:v>18.1</c:v>
                </c:pt>
                <c:pt idx="364">
                  <c:v>18.15</c:v>
                </c:pt>
                <c:pt idx="365">
                  <c:v>18.2</c:v>
                </c:pt>
                <c:pt idx="366">
                  <c:v>18.25</c:v>
                </c:pt>
                <c:pt idx="367">
                  <c:v>18.3</c:v>
                </c:pt>
                <c:pt idx="368">
                  <c:v>18.35</c:v>
                </c:pt>
                <c:pt idx="369">
                  <c:v>18.4</c:v>
                </c:pt>
                <c:pt idx="370">
                  <c:v>18.45</c:v>
                </c:pt>
                <c:pt idx="371">
                  <c:v>18.5</c:v>
                </c:pt>
                <c:pt idx="372">
                  <c:v>18.55</c:v>
                </c:pt>
                <c:pt idx="373">
                  <c:v>18.6</c:v>
                </c:pt>
                <c:pt idx="374">
                  <c:v>18.65</c:v>
                </c:pt>
                <c:pt idx="375">
                  <c:v>18.7</c:v>
                </c:pt>
                <c:pt idx="376">
                  <c:v>18.75</c:v>
                </c:pt>
                <c:pt idx="377">
                  <c:v>18.8</c:v>
                </c:pt>
                <c:pt idx="378">
                  <c:v>18.85</c:v>
                </c:pt>
                <c:pt idx="379">
                  <c:v>18.9</c:v>
                </c:pt>
                <c:pt idx="380">
                  <c:v>18.95</c:v>
                </c:pt>
                <c:pt idx="381">
                  <c:v>19</c:v>
                </c:pt>
                <c:pt idx="382">
                  <c:v>19.05</c:v>
                </c:pt>
                <c:pt idx="383">
                  <c:v>19.1</c:v>
                </c:pt>
                <c:pt idx="384">
                  <c:v>19.15</c:v>
                </c:pt>
                <c:pt idx="385">
                  <c:v>19.2</c:v>
                </c:pt>
                <c:pt idx="386">
                  <c:v>19.25</c:v>
                </c:pt>
                <c:pt idx="387">
                  <c:v>19.3</c:v>
                </c:pt>
                <c:pt idx="388">
                  <c:v>19.35</c:v>
                </c:pt>
                <c:pt idx="389">
                  <c:v>19.4</c:v>
                </c:pt>
                <c:pt idx="390">
                  <c:v>19.45</c:v>
                </c:pt>
                <c:pt idx="391">
                  <c:v>19.5</c:v>
                </c:pt>
                <c:pt idx="392">
                  <c:v>19.55</c:v>
                </c:pt>
                <c:pt idx="393">
                  <c:v>19.6</c:v>
                </c:pt>
                <c:pt idx="394">
                  <c:v>19.65</c:v>
                </c:pt>
                <c:pt idx="395">
                  <c:v>19.7</c:v>
                </c:pt>
                <c:pt idx="396">
                  <c:v>19.75</c:v>
                </c:pt>
                <c:pt idx="397">
                  <c:v>19.8</c:v>
                </c:pt>
                <c:pt idx="398">
                  <c:v>19.85</c:v>
                </c:pt>
                <c:pt idx="399">
                  <c:v>19.9</c:v>
                </c:pt>
                <c:pt idx="400">
                  <c:v>19.95</c:v>
                </c:pt>
                <c:pt idx="401">
                  <c:v>20</c:v>
                </c:pt>
                <c:pt idx="402">
                  <c:v>20.05</c:v>
                </c:pt>
                <c:pt idx="403">
                  <c:v>20.1</c:v>
                </c:pt>
                <c:pt idx="404">
                  <c:v>20.15</c:v>
                </c:pt>
                <c:pt idx="405">
                  <c:v>20.2</c:v>
                </c:pt>
                <c:pt idx="406">
                  <c:v>20.25</c:v>
                </c:pt>
                <c:pt idx="407">
                  <c:v>20.3</c:v>
                </c:pt>
                <c:pt idx="408">
                  <c:v>20.35</c:v>
                </c:pt>
                <c:pt idx="409">
                  <c:v>20.4</c:v>
                </c:pt>
                <c:pt idx="410">
                  <c:v>20.45</c:v>
                </c:pt>
                <c:pt idx="411">
                  <c:v>20.5</c:v>
                </c:pt>
                <c:pt idx="412">
                  <c:v>20.55</c:v>
                </c:pt>
                <c:pt idx="413">
                  <c:v>20.6</c:v>
                </c:pt>
                <c:pt idx="414">
                  <c:v>20.65</c:v>
                </c:pt>
                <c:pt idx="415">
                  <c:v>20.7</c:v>
                </c:pt>
                <c:pt idx="416">
                  <c:v>20.75</c:v>
                </c:pt>
                <c:pt idx="417">
                  <c:v>20.8</c:v>
                </c:pt>
                <c:pt idx="418">
                  <c:v>20.85</c:v>
                </c:pt>
                <c:pt idx="419">
                  <c:v>20.9</c:v>
                </c:pt>
                <c:pt idx="420">
                  <c:v>20.95</c:v>
                </c:pt>
                <c:pt idx="421">
                  <c:v>21</c:v>
                </c:pt>
                <c:pt idx="422">
                  <c:v>21.05</c:v>
                </c:pt>
                <c:pt idx="423">
                  <c:v>21.1</c:v>
                </c:pt>
                <c:pt idx="424">
                  <c:v>21.15</c:v>
                </c:pt>
                <c:pt idx="425">
                  <c:v>21.2</c:v>
                </c:pt>
                <c:pt idx="426">
                  <c:v>21.25</c:v>
                </c:pt>
                <c:pt idx="427">
                  <c:v>21.3</c:v>
                </c:pt>
                <c:pt idx="428">
                  <c:v>21.35</c:v>
                </c:pt>
                <c:pt idx="429">
                  <c:v>21.4</c:v>
                </c:pt>
                <c:pt idx="430">
                  <c:v>21.45</c:v>
                </c:pt>
                <c:pt idx="431">
                  <c:v>21.5</c:v>
                </c:pt>
                <c:pt idx="432">
                  <c:v>21.55</c:v>
                </c:pt>
                <c:pt idx="433">
                  <c:v>21.6</c:v>
                </c:pt>
                <c:pt idx="434">
                  <c:v>21.65</c:v>
                </c:pt>
                <c:pt idx="435">
                  <c:v>21.7</c:v>
                </c:pt>
                <c:pt idx="436">
                  <c:v>21.75</c:v>
                </c:pt>
                <c:pt idx="437">
                  <c:v>21.8</c:v>
                </c:pt>
                <c:pt idx="438">
                  <c:v>21.85</c:v>
                </c:pt>
                <c:pt idx="439">
                  <c:v>21.9</c:v>
                </c:pt>
                <c:pt idx="440">
                  <c:v>21.95</c:v>
                </c:pt>
                <c:pt idx="441">
                  <c:v>22</c:v>
                </c:pt>
                <c:pt idx="442">
                  <c:v>22.05</c:v>
                </c:pt>
                <c:pt idx="443">
                  <c:v>22.1</c:v>
                </c:pt>
                <c:pt idx="444">
                  <c:v>22.15</c:v>
                </c:pt>
                <c:pt idx="445">
                  <c:v>22.2</c:v>
                </c:pt>
                <c:pt idx="446">
                  <c:v>22.25</c:v>
                </c:pt>
                <c:pt idx="447">
                  <c:v>22.3</c:v>
                </c:pt>
                <c:pt idx="448">
                  <c:v>22.35</c:v>
                </c:pt>
                <c:pt idx="449">
                  <c:v>22.4</c:v>
                </c:pt>
                <c:pt idx="450">
                  <c:v>22.45</c:v>
                </c:pt>
                <c:pt idx="451">
                  <c:v>22.5</c:v>
                </c:pt>
                <c:pt idx="452">
                  <c:v>22.55</c:v>
                </c:pt>
                <c:pt idx="453">
                  <c:v>22.6</c:v>
                </c:pt>
                <c:pt idx="454">
                  <c:v>22.65</c:v>
                </c:pt>
                <c:pt idx="455">
                  <c:v>22.7</c:v>
                </c:pt>
                <c:pt idx="456">
                  <c:v>22.75</c:v>
                </c:pt>
                <c:pt idx="457">
                  <c:v>22.8</c:v>
                </c:pt>
                <c:pt idx="458">
                  <c:v>22.85</c:v>
                </c:pt>
                <c:pt idx="459">
                  <c:v>22.9</c:v>
                </c:pt>
                <c:pt idx="460">
                  <c:v>22.95</c:v>
                </c:pt>
                <c:pt idx="461">
                  <c:v>23</c:v>
                </c:pt>
                <c:pt idx="462">
                  <c:v>23.05</c:v>
                </c:pt>
                <c:pt idx="463">
                  <c:v>23.1</c:v>
                </c:pt>
                <c:pt idx="464">
                  <c:v>23.15</c:v>
                </c:pt>
                <c:pt idx="465">
                  <c:v>23.2</c:v>
                </c:pt>
                <c:pt idx="466">
                  <c:v>23.25</c:v>
                </c:pt>
                <c:pt idx="467">
                  <c:v>23.3</c:v>
                </c:pt>
                <c:pt idx="468">
                  <c:v>23.35</c:v>
                </c:pt>
              </c:strCache>
            </c:strRef>
          </c:cat>
          <c:val>
            <c:numRef>
              <c:f>'100低压_阻尼温差01 (3)'!$F$3:$F$471</c:f>
              <c:numCache>
                <c:formatCode>General</c:formatCode>
                <c:ptCount val="469"/>
                <c:pt idx="0">
                  <c:v>0</c:v>
                </c:pt>
                <c:pt idx="1">
                  <c:v>-0.6042</c:v>
                </c:pt>
                <c:pt idx="2">
                  <c:v>2.771</c:v>
                </c:pt>
                <c:pt idx="3">
                  <c:v>5.561</c:v>
                </c:pt>
                <c:pt idx="4">
                  <c:v>8.133</c:v>
                </c:pt>
                <c:pt idx="5">
                  <c:v>10.33</c:v>
                </c:pt>
                <c:pt idx="6">
                  <c:v>11.87</c:v>
                </c:pt>
                <c:pt idx="7">
                  <c:v>12.94</c:v>
                </c:pt>
                <c:pt idx="8">
                  <c:v>13.16</c:v>
                </c:pt>
                <c:pt idx="9">
                  <c:v>12.87</c:v>
                </c:pt>
                <c:pt idx="10">
                  <c:v>11.52</c:v>
                </c:pt>
                <c:pt idx="11">
                  <c:v>9.802</c:v>
                </c:pt>
                <c:pt idx="12">
                  <c:v>7.661</c:v>
                </c:pt>
                <c:pt idx="13">
                  <c:v>5.058</c:v>
                </c:pt>
                <c:pt idx="14">
                  <c:v>1.97</c:v>
                </c:pt>
                <c:pt idx="15">
                  <c:v>-0.9171</c:v>
                </c:pt>
                <c:pt idx="16">
                  <c:v>-4.055</c:v>
                </c:pt>
                <c:pt idx="17">
                  <c:v>-6.71</c:v>
                </c:pt>
                <c:pt idx="18">
                  <c:v>-9.056</c:v>
                </c:pt>
                <c:pt idx="19">
                  <c:v>-10.95</c:v>
                </c:pt>
                <c:pt idx="20">
                  <c:v>-12.46</c:v>
                </c:pt>
                <c:pt idx="21">
                  <c:v>-13.01</c:v>
                </c:pt>
                <c:pt idx="22">
                  <c:v>-13.05</c:v>
                </c:pt>
                <c:pt idx="23">
                  <c:v>-12.59</c:v>
                </c:pt>
                <c:pt idx="24">
                  <c:v>-11.24</c:v>
                </c:pt>
                <c:pt idx="25">
                  <c:v>-9.462</c:v>
                </c:pt>
                <c:pt idx="26">
                  <c:v>-7.266</c:v>
                </c:pt>
                <c:pt idx="27">
                  <c:v>-4.723</c:v>
                </c:pt>
                <c:pt idx="28">
                  <c:v>-1.89</c:v>
                </c:pt>
                <c:pt idx="29">
                  <c:v>0.9778</c:v>
                </c:pt>
                <c:pt idx="30">
                  <c:v>3.676</c:v>
                </c:pt>
                <c:pt idx="31">
                  <c:v>6.178</c:v>
                </c:pt>
                <c:pt idx="32">
                  <c:v>8.245</c:v>
                </c:pt>
                <c:pt idx="33">
                  <c:v>9.821</c:v>
                </c:pt>
                <c:pt idx="34">
                  <c:v>10.74</c:v>
                </c:pt>
                <c:pt idx="35">
                  <c:v>11.24</c:v>
                </c:pt>
                <c:pt idx="36">
                  <c:v>11.16</c:v>
                </c:pt>
                <c:pt idx="37">
                  <c:v>10.41</c:v>
                </c:pt>
                <c:pt idx="38">
                  <c:v>9.016</c:v>
                </c:pt>
                <c:pt idx="39">
                  <c:v>7.226</c:v>
                </c:pt>
                <c:pt idx="40">
                  <c:v>5.014</c:v>
                </c:pt>
                <c:pt idx="41">
                  <c:v>2.434</c:v>
                </c:pt>
                <c:pt idx="42">
                  <c:v>-0.2145</c:v>
                </c:pt>
                <c:pt idx="43">
                  <c:v>-2.81</c:v>
                </c:pt>
                <c:pt idx="44">
                  <c:v>-5.287</c:v>
                </c:pt>
                <c:pt idx="45">
                  <c:v>-7.492</c:v>
                </c:pt>
                <c:pt idx="46">
                  <c:v>-9.246</c:v>
                </c:pt>
                <c:pt idx="47">
                  <c:v>-10.52</c:v>
                </c:pt>
                <c:pt idx="48">
                  <c:v>-11.14</c:v>
                </c:pt>
                <c:pt idx="49">
                  <c:v>-11.31</c:v>
                </c:pt>
                <c:pt idx="50">
                  <c:v>-10.86</c:v>
                </c:pt>
                <c:pt idx="51">
                  <c:v>-9.844</c:v>
                </c:pt>
                <c:pt idx="52">
                  <c:v>-8.357</c:v>
                </c:pt>
                <c:pt idx="53">
                  <c:v>-6.413</c:v>
                </c:pt>
                <c:pt idx="54">
                  <c:v>-4.272</c:v>
                </c:pt>
                <c:pt idx="55">
                  <c:v>-1.758</c:v>
                </c:pt>
                <c:pt idx="56">
                  <c:v>0.6939</c:v>
                </c:pt>
                <c:pt idx="57">
                  <c:v>3.104</c:v>
                </c:pt>
                <c:pt idx="58">
                  <c:v>5.292</c:v>
                </c:pt>
                <c:pt idx="59">
                  <c:v>7.128</c:v>
                </c:pt>
                <c:pt idx="60">
                  <c:v>8.463</c:v>
                </c:pt>
                <c:pt idx="61">
                  <c:v>9.3</c:v>
                </c:pt>
                <c:pt idx="62">
                  <c:v>9.523</c:v>
                </c:pt>
                <c:pt idx="63">
                  <c:v>9.392</c:v>
                </c:pt>
                <c:pt idx="64">
                  <c:v>8.653</c:v>
                </c:pt>
                <c:pt idx="65">
                  <c:v>7.368</c:v>
                </c:pt>
                <c:pt idx="66">
                  <c:v>5.692</c:v>
                </c:pt>
                <c:pt idx="67">
                  <c:v>3.696</c:v>
                </c:pt>
                <c:pt idx="68">
                  <c:v>1.485</c:v>
                </c:pt>
                <c:pt idx="69">
                  <c:v>-0.7926</c:v>
                </c:pt>
                <c:pt idx="70">
                  <c:v>-3.132</c:v>
                </c:pt>
                <c:pt idx="71">
                  <c:v>-5.371</c:v>
                </c:pt>
                <c:pt idx="72">
                  <c:v>-7.4</c:v>
                </c:pt>
                <c:pt idx="73">
                  <c:v>-9.071</c:v>
                </c:pt>
                <c:pt idx="74">
                  <c:v>-10.47</c:v>
                </c:pt>
                <c:pt idx="75">
                  <c:v>-11.19</c:v>
                </c:pt>
                <c:pt idx="76">
                  <c:v>-11.75</c:v>
                </c:pt>
                <c:pt idx="77">
                  <c:v>-11.96</c:v>
                </c:pt>
                <c:pt idx="78">
                  <c:v>-11.96</c:v>
                </c:pt>
                <c:pt idx="79">
                  <c:v>-11.55</c:v>
                </c:pt>
                <c:pt idx="80">
                  <c:v>-10.7</c:v>
                </c:pt>
                <c:pt idx="81">
                  <c:v>-9.909</c:v>
                </c:pt>
                <c:pt idx="82">
                  <c:v>-8.809</c:v>
                </c:pt>
                <c:pt idx="83">
                  <c:v>-7.742</c:v>
                </c:pt>
                <c:pt idx="84">
                  <c:v>-6.779</c:v>
                </c:pt>
                <c:pt idx="85">
                  <c:v>-5.822</c:v>
                </c:pt>
                <c:pt idx="86">
                  <c:v>-5.013</c:v>
                </c:pt>
                <c:pt idx="87">
                  <c:v>-4.494</c:v>
                </c:pt>
                <c:pt idx="88">
                  <c:v>-4.144</c:v>
                </c:pt>
                <c:pt idx="89">
                  <c:v>-4.02</c:v>
                </c:pt>
                <c:pt idx="90">
                  <c:v>-4.127</c:v>
                </c:pt>
                <c:pt idx="91">
                  <c:v>-4.325</c:v>
                </c:pt>
                <c:pt idx="92">
                  <c:v>-4.882</c:v>
                </c:pt>
                <c:pt idx="93">
                  <c:v>-5.845</c:v>
                </c:pt>
                <c:pt idx="94">
                  <c:v>-6.759</c:v>
                </c:pt>
                <c:pt idx="95">
                  <c:v>-7.893</c:v>
                </c:pt>
                <c:pt idx="96">
                  <c:v>-8.777</c:v>
                </c:pt>
                <c:pt idx="97">
                  <c:v>-9.328</c:v>
                </c:pt>
                <c:pt idx="98">
                  <c:v>-9.522</c:v>
                </c:pt>
                <c:pt idx="99">
                  <c:v>-9.477</c:v>
                </c:pt>
                <c:pt idx="100">
                  <c:v>-9</c:v>
                </c:pt>
                <c:pt idx="101">
                  <c:v>-8.121</c:v>
                </c:pt>
                <c:pt idx="102">
                  <c:v>-6.985</c:v>
                </c:pt>
                <c:pt idx="103">
                  <c:v>-5.704</c:v>
                </c:pt>
                <c:pt idx="104">
                  <c:v>-4.644</c:v>
                </c:pt>
                <c:pt idx="105">
                  <c:v>-3.77</c:v>
                </c:pt>
                <c:pt idx="106">
                  <c:v>-3.101</c:v>
                </c:pt>
                <c:pt idx="107">
                  <c:v>-3.012</c:v>
                </c:pt>
                <c:pt idx="108">
                  <c:v>-3.277</c:v>
                </c:pt>
                <c:pt idx="109">
                  <c:v>-4.196</c:v>
                </c:pt>
                <c:pt idx="110">
                  <c:v>-5.567</c:v>
                </c:pt>
                <c:pt idx="111">
                  <c:v>-7.21</c:v>
                </c:pt>
                <c:pt idx="112">
                  <c:v>-8.662</c:v>
                </c:pt>
                <c:pt idx="113">
                  <c:v>-9.93</c:v>
                </c:pt>
                <c:pt idx="114">
                  <c:v>-10.65</c:v>
                </c:pt>
                <c:pt idx="115">
                  <c:v>-10.88</c:v>
                </c:pt>
                <c:pt idx="116">
                  <c:v>-10.65</c:v>
                </c:pt>
                <c:pt idx="117">
                  <c:v>-9.854</c:v>
                </c:pt>
                <c:pt idx="118">
                  <c:v>-8.493</c:v>
                </c:pt>
                <c:pt idx="119">
                  <c:v>-6.938</c:v>
                </c:pt>
                <c:pt idx="120">
                  <c:v>-5.548</c:v>
                </c:pt>
                <c:pt idx="121">
                  <c:v>-4.337</c:v>
                </c:pt>
                <c:pt idx="122">
                  <c:v>-3.468</c:v>
                </c:pt>
                <c:pt idx="123">
                  <c:v>-3.145</c:v>
                </c:pt>
                <c:pt idx="124">
                  <c:v>-3.351</c:v>
                </c:pt>
                <c:pt idx="125">
                  <c:v>-4.407</c:v>
                </c:pt>
                <c:pt idx="126">
                  <c:v>-6.057</c:v>
                </c:pt>
                <c:pt idx="127">
                  <c:v>-7.96</c:v>
                </c:pt>
                <c:pt idx="128">
                  <c:v>-9.904</c:v>
                </c:pt>
                <c:pt idx="129">
                  <c:v>-11.49</c:v>
                </c:pt>
                <c:pt idx="130">
                  <c:v>-12.43</c:v>
                </c:pt>
                <c:pt idx="131">
                  <c:v>-12.64</c:v>
                </c:pt>
                <c:pt idx="132">
                  <c:v>-12.36</c:v>
                </c:pt>
                <c:pt idx="133">
                  <c:v>-11.11</c:v>
                </c:pt>
                <c:pt idx="134">
                  <c:v>-9.604</c:v>
                </c:pt>
                <c:pt idx="135">
                  <c:v>-7.628</c:v>
                </c:pt>
                <c:pt idx="136">
                  <c:v>-5.633</c:v>
                </c:pt>
                <c:pt idx="137">
                  <c:v>-3.979</c:v>
                </c:pt>
                <c:pt idx="138">
                  <c:v>-2.833</c:v>
                </c:pt>
                <c:pt idx="139">
                  <c:v>-2.271</c:v>
                </c:pt>
                <c:pt idx="140">
                  <c:v>-2.39</c:v>
                </c:pt>
                <c:pt idx="141">
                  <c:v>-3.206</c:v>
                </c:pt>
                <c:pt idx="142">
                  <c:v>-4.868</c:v>
                </c:pt>
                <c:pt idx="143">
                  <c:v>-6.814</c:v>
                </c:pt>
                <c:pt idx="144">
                  <c:v>-8.937</c:v>
                </c:pt>
                <c:pt idx="145">
                  <c:v>-10.79</c:v>
                </c:pt>
                <c:pt idx="146">
                  <c:v>-11.99</c:v>
                </c:pt>
                <c:pt idx="147">
                  <c:v>-12.57</c:v>
                </c:pt>
                <c:pt idx="148">
                  <c:v>-12.43</c:v>
                </c:pt>
                <c:pt idx="149">
                  <c:v>-11.51</c:v>
                </c:pt>
                <c:pt idx="150">
                  <c:v>-10.07</c:v>
                </c:pt>
                <c:pt idx="151">
                  <c:v>-8.238</c:v>
                </c:pt>
                <c:pt idx="152">
                  <c:v>-6.256</c:v>
                </c:pt>
                <c:pt idx="153">
                  <c:v>-4.41</c:v>
                </c:pt>
                <c:pt idx="154">
                  <c:v>-2.932</c:v>
                </c:pt>
                <c:pt idx="155">
                  <c:v>-2.214</c:v>
                </c:pt>
                <c:pt idx="156">
                  <c:v>-2.113</c:v>
                </c:pt>
                <c:pt idx="157">
                  <c:v>-2.518</c:v>
                </c:pt>
                <c:pt idx="158">
                  <c:v>-3.93</c:v>
                </c:pt>
                <c:pt idx="159">
                  <c:v>-5.745</c:v>
                </c:pt>
                <c:pt idx="160">
                  <c:v>-7.847</c:v>
                </c:pt>
                <c:pt idx="161">
                  <c:v>-9.857</c:v>
                </c:pt>
                <c:pt idx="162">
                  <c:v>-11.48</c:v>
                </c:pt>
                <c:pt idx="163">
                  <c:v>-12.36</c:v>
                </c:pt>
                <c:pt idx="164">
                  <c:v>-12.57</c:v>
                </c:pt>
                <c:pt idx="165">
                  <c:v>-12.17</c:v>
                </c:pt>
                <c:pt idx="166">
                  <c:v>-10.9</c:v>
                </c:pt>
                <c:pt idx="167">
                  <c:v>-9.28</c:v>
                </c:pt>
                <c:pt idx="168">
                  <c:v>-7.434</c:v>
                </c:pt>
                <c:pt idx="169">
                  <c:v>-5.549</c:v>
                </c:pt>
                <c:pt idx="170">
                  <c:v>-4.02</c:v>
                </c:pt>
                <c:pt idx="171">
                  <c:v>-2.902</c:v>
                </c:pt>
                <c:pt idx="172">
                  <c:v>-2.354</c:v>
                </c:pt>
                <c:pt idx="173">
                  <c:v>-2.442</c:v>
                </c:pt>
                <c:pt idx="174">
                  <c:v>-3.263</c:v>
                </c:pt>
                <c:pt idx="175">
                  <c:v>-4.855</c:v>
                </c:pt>
                <c:pt idx="176">
                  <c:v>-6.786</c:v>
                </c:pt>
                <c:pt idx="177">
                  <c:v>-8.798</c:v>
                </c:pt>
                <c:pt idx="178">
                  <c:v>-10.59</c:v>
                </c:pt>
                <c:pt idx="179">
                  <c:v>-11.87</c:v>
                </c:pt>
                <c:pt idx="180">
                  <c:v>-12.41</c:v>
                </c:pt>
                <c:pt idx="181">
                  <c:v>-12.34</c:v>
                </c:pt>
                <c:pt idx="182">
                  <c:v>-11.42</c:v>
                </c:pt>
                <c:pt idx="183">
                  <c:v>-10.02</c:v>
                </c:pt>
                <c:pt idx="184">
                  <c:v>-8.283</c:v>
                </c:pt>
                <c:pt idx="185">
                  <c:v>-6.435</c:v>
                </c:pt>
                <c:pt idx="186">
                  <c:v>-4.73</c:v>
                </c:pt>
                <c:pt idx="187">
                  <c:v>-3.296</c:v>
                </c:pt>
                <c:pt idx="188">
                  <c:v>-2.583</c:v>
                </c:pt>
                <c:pt idx="189">
                  <c:v>-2.501</c:v>
                </c:pt>
                <c:pt idx="190">
                  <c:v>-2.893</c:v>
                </c:pt>
                <c:pt idx="191">
                  <c:v>-4.34</c:v>
                </c:pt>
                <c:pt idx="192">
                  <c:v>-6.22</c:v>
                </c:pt>
                <c:pt idx="193">
                  <c:v>-8.257</c:v>
                </c:pt>
                <c:pt idx="194">
                  <c:v>-10.23</c:v>
                </c:pt>
                <c:pt idx="195">
                  <c:v>-11.92</c:v>
                </c:pt>
                <c:pt idx="196">
                  <c:v>-12.8</c:v>
                </c:pt>
                <c:pt idx="197">
                  <c:v>-12.99</c:v>
                </c:pt>
                <c:pt idx="198">
                  <c:v>-12.51</c:v>
                </c:pt>
                <c:pt idx="199">
                  <c:v>-11.26</c:v>
                </c:pt>
                <c:pt idx="200">
                  <c:v>-9.744</c:v>
                </c:pt>
                <c:pt idx="201">
                  <c:v>-7.82</c:v>
                </c:pt>
                <c:pt idx="202">
                  <c:v>-6.122</c:v>
                </c:pt>
                <c:pt idx="203">
                  <c:v>-4.556</c:v>
                </c:pt>
                <c:pt idx="204">
                  <c:v>-3.499</c:v>
                </c:pt>
                <c:pt idx="205">
                  <c:v>-2.989</c:v>
                </c:pt>
                <c:pt idx="206">
                  <c:v>-3.399</c:v>
                </c:pt>
                <c:pt idx="207">
                  <c:v>-4.533</c:v>
                </c:pt>
                <c:pt idx="208">
                  <c:v>-6.23</c:v>
                </c:pt>
                <c:pt idx="209">
                  <c:v>-8.145</c:v>
                </c:pt>
                <c:pt idx="210">
                  <c:v>-10.32</c:v>
                </c:pt>
                <c:pt idx="211">
                  <c:v>-12.08</c:v>
                </c:pt>
                <c:pt idx="212">
                  <c:v>-13.12</c:v>
                </c:pt>
                <c:pt idx="213">
                  <c:v>-13.59</c:v>
                </c:pt>
                <c:pt idx="214">
                  <c:v>-13.13</c:v>
                </c:pt>
                <c:pt idx="215">
                  <c:v>-12.2</c:v>
                </c:pt>
                <c:pt idx="216">
                  <c:v>-10.6</c:v>
                </c:pt>
                <c:pt idx="217">
                  <c:v>-8.662</c:v>
                </c:pt>
                <c:pt idx="218">
                  <c:v>-6.707</c:v>
                </c:pt>
                <c:pt idx="219">
                  <c:v>-4.914</c:v>
                </c:pt>
                <c:pt idx="220">
                  <c:v>-3.612</c:v>
                </c:pt>
                <c:pt idx="221">
                  <c:v>-2.858</c:v>
                </c:pt>
                <c:pt idx="222">
                  <c:v>-2.842</c:v>
                </c:pt>
                <c:pt idx="223">
                  <c:v>-3.632</c:v>
                </c:pt>
                <c:pt idx="224">
                  <c:v>-5.14</c:v>
                </c:pt>
                <c:pt idx="225">
                  <c:v>-7.21</c:v>
                </c:pt>
                <c:pt idx="226">
                  <c:v>-9.323</c:v>
                </c:pt>
                <c:pt idx="227">
                  <c:v>-11.28</c:v>
                </c:pt>
                <c:pt idx="228">
                  <c:v>-12.88</c:v>
                </c:pt>
                <c:pt idx="229">
                  <c:v>-13.67</c:v>
                </c:pt>
                <c:pt idx="230">
                  <c:v>-13.72</c:v>
                </c:pt>
                <c:pt idx="231">
                  <c:v>-12.97</c:v>
                </c:pt>
                <c:pt idx="232">
                  <c:v>-11.38</c:v>
                </c:pt>
                <c:pt idx="233">
                  <c:v>-9.469</c:v>
                </c:pt>
                <c:pt idx="234">
                  <c:v>-7.593</c:v>
                </c:pt>
                <c:pt idx="235">
                  <c:v>-5.765</c:v>
                </c:pt>
                <c:pt idx="236">
                  <c:v>-4.731</c:v>
                </c:pt>
                <c:pt idx="237">
                  <c:v>-4.371</c:v>
                </c:pt>
                <c:pt idx="238">
                  <c:v>-4.584</c:v>
                </c:pt>
                <c:pt idx="239">
                  <c:v>-5.471</c:v>
                </c:pt>
                <c:pt idx="240">
                  <c:v>-6.956</c:v>
                </c:pt>
                <c:pt idx="241">
                  <c:v>-8.775</c:v>
                </c:pt>
                <c:pt idx="242">
                  <c:v>-10.54</c:v>
                </c:pt>
                <c:pt idx="243">
                  <c:v>-12.04</c:v>
                </c:pt>
                <c:pt idx="244">
                  <c:v>-12.9</c:v>
                </c:pt>
                <c:pt idx="245">
                  <c:v>-13.11</c:v>
                </c:pt>
                <c:pt idx="246">
                  <c:v>-12.67</c:v>
                </c:pt>
                <c:pt idx="247">
                  <c:v>-11.44</c:v>
                </c:pt>
                <c:pt idx="248">
                  <c:v>-9.969</c:v>
                </c:pt>
                <c:pt idx="249">
                  <c:v>-8.296</c:v>
                </c:pt>
                <c:pt idx="250">
                  <c:v>-6.701</c:v>
                </c:pt>
                <c:pt idx="251">
                  <c:v>-5.722</c:v>
                </c:pt>
                <c:pt idx="252">
                  <c:v>-5.047</c:v>
                </c:pt>
                <c:pt idx="253">
                  <c:v>-5.102</c:v>
                </c:pt>
                <c:pt idx="254">
                  <c:v>-5.965</c:v>
                </c:pt>
                <c:pt idx="255">
                  <c:v>-7.184</c:v>
                </c:pt>
                <c:pt idx="256">
                  <c:v>-8.652</c:v>
                </c:pt>
                <c:pt idx="257">
                  <c:v>-10.32</c:v>
                </c:pt>
                <c:pt idx="258">
                  <c:v>-11.56</c:v>
                </c:pt>
                <c:pt idx="259">
                  <c:v>-12.46</c:v>
                </c:pt>
                <c:pt idx="260">
                  <c:v>-12.7</c:v>
                </c:pt>
                <c:pt idx="261">
                  <c:v>-12.45</c:v>
                </c:pt>
                <c:pt idx="262">
                  <c:v>-11.55</c:v>
                </c:pt>
                <c:pt idx="263">
                  <c:v>-10.2</c:v>
                </c:pt>
                <c:pt idx="264">
                  <c:v>-8.653</c:v>
                </c:pt>
                <c:pt idx="265">
                  <c:v>-7.355</c:v>
                </c:pt>
                <c:pt idx="266">
                  <c:v>-6.515</c:v>
                </c:pt>
                <c:pt idx="267">
                  <c:v>-6.095</c:v>
                </c:pt>
                <c:pt idx="268">
                  <c:v>-6.209</c:v>
                </c:pt>
                <c:pt idx="269">
                  <c:v>-6.751</c:v>
                </c:pt>
                <c:pt idx="270">
                  <c:v>-7.848</c:v>
                </c:pt>
                <c:pt idx="271">
                  <c:v>-9.071</c:v>
                </c:pt>
                <c:pt idx="272">
                  <c:v>-10.5</c:v>
                </c:pt>
                <c:pt idx="273">
                  <c:v>-11.52</c:v>
                </c:pt>
                <c:pt idx="274">
                  <c:v>-12.22</c:v>
                </c:pt>
                <c:pt idx="275">
                  <c:v>-12.35</c:v>
                </c:pt>
                <c:pt idx="276">
                  <c:v>-12.03</c:v>
                </c:pt>
                <c:pt idx="277">
                  <c:v>-11.17</c:v>
                </c:pt>
                <c:pt idx="278">
                  <c:v>-10.12</c:v>
                </c:pt>
                <c:pt idx="279">
                  <c:v>-8.799</c:v>
                </c:pt>
                <c:pt idx="280">
                  <c:v>-7.722</c:v>
                </c:pt>
                <c:pt idx="281">
                  <c:v>-6.97</c:v>
                </c:pt>
                <c:pt idx="282">
                  <c:v>-6.747</c:v>
                </c:pt>
                <c:pt idx="283">
                  <c:v>-6.885</c:v>
                </c:pt>
                <c:pt idx="284">
                  <c:v>-7.526</c:v>
                </c:pt>
                <c:pt idx="285">
                  <c:v>-8.576</c:v>
                </c:pt>
                <c:pt idx="286">
                  <c:v>-9.713</c:v>
                </c:pt>
                <c:pt idx="287">
                  <c:v>-10.83</c:v>
                </c:pt>
                <c:pt idx="288">
                  <c:v>-11.63</c:v>
                </c:pt>
                <c:pt idx="289">
                  <c:v>-12.11</c:v>
                </c:pt>
                <c:pt idx="290">
                  <c:v>-12.08</c:v>
                </c:pt>
                <c:pt idx="291">
                  <c:v>-11.66</c:v>
                </c:pt>
                <c:pt idx="292">
                  <c:v>-10.81</c:v>
                </c:pt>
                <c:pt idx="293">
                  <c:v>-9.809</c:v>
                </c:pt>
                <c:pt idx="294">
                  <c:v>-8.692</c:v>
                </c:pt>
                <c:pt idx="295">
                  <c:v>-7.911</c:v>
                </c:pt>
                <c:pt idx="296">
                  <c:v>-7.371</c:v>
                </c:pt>
                <c:pt idx="297">
                  <c:v>-7.312</c:v>
                </c:pt>
                <c:pt idx="298">
                  <c:v>-7.577</c:v>
                </c:pt>
                <c:pt idx="299">
                  <c:v>-8.299</c:v>
                </c:pt>
                <c:pt idx="300">
                  <c:v>-9.19</c:v>
                </c:pt>
                <c:pt idx="301">
                  <c:v>-10.28</c:v>
                </c:pt>
                <c:pt idx="302">
                  <c:v>-11.11</c:v>
                </c:pt>
                <c:pt idx="303">
                  <c:v>-11.86</c:v>
                </c:pt>
                <c:pt idx="304">
                  <c:v>-12.02</c:v>
                </c:pt>
                <c:pt idx="305">
                  <c:v>-11.84</c:v>
                </c:pt>
                <c:pt idx="306">
                  <c:v>-11.19</c:v>
                </c:pt>
                <c:pt idx="307">
                  <c:v>-10.37</c:v>
                </c:pt>
                <c:pt idx="308">
                  <c:v>-9.369</c:v>
                </c:pt>
                <c:pt idx="309">
                  <c:v>-8.537</c:v>
                </c:pt>
                <c:pt idx="310">
                  <c:v>-8.019</c:v>
                </c:pt>
                <c:pt idx="311">
                  <c:v>-7.712</c:v>
                </c:pt>
                <c:pt idx="312">
                  <c:v>-7.819</c:v>
                </c:pt>
                <c:pt idx="313">
                  <c:v>-8.326</c:v>
                </c:pt>
                <c:pt idx="314">
                  <c:v>-9.014</c:v>
                </c:pt>
                <c:pt idx="315">
                  <c:v>-9.941</c:v>
                </c:pt>
                <c:pt idx="316">
                  <c:v>-10.79</c:v>
                </c:pt>
                <c:pt idx="317">
                  <c:v>-11.5</c:v>
                </c:pt>
                <c:pt idx="318">
                  <c:v>-11.85</c:v>
                </c:pt>
                <c:pt idx="319">
                  <c:v>-11.78</c:v>
                </c:pt>
                <c:pt idx="320">
                  <c:v>-11.47</c:v>
                </c:pt>
                <c:pt idx="321">
                  <c:v>-10.75</c:v>
                </c:pt>
                <c:pt idx="322">
                  <c:v>-9.909</c:v>
                </c:pt>
                <c:pt idx="323">
                  <c:v>-9.141</c:v>
                </c:pt>
                <c:pt idx="324">
                  <c:v>-8.465</c:v>
                </c:pt>
                <c:pt idx="325">
                  <c:v>-8.149</c:v>
                </c:pt>
                <c:pt idx="326">
                  <c:v>-8.139</c:v>
                </c:pt>
                <c:pt idx="327">
                  <c:v>-8.356</c:v>
                </c:pt>
                <c:pt idx="328">
                  <c:v>-8.799</c:v>
                </c:pt>
                <c:pt idx="329">
                  <c:v>-9.616</c:v>
                </c:pt>
                <c:pt idx="330">
                  <c:v>-10.43</c:v>
                </c:pt>
                <c:pt idx="331">
                  <c:v>-11.04</c:v>
                </c:pt>
                <c:pt idx="332">
                  <c:v>-11.41</c:v>
                </c:pt>
                <c:pt idx="333">
                  <c:v>-11.49</c:v>
                </c:pt>
                <c:pt idx="334">
                  <c:v>-11.26</c:v>
                </c:pt>
                <c:pt idx="335">
                  <c:v>-10.87</c:v>
                </c:pt>
                <c:pt idx="336">
                  <c:v>-10.22</c:v>
                </c:pt>
                <c:pt idx="337">
                  <c:v>-9.392</c:v>
                </c:pt>
                <c:pt idx="338">
                  <c:v>-8.78</c:v>
                </c:pt>
                <c:pt idx="339">
                  <c:v>-8.458</c:v>
                </c:pt>
                <c:pt idx="340">
                  <c:v>-8.282</c:v>
                </c:pt>
                <c:pt idx="341">
                  <c:v>-8.346</c:v>
                </c:pt>
                <c:pt idx="342">
                  <c:v>-8.669</c:v>
                </c:pt>
                <c:pt idx="343">
                  <c:v>-9.259</c:v>
                </c:pt>
                <c:pt idx="344">
                  <c:v>-10.08</c:v>
                </c:pt>
                <c:pt idx="345">
                  <c:v>-10.72</c:v>
                </c:pt>
                <c:pt idx="346">
                  <c:v>-11.05</c:v>
                </c:pt>
                <c:pt idx="347">
                  <c:v>-11.25</c:v>
                </c:pt>
                <c:pt idx="348">
                  <c:v>-11.25</c:v>
                </c:pt>
                <c:pt idx="349">
                  <c:v>-10.96</c:v>
                </c:pt>
                <c:pt idx="350">
                  <c:v>-10.45</c:v>
                </c:pt>
                <c:pt idx="351">
                  <c:v>-9.645</c:v>
                </c:pt>
                <c:pt idx="352">
                  <c:v>-8.938</c:v>
                </c:pt>
                <c:pt idx="353">
                  <c:v>-8.615</c:v>
                </c:pt>
                <c:pt idx="354">
                  <c:v>-8.436</c:v>
                </c:pt>
                <c:pt idx="355">
                  <c:v>-8.43</c:v>
                </c:pt>
                <c:pt idx="356">
                  <c:v>-8.641</c:v>
                </c:pt>
                <c:pt idx="357">
                  <c:v>-9.171</c:v>
                </c:pt>
                <c:pt idx="358">
                  <c:v>-9.826</c:v>
                </c:pt>
                <c:pt idx="359">
                  <c:v>-10.56</c:v>
                </c:pt>
                <c:pt idx="360">
                  <c:v>-10.89</c:v>
                </c:pt>
                <c:pt idx="361">
                  <c:v>-11.09</c:v>
                </c:pt>
                <c:pt idx="362">
                  <c:v>-11.17</c:v>
                </c:pt>
                <c:pt idx="363">
                  <c:v>-11.02</c:v>
                </c:pt>
                <c:pt idx="364">
                  <c:v>-10.6</c:v>
                </c:pt>
                <c:pt idx="365">
                  <c:v>-9.937</c:v>
                </c:pt>
                <c:pt idx="366">
                  <c:v>-9.308</c:v>
                </c:pt>
                <c:pt idx="367">
                  <c:v>-8.822</c:v>
                </c:pt>
                <c:pt idx="368">
                  <c:v>-8.582</c:v>
                </c:pt>
                <c:pt idx="369">
                  <c:v>-8.586</c:v>
                </c:pt>
                <c:pt idx="370">
                  <c:v>-8.747</c:v>
                </c:pt>
                <c:pt idx="371">
                  <c:v>-9.07</c:v>
                </c:pt>
                <c:pt idx="372">
                  <c:v>-9.642</c:v>
                </c:pt>
                <c:pt idx="373">
                  <c:v>-10.33</c:v>
                </c:pt>
                <c:pt idx="374">
                  <c:v>-10.72</c:v>
                </c:pt>
                <c:pt idx="375">
                  <c:v>-11</c:v>
                </c:pt>
                <c:pt idx="376">
                  <c:v>-11</c:v>
                </c:pt>
                <c:pt idx="377">
                  <c:v>-10.89</c:v>
                </c:pt>
                <c:pt idx="378">
                  <c:v>-10.65</c:v>
                </c:pt>
                <c:pt idx="379">
                  <c:v>-10.22</c:v>
                </c:pt>
                <c:pt idx="380">
                  <c:v>-9.729</c:v>
                </c:pt>
                <c:pt idx="381">
                  <c:v>-9.165</c:v>
                </c:pt>
                <c:pt idx="382">
                  <c:v>-8.931</c:v>
                </c:pt>
                <c:pt idx="383">
                  <c:v>-8.936</c:v>
                </c:pt>
                <c:pt idx="384">
                  <c:v>-9.062</c:v>
                </c:pt>
                <c:pt idx="385">
                  <c:v>-9.261</c:v>
                </c:pt>
                <c:pt idx="386">
                  <c:v>-9.724</c:v>
                </c:pt>
                <c:pt idx="387">
                  <c:v>-10.17</c:v>
                </c:pt>
                <c:pt idx="388">
                  <c:v>-10.68</c:v>
                </c:pt>
                <c:pt idx="389">
                  <c:v>-10.94</c:v>
                </c:pt>
                <c:pt idx="390">
                  <c:v>-11</c:v>
                </c:pt>
                <c:pt idx="391">
                  <c:v>-10.9</c:v>
                </c:pt>
                <c:pt idx="392">
                  <c:v>-10.73</c:v>
                </c:pt>
                <c:pt idx="393">
                  <c:v>-10.35</c:v>
                </c:pt>
                <c:pt idx="394">
                  <c:v>-9.895</c:v>
                </c:pt>
                <c:pt idx="395">
                  <c:v>-9.43</c:v>
                </c:pt>
                <c:pt idx="396">
                  <c:v>-9.172</c:v>
                </c:pt>
                <c:pt idx="397">
                  <c:v>-9.06</c:v>
                </c:pt>
                <c:pt idx="398">
                  <c:v>-9.145</c:v>
                </c:pt>
                <c:pt idx="399">
                  <c:v>-9.276</c:v>
                </c:pt>
                <c:pt idx="400">
                  <c:v>-9.728</c:v>
                </c:pt>
                <c:pt idx="401">
                  <c:v>-10.05</c:v>
                </c:pt>
                <c:pt idx="402">
                  <c:v>-10.53</c:v>
                </c:pt>
                <c:pt idx="403">
                  <c:v>-10.8</c:v>
                </c:pt>
                <c:pt idx="404">
                  <c:v>-10.91</c:v>
                </c:pt>
                <c:pt idx="405">
                  <c:v>-10.88</c:v>
                </c:pt>
                <c:pt idx="406">
                  <c:v>-10.72</c:v>
                </c:pt>
                <c:pt idx="407">
                  <c:v>-10.43</c:v>
                </c:pt>
                <c:pt idx="408">
                  <c:v>-9.998</c:v>
                </c:pt>
                <c:pt idx="409">
                  <c:v>-9.612</c:v>
                </c:pt>
                <c:pt idx="410">
                  <c:v>-9.248</c:v>
                </c:pt>
                <c:pt idx="411">
                  <c:v>-9.122</c:v>
                </c:pt>
                <c:pt idx="412">
                  <c:v>-9.122</c:v>
                </c:pt>
                <c:pt idx="413">
                  <c:v>-9.225</c:v>
                </c:pt>
                <c:pt idx="414">
                  <c:v>-9.535</c:v>
                </c:pt>
                <c:pt idx="415">
                  <c:v>-9.986</c:v>
                </c:pt>
                <c:pt idx="416">
                  <c:v>-10.47</c:v>
                </c:pt>
                <c:pt idx="417">
                  <c:v>-10.68</c:v>
                </c:pt>
                <c:pt idx="418">
                  <c:v>-10.85</c:v>
                </c:pt>
                <c:pt idx="419">
                  <c:v>-10.86</c:v>
                </c:pt>
                <c:pt idx="420">
                  <c:v>-10.77</c:v>
                </c:pt>
                <c:pt idx="421">
                  <c:v>-10.54</c:v>
                </c:pt>
                <c:pt idx="422">
                  <c:v>-10.12</c:v>
                </c:pt>
                <c:pt idx="423">
                  <c:v>-9.791</c:v>
                </c:pt>
                <c:pt idx="424">
                  <c:v>-9.437</c:v>
                </c:pt>
                <c:pt idx="425">
                  <c:v>-9.329</c:v>
                </c:pt>
                <c:pt idx="426">
                  <c:v>-9.272</c:v>
                </c:pt>
                <c:pt idx="427">
                  <c:v>-9.372</c:v>
                </c:pt>
                <c:pt idx="428">
                  <c:v>-9.747</c:v>
                </c:pt>
                <c:pt idx="429">
                  <c:v>-10.03</c:v>
                </c:pt>
                <c:pt idx="430">
                  <c:v>-10.41</c:v>
                </c:pt>
                <c:pt idx="431">
                  <c:v>-10.65</c:v>
                </c:pt>
                <c:pt idx="432">
                  <c:v>-10.85</c:v>
                </c:pt>
                <c:pt idx="433">
                  <c:v>-10.83</c:v>
                </c:pt>
                <c:pt idx="434">
                  <c:v>-10.73</c:v>
                </c:pt>
                <c:pt idx="435">
                  <c:v>-10.53</c:v>
                </c:pt>
                <c:pt idx="436">
                  <c:v>-10.13</c:v>
                </c:pt>
                <c:pt idx="437">
                  <c:v>-9.833</c:v>
                </c:pt>
                <c:pt idx="438">
                  <c:v>-9.609</c:v>
                </c:pt>
                <c:pt idx="439">
                  <c:v>-9.445</c:v>
                </c:pt>
                <c:pt idx="440">
                  <c:v>-9.501</c:v>
                </c:pt>
                <c:pt idx="441">
                  <c:v>-9.653</c:v>
                </c:pt>
                <c:pt idx="442">
                  <c:v>-9.85</c:v>
                </c:pt>
                <c:pt idx="443">
                  <c:v>-10.16</c:v>
                </c:pt>
                <c:pt idx="444">
                  <c:v>-10.41</c:v>
                </c:pt>
                <c:pt idx="445">
                  <c:v>-10.65</c:v>
                </c:pt>
                <c:pt idx="446">
                  <c:v>-10.81</c:v>
                </c:pt>
                <c:pt idx="447">
                  <c:v>-10.8</c:v>
                </c:pt>
                <c:pt idx="448">
                  <c:v>-10.73</c:v>
                </c:pt>
                <c:pt idx="449">
                  <c:v>-10.54</c:v>
                </c:pt>
                <c:pt idx="450">
                  <c:v>-10.27</c:v>
                </c:pt>
                <c:pt idx="451">
                  <c:v>-10.04</c:v>
                </c:pt>
                <c:pt idx="452">
                  <c:v>-9.838</c:v>
                </c:pt>
                <c:pt idx="453">
                  <c:v>-9.808</c:v>
                </c:pt>
                <c:pt idx="454">
                  <c:v>-9.891</c:v>
                </c:pt>
                <c:pt idx="455">
                  <c:v>-9.993</c:v>
                </c:pt>
                <c:pt idx="456">
                  <c:v>-10.12</c:v>
                </c:pt>
                <c:pt idx="457">
                  <c:v>-10.34</c:v>
                </c:pt>
                <c:pt idx="458">
                  <c:v>-10.61</c:v>
                </c:pt>
                <c:pt idx="459">
                  <c:v>-10.69</c:v>
                </c:pt>
                <c:pt idx="460">
                  <c:v>-10.82</c:v>
                </c:pt>
                <c:pt idx="461">
                  <c:v>-10.81</c:v>
                </c:pt>
                <c:pt idx="462">
                  <c:v>-10.73</c:v>
                </c:pt>
                <c:pt idx="463">
                  <c:v>-10.61</c:v>
                </c:pt>
                <c:pt idx="464">
                  <c:v>-10.29</c:v>
                </c:pt>
                <c:pt idx="465">
                  <c:v>-10.14</c:v>
                </c:pt>
                <c:pt idx="466">
                  <c:v>-9.958</c:v>
                </c:pt>
                <c:pt idx="467">
                  <c:v>-9.911</c:v>
                </c:pt>
                <c:pt idx="468">
                  <c:v>-9.945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'100低压_阻尼温差01 (3)'!$G$2</c:f>
              <c:strCache>
                <c:ptCount val="1"/>
                <c:pt idx="0">
                  <c:v>供电数据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'100低压_阻尼温差01 (3)'!$E$3:$E$471</c:f>
              <c:strCache>
                <c:ptCount val="469"/>
                <c:pt idx="0">
                  <c:v>t</c:v>
                </c:pt>
                <c:pt idx="1">
                  <c:v>0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0.2</c:v>
                </c:pt>
                <c:pt idx="6">
                  <c:v>0.25</c:v>
                </c:pt>
                <c:pt idx="7">
                  <c:v>0.3</c:v>
                </c:pt>
                <c:pt idx="8">
                  <c:v>0.35</c:v>
                </c:pt>
                <c:pt idx="9">
                  <c:v>0.4</c:v>
                </c:pt>
                <c:pt idx="10">
                  <c:v>0.45</c:v>
                </c:pt>
                <c:pt idx="11">
                  <c:v>0.5</c:v>
                </c:pt>
                <c:pt idx="12">
                  <c:v>0.55</c:v>
                </c:pt>
                <c:pt idx="13">
                  <c:v>0.6</c:v>
                </c:pt>
                <c:pt idx="14">
                  <c:v>0.65</c:v>
                </c:pt>
                <c:pt idx="15">
                  <c:v>0.7</c:v>
                </c:pt>
                <c:pt idx="16">
                  <c:v>0.75</c:v>
                </c:pt>
                <c:pt idx="17">
                  <c:v>0.8</c:v>
                </c:pt>
                <c:pt idx="18">
                  <c:v>0.85</c:v>
                </c:pt>
                <c:pt idx="19">
                  <c:v>0.9</c:v>
                </c:pt>
                <c:pt idx="20">
                  <c:v>0.95</c:v>
                </c:pt>
                <c:pt idx="21">
                  <c:v>1</c:v>
                </c:pt>
                <c:pt idx="22">
                  <c:v>1.05</c:v>
                </c:pt>
                <c:pt idx="23">
                  <c:v>1.1</c:v>
                </c:pt>
                <c:pt idx="24">
                  <c:v>1.15</c:v>
                </c:pt>
                <c:pt idx="25">
                  <c:v>1.2</c:v>
                </c:pt>
                <c:pt idx="26">
                  <c:v>1.25</c:v>
                </c:pt>
                <c:pt idx="27">
                  <c:v>1.3</c:v>
                </c:pt>
                <c:pt idx="28">
                  <c:v>1.35</c:v>
                </c:pt>
                <c:pt idx="29">
                  <c:v>1.4</c:v>
                </c:pt>
                <c:pt idx="30">
                  <c:v>1.45</c:v>
                </c:pt>
                <c:pt idx="31">
                  <c:v>1.5</c:v>
                </c:pt>
                <c:pt idx="32">
                  <c:v>1.55</c:v>
                </c:pt>
                <c:pt idx="33">
                  <c:v>1.6</c:v>
                </c:pt>
                <c:pt idx="34">
                  <c:v>1.65</c:v>
                </c:pt>
                <c:pt idx="35">
                  <c:v>1.7</c:v>
                </c:pt>
                <c:pt idx="36">
                  <c:v>1.75</c:v>
                </c:pt>
                <c:pt idx="37">
                  <c:v>1.8</c:v>
                </c:pt>
                <c:pt idx="38">
                  <c:v>1.85</c:v>
                </c:pt>
                <c:pt idx="39">
                  <c:v>1.9</c:v>
                </c:pt>
                <c:pt idx="40">
                  <c:v>1.95</c:v>
                </c:pt>
                <c:pt idx="41">
                  <c:v>2</c:v>
                </c:pt>
                <c:pt idx="42">
                  <c:v>2.05</c:v>
                </c:pt>
                <c:pt idx="43">
                  <c:v>2.1</c:v>
                </c:pt>
                <c:pt idx="44">
                  <c:v>2.15</c:v>
                </c:pt>
                <c:pt idx="45">
                  <c:v>2.2</c:v>
                </c:pt>
                <c:pt idx="46">
                  <c:v>2.25</c:v>
                </c:pt>
                <c:pt idx="47">
                  <c:v>2.3</c:v>
                </c:pt>
                <c:pt idx="48">
                  <c:v>2.35</c:v>
                </c:pt>
                <c:pt idx="49">
                  <c:v>2.4</c:v>
                </c:pt>
                <c:pt idx="50">
                  <c:v>2.45</c:v>
                </c:pt>
                <c:pt idx="51">
                  <c:v>2.5</c:v>
                </c:pt>
                <c:pt idx="52">
                  <c:v>2.55</c:v>
                </c:pt>
                <c:pt idx="53">
                  <c:v>2.6</c:v>
                </c:pt>
                <c:pt idx="54">
                  <c:v>2.65</c:v>
                </c:pt>
                <c:pt idx="55">
                  <c:v>2.7</c:v>
                </c:pt>
                <c:pt idx="56">
                  <c:v>2.75</c:v>
                </c:pt>
                <c:pt idx="57">
                  <c:v>2.8</c:v>
                </c:pt>
                <c:pt idx="58">
                  <c:v>2.85</c:v>
                </c:pt>
                <c:pt idx="59">
                  <c:v>2.9</c:v>
                </c:pt>
                <c:pt idx="60">
                  <c:v>2.95</c:v>
                </c:pt>
                <c:pt idx="61">
                  <c:v>3</c:v>
                </c:pt>
                <c:pt idx="62">
                  <c:v>3.05</c:v>
                </c:pt>
                <c:pt idx="63">
                  <c:v>3.1</c:v>
                </c:pt>
                <c:pt idx="64">
                  <c:v>3.15</c:v>
                </c:pt>
                <c:pt idx="65">
                  <c:v>3.2</c:v>
                </c:pt>
                <c:pt idx="66">
                  <c:v>3.25</c:v>
                </c:pt>
                <c:pt idx="67">
                  <c:v>3.3</c:v>
                </c:pt>
                <c:pt idx="68">
                  <c:v>3.35</c:v>
                </c:pt>
                <c:pt idx="69">
                  <c:v>3.4</c:v>
                </c:pt>
                <c:pt idx="70">
                  <c:v>3.45</c:v>
                </c:pt>
                <c:pt idx="71">
                  <c:v>3.5</c:v>
                </c:pt>
                <c:pt idx="72">
                  <c:v>3.55</c:v>
                </c:pt>
                <c:pt idx="73">
                  <c:v>3.6</c:v>
                </c:pt>
                <c:pt idx="74">
                  <c:v>3.65</c:v>
                </c:pt>
                <c:pt idx="75">
                  <c:v>3.7</c:v>
                </c:pt>
                <c:pt idx="76">
                  <c:v>3.75</c:v>
                </c:pt>
                <c:pt idx="77">
                  <c:v>3.8</c:v>
                </c:pt>
                <c:pt idx="78">
                  <c:v>3.85</c:v>
                </c:pt>
                <c:pt idx="79">
                  <c:v>3.9</c:v>
                </c:pt>
                <c:pt idx="80">
                  <c:v>3.95</c:v>
                </c:pt>
                <c:pt idx="81">
                  <c:v>4</c:v>
                </c:pt>
                <c:pt idx="82">
                  <c:v>4.05</c:v>
                </c:pt>
                <c:pt idx="83">
                  <c:v>4.1</c:v>
                </c:pt>
                <c:pt idx="84">
                  <c:v>4.15</c:v>
                </c:pt>
                <c:pt idx="85">
                  <c:v>4.2</c:v>
                </c:pt>
                <c:pt idx="86">
                  <c:v>4.25</c:v>
                </c:pt>
                <c:pt idx="87">
                  <c:v>4.3</c:v>
                </c:pt>
                <c:pt idx="88">
                  <c:v>4.35</c:v>
                </c:pt>
                <c:pt idx="89">
                  <c:v>4.4</c:v>
                </c:pt>
                <c:pt idx="90">
                  <c:v>4.45</c:v>
                </c:pt>
                <c:pt idx="91">
                  <c:v>4.5</c:v>
                </c:pt>
                <c:pt idx="92">
                  <c:v>4.55</c:v>
                </c:pt>
                <c:pt idx="93">
                  <c:v>4.6</c:v>
                </c:pt>
                <c:pt idx="94">
                  <c:v>4.65</c:v>
                </c:pt>
                <c:pt idx="95">
                  <c:v>4.7</c:v>
                </c:pt>
                <c:pt idx="96">
                  <c:v>4.75</c:v>
                </c:pt>
                <c:pt idx="97">
                  <c:v>4.8</c:v>
                </c:pt>
                <c:pt idx="98">
                  <c:v>4.85</c:v>
                </c:pt>
                <c:pt idx="99">
                  <c:v>4.9</c:v>
                </c:pt>
                <c:pt idx="100">
                  <c:v>4.95</c:v>
                </c:pt>
                <c:pt idx="101">
                  <c:v>5</c:v>
                </c:pt>
                <c:pt idx="102">
                  <c:v>5.05</c:v>
                </c:pt>
                <c:pt idx="103">
                  <c:v>5.1</c:v>
                </c:pt>
                <c:pt idx="104">
                  <c:v>5.15</c:v>
                </c:pt>
                <c:pt idx="105">
                  <c:v>5.2</c:v>
                </c:pt>
                <c:pt idx="106">
                  <c:v>5.25</c:v>
                </c:pt>
                <c:pt idx="107">
                  <c:v>5.3</c:v>
                </c:pt>
                <c:pt idx="108">
                  <c:v>5.35</c:v>
                </c:pt>
                <c:pt idx="109">
                  <c:v>5.4</c:v>
                </c:pt>
                <c:pt idx="110">
                  <c:v>5.45</c:v>
                </c:pt>
                <c:pt idx="111">
                  <c:v>5.5</c:v>
                </c:pt>
                <c:pt idx="112">
                  <c:v>5.55</c:v>
                </c:pt>
                <c:pt idx="113">
                  <c:v>5.6</c:v>
                </c:pt>
                <c:pt idx="114">
                  <c:v>5.65</c:v>
                </c:pt>
                <c:pt idx="115">
                  <c:v>5.7</c:v>
                </c:pt>
                <c:pt idx="116">
                  <c:v>5.75</c:v>
                </c:pt>
                <c:pt idx="117">
                  <c:v>5.8</c:v>
                </c:pt>
                <c:pt idx="118">
                  <c:v>5.85</c:v>
                </c:pt>
                <c:pt idx="119">
                  <c:v>5.9</c:v>
                </c:pt>
                <c:pt idx="120">
                  <c:v>5.95</c:v>
                </c:pt>
                <c:pt idx="121">
                  <c:v>6</c:v>
                </c:pt>
                <c:pt idx="122">
                  <c:v>6.05</c:v>
                </c:pt>
                <c:pt idx="123">
                  <c:v>6.1</c:v>
                </c:pt>
                <c:pt idx="124">
                  <c:v>6.15</c:v>
                </c:pt>
                <c:pt idx="125">
                  <c:v>6.2</c:v>
                </c:pt>
                <c:pt idx="126">
                  <c:v>6.25</c:v>
                </c:pt>
                <c:pt idx="127">
                  <c:v>6.3</c:v>
                </c:pt>
                <c:pt idx="128">
                  <c:v>6.35</c:v>
                </c:pt>
                <c:pt idx="129">
                  <c:v>6.4</c:v>
                </c:pt>
                <c:pt idx="130">
                  <c:v>6.45</c:v>
                </c:pt>
                <c:pt idx="131">
                  <c:v>6.5</c:v>
                </c:pt>
                <c:pt idx="132">
                  <c:v>6.55</c:v>
                </c:pt>
                <c:pt idx="133">
                  <c:v>6.6</c:v>
                </c:pt>
                <c:pt idx="134">
                  <c:v>6.65</c:v>
                </c:pt>
                <c:pt idx="135">
                  <c:v>6.7</c:v>
                </c:pt>
                <c:pt idx="136">
                  <c:v>6.75</c:v>
                </c:pt>
                <c:pt idx="137">
                  <c:v>6.8</c:v>
                </c:pt>
                <c:pt idx="138">
                  <c:v>6.85</c:v>
                </c:pt>
                <c:pt idx="139">
                  <c:v>6.9</c:v>
                </c:pt>
                <c:pt idx="140">
                  <c:v>6.95</c:v>
                </c:pt>
                <c:pt idx="141">
                  <c:v>7</c:v>
                </c:pt>
                <c:pt idx="142">
                  <c:v>7.05</c:v>
                </c:pt>
                <c:pt idx="143">
                  <c:v>7.1</c:v>
                </c:pt>
                <c:pt idx="144">
                  <c:v>7.15</c:v>
                </c:pt>
                <c:pt idx="145">
                  <c:v>7.2</c:v>
                </c:pt>
                <c:pt idx="146">
                  <c:v>7.25</c:v>
                </c:pt>
                <c:pt idx="147">
                  <c:v>7.3</c:v>
                </c:pt>
                <c:pt idx="148">
                  <c:v>7.35</c:v>
                </c:pt>
                <c:pt idx="149">
                  <c:v>7.4</c:v>
                </c:pt>
                <c:pt idx="150">
                  <c:v>7.45</c:v>
                </c:pt>
                <c:pt idx="151">
                  <c:v>7.5</c:v>
                </c:pt>
                <c:pt idx="152">
                  <c:v>7.55</c:v>
                </c:pt>
                <c:pt idx="153">
                  <c:v>7.6</c:v>
                </c:pt>
                <c:pt idx="154">
                  <c:v>7.65</c:v>
                </c:pt>
                <c:pt idx="155">
                  <c:v>7.7</c:v>
                </c:pt>
                <c:pt idx="156">
                  <c:v>7.75</c:v>
                </c:pt>
                <c:pt idx="157">
                  <c:v>7.8</c:v>
                </c:pt>
                <c:pt idx="158">
                  <c:v>7.85</c:v>
                </c:pt>
                <c:pt idx="159">
                  <c:v>7.9</c:v>
                </c:pt>
                <c:pt idx="160">
                  <c:v>7.95</c:v>
                </c:pt>
                <c:pt idx="161">
                  <c:v>8</c:v>
                </c:pt>
                <c:pt idx="162">
                  <c:v>8.05</c:v>
                </c:pt>
                <c:pt idx="163">
                  <c:v>8.1</c:v>
                </c:pt>
                <c:pt idx="164">
                  <c:v>8.15</c:v>
                </c:pt>
                <c:pt idx="165">
                  <c:v>8.2</c:v>
                </c:pt>
                <c:pt idx="166">
                  <c:v>8.25</c:v>
                </c:pt>
                <c:pt idx="167">
                  <c:v>8.3</c:v>
                </c:pt>
                <c:pt idx="168">
                  <c:v>8.35</c:v>
                </c:pt>
                <c:pt idx="169">
                  <c:v>8.4</c:v>
                </c:pt>
                <c:pt idx="170">
                  <c:v>8.45</c:v>
                </c:pt>
                <c:pt idx="171">
                  <c:v>8.5</c:v>
                </c:pt>
                <c:pt idx="172">
                  <c:v>8.55</c:v>
                </c:pt>
                <c:pt idx="173">
                  <c:v>8.6</c:v>
                </c:pt>
                <c:pt idx="174">
                  <c:v>8.65</c:v>
                </c:pt>
                <c:pt idx="175">
                  <c:v>8.7</c:v>
                </c:pt>
                <c:pt idx="176">
                  <c:v>8.75</c:v>
                </c:pt>
                <c:pt idx="177">
                  <c:v>8.8</c:v>
                </c:pt>
                <c:pt idx="178">
                  <c:v>8.85</c:v>
                </c:pt>
                <c:pt idx="179">
                  <c:v>8.9</c:v>
                </c:pt>
                <c:pt idx="180">
                  <c:v>8.95</c:v>
                </c:pt>
                <c:pt idx="181">
                  <c:v>9</c:v>
                </c:pt>
                <c:pt idx="182">
                  <c:v>9.05</c:v>
                </c:pt>
                <c:pt idx="183">
                  <c:v>9.1</c:v>
                </c:pt>
                <c:pt idx="184">
                  <c:v>9.15</c:v>
                </c:pt>
                <c:pt idx="185">
                  <c:v>9.2</c:v>
                </c:pt>
                <c:pt idx="186">
                  <c:v>9.25</c:v>
                </c:pt>
                <c:pt idx="187">
                  <c:v>9.3</c:v>
                </c:pt>
                <c:pt idx="188">
                  <c:v>9.35</c:v>
                </c:pt>
                <c:pt idx="189">
                  <c:v>9.4</c:v>
                </c:pt>
                <c:pt idx="190">
                  <c:v>9.45</c:v>
                </c:pt>
                <c:pt idx="191">
                  <c:v>9.5</c:v>
                </c:pt>
                <c:pt idx="192">
                  <c:v>9.55</c:v>
                </c:pt>
                <c:pt idx="193">
                  <c:v>9.6</c:v>
                </c:pt>
                <c:pt idx="194">
                  <c:v>9.65</c:v>
                </c:pt>
                <c:pt idx="195">
                  <c:v>9.7</c:v>
                </c:pt>
                <c:pt idx="196">
                  <c:v>9.75</c:v>
                </c:pt>
                <c:pt idx="197">
                  <c:v>9.8</c:v>
                </c:pt>
                <c:pt idx="198">
                  <c:v>9.85</c:v>
                </c:pt>
                <c:pt idx="199">
                  <c:v>9.9</c:v>
                </c:pt>
                <c:pt idx="200">
                  <c:v>9.95</c:v>
                </c:pt>
                <c:pt idx="201">
                  <c:v>10</c:v>
                </c:pt>
                <c:pt idx="202">
                  <c:v>10.05</c:v>
                </c:pt>
                <c:pt idx="203">
                  <c:v>10.1</c:v>
                </c:pt>
                <c:pt idx="204">
                  <c:v>10.15</c:v>
                </c:pt>
                <c:pt idx="205">
                  <c:v>10.2</c:v>
                </c:pt>
                <c:pt idx="206">
                  <c:v>10.25</c:v>
                </c:pt>
                <c:pt idx="207">
                  <c:v>10.3</c:v>
                </c:pt>
                <c:pt idx="208">
                  <c:v>10.35</c:v>
                </c:pt>
                <c:pt idx="209">
                  <c:v>10.4</c:v>
                </c:pt>
                <c:pt idx="210">
                  <c:v>10.45</c:v>
                </c:pt>
                <c:pt idx="211">
                  <c:v>10.5</c:v>
                </c:pt>
                <c:pt idx="212">
                  <c:v>10.55</c:v>
                </c:pt>
                <c:pt idx="213">
                  <c:v>10.6</c:v>
                </c:pt>
                <c:pt idx="214">
                  <c:v>10.65</c:v>
                </c:pt>
                <c:pt idx="215">
                  <c:v>10.7</c:v>
                </c:pt>
                <c:pt idx="216">
                  <c:v>10.75</c:v>
                </c:pt>
                <c:pt idx="217">
                  <c:v>10.8</c:v>
                </c:pt>
                <c:pt idx="218">
                  <c:v>10.85</c:v>
                </c:pt>
                <c:pt idx="219">
                  <c:v>10.9</c:v>
                </c:pt>
                <c:pt idx="220">
                  <c:v>10.95</c:v>
                </c:pt>
                <c:pt idx="221">
                  <c:v>11</c:v>
                </c:pt>
                <c:pt idx="222">
                  <c:v>11.05</c:v>
                </c:pt>
                <c:pt idx="223">
                  <c:v>11.1</c:v>
                </c:pt>
                <c:pt idx="224">
                  <c:v>11.15</c:v>
                </c:pt>
                <c:pt idx="225">
                  <c:v>11.2</c:v>
                </c:pt>
                <c:pt idx="226">
                  <c:v>11.25</c:v>
                </c:pt>
                <c:pt idx="227">
                  <c:v>11.3</c:v>
                </c:pt>
                <c:pt idx="228">
                  <c:v>11.35</c:v>
                </c:pt>
                <c:pt idx="229">
                  <c:v>11.4</c:v>
                </c:pt>
                <c:pt idx="230">
                  <c:v>11.45</c:v>
                </c:pt>
                <c:pt idx="231">
                  <c:v>11.5</c:v>
                </c:pt>
                <c:pt idx="232">
                  <c:v>11.55</c:v>
                </c:pt>
                <c:pt idx="233">
                  <c:v>11.6</c:v>
                </c:pt>
                <c:pt idx="234">
                  <c:v>11.65</c:v>
                </c:pt>
                <c:pt idx="235">
                  <c:v>11.7</c:v>
                </c:pt>
                <c:pt idx="236">
                  <c:v>11.75</c:v>
                </c:pt>
                <c:pt idx="237">
                  <c:v>11.8</c:v>
                </c:pt>
                <c:pt idx="238">
                  <c:v>11.85</c:v>
                </c:pt>
                <c:pt idx="239">
                  <c:v>11.9</c:v>
                </c:pt>
                <c:pt idx="240">
                  <c:v>11.95</c:v>
                </c:pt>
                <c:pt idx="241">
                  <c:v>12</c:v>
                </c:pt>
                <c:pt idx="242">
                  <c:v>12.05</c:v>
                </c:pt>
                <c:pt idx="243">
                  <c:v>12.1</c:v>
                </c:pt>
                <c:pt idx="244">
                  <c:v>12.15</c:v>
                </c:pt>
                <c:pt idx="245">
                  <c:v>12.2</c:v>
                </c:pt>
                <c:pt idx="246">
                  <c:v>12.25</c:v>
                </c:pt>
                <c:pt idx="247">
                  <c:v>12.3</c:v>
                </c:pt>
                <c:pt idx="248">
                  <c:v>12.35</c:v>
                </c:pt>
                <c:pt idx="249">
                  <c:v>12.4</c:v>
                </c:pt>
                <c:pt idx="250">
                  <c:v>12.45</c:v>
                </c:pt>
                <c:pt idx="251">
                  <c:v>12.5</c:v>
                </c:pt>
                <c:pt idx="252">
                  <c:v>12.55</c:v>
                </c:pt>
                <c:pt idx="253">
                  <c:v>12.6</c:v>
                </c:pt>
                <c:pt idx="254">
                  <c:v>12.65</c:v>
                </c:pt>
                <c:pt idx="255">
                  <c:v>12.7</c:v>
                </c:pt>
                <c:pt idx="256">
                  <c:v>12.75</c:v>
                </c:pt>
                <c:pt idx="257">
                  <c:v>12.8</c:v>
                </c:pt>
                <c:pt idx="258">
                  <c:v>12.85</c:v>
                </c:pt>
                <c:pt idx="259">
                  <c:v>12.9</c:v>
                </c:pt>
                <c:pt idx="260">
                  <c:v>12.95</c:v>
                </c:pt>
                <c:pt idx="261">
                  <c:v>13</c:v>
                </c:pt>
                <c:pt idx="262">
                  <c:v>13.05</c:v>
                </c:pt>
                <c:pt idx="263">
                  <c:v>13.1</c:v>
                </c:pt>
                <c:pt idx="264">
                  <c:v>13.15</c:v>
                </c:pt>
                <c:pt idx="265">
                  <c:v>13.2</c:v>
                </c:pt>
                <c:pt idx="266">
                  <c:v>13.25</c:v>
                </c:pt>
                <c:pt idx="267">
                  <c:v>13.3</c:v>
                </c:pt>
                <c:pt idx="268">
                  <c:v>13.35</c:v>
                </c:pt>
                <c:pt idx="269">
                  <c:v>13.4</c:v>
                </c:pt>
                <c:pt idx="270">
                  <c:v>13.45</c:v>
                </c:pt>
                <c:pt idx="271">
                  <c:v>13.5</c:v>
                </c:pt>
                <c:pt idx="272">
                  <c:v>13.55</c:v>
                </c:pt>
                <c:pt idx="273">
                  <c:v>13.6</c:v>
                </c:pt>
                <c:pt idx="274">
                  <c:v>13.65</c:v>
                </c:pt>
                <c:pt idx="275">
                  <c:v>13.7</c:v>
                </c:pt>
                <c:pt idx="276">
                  <c:v>13.75</c:v>
                </c:pt>
                <c:pt idx="277">
                  <c:v>13.8</c:v>
                </c:pt>
                <c:pt idx="278">
                  <c:v>13.85</c:v>
                </c:pt>
                <c:pt idx="279">
                  <c:v>13.9</c:v>
                </c:pt>
                <c:pt idx="280">
                  <c:v>13.95</c:v>
                </c:pt>
                <c:pt idx="281">
                  <c:v>14</c:v>
                </c:pt>
                <c:pt idx="282">
                  <c:v>14.05</c:v>
                </c:pt>
                <c:pt idx="283">
                  <c:v>14.1</c:v>
                </c:pt>
                <c:pt idx="284">
                  <c:v>14.15</c:v>
                </c:pt>
                <c:pt idx="285">
                  <c:v>14.2</c:v>
                </c:pt>
                <c:pt idx="286">
                  <c:v>14.25</c:v>
                </c:pt>
                <c:pt idx="287">
                  <c:v>14.3</c:v>
                </c:pt>
                <c:pt idx="288">
                  <c:v>14.35</c:v>
                </c:pt>
                <c:pt idx="289">
                  <c:v>14.4</c:v>
                </c:pt>
                <c:pt idx="290">
                  <c:v>14.45</c:v>
                </c:pt>
                <c:pt idx="291">
                  <c:v>14.5</c:v>
                </c:pt>
                <c:pt idx="292">
                  <c:v>14.55</c:v>
                </c:pt>
                <c:pt idx="293">
                  <c:v>14.6</c:v>
                </c:pt>
                <c:pt idx="294">
                  <c:v>14.65</c:v>
                </c:pt>
                <c:pt idx="295">
                  <c:v>14.7</c:v>
                </c:pt>
                <c:pt idx="296">
                  <c:v>14.75</c:v>
                </c:pt>
                <c:pt idx="297">
                  <c:v>14.8</c:v>
                </c:pt>
                <c:pt idx="298">
                  <c:v>14.85</c:v>
                </c:pt>
                <c:pt idx="299">
                  <c:v>14.9</c:v>
                </c:pt>
                <c:pt idx="300">
                  <c:v>14.95</c:v>
                </c:pt>
                <c:pt idx="301">
                  <c:v>15</c:v>
                </c:pt>
                <c:pt idx="302">
                  <c:v>15.05</c:v>
                </c:pt>
                <c:pt idx="303">
                  <c:v>15.1</c:v>
                </c:pt>
                <c:pt idx="304">
                  <c:v>15.15</c:v>
                </c:pt>
                <c:pt idx="305">
                  <c:v>15.2</c:v>
                </c:pt>
                <c:pt idx="306">
                  <c:v>15.25</c:v>
                </c:pt>
                <c:pt idx="307">
                  <c:v>15.3</c:v>
                </c:pt>
                <c:pt idx="308">
                  <c:v>15.35</c:v>
                </c:pt>
                <c:pt idx="309">
                  <c:v>15.4</c:v>
                </c:pt>
                <c:pt idx="310">
                  <c:v>15.45</c:v>
                </c:pt>
                <c:pt idx="311">
                  <c:v>15.5</c:v>
                </c:pt>
                <c:pt idx="312">
                  <c:v>15.55</c:v>
                </c:pt>
                <c:pt idx="313">
                  <c:v>15.6</c:v>
                </c:pt>
                <c:pt idx="314">
                  <c:v>15.65</c:v>
                </c:pt>
                <c:pt idx="315">
                  <c:v>15.7</c:v>
                </c:pt>
                <c:pt idx="316">
                  <c:v>15.75</c:v>
                </c:pt>
                <c:pt idx="317">
                  <c:v>15.8</c:v>
                </c:pt>
                <c:pt idx="318">
                  <c:v>15.85</c:v>
                </c:pt>
                <c:pt idx="319">
                  <c:v>15.9</c:v>
                </c:pt>
                <c:pt idx="320">
                  <c:v>15.95</c:v>
                </c:pt>
                <c:pt idx="321">
                  <c:v>16</c:v>
                </c:pt>
                <c:pt idx="322">
                  <c:v>16.05</c:v>
                </c:pt>
                <c:pt idx="323">
                  <c:v>16.1</c:v>
                </c:pt>
                <c:pt idx="324">
                  <c:v>16.15</c:v>
                </c:pt>
                <c:pt idx="325">
                  <c:v>16.2</c:v>
                </c:pt>
                <c:pt idx="326">
                  <c:v>16.25</c:v>
                </c:pt>
                <c:pt idx="327">
                  <c:v>16.3</c:v>
                </c:pt>
                <c:pt idx="328">
                  <c:v>16.35</c:v>
                </c:pt>
                <c:pt idx="329">
                  <c:v>16.4</c:v>
                </c:pt>
                <c:pt idx="330">
                  <c:v>16.45</c:v>
                </c:pt>
                <c:pt idx="331">
                  <c:v>16.5</c:v>
                </c:pt>
                <c:pt idx="332">
                  <c:v>16.55</c:v>
                </c:pt>
                <c:pt idx="333">
                  <c:v>16.6</c:v>
                </c:pt>
                <c:pt idx="334">
                  <c:v>16.65</c:v>
                </c:pt>
                <c:pt idx="335">
                  <c:v>16.7</c:v>
                </c:pt>
                <c:pt idx="336">
                  <c:v>16.75</c:v>
                </c:pt>
                <c:pt idx="337">
                  <c:v>16.8</c:v>
                </c:pt>
                <c:pt idx="338">
                  <c:v>16.85</c:v>
                </c:pt>
                <c:pt idx="339">
                  <c:v>16.9</c:v>
                </c:pt>
                <c:pt idx="340">
                  <c:v>16.95</c:v>
                </c:pt>
                <c:pt idx="341">
                  <c:v>17</c:v>
                </c:pt>
                <c:pt idx="342">
                  <c:v>17.05</c:v>
                </c:pt>
                <c:pt idx="343">
                  <c:v>17.1</c:v>
                </c:pt>
                <c:pt idx="344">
                  <c:v>17.15</c:v>
                </c:pt>
                <c:pt idx="345">
                  <c:v>17.2</c:v>
                </c:pt>
                <c:pt idx="346">
                  <c:v>17.25</c:v>
                </c:pt>
                <c:pt idx="347">
                  <c:v>17.3</c:v>
                </c:pt>
                <c:pt idx="348">
                  <c:v>17.35</c:v>
                </c:pt>
                <c:pt idx="349">
                  <c:v>17.4</c:v>
                </c:pt>
                <c:pt idx="350">
                  <c:v>17.45</c:v>
                </c:pt>
                <c:pt idx="351">
                  <c:v>17.5</c:v>
                </c:pt>
                <c:pt idx="352">
                  <c:v>17.55</c:v>
                </c:pt>
                <c:pt idx="353">
                  <c:v>17.6</c:v>
                </c:pt>
                <c:pt idx="354">
                  <c:v>17.65</c:v>
                </c:pt>
                <c:pt idx="355">
                  <c:v>17.7</c:v>
                </c:pt>
                <c:pt idx="356">
                  <c:v>17.75</c:v>
                </c:pt>
                <c:pt idx="357">
                  <c:v>17.8</c:v>
                </c:pt>
                <c:pt idx="358">
                  <c:v>17.85</c:v>
                </c:pt>
                <c:pt idx="359">
                  <c:v>17.9</c:v>
                </c:pt>
                <c:pt idx="360">
                  <c:v>17.95</c:v>
                </c:pt>
                <c:pt idx="361">
                  <c:v>18</c:v>
                </c:pt>
                <c:pt idx="362">
                  <c:v>18.05</c:v>
                </c:pt>
                <c:pt idx="363">
                  <c:v>18.1</c:v>
                </c:pt>
                <c:pt idx="364">
                  <c:v>18.15</c:v>
                </c:pt>
                <c:pt idx="365">
                  <c:v>18.2</c:v>
                </c:pt>
                <c:pt idx="366">
                  <c:v>18.25</c:v>
                </c:pt>
                <c:pt idx="367">
                  <c:v>18.3</c:v>
                </c:pt>
                <c:pt idx="368">
                  <c:v>18.35</c:v>
                </c:pt>
                <c:pt idx="369">
                  <c:v>18.4</c:v>
                </c:pt>
                <c:pt idx="370">
                  <c:v>18.45</c:v>
                </c:pt>
                <c:pt idx="371">
                  <c:v>18.5</c:v>
                </c:pt>
                <c:pt idx="372">
                  <c:v>18.55</c:v>
                </c:pt>
                <c:pt idx="373">
                  <c:v>18.6</c:v>
                </c:pt>
                <c:pt idx="374">
                  <c:v>18.65</c:v>
                </c:pt>
                <c:pt idx="375">
                  <c:v>18.7</c:v>
                </c:pt>
                <c:pt idx="376">
                  <c:v>18.75</c:v>
                </c:pt>
                <c:pt idx="377">
                  <c:v>18.8</c:v>
                </c:pt>
                <c:pt idx="378">
                  <c:v>18.85</c:v>
                </c:pt>
                <c:pt idx="379">
                  <c:v>18.9</c:v>
                </c:pt>
                <c:pt idx="380">
                  <c:v>18.95</c:v>
                </c:pt>
                <c:pt idx="381">
                  <c:v>19</c:v>
                </c:pt>
                <c:pt idx="382">
                  <c:v>19.05</c:v>
                </c:pt>
                <c:pt idx="383">
                  <c:v>19.1</c:v>
                </c:pt>
                <c:pt idx="384">
                  <c:v>19.15</c:v>
                </c:pt>
                <c:pt idx="385">
                  <c:v>19.2</c:v>
                </c:pt>
                <c:pt idx="386">
                  <c:v>19.25</c:v>
                </c:pt>
                <c:pt idx="387">
                  <c:v>19.3</c:v>
                </c:pt>
                <c:pt idx="388">
                  <c:v>19.35</c:v>
                </c:pt>
                <c:pt idx="389">
                  <c:v>19.4</c:v>
                </c:pt>
                <c:pt idx="390">
                  <c:v>19.45</c:v>
                </c:pt>
                <c:pt idx="391">
                  <c:v>19.5</c:v>
                </c:pt>
                <c:pt idx="392">
                  <c:v>19.55</c:v>
                </c:pt>
                <c:pt idx="393">
                  <c:v>19.6</c:v>
                </c:pt>
                <c:pt idx="394">
                  <c:v>19.65</c:v>
                </c:pt>
                <c:pt idx="395">
                  <c:v>19.7</c:v>
                </c:pt>
                <c:pt idx="396">
                  <c:v>19.75</c:v>
                </c:pt>
                <c:pt idx="397">
                  <c:v>19.8</c:v>
                </c:pt>
                <c:pt idx="398">
                  <c:v>19.85</c:v>
                </c:pt>
                <c:pt idx="399">
                  <c:v>19.9</c:v>
                </c:pt>
                <c:pt idx="400">
                  <c:v>19.95</c:v>
                </c:pt>
                <c:pt idx="401">
                  <c:v>20</c:v>
                </c:pt>
                <c:pt idx="402">
                  <c:v>20.05</c:v>
                </c:pt>
                <c:pt idx="403">
                  <c:v>20.1</c:v>
                </c:pt>
                <c:pt idx="404">
                  <c:v>20.15</c:v>
                </c:pt>
                <c:pt idx="405">
                  <c:v>20.2</c:v>
                </c:pt>
                <c:pt idx="406">
                  <c:v>20.25</c:v>
                </c:pt>
                <c:pt idx="407">
                  <c:v>20.3</c:v>
                </c:pt>
                <c:pt idx="408">
                  <c:v>20.35</c:v>
                </c:pt>
                <c:pt idx="409">
                  <c:v>20.4</c:v>
                </c:pt>
                <c:pt idx="410">
                  <c:v>20.45</c:v>
                </c:pt>
                <c:pt idx="411">
                  <c:v>20.5</c:v>
                </c:pt>
                <c:pt idx="412">
                  <c:v>20.55</c:v>
                </c:pt>
                <c:pt idx="413">
                  <c:v>20.6</c:v>
                </c:pt>
                <c:pt idx="414">
                  <c:v>20.65</c:v>
                </c:pt>
                <c:pt idx="415">
                  <c:v>20.7</c:v>
                </c:pt>
                <c:pt idx="416">
                  <c:v>20.75</c:v>
                </c:pt>
                <c:pt idx="417">
                  <c:v>20.8</c:v>
                </c:pt>
                <c:pt idx="418">
                  <c:v>20.85</c:v>
                </c:pt>
                <c:pt idx="419">
                  <c:v>20.9</c:v>
                </c:pt>
                <c:pt idx="420">
                  <c:v>20.95</c:v>
                </c:pt>
                <c:pt idx="421">
                  <c:v>21</c:v>
                </c:pt>
                <c:pt idx="422">
                  <c:v>21.05</c:v>
                </c:pt>
                <c:pt idx="423">
                  <c:v>21.1</c:v>
                </c:pt>
                <c:pt idx="424">
                  <c:v>21.15</c:v>
                </c:pt>
                <c:pt idx="425">
                  <c:v>21.2</c:v>
                </c:pt>
                <c:pt idx="426">
                  <c:v>21.25</c:v>
                </c:pt>
                <c:pt idx="427">
                  <c:v>21.3</c:v>
                </c:pt>
                <c:pt idx="428">
                  <c:v>21.35</c:v>
                </c:pt>
                <c:pt idx="429">
                  <c:v>21.4</c:v>
                </c:pt>
                <c:pt idx="430">
                  <c:v>21.45</c:v>
                </c:pt>
                <c:pt idx="431">
                  <c:v>21.5</c:v>
                </c:pt>
                <c:pt idx="432">
                  <c:v>21.55</c:v>
                </c:pt>
                <c:pt idx="433">
                  <c:v>21.6</c:v>
                </c:pt>
                <c:pt idx="434">
                  <c:v>21.65</c:v>
                </c:pt>
                <c:pt idx="435">
                  <c:v>21.7</c:v>
                </c:pt>
                <c:pt idx="436">
                  <c:v>21.75</c:v>
                </c:pt>
                <c:pt idx="437">
                  <c:v>21.8</c:v>
                </c:pt>
                <c:pt idx="438">
                  <c:v>21.85</c:v>
                </c:pt>
                <c:pt idx="439">
                  <c:v>21.9</c:v>
                </c:pt>
                <c:pt idx="440">
                  <c:v>21.95</c:v>
                </c:pt>
                <c:pt idx="441">
                  <c:v>22</c:v>
                </c:pt>
                <c:pt idx="442">
                  <c:v>22.05</c:v>
                </c:pt>
                <c:pt idx="443">
                  <c:v>22.1</c:v>
                </c:pt>
                <c:pt idx="444">
                  <c:v>22.15</c:v>
                </c:pt>
                <c:pt idx="445">
                  <c:v>22.2</c:v>
                </c:pt>
                <c:pt idx="446">
                  <c:v>22.25</c:v>
                </c:pt>
                <c:pt idx="447">
                  <c:v>22.3</c:v>
                </c:pt>
                <c:pt idx="448">
                  <c:v>22.35</c:v>
                </c:pt>
                <c:pt idx="449">
                  <c:v>22.4</c:v>
                </c:pt>
                <c:pt idx="450">
                  <c:v>22.45</c:v>
                </c:pt>
                <c:pt idx="451">
                  <c:v>22.5</c:v>
                </c:pt>
                <c:pt idx="452">
                  <c:v>22.55</c:v>
                </c:pt>
                <c:pt idx="453">
                  <c:v>22.6</c:v>
                </c:pt>
                <c:pt idx="454">
                  <c:v>22.65</c:v>
                </c:pt>
                <c:pt idx="455">
                  <c:v>22.7</c:v>
                </c:pt>
                <c:pt idx="456">
                  <c:v>22.75</c:v>
                </c:pt>
                <c:pt idx="457">
                  <c:v>22.8</c:v>
                </c:pt>
                <c:pt idx="458">
                  <c:v>22.85</c:v>
                </c:pt>
                <c:pt idx="459">
                  <c:v>22.9</c:v>
                </c:pt>
                <c:pt idx="460">
                  <c:v>22.95</c:v>
                </c:pt>
                <c:pt idx="461">
                  <c:v>23</c:v>
                </c:pt>
                <c:pt idx="462">
                  <c:v>23.05</c:v>
                </c:pt>
                <c:pt idx="463">
                  <c:v>23.1</c:v>
                </c:pt>
                <c:pt idx="464">
                  <c:v>23.15</c:v>
                </c:pt>
                <c:pt idx="465">
                  <c:v>23.2</c:v>
                </c:pt>
                <c:pt idx="466">
                  <c:v>23.25</c:v>
                </c:pt>
                <c:pt idx="467">
                  <c:v>23.3</c:v>
                </c:pt>
                <c:pt idx="468">
                  <c:v>23.35</c:v>
                </c:pt>
              </c:strCache>
            </c:strRef>
          </c:cat>
          <c:val>
            <c:numRef>
              <c:f>'100低压_阻尼温差01 (3)'!$G$3:$G$471</c:f>
              <c:numCache>
                <c:formatCode>General</c:formatCode>
                <c:ptCount val="469"/>
                <c:pt idx="0">
                  <c:v>0</c:v>
                </c:pt>
                <c:pt idx="1">
                  <c:v>-15</c:v>
                </c:pt>
                <c:pt idx="2">
                  <c:v>-15</c:v>
                </c:pt>
                <c:pt idx="3">
                  <c:v>-15</c:v>
                </c:pt>
                <c:pt idx="4">
                  <c:v>-15</c:v>
                </c:pt>
                <c:pt idx="5">
                  <c:v>-15</c:v>
                </c:pt>
                <c:pt idx="6">
                  <c:v>-15</c:v>
                </c:pt>
                <c:pt idx="7">
                  <c:v>-15</c:v>
                </c:pt>
                <c:pt idx="8">
                  <c:v>-15</c:v>
                </c:pt>
                <c:pt idx="9">
                  <c:v>-15</c:v>
                </c:pt>
                <c:pt idx="10">
                  <c:v>-15</c:v>
                </c:pt>
                <c:pt idx="11">
                  <c:v>-15</c:v>
                </c:pt>
                <c:pt idx="12">
                  <c:v>-15</c:v>
                </c:pt>
                <c:pt idx="13">
                  <c:v>-15</c:v>
                </c:pt>
                <c:pt idx="14">
                  <c:v>-15</c:v>
                </c:pt>
                <c:pt idx="15">
                  <c:v>-15</c:v>
                </c:pt>
                <c:pt idx="16">
                  <c:v>-15</c:v>
                </c:pt>
                <c:pt idx="17">
                  <c:v>-15</c:v>
                </c:pt>
                <c:pt idx="18">
                  <c:v>-15</c:v>
                </c:pt>
                <c:pt idx="19">
                  <c:v>-15</c:v>
                </c:pt>
                <c:pt idx="20">
                  <c:v>-15</c:v>
                </c:pt>
                <c:pt idx="21">
                  <c:v>-15</c:v>
                </c:pt>
                <c:pt idx="22">
                  <c:v>-15</c:v>
                </c:pt>
                <c:pt idx="23">
                  <c:v>-15</c:v>
                </c:pt>
                <c:pt idx="24">
                  <c:v>-15</c:v>
                </c:pt>
                <c:pt idx="25">
                  <c:v>-15</c:v>
                </c:pt>
                <c:pt idx="26">
                  <c:v>-15</c:v>
                </c:pt>
                <c:pt idx="27">
                  <c:v>-15</c:v>
                </c:pt>
                <c:pt idx="28">
                  <c:v>-15</c:v>
                </c:pt>
                <c:pt idx="29">
                  <c:v>-15</c:v>
                </c:pt>
                <c:pt idx="30">
                  <c:v>-15</c:v>
                </c:pt>
                <c:pt idx="31">
                  <c:v>-15</c:v>
                </c:pt>
                <c:pt idx="32">
                  <c:v>-15</c:v>
                </c:pt>
                <c:pt idx="33">
                  <c:v>-15</c:v>
                </c:pt>
                <c:pt idx="34">
                  <c:v>-15</c:v>
                </c:pt>
                <c:pt idx="35">
                  <c:v>-15</c:v>
                </c:pt>
                <c:pt idx="36">
                  <c:v>-15</c:v>
                </c:pt>
                <c:pt idx="37">
                  <c:v>-15</c:v>
                </c:pt>
                <c:pt idx="38">
                  <c:v>-15</c:v>
                </c:pt>
                <c:pt idx="39">
                  <c:v>-15</c:v>
                </c:pt>
                <c:pt idx="40">
                  <c:v>-15</c:v>
                </c:pt>
                <c:pt idx="41">
                  <c:v>-15</c:v>
                </c:pt>
                <c:pt idx="42">
                  <c:v>-15</c:v>
                </c:pt>
                <c:pt idx="43">
                  <c:v>-15</c:v>
                </c:pt>
                <c:pt idx="44">
                  <c:v>-15</c:v>
                </c:pt>
                <c:pt idx="45">
                  <c:v>-15</c:v>
                </c:pt>
                <c:pt idx="46">
                  <c:v>-15</c:v>
                </c:pt>
                <c:pt idx="47">
                  <c:v>-15</c:v>
                </c:pt>
                <c:pt idx="48">
                  <c:v>-15</c:v>
                </c:pt>
                <c:pt idx="49">
                  <c:v>-15</c:v>
                </c:pt>
                <c:pt idx="50">
                  <c:v>-15</c:v>
                </c:pt>
                <c:pt idx="51">
                  <c:v>-15</c:v>
                </c:pt>
                <c:pt idx="52">
                  <c:v>-15</c:v>
                </c:pt>
                <c:pt idx="53">
                  <c:v>-15</c:v>
                </c:pt>
                <c:pt idx="54">
                  <c:v>-15</c:v>
                </c:pt>
                <c:pt idx="55">
                  <c:v>-15</c:v>
                </c:pt>
                <c:pt idx="56">
                  <c:v>-15</c:v>
                </c:pt>
                <c:pt idx="57">
                  <c:v>-15</c:v>
                </c:pt>
                <c:pt idx="58">
                  <c:v>-15</c:v>
                </c:pt>
                <c:pt idx="59">
                  <c:v>-15</c:v>
                </c:pt>
                <c:pt idx="60">
                  <c:v>-15</c:v>
                </c:pt>
                <c:pt idx="61">
                  <c:v>-15</c:v>
                </c:pt>
                <c:pt idx="62">
                  <c:v>-15</c:v>
                </c:pt>
                <c:pt idx="63">
                  <c:v>-15</c:v>
                </c:pt>
                <c:pt idx="64">
                  <c:v>-15</c:v>
                </c:pt>
                <c:pt idx="65">
                  <c:v>-15</c:v>
                </c:pt>
                <c:pt idx="66">
                  <c:v>-15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-15</c:v>
                </c:pt>
                <c:pt idx="77">
                  <c:v>-15</c:v>
                </c:pt>
                <c:pt idx="78">
                  <c:v>-15</c:v>
                </c:pt>
                <c:pt idx="79">
                  <c:v>-15</c:v>
                </c:pt>
                <c:pt idx="80">
                  <c:v>-15</c:v>
                </c:pt>
                <c:pt idx="81">
                  <c:v>-15</c:v>
                </c:pt>
                <c:pt idx="82">
                  <c:v>-15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-15</c:v>
                </c:pt>
                <c:pt idx="93">
                  <c:v>-15</c:v>
                </c:pt>
                <c:pt idx="94">
                  <c:v>-15</c:v>
                </c:pt>
                <c:pt idx="95">
                  <c:v>-15</c:v>
                </c:pt>
                <c:pt idx="96">
                  <c:v>-15</c:v>
                </c:pt>
                <c:pt idx="97">
                  <c:v>-15</c:v>
                </c:pt>
                <c:pt idx="98">
                  <c:v>-15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-15</c:v>
                </c:pt>
                <c:pt idx="109">
                  <c:v>-15</c:v>
                </c:pt>
                <c:pt idx="110">
                  <c:v>-15</c:v>
                </c:pt>
                <c:pt idx="111">
                  <c:v>-15</c:v>
                </c:pt>
                <c:pt idx="112">
                  <c:v>-15</c:v>
                </c:pt>
                <c:pt idx="113">
                  <c:v>-15</c:v>
                </c:pt>
                <c:pt idx="114">
                  <c:v>-15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-15</c:v>
                </c:pt>
                <c:pt idx="125">
                  <c:v>-15</c:v>
                </c:pt>
                <c:pt idx="126">
                  <c:v>-15</c:v>
                </c:pt>
                <c:pt idx="127">
                  <c:v>-15</c:v>
                </c:pt>
                <c:pt idx="128">
                  <c:v>-15</c:v>
                </c:pt>
                <c:pt idx="129">
                  <c:v>-15</c:v>
                </c:pt>
                <c:pt idx="130">
                  <c:v>-15</c:v>
                </c:pt>
                <c:pt idx="131">
                  <c:v>-15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-15</c:v>
                </c:pt>
                <c:pt idx="141">
                  <c:v>-15</c:v>
                </c:pt>
                <c:pt idx="142">
                  <c:v>-15</c:v>
                </c:pt>
                <c:pt idx="143">
                  <c:v>-15</c:v>
                </c:pt>
                <c:pt idx="144">
                  <c:v>-15</c:v>
                </c:pt>
                <c:pt idx="145">
                  <c:v>-15</c:v>
                </c:pt>
                <c:pt idx="146">
                  <c:v>-15</c:v>
                </c:pt>
                <c:pt idx="147">
                  <c:v>-15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-15</c:v>
                </c:pt>
                <c:pt idx="158">
                  <c:v>-15</c:v>
                </c:pt>
                <c:pt idx="159">
                  <c:v>-15</c:v>
                </c:pt>
                <c:pt idx="160">
                  <c:v>-15</c:v>
                </c:pt>
                <c:pt idx="161">
                  <c:v>-15</c:v>
                </c:pt>
                <c:pt idx="162">
                  <c:v>-15</c:v>
                </c:pt>
                <c:pt idx="163">
                  <c:v>-15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-15</c:v>
                </c:pt>
                <c:pt idx="174">
                  <c:v>-15</c:v>
                </c:pt>
                <c:pt idx="175">
                  <c:v>-15</c:v>
                </c:pt>
                <c:pt idx="176">
                  <c:v>-15</c:v>
                </c:pt>
                <c:pt idx="177">
                  <c:v>-15</c:v>
                </c:pt>
                <c:pt idx="178">
                  <c:v>-15</c:v>
                </c:pt>
                <c:pt idx="179">
                  <c:v>-15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-15</c:v>
                </c:pt>
                <c:pt idx="190">
                  <c:v>-15</c:v>
                </c:pt>
                <c:pt idx="191">
                  <c:v>-15</c:v>
                </c:pt>
                <c:pt idx="192">
                  <c:v>-15</c:v>
                </c:pt>
                <c:pt idx="193">
                  <c:v>-15</c:v>
                </c:pt>
                <c:pt idx="194">
                  <c:v>-15</c:v>
                </c:pt>
                <c:pt idx="195">
                  <c:v>-15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-15</c:v>
                </c:pt>
                <c:pt idx="206">
                  <c:v>-15</c:v>
                </c:pt>
                <c:pt idx="207">
                  <c:v>-15</c:v>
                </c:pt>
                <c:pt idx="208">
                  <c:v>-15</c:v>
                </c:pt>
                <c:pt idx="209">
                  <c:v>-15</c:v>
                </c:pt>
                <c:pt idx="210">
                  <c:v>-15</c:v>
                </c:pt>
                <c:pt idx="211">
                  <c:v>-15</c:v>
                </c:pt>
                <c:pt idx="212">
                  <c:v>-15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-15</c:v>
                </c:pt>
                <c:pt idx="222">
                  <c:v>-15</c:v>
                </c:pt>
                <c:pt idx="223">
                  <c:v>-15</c:v>
                </c:pt>
                <c:pt idx="224">
                  <c:v>-15</c:v>
                </c:pt>
                <c:pt idx="225">
                  <c:v>-15</c:v>
                </c:pt>
                <c:pt idx="226">
                  <c:v>-15</c:v>
                </c:pt>
                <c:pt idx="227">
                  <c:v>-15</c:v>
                </c:pt>
                <c:pt idx="228">
                  <c:v>-15</c:v>
                </c:pt>
                <c:pt idx="229">
                  <c:v>-15</c:v>
                </c:pt>
                <c:pt idx="230">
                  <c:v>-15</c:v>
                </c:pt>
                <c:pt idx="231">
                  <c:v>-15</c:v>
                </c:pt>
                <c:pt idx="232">
                  <c:v>-15</c:v>
                </c:pt>
                <c:pt idx="233">
                  <c:v>-15</c:v>
                </c:pt>
                <c:pt idx="234">
                  <c:v>-15</c:v>
                </c:pt>
                <c:pt idx="235">
                  <c:v>-15</c:v>
                </c:pt>
                <c:pt idx="236">
                  <c:v>-15</c:v>
                </c:pt>
                <c:pt idx="237">
                  <c:v>-15</c:v>
                </c:pt>
                <c:pt idx="238">
                  <c:v>-15</c:v>
                </c:pt>
                <c:pt idx="239">
                  <c:v>-15</c:v>
                </c:pt>
                <c:pt idx="240">
                  <c:v>-15</c:v>
                </c:pt>
                <c:pt idx="241">
                  <c:v>-15</c:v>
                </c:pt>
                <c:pt idx="242">
                  <c:v>-15</c:v>
                </c:pt>
                <c:pt idx="243">
                  <c:v>-15</c:v>
                </c:pt>
                <c:pt idx="244">
                  <c:v>-15</c:v>
                </c:pt>
                <c:pt idx="245">
                  <c:v>-15</c:v>
                </c:pt>
                <c:pt idx="246">
                  <c:v>-15</c:v>
                </c:pt>
                <c:pt idx="247">
                  <c:v>-15</c:v>
                </c:pt>
                <c:pt idx="248">
                  <c:v>-15</c:v>
                </c:pt>
                <c:pt idx="249">
                  <c:v>-15</c:v>
                </c:pt>
                <c:pt idx="250">
                  <c:v>-15</c:v>
                </c:pt>
                <c:pt idx="251">
                  <c:v>-15</c:v>
                </c:pt>
                <c:pt idx="252">
                  <c:v>-15</c:v>
                </c:pt>
                <c:pt idx="253">
                  <c:v>-15</c:v>
                </c:pt>
                <c:pt idx="254">
                  <c:v>-15</c:v>
                </c:pt>
                <c:pt idx="255">
                  <c:v>-15</c:v>
                </c:pt>
                <c:pt idx="256">
                  <c:v>-15</c:v>
                </c:pt>
                <c:pt idx="257">
                  <c:v>-15</c:v>
                </c:pt>
                <c:pt idx="258">
                  <c:v>-15</c:v>
                </c:pt>
                <c:pt idx="259">
                  <c:v>-15</c:v>
                </c:pt>
                <c:pt idx="260">
                  <c:v>-15</c:v>
                </c:pt>
                <c:pt idx="261">
                  <c:v>-15</c:v>
                </c:pt>
                <c:pt idx="262">
                  <c:v>-15</c:v>
                </c:pt>
                <c:pt idx="263">
                  <c:v>-15</c:v>
                </c:pt>
                <c:pt idx="264">
                  <c:v>-15</c:v>
                </c:pt>
                <c:pt idx="265">
                  <c:v>-15</c:v>
                </c:pt>
                <c:pt idx="266">
                  <c:v>-15</c:v>
                </c:pt>
                <c:pt idx="267">
                  <c:v>-15</c:v>
                </c:pt>
                <c:pt idx="268">
                  <c:v>-15</c:v>
                </c:pt>
                <c:pt idx="269">
                  <c:v>-15</c:v>
                </c:pt>
                <c:pt idx="270">
                  <c:v>-15</c:v>
                </c:pt>
                <c:pt idx="271">
                  <c:v>-15</c:v>
                </c:pt>
                <c:pt idx="272">
                  <c:v>-15</c:v>
                </c:pt>
                <c:pt idx="273">
                  <c:v>-15</c:v>
                </c:pt>
                <c:pt idx="274">
                  <c:v>-15</c:v>
                </c:pt>
                <c:pt idx="275">
                  <c:v>-15</c:v>
                </c:pt>
                <c:pt idx="276">
                  <c:v>-15</c:v>
                </c:pt>
                <c:pt idx="277">
                  <c:v>-15</c:v>
                </c:pt>
                <c:pt idx="278">
                  <c:v>-15</c:v>
                </c:pt>
                <c:pt idx="279">
                  <c:v>-15</c:v>
                </c:pt>
                <c:pt idx="280">
                  <c:v>-15</c:v>
                </c:pt>
                <c:pt idx="281">
                  <c:v>-15</c:v>
                </c:pt>
                <c:pt idx="282">
                  <c:v>-15</c:v>
                </c:pt>
                <c:pt idx="283">
                  <c:v>-15</c:v>
                </c:pt>
                <c:pt idx="284">
                  <c:v>-15</c:v>
                </c:pt>
                <c:pt idx="285">
                  <c:v>-15</c:v>
                </c:pt>
                <c:pt idx="286">
                  <c:v>-15</c:v>
                </c:pt>
                <c:pt idx="287">
                  <c:v>-15</c:v>
                </c:pt>
                <c:pt idx="288">
                  <c:v>-15</c:v>
                </c:pt>
                <c:pt idx="289">
                  <c:v>-15</c:v>
                </c:pt>
                <c:pt idx="290">
                  <c:v>-15</c:v>
                </c:pt>
                <c:pt idx="291">
                  <c:v>-15</c:v>
                </c:pt>
                <c:pt idx="292">
                  <c:v>-15</c:v>
                </c:pt>
                <c:pt idx="293">
                  <c:v>-15</c:v>
                </c:pt>
                <c:pt idx="294">
                  <c:v>-15</c:v>
                </c:pt>
                <c:pt idx="295">
                  <c:v>-15</c:v>
                </c:pt>
                <c:pt idx="296">
                  <c:v>-15</c:v>
                </c:pt>
                <c:pt idx="297">
                  <c:v>-15</c:v>
                </c:pt>
                <c:pt idx="298">
                  <c:v>-15</c:v>
                </c:pt>
                <c:pt idx="299">
                  <c:v>-15</c:v>
                </c:pt>
                <c:pt idx="300">
                  <c:v>-15</c:v>
                </c:pt>
                <c:pt idx="301">
                  <c:v>-15</c:v>
                </c:pt>
                <c:pt idx="302">
                  <c:v>-15</c:v>
                </c:pt>
                <c:pt idx="303">
                  <c:v>-15</c:v>
                </c:pt>
                <c:pt idx="304">
                  <c:v>-15</c:v>
                </c:pt>
                <c:pt idx="305">
                  <c:v>-15</c:v>
                </c:pt>
                <c:pt idx="306">
                  <c:v>-15</c:v>
                </c:pt>
                <c:pt idx="307">
                  <c:v>-15</c:v>
                </c:pt>
                <c:pt idx="308">
                  <c:v>-15</c:v>
                </c:pt>
                <c:pt idx="309">
                  <c:v>-15</c:v>
                </c:pt>
                <c:pt idx="310">
                  <c:v>-15</c:v>
                </c:pt>
                <c:pt idx="311">
                  <c:v>-15</c:v>
                </c:pt>
                <c:pt idx="312">
                  <c:v>-15</c:v>
                </c:pt>
                <c:pt idx="313">
                  <c:v>-15</c:v>
                </c:pt>
                <c:pt idx="314">
                  <c:v>-15</c:v>
                </c:pt>
                <c:pt idx="315">
                  <c:v>-15</c:v>
                </c:pt>
                <c:pt idx="316">
                  <c:v>-15</c:v>
                </c:pt>
                <c:pt idx="317">
                  <c:v>-15</c:v>
                </c:pt>
                <c:pt idx="318">
                  <c:v>-15</c:v>
                </c:pt>
                <c:pt idx="319">
                  <c:v>-15</c:v>
                </c:pt>
                <c:pt idx="320">
                  <c:v>-15</c:v>
                </c:pt>
                <c:pt idx="321">
                  <c:v>-15</c:v>
                </c:pt>
                <c:pt idx="322">
                  <c:v>-15</c:v>
                </c:pt>
                <c:pt idx="323">
                  <c:v>-15</c:v>
                </c:pt>
                <c:pt idx="324">
                  <c:v>-15</c:v>
                </c:pt>
                <c:pt idx="325">
                  <c:v>-15</c:v>
                </c:pt>
                <c:pt idx="326">
                  <c:v>-15</c:v>
                </c:pt>
                <c:pt idx="327">
                  <c:v>-15</c:v>
                </c:pt>
                <c:pt idx="328">
                  <c:v>-15</c:v>
                </c:pt>
                <c:pt idx="329">
                  <c:v>-15</c:v>
                </c:pt>
                <c:pt idx="330">
                  <c:v>-15</c:v>
                </c:pt>
                <c:pt idx="331">
                  <c:v>-15</c:v>
                </c:pt>
                <c:pt idx="332">
                  <c:v>-15</c:v>
                </c:pt>
                <c:pt idx="333">
                  <c:v>-15</c:v>
                </c:pt>
                <c:pt idx="334">
                  <c:v>-15</c:v>
                </c:pt>
                <c:pt idx="335">
                  <c:v>-15</c:v>
                </c:pt>
                <c:pt idx="336">
                  <c:v>-15</c:v>
                </c:pt>
                <c:pt idx="337">
                  <c:v>-15</c:v>
                </c:pt>
                <c:pt idx="338">
                  <c:v>-15</c:v>
                </c:pt>
                <c:pt idx="339">
                  <c:v>-15</c:v>
                </c:pt>
                <c:pt idx="340">
                  <c:v>-15</c:v>
                </c:pt>
                <c:pt idx="341">
                  <c:v>-15</c:v>
                </c:pt>
                <c:pt idx="342">
                  <c:v>-15</c:v>
                </c:pt>
                <c:pt idx="343">
                  <c:v>-15</c:v>
                </c:pt>
                <c:pt idx="344">
                  <c:v>-15</c:v>
                </c:pt>
                <c:pt idx="345">
                  <c:v>-15</c:v>
                </c:pt>
                <c:pt idx="346">
                  <c:v>-15</c:v>
                </c:pt>
                <c:pt idx="347">
                  <c:v>-15</c:v>
                </c:pt>
                <c:pt idx="348">
                  <c:v>-15</c:v>
                </c:pt>
                <c:pt idx="349">
                  <c:v>-15</c:v>
                </c:pt>
                <c:pt idx="350">
                  <c:v>-15</c:v>
                </c:pt>
                <c:pt idx="351">
                  <c:v>-15</c:v>
                </c:pt>
                <c:pt idx="352">
                  <c:v>-15</c:v>
                </c:pt>
                <c:pt idx="353">
                  <c:v>-15</c:v>
                </c:pt>
                <c:pt idx="354">
                  <c:v>-15</c:v>
                </c:pt>
                <c:pt idx="355">
                  <c:v>-15</c:v>
                </c:pt>
                <c:pt idx="356">
                  <c:v>-15</c:v>
                </c:pt>
                <c:pt idx="357">
                  <c:v>-15</c:v>
                </c:pt>
                <c:pt idx="358">
                  <c:v>-15</c:v>
                </c:pt>
                <c:pt idx="359">
                  <c:v>-15</c:v>
                </c:pt>
                <c:pt idx="360">
                  <c:v>-15</c:v>
                </c:pt>
                <c:pt idx="361">
                  <c:v>-15</c:v>
                </c:pt>
                <c:pt idx="362">
                  <c:v>-15</c:v>
                </c:pt>
                <c:pt idx="363">
                  <c:v>-15</c:v>
                </c:pt>
                <c:pt idx="364">
                  <c:v>-15</c:v>
                </c:pt>
                <c:pt idx="365">
                  <c:v>-15</c:v>
                </c:pt>
                <c:pt idx="366">
                  <c:v>-15</c:v>
                </c:pt>
                <c:pt idx="367">
                  <c:v>-15</c:v>
                </c:pt>
                <c:pt idx="368">
                  <c:v>-15</c:v>
                </c:pt>
                <c:pt idx="369">
                  <c:v>-15</c:v>
                </c:pt>
                <c:pt idx="370">
                  <c:v>-15</c:v>
                </c:pt>
                <c:pt idx="371">
                  <c:v>-15</c:v>
                </c:pt>
                <c:pt idx="372">
                  <c:v>-15</c:v>
                </c:pt>
                <c:pt idx="373">
                  <c:v>-15</c:v>
                </c:pt>
                <c:pt idx="374">
                  <c:v>-15</c:v>
                </c:pt>
                <c:pt idx="375">
                  <c:v>-15</c:v>
                </c:pt>
                <c:pt idx="376">
                  <c:v>-15</c:v>
                </c:pt>
                <c:pt idx="377">
                  <c:v>-15</c:v>
                </c:pt>
                <c:pt idx="378">
                  <c:v>-15</c:v>
                </c:pt>
                <c:pt idx="379">
                  <c:v>-15</c:v>
                </c:pt>
                <c:pt idx="380">
                  <c:v>-15</c:v>
                </c:pt>
                <c:pt idx="381">
                  <c:v>-15</c:v>
                </c:pt>
                <c:pt idx="382">
                  <c:v>-15</c:v>
                </c:pt>
                <c:pt idx="383">
                  <c:v>-15</c:v>
                </c:pt>
                <c:pt idx="384">
                  <c:v>-15</c:v>
                </c:pt>
                <c:pt idx="385">
                  <c:v>-15</c:v>
                </c:pt>
                <c:pt idx="386">
                  <c:v>-15</c:v>
                </c:pt>
                <c:pt idx="387">
                  <c:v>-15</c:v>
                </c:pt>
                <c:pt idx="388">
                  <c:v>-15</c:v>
                </c:pt>
                <c:pt idx="389">
                  <c:v>-15</c:v>
                </c:pt>
                <c:pt idx="390">
                  <c:v>-15</c:v>
                </c:pt>
                <c:pt idx="391">
                  <c:v>-15</c:v>
                </c:pt>
                <c:pt idx="392">
                  <c:v>-15</c:v>
                </c:pt>
                <c:pt idx="393">
                  <c:v>-15</c:v>
                </c:pt>
                <c:pt idx="394">
                  <c:v>-15</c:v>
                </c:pt>
                <c:pt idx="395">
                  <c:v>-15</c:v>
                </c:pt>
                <c:pt idx="396">
                  <c:v>-15</c:v>
                </c:pt>
                <c:pt idx="397">
                  <c:v>-15</c:v>
                </c:pt>
                <c:pt idx="398">
                  <c:v>-15</c:v>
                </c:pt>
                <c:pt idx="399">
                  <c:v>-15</c:v>
                </c:pt>
                <c:pt idx="400">
                  <c:v>-15</c:v>
                </c:pt>
                <c:pt idx="401">
                  <c:v>-15</c:v>
                </c:pt>
                <c:pt idx="402">
                  <c:v>-15</c:v>
                </c:pt>
                <c:pt idx="403">
                  <c:v>-15</c:v>
                </c:pt>
                <c:pt idx="404">
                  <c:v>-15</c:v>
                </c:pt>
                <c:pt idx="405">
                  <c:v>-15</c:v>
                </c:pt>
                <c:pt idx="406">
                  <c:v>-15</c:v>
                </c:pt>
                <c:pt idx="407">
                  <c:v>-15</c:v>
                </c:pt>
                <c:pt idx="408">
                  <c:v>-15</c:v>
                </c:pt>
                <c:pt idx="409">
                  <c:v>-15</c:v>
                </c:pt>
                <c:pt idx="410">
                  <c:v>-15</c:v>
                </c:pt>
                <c:pt idx="411">
                  <c:v>-15</c:v>
                </c:pt>
                <c:pt idx="412">
                  <c:v>-15</c:v>
                </c:pt>
                <c:pt idx="413">
                  <c:v>-15</c:v>
                </c:pt>
                <c:pt idx="414">
                  <c:v>-15</c:v>
                </c:pt>
                <c:pt idx="415">
                  <c:v>-15</c:v>
                </c:pt>
                <c:pt idx="416">
                  <c:v>-15</c:v>
                </c:pt>
                <c:pt idx="417">
                  <c:v>-15</c:v>
                </c:pt>
                <c:pt idx="418">
                  <c:v>-15</c:v>
                </c:pt>
                <c:pt idx="419">
                  <c:v>-15</c:v>
                </c:pt>
                <c:pt idx="420">
                  <c:v>-15</c:v>
                </c:pt>
                <c:pt idx="421">
                  <c:v>-15</c:v>
                </c:pt>
                <c:pt idx="422">
                  <c:v>-15</c:v>
                </c:pt>
                <c:pt idx="423">
                  <c:v>-15</c:v>
                </c:pt>
                <c:pt idx="424">
                  <c:v>-15</c:v>
                </c:pt>
                <c:pt idx="425">
                  <c:v>-15</c:v>
                </c:pt>
                <c:pt idx="426">
                  <c:v>-15</c:v>
                </c:pt>
                <c:pt idx="427">
                  <c:v>-15</c:v>
                </c:pt>
                <c:pt idx="428">
                  <c:v>-15</c:v>
                </c:pt>
                <c:pt idx="429">
                  <c:v>-15</c:v>
                </c:pt>
                <c:pt idx="430">
                  <c:v>-15</c:v>
                </c:pt>
                <c:pt idx="431">
                  <c:v>-15</c:v>
                </c:pt>
                <c:pt idx="432">
                  <c:v>-15</c:v>
                </c:pt>
                <c:pt idx="433">
                  <c:v>-15</c:v>
                </c:pt>
                <c:pt idx="434">
                  <c:v>-15</c:v>
                </c:pt>
                <c:pt idx="435">
                  <c:v>-15</c:v>
                </c:pt>
                <c:pt idx="436">
                  <c:v>-15</c:v>
                </c:pt>
                <c:pt idx="437">
                  <c:v>-15</c:v>
                </c:pt>
                <c:pt idx="438">
                  <c:v>-15</c:v>
                </c:pt>
                <c:pt idx="439">
                  <c:v>-15</c:v>
                </c:pt>
                <c:pt idx="440">
                  <c:v>-15</c:v>
                </c:pt>
                <c:pt idx="441">
                  <c:v>-15</c:v>
                </c:pt>
                <c:pt idx="442">
                  <c:v>-15</c:v>
                </c:pt>
                <c:pt idx="443">
                  <c:v>-15</c:v>
                </c:pt>
                <c:pt idx="444">
                  <c:v>-15</c:v>
                </c:pt>
                <c:pt idx="445">
                  <c:v>-15</c:v>
                </c:pt>
                <c:pt idx="446">
                  <c:v>-15</c:v>
                </c:pt>
                <c:pt idx="447">
                  <c:v>-15</c:v>
                </c:pt>
                <c:pt idx="448">
                  <c:v>-15</c:v>
                </c:pt>
                <c:pt idx="449">
                  <c:v>-15</c:v>
                </c:pt>
                <c:pt idx="450">
                  <c:v>-15</c:v>
                </c:pt>
                <c:pt idx="451">
                  <c:v>-15</c:v>
                </c:pt>
                <c:pt idx="452">
                  <c:v>-15</c:v>
                </c:pt>
                <c:pt idx="453">
                  <c:v>-15</c:v>
                </c:pt>
                <c:pt idx="454">
                  <c:v>-15</c:v>
                </c:pt>
                <c:pt idx="455">
                  <c:v>-15</c:v>
                </c:pt>
                <c:pt idx="456">
                  <c:v>-15</c:v>
                </c:pt>
                <c:pt idx="457">
                  <c:v>-15</c:v>
                </c:pt>
                <c:pt idx="458">
                  <c:v>-15</c:v>
                </c:pt>
                <c:pt idx="459">
                  <c:v>-15</c:v>
                </c:pt>
                <c:pt idx="460">
                  <c:v>-15</c:v>
                </c:pt>
                <c:pt idx="461">
                  <c:v>-15</c:v>
                </c:pt>
                <c:pt idx="462">
                  <c:v>-15</c:v>
                </c:pt>
                <c:pt idx="463">
                  <c:v>-15</c:v>
                </c:pt>
                <c:pt idx="464">
                  <c:v>-15</c:v>
                </c:pt>
                <c:pt idx="465">
                  <c:v>-15</c:v>
                </c:pt>
                <c:pt idx="466">
                  <c:v>-15</c:v>
                </c:pt>
                <c:pt idx="467">
                  <c:v>-15</c:v>
                </c:pt>
                <c:pt idx="468">
                  <c:v>-15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05821655"/>
        <c:axId val="151246232"/>
      </c:lineChart>
      <c:catAx>
        <c:axId val="6058216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1246232"/>
        <c:crosses val="autoZero"/>
        <c:auto val="1"/>
        <c:lblAlgn val="ctr"/>
        <c:lblOffset val="100"/>
        <c:noMultiLvlLbl val="0"/>
      </c:catAx>
      <c:valAx>
        <c:axId val="151246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5821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619254b-da0a-4083-8e95-858f3f6c794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阻尼运动温差接入曲线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'300低压_阻尼温差01 (4)'!$F$2</c:f>
              <c:strCache>
                <c:ptCount val="1"/>
                <c:pt idx="0">
                  <c:v>运动数据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'300低压_阻尼温差01 (4)'!$E$3:$E$192</c:f>
              <c:strCache>
                <c:ptCount val="190"/>
                <c:pt idx="0">
                  <c:v>t</c:v>
                </c:pt>
                <c:pt idx="1">
                  <c:v>0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0.2</c:v>
                </c:pt>
                <c:pt idx="6">
                  <c:v>0.25</c:v>
                </c:pt>
                <c:pt idx="7">
                  <c:v>0.3</c:v>
                </c:pt>
                <c:pt idx="8">
                  <c:v>0.35</c:v>
                </c:pt>
                <c:pt idx="9">
                  <c:v>0.4</c:v>
                </c:pt>
                <c:pt idx="10">
                  <c:v>0.45</c:v>
                </c:pt>
                <c:pt idx="11">
                  <c:v>0.5</c:v>
                </c:pt>
                <c:pt idx="12">
                  <c:v>0.55</c:v>
                </c:pt>
                <c:pt idx="13">
                  <c:v>0.6</c:v>
                </c:pt>
                <c:pt idx="14">
                  <c:v>0.65</c:v>
                </c:pt>
                <c:pt idx="15">
                  <c:v>0.7</c:v>
                </c:pt>
                <c:pt idx="16">
                  <c:v>0.75</c:v>
                </c:pt>
                <c:pt idx="17">
                  <c:v>0.8</c:v>
                </c:pt>
                <c:pt idx="18">
                  <c:v>0.85</c:v>
                </c:pt>
                <c:pt idx="19">
                  <c:v>0.9</c:v>
                </c:pt>
                <c:pt idx="20">
                  <c:v>0.95</c:v>
                </c:pt>
                <c:pt idx="21">
                  <c:v>1</c:v>
                </c:pt>
                <c:pt idx="22">
                  <c:v>1.05</c:v>
                </c:pt>
                <c:pt idx="23">
                  <c:v>1.1</c:v>
                </c:pt>
                <c:pt idx="24">
                  <c:v>1.15</c:v>
                </c:pt>
                <c:pt idx="25">
                  <c:v>1.2</c:v>
                </c:pt>
                <c:pt idx="26">
                  <c:v>1.25</c:v>
                </c:pt>
                <c:pt idx="27">
                  <c:v>1.3</c:v>
                </c:pt>
                <c:pt idx="28">
                  <c:v>1.35</c:v>
                </c:pt>
                <c:pt idx="29">
                  <c:v>1.4</c:v>
                </c:pt>
                <c:pt idx="30">
                  <c:v>1.45</c:v>
                </c:pt>
                <c:pt idx="31">
                  <c:v>1.5</c:v>
                </c:pt>
                <c:pt idx="32">
                  <c:v>1.55</c:v>
                </c:pt>
                <c:pt idx="33">
                  <c:v>1.6</c:v>
                </c:pt>
                <c:pt idx="34">
                  <c:v>1.65</c:v>
                </c:pt>
                <c:pt idx="35">
                  <c:v>1.7</c:v>
                </c:pt>
                <c:pt idx="36">
                  <c:v>1.75</c:v>
                </c:pt>
                <c:pt idx="37">
                  <c:v>1.8</c:v>
                </c:pt>
                <c:pt idx="38">
                  <c:v>1.85</c:v>
                </c:pt>
                <c:pt idx="39">
                  <c:v>1.9</c:v>
                </c:pt>
                <c:pt idx="40">
                  <c:v>1.95</c:v>
                </c:pt>
                <c:pt idx="41">
                  <c:v>2</c:v>
                </c:pt>
                <c:pt idx="42">
                  <c:v>2.05</c:v>
                </c:pt>
                <c:pt idx="43">
                  <c:v>2.1</c:v>
                </c:pt>
                <c:pt idx="44">
                  <c:v>2.15</c:v>
                </c:pt>
                <c:pt idx="45">
                  <c:v>2.2</c:v>
                </c:pt>
                <c:pt idx="46">
                  <c:v>2.25</c:v>
                </c:pt>
                <c:pt idx="47">
                  <c:v>2.3</c:v>
                </c:pt>
                <c:pt idx="48">
                  <c:v>2.35</c:v>
                </c:pt>
                <c:pt idx="49">
                  <c:v>2.4</c:v>
                </c:pt>
                <c:pt idx="50">
                  <c:v>2.45</c:v>
                </c:pt>
                <c:pt idx="51">
                  <c:v>2.5</c:v>
                </c:pt>
                <c:pt idx="52">
                  <c:v>2.55</c:v>
                </c:pt>
                <c:pt idx="53">
                  <c:v>2.6</c:v>
                </c:pt>
                <c:pt idx="54">
                  <c:v>2.65</c:v>
                </c:pt>
                <c:pt idx="55">
                  <c:v>2.7</c:v>
                </c:pt>
                <c:pt idx="56">
                  <c:v>2.75</c:v>
                </c:pt>
                <c:pt idx="57">
                  <c:v>2.8</c:v>
                </c:pt>
                <c:pt idx="58">
                  <c:v>2.85</c:v>
                </c:pt>
                <c:pt idx="59">
                  <c:v>2.9</c:v>
                </c:pt>
                <c:pt idx="60">
                  <c:v>2.95</c:v>
                </c:pt>
                <c:pt idx="61">
                  <c:v>3</c:v>
                </c:pt>
                <c:pt idx="62">
                  <c:v>3.05</c:v>
                </c:pt>
                <c:pt idx="63">
                  <c:v>3.1</c:v>
                </c:pt>
                <c:pt idx="64">
                  <c:v>3.15</c:v>
                </c:pt>
                <c:pt idx="65">
                  <c:v>3.2</c:v>
                </c:pt>
                <c:pt idx="66">
                  <c:v>3.25</c:v>
                </c:pt>
                <c:pt idx="67">
                  <c:v>3.3</c:v>
                </c:pt>
                <c:pt idx="68">
                  <c:v>3.35</c:v>
                </c:pt>
                <c:pt idx="69">
                  <c:v>3.4</c:v>
                </c:pt>
                <c:pt idx="70">
                  <c:v>3.45</c:v>
                </c:pt>
                <c:pt idx="71">
                  <c:v>3.5</c:v>
                </c:pt>
                <c:pt idx="72">
                  <c:v>3.55</c:v>
                </c:pt>
                <c:pt idx="73">
                  <c:v>3.6</c:v>
                </c:pt>
                <c:pt idx="74">
                  <c:v>3.65</c:v>
                </c:pt>
                <c:pt idx="75">
                  <c:v>3.7</c:v>
                </c:pt>
                <c:pt idx="76">
                  <c:v>3.75</c:v>
                </c:pt>
                <c:pt idx="77">
                  <c:v>3.8</c:v>
                </c:pt>
                <c:pt idx="78">
                  <c:v>3.85</c:v>
                </c:pt>
                <c:pt idx="79">
                  <c:v>3.9</c:v>
                </c:pt>
                <c:pt idx="80">
                  <c:v>3.95</c:v>
                </c:pt>
                <c:pt idx="81">
                  <c:v>4</c:v>
                </c:pt>
                <c:pt idx="82">
                  <c:v>4.05</c:v>
                </c:pt>
                <c:pt idx="83">
                  <c:v>4.1</c:v>
                </c:pt>
                <c:pt idx="84">
                  <c:v>4.15</c:v>
                </c:pt>
                <c:pt idx="85">
                  <c:v>4.2</c:v>
                </c:pt>
                <c:pt idx="86">
                  <c:v>4.25</c:v>
                </c:pt>
                <c:pt idx="87">
                  <c:v>4.3</c:v>
                </c:pt>
                <c:pt idx="88">
                  <c:v>4.35</c:v>
                </c:pt>
                <c:pt idx="89">
                  <c:v>4.4</c:v>
                </c:pt>
                <c:pt idx="90">
                  <c:v>4.45</c:v>
                </c:pt>
                <c:pt idx="91">
                  <c:v>4.5</c:v>
                </c:pt>
                <c:pt idx="92">
                  <c:v>4.55</c:v>
                </c:pt>
                <c:pt idx="93">
                  <c:v>4.6</c:v>
                </c:pt>
                <c:pt idx="94">
                  <c:v>4.65</c:v>
                </c:pt>
                <c:pt idx="95">
                  <c:v>4.7</c:v>
                </c:pt>
                <c:pt idx="96">
                  <c:v>4.75</c:v>
                </c:pt>
                <c:pt idx="97">
                  <c:v>4.8</c:v>
                </c:pt>
                <c:pt idx="98">
                  <c:v>4.85</c:v>
                </c:pt>
                <c:pt idx="99">
                  <c:v>4.9</c:v>
                </c:pt>
                <c:pt idx="100">
                  <c:v>4.95</c:v>
                </c:pt>
                <c:pt idx="101">
                  <c:v>5</c:v>
                </c:pt>
                <c:pt idx="102">
                  <c:v>5.05</c:v>
                </c:pt>
                <c:pt idx="103">
                  <c:v>5.1</c:v>
                </c:pt>
                <c:pt idx="104">
                  <c:v>5.15</c:v>
                </c:pt>
                <c:pt idx="105">
                  <c:v>5.2</c:v>
                </c:pt>
                <c:pt idx="106">
                  <c:v>5.25</c:v>
                </c:pt>
                <c:pt idx="107">
                  <c:v>5.3</c:v>
                </c:pt>
                <c:pt idx="108">
                  <c:v>5.35</c:v>
                </c:pt>
                <c:pt idx="109">
                  <c:v>5.4</c:v>
                </c:pt>
                <c:pt idx="110">
                  <c:v>5.45</c:v>
                </c:pt>
                <c:pt idx="111">
                  <c:v>5.5</c:v>
                </c:pt>
                <c:pt idx="112">
                  <c:v>5.55</c:v>
                </c:pt>
                <c:pt idx="113">
                  <c:v>5.6</c:v>
                </c:pt>
                <c:pt idx="114">
                  <c:v>5.65</c:v>
                </c:pt>
                <c:pt idx="115">
                  <c:v>5.7</c:v>
                </c:pt>
                <c:pt idx="116">
                  <c:v>5.75</c:v>
                </c:pt>
                <c:pt idx="117">
                  <c:v>5.8</c:v>
                </c:pt>
                <c:pt idx="118">
                  <c:v>5.85</c:v>
                </c:pt>
                <c:pt idx="119">
                  <c:v>5.9</c:v>
                </c:pt>
                <c:pt idx="120">
                  <c:v>5.95</c:v>
                </c:pt>
                <c:pt idx="121">
                  <c:v>6</c:v>
                </c:pt>
                <c:pt idx="122">
                  <c:v>6.05</c:v>
                </c:pt>
                <c:pt idx="123">
                  <c:v>6.1</c:v>
                </c:pt>
                <c:pt idx="124">
                  <c:v>6.15</c:v>
                </c:pt>
                <c:pt idx="125">
                  <c:v>6.2</c:v>
                </c:pt>
                <c:pt idx="126">
                  <c:v>6.25</c:v>
                </c:pt>
                <c:pt idx="127">
                  <c:v>6.3</c:v>
                </c:pt>
                <c:pt idx="128">
                  <c:v>6.35</c:v>
                </c:pt>
                <c:pt idx="129">
                  <c:v>6.4</c:v>
                </c:pt>
                <c:pt idx="130">
                  <c:v>6.45</c:v>
                </c:pt>
                <c:pt idx="131">
                  <c:v>6.5</c:v>
                </c:pt>
                <c:pt idx="132">
                  <c:v>6.55</c:v>
                </c:pt>
                <c:pt idx="133">
                  <c:v>6.6</c:v>
                </c:pt>
                <c:pt idx="134">
                  <c:v>6.65</c:v>
                </c:pt>
                <c:pt idx="135">
                  <c:v>6.7</c:v>
                </c:pt>
                <c:pt idx="136">
                  <c:v>6.75</c:v>
                </c:pt>
                <c:pt idx="137">
                  <c:v>6.8</c:v>
                </c:pt>
                <c:pt idx="138">
                  <c:v>6.85</c:v>
                </c:pt>
                <c:pt idx="139">
                  <c:v>6.9</c:v>
                </c:pt>
                <c:pt idx="140">
                  <c:v>6.95</c:v>
                </c:pt>
                <c:pt idx="141">
                  <c:v>7</c:v>
                </c:pt>
                <c:pt idx="142">
                  <c:v>7.05</c:v>
                </c:pt>
                <c:pt idx="143">
                  <c:v>7.1</c:v>
                </c:pt>
                <c:pt idx="144">
                  <c:v>7.15</c:v>
                </c:pt>
                <c:pt idx="145">
                  <c:v>7.2</c:v>
                </c:pt>
                <c:pt idx="146">
                  <c:v>7.25</c:v>
                </c:pt>
                <c:pt idx="147">
                  <c:v>7.3</c:v>
                </c:pt>
                <c:pt idx="148">
                  <c:v>7.35</c:v>
                </c:pt>
                <c:pt idx="149">
                  <c:v>7.4</c:v>
                </c:pt>
                <c:pt idx="150">
                  <c:v>7.45</c:v>
                </c:pt>
                <c:pt idx="151">
                  <c:v>7.5</c:v>
                </c:pt>
                <c:pt idx="152">
                  <c:v>7.55</c:v>
                </c:pt>
                <c:pt idx="153">
                  <c:v>7.6</c:v>
                </c:pt>
                <c:pt idx="154">
                  <c:v>7.65</c:v>
                </c:pt>
                <c:pt idx="155">
                  <c:v>7.7</c:v>
                </c:pt>
                <c:pt idx="156">
                  <c:v>7.75</c:v>
                </c:pt>
                <c:pt idx="157">
                  <c:v>7.8</c:v>
                </c:pt>
                <c:pt idx="158">
                  <c:v>7.85</c:v>
                </c:pt>
                <c:pt idx="159">
                  <c:v>7.9</c:v>
                </c:pt>
                <c:pt idx="160">
                  <c:v>7.95</c:v>
                </c:pt>
                <c:pt idx="161">
                  <c:v>8</c:v>
                </c:pt>
                <c:pt idx="162">
                  <c:v>8.05</c:v>
                </c:pt>
                <c:pt idx="163">
                  <c:v>8.1</c:v>
                </c:pt>
                <c:pt idx="164">
                  <c:v>8.15</c:v>
                </c:pt>
                <c:pt idx="165">
                  <c:v>8.2</c:v>
                </c:pt>
                <c:pt idx="166">
                  <c:v>8.25</c:v>
                </c:pt>
                <c:pt idx="167">
                  <c:v>8.3</c:v>
                </c:pt>
                <c:pt idx="168">
                  <c:v>8.35</c:v>
                </c:pt>
                <c:pt idx="169">
                  <c:v>8.4</c:v>
                </c:pt>
                <c:pt idx="170">
                  <c:v>8.45</c:v>
                </c:pt>
                <c:pt idx="171">
                  <c:v>8.5</c:v>
                </c:pt>
                <c:pt idx="172">
                  <c:v>8.55</c:v>
                </c:pt>
                <c:pt idx="173">
                  <c:v>8.6</c:v>
                </c:pt>
                <c:pt idx="174">
                  <c:v>8.65</c:v>
                </c:pt>
                <c:pt idx="175">
                  <c:v>8.7</c:v>
                </c:pt>
                <c:pt idx="176">
                  <c:v>8.75</c:v>
                </c:pt>
                <c:pt idx="177">
                  <c:v>8.8</c:v>
                </c:pt>
                <c:pt idx="178">
                  <c:v>8.85</c:v>
                </c:pt>
                <c:pt idx="179">
                  <c:v>8.9</c:v>
                </c:pt>
                <c:pt idx="180">
                  <c:v>8.95</c:v>
                </c:pt>
                <c:pt idx="181">
                  <c:v>9</c:v>
                </c:pt>
                <c:pt idx="182">
                  <c:v>9.05</c:v>
                </c:pt>
                <c:pt idx="183">
                  <c:v>9.1</c:v>
                </c:pt>
                <c:pt idx="184">
                  <c:v>9.15</c:v>
                </c:pt>
                <c:pt idx="185">
                  <c:v>9.2</c:v>
                </c:pt>
                <c:pt idx="186">
                  <c:v>9.25</c:v>
                </c:pt>
                <c:pt idx="187">
                  <c:v>9.3</c:v>
                </c:pt>
                <c:pt idx="188">
                  <c:v>9.35</c:v>
                </c:pt>
                <c:pt idx="189">
                  <c:v>9.4</c:v>
                </c:pt>
              </c:strCache>
            </c:strRef>
          </c:cat>
          <c:val>
            <c:numRef>
              <c:f>'300低压_阻尼温差01 (4)'!$F$3:$F$192</c:f>
              <c:numCache>
                <c:formatCode>General</c:formatCode>
                <c:ptCount val="190"/>
                <c:pt idx="0">
                  <c:v>0</c:v>
                </c:pt>
                <c:pt idx="1">
                  <c:v>-4.727</c:v>
                </c:pt>
                <c:pt idx="2">
                  <c:v>-3.718</c:v>
                </c:pt>
                <c:pt idx="3">
                  <c:v>-2.332</c:v>
                </c:pt>
                <c:pt idx="4">
                  <c:v>-0.724</c:v>
                </c:pt>
                <c:pt idx="5">
                  <c:v>0.6819</c:v>
                </c:pt>
                <c:pt idx="6">
                  <c:v>2.085</c:v>
                </c:pt>
                <c:pt idx="7">
                  <c:v>3.277</c:v>
                </c:pt>
                <c:pt idx="8">
                  <c:v>4.017</c:v>
                </c:pt>
                <c:pt idx="9">
                  <c:v>4.312</c:v>
                </c:pt>
                <c:pt idx="10">
                  <c:v>4.142</c:v>
                </c:pt>
                <c:pt idx="11">
                  <c:v>3.626</c:v>
                </c:pt>
                <c:pt idx="12">
                  <c:v>2.555</c:v>
                </c:pt>
                <c:pt idx="13">
                  <c:v>1.355</c:v>
                </c:pt>
                <c:pt idx="14">
                  <c:v>-0.1083</c:v>
                </c:pt>
                <c:pt idx="15">
                  <c:v>-1.398</c:v>
                </c:pt>
                <c:pt idx="16">
                  <c:v>-2.669</c:v>
                </c:pt>
                <c:pt idx="17">
                  <c:v>-3.718</c:v>
                </c:pt>
                <c:pt idx="18">
                  <c:v>-4.487</c:v>
                </c:pt>
                <c:pt idx="19">
                  <c:v>-4.762</c:v>
                </c:pt>
                <c:pt idx="20">
                  <c:v>-4.761</c:v>
                </c:pt>
                <c:pt idx="21">
                  <c:v>-4.524</c:v>
                </c:pt>
                <c:pt idx="22">
                  <c:v>-3.868</c:v>
                </c:pt>
                <c:pt idx="23">
                  <c:v>-2.793</c:v>
                </c:pt>
                <c:pt idx="24">
                  <c:v>-1.438</c:v>
                </c:pt>
                <c:pt idx="25">
                  <c:v>-0.3408</c:v>
                </c:pt>
                <c:pt idx="26">
                  <c:v>1.065</c:v>
                </c:pt>
                <c:pt idx="27">
                  <c:v>2.132</c:v>
                </c:pt>
                <c:pt idx="28">
                  <c:v>3.041</c:v>
                </c:pt>
                <c:pt idx="29">
                  <c:v>3.642</c:v>
                </c:pt>
                <c:pt idx="30">
                  <c:v>3.77</c:v>
                </c:pt>
                <c:pt idx="31">
                  <c:v>3.558</c:v>
                </c:pt>
                <c:pt idx="32">
                  <c:v>2.851</c:v>
                </c:pt>
                <c:pt idx="33">
                  <c:v>1.879</c:v>
                </c:pt>
                <c:pt idx="34">
                  <c:v>0.774</c:v>
                </c:pt>
                <c:pt idx="35">
                  <c:v>-0.4814</c:v>
                </c:pt>
                <c:pt idx="36">
                  <c:v>-1.487</c:v>
                </c:pt>
                <c:pt idx="37">
                  <c:v>-2.599</c:v>
                </c:pt>
                <c:pt idx="38">
                  <c:v>-3.337</c:v>
                </c:pt>
                <c:pt idx="39">
                  <c:v>-3.9</c:v>
                </c:pt>
                <c:pt idx="40">
                  <c:v>-4.047</c:v>
                </c:pt>
                <c:pt idx="41">
                  <c:v>-3.844</c:v>
                </c:pt>
                <c:pt idx="42">
                  <c:v>-3.454</c:v>
                </c:pt>
                <c:pt idx="43">
                  <c:v>-2.66</c:v>
                </c:pt>
                <c:pt idx="44">
                  <c:v>-1.646</c:v>
                </c:pt>
                <c:pt idx="45">
                  <c:v>-0.574</c:v>
                </c:pt>
                <c:pt idx="46">
                  <c:v>0.54</c:v>
                </c:pt>
                <c:pt idx="47">
                  <c:v>1.573</c:v>
                </c:pt>
                <c:pt idx="48">
                  <c:v>2.367</c:v>
                </c:pt>
                <c:pt idx="49">
                  <c:v>2.962</c:v>
                </c:pt>
                <c:pt idx="50">
                  <c:v>3.163</c:v>
                </c:pt>
                <c:pt idx="51">
                  <c:v>3.027</c:v>
                </c:pt>
                <c:pt idx="52">
                  <c:v>2.633</c:v>
                </c:pt>
                <c:pt idx="53">
                  <c:v>1.834</c:v>
                </c:pt>
                <c:pt idx="54">
                  <c:v>0.8666</c:v>
                </c:pt>
                <c:pt idx="55">
                  <c:v>-0.2275</c:v>
                </c:pt>
                <c:pt idx="56">
                  <c:v>-1.117</c:v>
                </c:pt>
                <c:pt idx="57">
                  <c:v>-2.125</c:v>
                </c:pt>
                <c:pt idx="58">
                  <c:v>-2.893</c:v>
                </c:pt>
                <c:pt idx="59">
                  <c:v>-3.413</c:v>
                </c:pt>
                <c:pt idx="60">
                  <c:v>-3.823</c:v>
                </c:pt>
                <c:pt idx="61">
                  <c:v>-4.314</c:v>
                </c:pt>
                <c:pt idx="62">
                  <c:v>-4.702</c:v>
                </c:pt>
                <c:pt idx="63">
                  <c:v>-4.952</c:v>
                </c:pt>
                <c:pt idx="64">
                  <c:v>-5.35</c:v>
                </c:pt>
                <c:pt idx="65">
                  <c:v>-5.621</c:v>
                </c:pt>
                <c:pt idx="66">
                  <c:v>-5.809</c:v>
                </c:pt>
                <c:pt idx="67">
                  <c:v>-6.035</c:v>
                </c:pt>
                <c:pt idx="68">
                  <c:v>-6.162</c:v>
                </c:pt>
                <c:pt idx="69">
                  <c:v>-6.151</c:v>
                </c:pt>
                <c:pt idx="70">
                  <c:v>-6.153</c:v>
                </c:pt>
                <c:pt idx="71">
                  <c:v>-6.058</c:v>
                </c:pt>
                <c:pt idx="72">
                  <c:v>-6.026</c:v>
                </c:pt>
                <c:pt idx="73">
                  <c:v>-5.996</c:v>
                </c:pt>
                <c:pt idx="74">
                  <c:v>-5.96</c:v>
                </c:pt>
                <c:pt idx="75">
                  <c:v>-5.961</c:v>
                </c:pt>
                <c:pt idx="76">
                  <c:v>-5.949</c:v>
                </c:pt>
                <c:pt idx="77">
                  <c:v>-5.984</c:v>
                </c:pt>
                <c:pt idx="78">
                  <c:v>-6.008</c:v>
                </c:pt>
                <c:pt idx="79">
                  <c:v>-6.114</c:v>
                </c:pt>
                <c:pt idx="80">
                  <c:v>-6.673</c:v>
                </c:pt>
                <c:pt idx="81">
                  <c:v>-7.809</c:v>
                </c:pt>
                <c:pt idx="82">
                  <c:v>-8.747</c:v>
                </c:pt>
                <c:pt idx="83">
                  <c:v>-9.487</c:v>
                </c:pt>
                <c:pt idx="84">
                  <c:v>-9.875</c:v>
                </c:pt>
                <c:pt idx="85">
                  <c:v>-9.799</c:v>
                </c:pt>
                <c:pt idx="86">
                  <c:v>-9.278</c:v>
                </c:pt>
                <c:pt idx="87">
                  <c:v>-8.395</c:v>
                </c:pt>
                <c:pt idx="88">
                  <c:v>-7.365</c:v>
                </c:pt>
                <c:pt idx="89">
                  <c:v>-6.374</c:v>
                </c:pt>
                <c:pt idx="90">
                  <c:v>-5.667</c:v>
                </c:pt>
                <c:pt idx="91">
                  <c:v>-5.324</c:v>
                </c:pt>
                <c:pt idx="92">
                  <c:v>-5.464</c:v>
                </c:pt>
                <c:pt idx="93">
                  <c:v>-6.098</c:v>
                </c:pt>
                <c:pt idx="94">
                  <c:v>-6.908</c:v>
                </c:pt>
                <c:pt idx="95">
                  <c:v>-7.82</c:v>
                </c:pt>
                <c:pt idx="96">
                  <c:v>-8.519</c:v>
                </c:pt>
                <c:pt idx="97">
                  <c:v>-8.901</c:v>
                </c:pt>
                <c:pt idx="98">
                  <c:v>-8.932</c:v>
                </c:pt>
                <c:pt idx="99">
                  <c:v>-8.569</c:v>
                </c:pt>
                <c:pt idx="100">
                  <c:v>-7.836</c:v>
                </c:pt>
                <c:pt idx="101">
                  <c:v>-6.934</c:v>
                </c:pt>
                <c:pt idx="102">
                  <c:v>-6.202</c:v>
                </c:pt>
                <c:pt idx="103">
                  <c:v>-5.529</c:v>
                </c:pt>
                <c:pt idx="104">
                  <c:v>-5.343</c:v>
                </c:pt>
                <c:pt idx="105">
                  <c:v>-5.443</c:v>
                </c:pt>
                <c:pt idx="106">
                  <c:v>-6.017</c:v>
                </c:pt>
                <c:pt idx="107">
                  <c:v>-6.717</c:v>
                </c:pt>
                <c:pt idx="108">
                  <c:v>-7.451</c:v>
                </c:pt>
                <c:pt idx="109">
                  <c:v>-8.077</c:v>
                </c:pt>
                <c:pt idx="110">
                  <c:v>-8.427</c:v>
                </c:pt>
                <c:pt idx="111">
                  <c:v>-8.495</c:v>
                </c:pt>
                <c:pt idx="112">
                  <c:v>-8.232</c:v>
                </c:pt>
                <c:pt idx="113">
                  <c:v>-7.582</c:v>
                </c:pt>
                <c:pt idx="114">
                  <c:v>-6.891</c:v>
                </c:pt>
                <c:pt idx="115">
                  <c:v>-6.329</c:v>
                </c:pt>
                <c:pt idx="116">
                  <c:v>-5.94</c:v>
                </c:pt>
                <c:pt idx="117">
                  <c:v>-5.869</c:v>
                </c:pt>
                <c:pt idx="118">
                  <c:v>-6.049</c:v>
                </c:pt>
                <c:pt idx="119">
                  <c:v>-6.46</c:v>
                </c:pt>
                <c:pt idx="120">
                  <c:v>-6.952</c:v>
                </c:pt>
                <c:pt idx="121">
                  <c:v>-7.625</c:v>
                </c:pt>
                <c:pt idx="122">
                  <c:v>-8.148</c:v>
                </c:pt>
                <c:pt idx="123">
                  <c:v>-8.338</c:v>
                </c:pt>
                <c:pt idx="124">
                  <c:v>-8.242</c:v>
                </c:pt>
                <c:pt idx="125">
                  <c:v>-7.952</c:v>
                </c:pt>
                <c:pt idx="126">
                  <c:v>-7.525</c:v>
                </c:pt>
                <c:pt idx="127">
                  <c:v>-6.907</c:v>
                </c:pt>
                <c:pt idx="128">
                  <c:v>-6.455</c:v>
                </c:pt>
                <c:pt idx="129">
                  <c:v>-6.182</c:v>
                </c:pt>
                <c:pt idx="130">
                  <c:v>-6.107</c:v>
                </c:pt>
                <c:pt idx="131">
                  <c:v>-6.262</c:v>
                </c:pt>
                <c:pt idx="132">
                  <c:v>-6.684</c:v>
                </c:pt>
                <c:pt idx="133">
                  <c:v>-7.237</c:v>
                </c:pt>
                <c:pt idx="134">
                  <c:v>-7.817</c:v>
                </c:pt>
                <c:pt idx="135">
                  <c:v>-8.193</c:v>
                </c:pt>
                <c:pt idx="136">
                  <c:v>-8.254</c:v>
                </c:pt>
                <c:pt idx="137">
                  <c:v>-8.141</c:v>
                </c:pt>
                <c:pt idx="138">
                  <c:v>-7.839</c:v>
                </c:pt>
                <c:pt idx="139">
                  <c:v>-7.275</c:v>
                </c:pt>
                <c:pt idx="140">
                  <c:v>-6.805</c:v>
                </c:pt>
                <c:pt idx="141">
                  <c:v>-6.516</c:v>
                </c:pt>
                <c:pt idx="142">
                  <c:v>-6.332</c:v>
                </c:pt>
                <c:pt idx="143">
                  <c:v>-6.411</c:v>
                </c:pt>
                <c:pt idx="144">
                  <c:v>-6.604</c:v>
                </c:pt>
                <c:pt idx="145">
                  <c:v>-7.003</c:v>
                </c:pt>
                <c:pt idx="146">
                  <c:v>-7.406</c:v>
                </c:pt>
                <c:pt idx="147">
                  <c:v>-7.868</c:v>
                </c:pt>
                <c:pt idx="148">
                  <c:v>-8.073</c:v>
                </c:pt>
                <c:pt idx="149">
                  <c:v>-8.125</c:v>
                </c:pt>
                <c:pt idx="150">
                  <c:v>-7.994</c:v>
                </c:pt>
                <c:pt idx="151">
                  <c:v>-7.605</c:v>
                </c:pt>
                <c:pt idx="152">
                  <c:v>-7.174</c:v>
                </c:pt>
                <c:pt idx="153">
                  <c:v>-6.863</c:v>
                </c:pt>
                <c:pt idx="154">
                  <c:v>-6.632</c:v>
                </c:pt>
                <c:pt idx="155">
                  <c:v>-6.494</c:v>
                </c:pt>
                <c:pt idx="156">
                  <c:v>-6.566</c:v>
                </c:pt>
                <c:pt idx="157">
                  <c:v>-6.795</c:v>
                </c:pt>
                <c:pt idx="158">
                  <c:v>-7.174</c:v>
                </c:pt>
                <c:pt idx="159">
                  <c:v>-7.654</c:v>
                </c:pt>
                <c:pt idx="160">
                  <c:v>-8.004</c:v>
                </c:pt>
                <c:pt idx="161">
                  <c:v>-8.191</c:v>
                </c:pt>
                <c:pt idx="162">
                  <c:v>-8.145</c:v>
                </c:pt>
                <c:pt idx="163">
                  <c:v>-7.917</c:v>
                </c:pt>
                <c:pt idx="164">
                  <c:v>-7.5</c:v>
                </c:pt>
                <c:pt idx="165">
                  <c:v>-7.081</c:v>
                </c:pt>
                <c:pt idx="166">
                  <c:v>-6.749</c:v>
                </c:pt>
                <c:pt idx="167">
                  <c:v>-6.673</c:v>
                </c:pt>
                <c:pt idx="168">
                  <c:v>-6.731</c:v>
                </c:pt>
                <c:pt idx="169">
                  <c:v>-6.861</c:v>
                </c:pt>
                <c:pt idx="170">
                  <c:v>-7.066</c:v>
                </c:pt>
                <c:pt idx="171">
                  <c:v>-7.369</c:v>
                </c:pt>
                <c:pt idx="172">
                  <c:v>-7.656</c:v>
                </c:pt>
                <c:pt idx="173">
                  <c:v>-7.917</c:v>
                </c:pt>
                <c:pt idx="174">
                  <c:v>-7.925</c:v>
                </c:pt>
                <c:pt idx="175">
                  <c:v>-7.761</c:v>
                </c:pt>
                <c:pt idx="176">
                  <c:v>-7.537</c:v>
                </c:pt>
                <c:pt idx="177">
                  <c:v>-7.269</c:v>
                </c:pt>
                <c:pt idx="178">
                  <c:v>-7.036</c:v>
                </c:pt>
                <c:pt idx="179">
                  <c:v>-6.803</c:v>
                </c:pt>
                <c:pt idx="180">
                  <c:v>-6.76</c:v>
                </c:pt>
                <c:pt idx="181">
                  <c:v>-6.837</c:v>
                </c:pt>
                <c:pt idx="182">
                  <c:v>-6.991</c:v>
                </c:pt>
                <c:pt idx="183">
                  <c:v>-7.19</c:v>
                </c:pt>
                <c:pt idx="184">
                  <c:v>-7.455</c:v>
                </c:pt>
                <c:pt idx="185">
                  <c:v>-7.678</c:v>
                </c:pt>
                <c:pt idx="186">
                  <c:v>-7.85</c:v>
                </c:pt>
                <c:pt idx="187">
                  <c:v>-7.803</c:v>
                </c:pt>
                <c:pt idx="188">
                  <c:v>-7.658</c:v>
                </c:pt>
                <c:pt idx="189">
                  <c:v>-7.487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'300低压_阻尼温差01 (4)'!$G$2</c:f>
              <c:strCache>
                <c:ptCount val="1"/>
                <c:pt idx="0">
                  <c:v>供电数据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'300低压_阻尼温差01 (4)'!$E$3:$E$192</c:f>
              <c:strCache>
                <c:ptCount val="190"/>
                <c:pt idx="0">
                  <c:v>t</c:v>
                </c:pt>
                <c:pt idx="1">
                  <c:v>0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0.2</c:v>
                </c:pt>
                <c:pt idx="6">
                  <c:v>0.25</c:v>
                </c:pt>
                <c:pt idx="7">
                  <c:v>0.3</c:v>
                </c:pt>
                <c:pt idx="8">
                  <c:v>0.35</c:v>
                </c:pt>
                <c:pt idx="9">
                  <c:v>0.4</c:v>
                </c:pt>
                <c:pt idx="10">
                  <c:v>0.45</c:v>
                </c:pt>
                <c:pt idx="11">
                  <c:v>0.5</c:v>
                </c:pt>
                <c:pt idx="12">
                  <c:v>0.55</c:v>
                </c:pt>
                <c:pt idx="13">
                  <c:v>0.6</c:v>
                </c:pt>
                <c:pt idx="14">
                  <c:v>0.65</c:v>
                </c:pt>
                <c:pt idx="15">
                  <c:v>0.7</c:v>
                </c:pt>
                <c:pt idx="16">
                  <c:v>0.75</c:v>
                </c:pt>
                <c:pt idx="17">
                  <c:v>0.8</c:v>
                </c:pt>
                <c:pt idx="18">
                  <c:v>0.85</c:v>
                </c:pt>
                <c:pt idx="19">
                  <c:v>0.9</c:v>
                </c:pt>
                <c:pt idx="20">
                  <c:v>0.95</c:v>
                </c:pt>
                <c:pt idx="21">
                  <c:v>1</c:v>
                </c:pt>
                <c:pt idx="22">
                  <c:v>1.05</c:v>
                </c:pt>
                <c:pt idx="23">
                  <c:v>1.1</c:v>
                </c:pt>
                <c:pt idx="24">
                  <c:v>1.15</c:v>
                </c:pt>
                <c:pt idx="25">
                  <c:v>1.2</c:v>
                </c:pt>
                <c:pt idx="26">
                  <c:v>1.25</c:v>
                </c:pt>
                <c:pt idx="27">
                  <c:v>1.3</c:v>
                </c:pt>
                <c:pt idx="28">
                  <c:v>1.35</c:v>
                </c:pt>
                <c:pt idx="29">
                  <c:v>1.4</c:v>
                </c:pt>
                <c:pt idx="30">
                  <c:v>1.45</c:v>
                </c:pt>
                <c:pt idx="31">
                  <c:v>1.5</c:v>
                </c:pt>
                <c:pt idx="32">
                  <c:v>1.55</c:v>
                </c:pt>
                <c:pt idx="33">
                  <c:v>1.6</c:v>
                </c:pt>
                <c:pt idx="34">
                  <c:v>1.65</c:v>
                </c:pt>
                <c:pt idx="35">
                  <c:v>1.7</c:v>
                </c:pt>
                <c:pt idx="36">
                  <c:v>1.75</c:v>
                </c:pt>
                <c:pt idx="37">
                  <c:v>1.8</c:v>
                </c:pt>
                <c:pt idx="38">
                  <c:v>1.85</c:v>
                </c:pt>
                <c:pt idx="39">
                  <c:v>1.9</c:v>
                </c:pt>
                <c:pt idx="40">
                  <c:v>1.95</c:v>
                </c:pt>
                <c:pt idx="41">
                  <c:v>2</c:v>
                </c:pt>
                <c:pt idx="42">
                  <c:v>2.05</c:v>
                </c:pt>
                <c:pt idx="43">
                  <c:v>2.1</c:v>
                </c:pt>
                <c:pt idx="44">
                  <c:v>2.15</c:v>
                </c:pt>
                <c:pt idx="45">
                  <c:v>2.2</c:v>
                </c:pt>
                <c:pt idx="46">
                  <c:v>2.25</c:v>
                </c:pt>
                <c:pt idx="47">
                  <c:v>2.3</c:v>
                </c:pt>
                <c:pt idx="48">
                  <c:v>2.35</c:v>
                </c:pt>
                <c:pt idx="49">
                  <c:v>2.4</c:v>
                </c:pt>
                <c:pt idx="50">
                  <c:v>2.45</c:v>
                </c:pt>
                <c:pt idx="51">
                  <c:v>2.5</c:v>
                </c:pt>
                <c:pt idx="52">
                  <c:v>2.55</c:v>
                </c:pt>
                <c:pt idx="53">
                  <c:v>2.6</c:v>
                </c:pt>
                <c:pt idx="54">
                  <c:v>2.65</c:v>
                </c:pt>
                <c:pt idx="55">
                  <c:v>2.7</c:v>
                </c:pt>
                <c:pt idx="56">
                  <c:v>2.75</c:v>
                </c:pt>
                <c:pt idx="57">
                  <c:v>2.8</c:v>
                </c:pt>
                <c:pt idx="58">
                  <c:v>2.85</c:v>
                </c:pt>
                <c:pt idx="59">
                  <c:v>2.9</c:v>
                </c:pt>
                <c:pt idx="60">
                  <c:v>2.95</c:v>
                </c:pt>
                <c:pt idx="61">
                  <c:v>3</c:v>
                </c:pt>
                <c:pt idx="62">
                  <c:v>3.05</c:v>
                </c:pt>
                <c:pt idx="63">
                  <c:v>3.1</c:v>
                </c:pt>
                <c:pt idx="64">
                  <c:v>3.15</c:v>
                </c:pt>
                <c:pt idx="65">
                  <c:v>3.2</c:v>
                </c:pt>
                <c:pt idx="66">
                  <c:v>3.25</c:v>
                </c:pt>
                <c:pt idx="67">
                  <c:v>3.3</c:v>
                </c:pt>
                <c:pt idx="68">
                  <c:v>3.35</c:v>
                </c:pt>
                <c:pt idx="69">
                  <c:v>3.4</c:v>
                </c:pt>
                <c:pt idx="70">
                  <c:v>3.45</c:v>
                </c:pt>
                <c:pt idx="71">
                  <c:v>3.5</c:v>
                </c:pt>
                <c:pt idx="72">
                  <c:v>3.55</c:v>
                </c:pt>
                <c:pt idx="73">
                  <c:v>3.6</c:v>
                </c:pt>
                <c:pt idx="74">
                  <c:v>3.65</c:v>
                </c:pt>
                <c:pt idx="75">
                  <c:v>3.7</c:v>
                </c:pt>
                <c:pt idx="76">
                  <c:v>3.75</c:v>
                </c:pt>
                <c:pt idx="77">
                  <c:v>3.8</c:v>
                </c:pt>
                <c:pt idx="78">
                  <c:v>3.85</c:v>
                </c:pt>
                <c:pt idx="79">
                  <c:v>3.9</c:v>
                </c:pt>
                <c:pt idx="80">
                  <c:v>3.95</c:v>
                </c:pt>
                <c:pt idx="81">
                  <c:v>4</c:v>
                </c:pt>
                <c:pt idx="82">
                  <c:v>4.05</c:v>
                </c:pt>
                <c:pt idx="83">
                  <c:v>4.1</c:v>
                </c:pt>
                <c:pt idx="84">
                  <c:v>4.15</c:v>
                </c:pt>
                <c:pt idx="85">
                  <c:v>4.2</c:v>
                </c:pt>
                <c:pt idx="86">
                  <c:v>4.25</c:v>
                </c:pt>
                <c:pt idx="87">
                  <c:v>4.3</c:v>
                </c:pt>
                <c:pt idx="88">
                  <c:v>4.35</c:v>
                </c:pt>
                <c:pt idx="89">
                  <c:v>4.4</c:v>
                </c:pt>
                <c:pt idx="90">
                  <c:v>4.45</c:v>
                </c:pt>
                <c:pt idx="91">
                  <c:v>4.5</c:v>
                </c:pt>
                <c:pt idx="92">
                  <c:v>4.55</c:v>
                </c:pt>
                <c:pt idx="93">
                  <c:v>4.6</c:v>
                </c:pt>
                <c:pt idx="94">
                  <c:v>4.65</c:v>
                </c:pt>
                <c:pt idx="95">
                  <c:v>4.7</c:v>
                </c:pt>
                <c:pt idx="96">
                  <c:v>4.75</c:v>
                </c:pt>
                <c:pt idx="97">
                  <c:v>4.8</c:v>
                </c:pt>
                <c:pt idx="98">
                  <c:v>4.85</c:v>
                </c:pt>
                <c:pt idx="99">
                  <c:v>4.9</c:v>
                </c:pt>
                <c:pt idx="100">
                  <c:v>4.95</c:v>
                </c:pt>
                <c:pt idx="101">
                  <c:v>5</c:v>
                </c:pt>
                <c:pt idx="102">
                  <c:v>5.05</c:v>
                </c:pt>
                <c:pt idx="103">
                  <c:v>5.1</c:v>
                </c:pt>
                <c:pt idx="104">
                  <c:v>5.15</c:v>
                </c:pt>
                <c:pt idx="105">
                  <c:v>5.2</c:v>
                </c:pt>
                <c:pt idx="106">
                  <c:v>5.25</c:v>
                </c:pt>
                <c:pt idx="107">
                  <c:v>5.3</c:v>
                </c:pt>
                <c:pt idx="108">
                  <c:v>5.35</c:v>
                </c:pt>
                <c:pt idx="109">
                  <c:v>5.4</c:v>
                </c:pt>
                <c:pt idx="110">
                  <c:v>5.45</c:v>
                </c:pt>
                <c:pt idx="111">
                  <c:v>5.5</c:v>
                </c:pt>
                <c:pt idx="112">
                  <c:v>5.55</c:v>
                </c:pt>
                <c:pt idx="113">
                  <c:v>5.6</c:v>
                </c:pt>
                <c:pt idx="114">
                  <c:v>5.65</c:v>
                </c:pt>
                <c:pt idx="115">
                  <c:v>5.7</c:v>
                </c:pt>
                <c:pt idx="116">
                  <c:v>5.75</c:v>
                </c:pt>
                <c:pt idx="117">
                  <c:v>5.8</c:v>
                </c:pt>
                <c:pt idx="118">
                  <c:v>5.85</c:v>
                </c:pt>
                <c:pt idx="119">
                  <c:v>5.9</c:v>
                </c:pt>
                <c:pt idx="120">
                  <c:v>5.95</c:v>
                </c:pt>
                <c:pt idx="121">
                  <c:v>6</c:v>
                </c:pt>
                <c:pt idx="122">
                  <c:v>6.05</c:v>
                </c:pt>
                <c:pt idx="123">
                  <c:v>6.1</c:v>
                </c:pt>
                <c:pt idx="124">
                  <c:v>6.15</c:v>
                </c:pt>
                <c:pt idx="125">
                  <c:v>6.2</c:v>
                </c:pt>
                <c:pt idx="126">
                  <c:v>6.25</c:v>
                </c:pt>
                <c:pt idx="127">
                  <c:v>6.3</c:v>
                </c:pt>
                <c:pt idx="128">
                  <c:v>6.35</c:v>
                </c:pt>
                <c:pt idx="129">
                  <c:v>6.4</c:v>
                </c:pt>
                <c:pt idx="130">
                  <c:v>6.45</c:v>
                </c:pt>
                <c:pt idx="131">
                  <c:v>6.5</c:v>
                </c:pt>
                <c:pt idx="132">
                  <c:v>6.55</c:v>
                </c:pt>
                <c:pt idx="133">
                  <c:v>6.6</c:v>
                </c:pt>
                <c:pt idx="134">
                  <c:v>6.65</c:v>
                </c:pt>
                <c:pt idx="135">
                  <c:v>6.7</c:v>
                </c:pt>
                <c:pt idx="136">
                  <c:v>6.75</c:v>
                </c:pt>
                <c:pt idx="137">
                  <c:v>6.8</c:v>
                </c:pt>
                <c:pt idx="138">
                  <c:v>6.85</c:v>
                </c:pt>
                <c:pt idx="139">
                  <c:v>6.9</c:v>
                </c:pt>
                <c:pt idx="140">
                  <c:v>6.95</c:v>
                </c:pt>
                <c:pt idx="141">
                  <c:v>7</c:v>
                </c:pt>
                <c:pt idx="142">
                  <c:v>7.05</c:v>
                </c:pt>
                <c:pt idx="143">
                  <c:v>7.1</c:v>
                </c:pt>
                <c:pt idx="144">
                  <c:v>7.15</c:v>
                </c:pt>
                <c:pt idx="145">
                  <c:v>7.2</c:v>
                </c:pt>
                <c:pt idx="146">
                  <c:v>7.25</c:v>
                </c:pt>
                <c:pt idx="147">
                  <c:v>7.3</c:v>
                </c:pt>
                <c:pt idx="148">
                  <c:v>7.35</c:v>
                </c:pt>
                <c:pt idx="149">
                  <c:v>7.4</c:v>
                </c:pt>
                <c:pt idx="150">
                  <c:v>7.45</c:v>
                </c:pt>
                <c:pt idx="151">
                  <c:v>7.5</c:v>
                </c:pt>
                <c:pt idx="152">
                  <c:v>7.55</c:v>
                </c:pt>
                <c:pt idx="153">
                  <c:v>7.6</c:v>
                </c:pt>
                <c:pt idx="154">
                  <c:v>7.65</c:v>
                </c:pt>
                <c:pt idx="155">
                  <c:v>7.7</c:v>
                </c:pt>
                <c:pt idx="156">
                  <c:v>7.75</c:v>
                </c:pt>
                <c:pt idx="157">
                  <c:v>7.8</c:v>
                </c:pt>
                <c:pt idx="158">
                  <c:v>7.85</c:v>
                </c:pt>
                <c:pt idx="159">
                  <c:v>7.9</c:v>
                </c:pt>
                <c:pt idx="160">
                  <c:v>7.95</c:v>
                </c:pt>
                <c:pt idx="161">
                  <c:v>8</c:v>
                </c:pt>
                <c:pt idx="162">
                  <c:v>8.05</c:v>
                </c:pt>
                <c:pt idx="163">
                  <c:v>8.1</c:v>
                </c:pt>
                <c:pt idx="164">
                  <c:v>8.15</c:v>
                </c:pt>
                <c:pt idx="165">
                  <c:v>8.2</c:v>
                </c:pt>
                <c:pt idx="166">
                  <c:v>8.25</c:v>
                </c:pt>
                <c:pt idx="167">
                  <c:v>8.3</c:v>
                </c:pt>
                <c:pt idx="168">
                  <c:v>8.35</c:v>
                </c:pt>
                <c:pt idx="169">
                  <c:v>8.4</c:v>
                </c:pt>
                <c:pt idx="170">
                  <c:v>8.45</c:v>
                </c:pt>
                <c:pt idx="171">
                  <c:v>8.5</c:v>
                </c:pt>
                <c:pt idx="172">
                  <c:v>8.55</c:v>
                </c:pt>
                <c:pt idx="173">
                  <c:v>8.6</c:v>
                </c:pt>
                <c:pt idx="174">
                  <c:v>8.65</c:v>
                </c:pt>
                <c:pt idx="175">
                  <c:v>8.7</c:v>
                </c:pt>
                <c:pt idx="176">
                  <c:v>8.75</c:v>
                </c:pt>
                <c:pt idx="177">
                  <c:v>8.8</c:v>
                </c:pt>
                <c:pt idx="178">
                  <c:v>8.85</c:v>
                </c:pt>
                <c:pt idx="179">
                  <c:v>8.9</c:v>
                </c:pt>
                <c:pt idx="180">
                  <c:v>8.95</c:v>
                </c:pt>
                <c:pt idx="181">
                  <c:v>9</c:v>
                </c:pt>
                <c:pt idx="182">
                  <c:v>9.05</c:v>
                </c:pt>
                <c:pt idx="183">
                  <c:v>9.1</c:v>
                </c:pt>
                <c:pt idx="184">
                  <c:v>9.15</c:v>
                </c:pt>
                <c:pt idx="185">
                  <c:v>9.2</c:v>
                </c:pt>
                <c:pt idx="186">
                  <c:v>9.25</c:v>
                </c:pt>
                <c:pt idx="187">
                  <c:v>9.3</c:v>
                </c:pt>
                <c:pt idx="188">
                  <c:v>9.35</c:v>
                </c:pt>
                <c:pt idx="189">
                  <c:v>9.4</c:v>
                </c:pt>
              </c:strCache>
            </c:strRef>
          </c:cat>
          <c:val>
            <c:numRef>
              <c:f>'300低压_阻尼温差01 (4)'!$G$3:$G$192</c:f>
              <c:numCache>
                <c:formatCode>General</c:formatCode>
                <c:ptCount val="190"/>
                <c:pt idx="0">
                  <c:v>0</c:v>
                </c:pt>
                <c:pt idx="1">
                  <c:v>-10</c:v>
                </c:pt>
                <c:pt idx="2">
                  <c:v>-10</c:v>
                </c:pt>
                <c:pt idx="3">
                  <c:v>-10</c:v>
                </c:pt>
                <c:pt idx="4">
                  <c:v>-10</c:v>
                </c:pt>
                <c:pt idx="5">
                  <c:v>-10</c:v>
                </c:pt>
                <c:pt idx="6">
                  <c:v>-10</c:v>
                </c:pt>
                <c:pt idx="7">
                  <c:v>-10</c:v>
                </c:pt>
                <c:pt idx="8">
                  <c:v>-10</c:v>
                </c:pt>
                <c:pt idx="9">
                  <c:v>-10</c:v>
                </c:pt>
                <c:pt idx="10">
                  <c:v>-10</c:v>
                </c:pt>
                <c:pt idx="11">
                  <c:v>-10</c:v>
                </c:pt>
                <c:pt idx="12">
                  <c:v>-10</c:v>
                </c:pt>
                <c:pt idx="13">
                  <c:v>-10</c:v>
                </c:pt>
                <c:pt idx="14">
                  <c:v>-10</c:v>
                </c:pt>
                <c:pt idx="15">
                  <c:v>-10</c:v>
                </c:pt>
                <c:pt idx="16">
                  <c:v>-10</c:v>
                </c:pt>
                <c:pt idx="17">
                  <c:v>-10</c:v>
                </c:pt>
                <c:pt idx="18">
                  <c:v>-10</c:v>
                </c:pt>
                <c:pt idx="19">
                  <c:v>-10</c:v>
                </c:pt>
                <c:pt idx="20">
                  <c:v>-10</c:v>
                </c:pt>
                <c:pt idx="21">
                  <c:v>-10</c:v>
                </c:pt>
                <c:pt idx="22">
                  <c:v>-10</c:v>
                </c:pt>
                <c:pt idx="23">
                  <c:v>-10</c:v>
                </c:pt>
                <c:pt idx="24">
                  <c:v>-10</c:v>
                </c:pt>
                <c:pt idx="25">
                  <c:v>-10</c:v>
                </c:pt>
                <c:pt idx="26">
                  <c:v>-10</c:v>
                </c:pt>
                <c:pt idx="27">
                  <c:v>-10</c:v>
                </c:pt>
                <c:pt idx="28">
                  <c:v>-10</c:v>
                </c:pt>
                <c:pt idx="29">
                  <c:v>-10</c:v>
                </c:pt>
                <c:pt idx="30">
                  <c:v>-10</c:v>
                </c:pt>
                <c:pt idx="31">
                  <c:v>-10</c:v>
                </c:pt>
                <c:pt idx="32">
                  <c:v>-10</c:v>
                </c:pt>
                <c:pt idx="33">
                  <c:v>-10</c:v>
                </c:pt>
                <c:pt idx="34">
                  <c:v>-10</c:v>
                </c:pt>
                <c:pt idx="35">
                  <c:v>-10</c:v>
                </c:pt>
                <c:pt idx="36">
                  <c:v>-10</c:v>
                </c:pt>
                <c:pt idx="37">
                  <c:v>-10</c:v>
                </c:pt>
                <c:pt idx="38">
                  <c:v>-10</c:v>
                </c:pt>
                <c:pt idx="39">
                  <c:v>-10</c:v>
                </c:pt>
                <c:pt idx="40">
                  <c:v>-10</c:v>
                </c:pt>
                <c:pt idx="41">
                  <c:v>-10</c:v>
                </c:pt>
                <c:pt idx="42">
                  <c:v>-10</c:v>
                </c:pt>
                <c:pt idx="43">
                  <c:v>-10</c:v>
                </c:pt>
                <c:pt idx="44">
                  <c:v>-10</c:v>
                </c:pt>
                <c:pt idx="45">
                  <c:v>-10</c:v>
                </c:pt>
                <c:pt idx="46">
                  <c:v>-10</c:v>
                </c:pt>
                <c:pt idx="47">
                  <c:v>-10</c:v>
                </c:pt>
                <c:pt idx="48">
                  <c:v>-10</c:v>
                </c:pt>
                <c:pt idx="49">
                  <c:v>-10</c:v>
                </c:pt>
                <c:pt idx="50">
                  <c:v>-10</c:v>
                </c:pt>
                <c:pt idx="51">
                  <c:v>-10</c:v>
                </c:pt>
                <c:pt idx="52">
                  <c:v>-10</c:v>
                </c:pt>
                <c:pt idx="53">
                  <c:v>-10</c:v>
                </c:pt>
                <c:pt idx="54">
                  <c:v>-10</c:v>
                </c:pt>
                <c:pt idx="55">
                  <c:v>-10</c:v>
                </c:pt>
                <c:pt idx="56">
                  <c:v>-10</c:v>
                </c:pt>
                <c:pt idx="57">
                  <c:v>-10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-10</c:v>
                </c:pt>
                <c:pt idx="80">
                  <c:v>-10</c:v>
                </c:pt>
                <c:pt idx="81">
                  <c:v>-10</c:v>
                </c:pt>
                <c:pt idx="82">
                  <c:v>-10</c:v>
                </c:pt>
                <c:pt idx="83">
                  <c:v>-10</c:v>
                </c:pt>
                <c:pt idx="84">
                  <c:v>-10</c:v>
                </c:pt>
                <c:pt idx="85">
                  <c:v>-10</c:v>
                </c:pt>
                <c:pt idx="86">
                  <c:v>-10</c:v>
                </c:pt>
                <c:pt idx="87">
                  <c:v>-10</c:v>
                </c:pt>
                <c:pt idx="88">
                  <c:v>-10</c:v>
                </c:pt>
                <c:pt idx="89">
                  <c:v>-10</c:v>
                </c:pt>
                <c:pt idx="90">
                  <c:v>-10</c:v>
                </c:pt>
                <c:pt idx="91">
                  <c:v>-10</c:v>
                </c:pt>
                <c:pt idx="92">
                  <c:v>-10</c:v>
                </c:pt>
                <c:pt idx="93">
                  <c:v>-10</c:v>
                </c:pt>
                <c:pt idx="94">
                  <c:v>-10</c:v>
                </c:pt>
                <c:pt idx="95">
                  <c:v>-10</c:v>
                </c:pt>
                <c:pt idx="96">
                  <c:v>-10</c:v>
                </c:pt>
                <c:pt idx="97">
                  <c:v>-10</c:v>
                </c:pt>
                <c:pt idx="98">
                  <c:v>-10</c:v>
                </c:pt>
                <c:pt idx="99">
                  <c:v>-10</c:v>
                </c:pt>
                <c:pt idx="100">
                  <c:v>-10</c:v>
                </c:pt>
                <c:pt idx="101">
                  <c:v>-10</c:v>
                </c:pt>
                <c:pt idx="102">
                  <c:v>-10</c:v>
                </c:pt>
                <c:pt idx="103">
                  <c:v>-10</c:v>
                </c:pt>
                <c:pt idx="104">
                  <c:v>-10</c:v>
                </c:pt>
                <c:pt idx="105">
                  <c:v>-10</c:v>
                </c:pt>
                <c:pt idx="106">
                  <c:v>-10</c:v>
                </c:pt>
                <c:pt idx="107">
                  <c:v>-10</c:v>
                </c:pt>
                <c:pt idx="108">
                  <c:v>-10</c:v>
                </c:pt>
                <c:pt idx="109">
                  <c:v>-10</c:v>
                </c:pt>
                <c:pt idx="110">
                  <c:v>-10</c:v>
                </c:pt>
                <c:pt idx="111">
                  <c:v>-10</c:v>
                </c:pt>
                <c:pt idx="112">
                  <c:v>-10</c:v>
                </c:pt>
                <c:pt idx="113">
                  <c:v>-10</c:v>
                </c:pt>
                <c:pt idx="114">
                  <c:v>-10</c:v>
                </c:pt>
                <c:pt idx="115">
                  <c:v>-10</c:v>
                </c:pt>
                <c:pt idx="116">
                  <c:v>-10</c:v>
                </c:pt>
                <c:pt idx="117">
                  <c:v>-10</c:v>
                </c:pt>
                <c:pt idx="118">
                  <c:v>-10</c:v>
                </c:pt>
                <c:pt idx="119">
                  <c:v>-10</c:v>
                </c:pt>
                <c:pt idx="120">
                  <c:v>-10</c:v>
                </c:pt>
                <c:pt idx="121">
                  <c:v>-10</c:v>
                </c:pt>
                <c:pt idx="122">
                  <c:v>-10</c:v>
                </c:pt>
                <c:pt idx="123">
                  <c:v>-10</c:v>
                </c:pt>
                <c:pt idx="124">
                  <c:v>-10</c:v>
                </c:pt>
                <c:pt idx="125">
                  <c:v>-10</c:v>
                </c:pt>
                <c:pt idx="126">
                  <c:v>-10</c:v>
                </c:pt>
                <c:pt idx="127">
                  <c:v>-10</c:v>
                </c:pt>
                <c:pt idx="128">
                  <c:v>-10</c:v>
                </c:pt>
                <c:pt idx="129">
                  <c:v>-10</c:v>
                </c:pt>
                <c:pt idx="130">
                  <c:v>-10</c:v>
                </c:pt>
                <c:pt idx="131">
                  <c:v>-10</c:v>
                </c:pt>
                <c:pt idx="132">
                  <c:v>-10</c:v>
                </c:pt>
                <c:pt idx="133">
                  <c:v>-10</c:v>
                </c:pt>
                <c:pt idx="134">
                  <c:v>-10</c:v>
                </c:pt>
                <c:pt idx="135">
                  <c:v>-10</c:v>
                </c:pt>
                <c:pt idx="136">
                  <c:v>-10</c:v>
                </c:pt>
                <c:pt idx="137">
                  <c:v>-10</c:v>
                </c:pt>
                <c:pt idx="138">
                  <c:v>-10</c:v>
                </c:pt>
                <c:pt idx="139">
                  <c:v>-10</c:v>
                </c:pt>
                <c:pt idx="140">
                  <c:v>-10</c:v>
                </c:pt>
                <c:pt idx="141">
                  <c:v>-10</c:v>
                </c:pt>
                <c:pt idx="142">
                  <c:v>-10</c:v>
                </c:pt>
                <c:pt idx="143">
                  <c:v>-10</c:v>
                </c:pt>
                <c:pt idx="144">
                  <c:v>-10</c:v>
                </c:pt>
                <c:pt idx="145">
                  <c:v>-10</c:v>
                </c:pt>
                <c:pt idx="146">
                  <c:v>-10</c:v>
                </c:pt>
                <c:pt idx="147">
                  <c:v>-10</c:v>
                </c:pt>
                <c:pt idx="148">
                  <c:v>-10</c:v>
                </c:pt>
                <c:pt idx="149">
                  <c:v>-10</c:v>
                </c:pt>
                <c:pt idx="150">
                  <c:v>-10</c:v>
                </c:pt>
                <c:pt idx="151">
                  <c:v>-10</c:v>
                </c:pt>
                <c:pt idx="152">
                  <c:v>-10</c:v>
                </c:pt>
                <c:pt idx="153">
                  <c:v>-10</c:v>
                </c:pt>
                <c:pt idx="154">
                  <c:v>-10</c:v>
                </c:pt>
                <c:pt idx="155">
                  <c:v>-10</c:v>
                </c:pt>
                <c:pt idx="156">
                  <c:v>-10</c:v>
                </c:pt>
                <c:pt idx="157">
                  <c:v>-10</c:v>
                </c:pt>
                <c:pt idx="158">
                  <c:v>-10</c:v>
                </c:pt>
                <c:pt idx="159">
                  <c:v>-10</c:v>
                </c:pt>
                <c:pt idx="160">
                  <c:v>-10</c:v>
                </c:pt>
                <c:pt idx="161">
                  <c:v>-10</c:v>
                </c:pt>
                <c:pt idx="162">
                  <c:v>-10</c:v>
                </c:pt>
                <c:pt idx="163">
                  <c:v>-10</c:v>
                </c:pt>
                <c:pt idx="164">
                  <c:v>-10</c:v>
                </c:pt>
                <c:pt idx="165">
                  <c:v>-10</c:v>
                </c:pt>
                <c:pt idx="166">
                  <c:v>-10</c:v>
                </c:pt>
                <c:pt idx="167">
                  <c:v>-10</c:v>
                </c:pt>
                <c:pt idx="168">
                  <c:v>-10</c:v>
                </c:pt>
                <c:pt idx="169">
                  <c:v>-10</c:v>
                </c:pt>
                <c:pt idx="170">
                  <c:v>-10</c:v>
                </c:pt>
                <c:pt idx="171">
                  <c:v>-10</c:v>
                </c:pt>
                <c:pt idx="172">
                  <c:v>-10</c:v>
                </c:pt>
                <c:pt idx="173">
                  <c:v>-10</c:v>
                </c:pt>
                <c:pt idx="174">
                  <c:v>-10</c:v>
                </c:pt>
                <c:pt idx="175">
                  <c:v>-10</c:v>
                </c:pt>
                <c:pt idx="176">
                  <c:v>-10</c:v>
                </c:pt>
                <c:pt idx="177">
                  <c:v>-10</c:v>
                </c:pt>
                <c:pt idx="178">
                  <c:v>-10</c:v>
                </c:pt>
                <c:pt idx="179">
                  <c:v>-10</c:v>
                </c:pt>
                <c:pt idx="180">
                  <c:v>-10</c:v>
                </c:pt>
                <c:pt idx="181">
                  <c:v>-10</c:v>
                </c:pt>
                <c:pt idx="182">
                  <c:v>-10</c:v>
                </c:pt>
                <c:pt idx="183">
                  <c:v>-10</c:v>
                </c:pt>
                <c:pt idx="184">
                  <c:v>-10</c:v>
                </c:pt>
                <c:pt idx="185">
                  <c:v>-10</c:v>
                </c:pt>
                <c:pt idx="186">
                  <c:v>-10</c:v>
                </c:pt>
                <c:pt idx="187">
                  <c:v>-10</c:v>
                </c:pt>
                <c:pt idx="188">
                  <c:v>-10</c:v>
                </c:pt>
                <c:pt idx="189">
                  <c:v>-10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05821655"/>
        <c:axId val="151246232"/>
      </c:lineChart>
      <c:catAx>
        <c:axId val="6058216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1246232"/>
        <c:crosses val="autoZero"/>
        <c:auto val="1"/>
        <c:lblAlgn val="ctr"/>
        <c:lblOffset val="100"/>
        <c:noMultiLvlLbl val="0"/>
      </c:catAx>
      <c:valAx>
        <c:axId val="151246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5821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ad6d717-ea50-42da-8dee-01e5c866af7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469004656577416"/>
          <c:y val="0.15155638714067"/>
          <c:w val="0.947424330616996"/>
          <c:h val="0.755570675284912"/>
        </c:manualLayout>
      </c:layout>
      <c:lineChart>
        <c:grouping val="standard"/>
        <c:varyColors val="0"/>
        <c:ser>
          <c:idx val="0"/>
          <c:order val="0"/>
          <c:tx>
            <c:strRef>
              <c:f>常压_a_20!$J$3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常压_a_20!$I$4:$I$1781</c:f>
              <c:numCache>
                <c:formatCode>General</c:formatCode>
                <c:ptCount val="1778"/>
                <c:pt idx="0">
                  <c:v>0</c:v>
                </c:pt>
                <c:pt idx="1">
                  <c:v>0</c:v>
                </c:pt>
                <c:pt idx="2">
                  <c:v>0.05</c:v>
                </c:pt>
                <c:pt idx="3">
                  <c:v>0.1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0.2</c:v>
                </c:pt>
                <c:pt idx="8">
                  <c:v>0.25</c:v>
                </c:pt>
                <c:pt idx="9">
                  <c:v>0.3</c:v>
                </c:pt>
                <c:pt idx="10">
                  <c:v>0.3</c:v>
                </c:pt>
                <c:pt idx="11">
                  <c:v>0.35</c:v>
                </c:pt>
                <c:pt idx="12">
                  <c:v>0.4</c:v>
                </c:pt>
                <c:pt idx="13">
                  <c:v>0.4</c:v>
                </c:pt>
                <c:pt idx="14">
                  <c:v>0.45</c:v>
                </c:pt>
                <c:pt idx="15">
                  <c:v>0.5</c:v>
                </c:pt>
                <c:pt idx="16">
                  <c:v>0.5</c:v>
                </c:pt>
                <c:pt idx="17">
                  <c:v>0.55</c:v>
                </c:pt>
                <c:pt idx="18">
                  <c:v>0.6</c:v>
                </c:pt>
                <c:pt idx="19">
                  <c:v>0.6</c:v>
                </c:pt>
                <c:pt idx="20">
                  <c:v>0.65</c:v>
                </c:pt>
                <c:pt idx="21">
                  <c:v>0.7</c:v>
                </c:pt>
                <c:pt idx="22">
                  <c:v>0.7</c:v>
                </c:pt>
                <c:pt idx="23">
                  <c:v>0.75</c:v>
                </c:pt>
                <c:pt idx="24">
                  <c:v>0.8</c:v>
                </c:pt>
                <c:pt idx="25">
                  <c:v>0.8</c:v>
                </c:pt>
                <c:pt idx="26">
                  <c:v>0.85</c:v>
                </c:pt>
                <c:pt idx="27">
                  <c:v>0.9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  <c:pt idx="31">
                  <c:v>1</c:v>
                </c:pt>
                <c:pt idx="32">
                  <c:v>1.05</c:v>
                </c:pt>
                <c:pt idx="33">
                  <c:v>1.1</c:v>
                </c:pt>
                <c:pt idx="34">
                  <c:v>1.1</c:v>
                </c:pt>
                <c:pt idx="35">
                  <c:v>1.15</c:v>
                </c:pt>
                <c:pt idx="36">
                  <c:v>1.2</c:v>
                </c:pt>
                <c:pt idx="37">
                  <c:v>1.2</c:v>
                </c:pt>
                <c:pt idx="38">
                  <c:v>1.25</c:v>
                </c:pt>
                <c:pt idx="39">
                  <c:v>1.3</c:v>
                </c:pt>
                <c:pt idx="40">
                  <c:v>1.3</c:v>
                </c:pt>
                <c:pt idx="41">
                  <c:v>1.35</c:v>
                </c:pt>
                <c:pt idx="42">
                  <c:v>1.4</c:v>
                </c:pt>
                <c:pt idx="43">
                  <c:v>1.4</c:v>
                </c:pt>
                <c:pt idx="44">
                  <c:v>1.45</c:v>
                </c:pt>
                <c:pt idx="45">
                  <c:v>1.5</c:v>
                </c:pt>
                <c:pt idx="46">
                  <c:v>1.5</c:v>
                </c:pt>
                <c:pt idx="47">
                  <c:v>1.55</c:v>
                </c:pt>
                <c:pt idx="48">
                  <c:v>1.6</c:v>
                </c:pt>
                <c:pt idx="49">
                  <c:v>1.6</c:v>
                </c:pt>
                <c:pt idx="50">
                  <c:v>1.65</c:v>
                </c:pt>
                <c:pt idx="51">
                  <c:v>1.7</c:v>
                </c:pt>
                <c:pt idx="52">
                  <c:v>1.7</c:v>
                </c:pt>
                <c:pt idx="53">
                  <c:v>1.75</c:v>
                </c:pt>
                <c:pt idx="54">
                  <c:v>1.8</c:v>
                </c:pt>
                <c:pt idx="55">
                  <c:v>1.8</c:v>
                </c:pt>
                <c:pt idx="56">
                  <c:v>1.85</c:v>
                </c:pt>
                <c:pt idx="57">
                  <c:v>1.9</c:v>
                </c:pt>
                <c:pt idx="58">
                  <c:v>1.9</c:v>
                </c:pt>
                <c:pt idx="59">
                  <c:v>1.95</c:v>
                </c:pt>
                <c:pt idx="60">
                  <c:v>2</c:v>
                </c:pt>
                <c:pt idx="61">
                  <c:v>2</c:v>
                </c:pt>
                <c:pt idx="62">
                  <c:v>2.05</c:v>
                </c:pt>
                <c:pt idx="63">
                  <c:v>2.1</c:v>
                </c:pt>
                <c:pt idx="64">
                  <c:v>2.1</c:v>
                </c:pt>
                <c:pt idx="65">
                  <c:v>2.15</c:v>
                </c:pt>
                <c:pt idx="66">
                  <c:v>2.2</c:v>
                </c:pt>
                <c:pt idx="67">
                  <c:v>2.2</c:v>
                </c:pt>
                <c:pt idx="68">
                  <c:v>2.25</c:v>
                </c:pt>
                <c:pt idx="69">
                  <c:v>2.3</c:v>
                </c:pt>
                <c:pt idx="70">
                  <c:v>2.3</c:v>
                </c:pt>
                <c:pt idx="71">
                  <c:v>2.35</c:v>
                </c:pt>
                <c:pt idx="72">
                  <c:v>2.4</c:v>
                </c:pt>
                <c:pt idx="73">
                  <c:v>2.4</c:v>
                </c:pt>
                <c:pt idx="74">
                  <c:v>2.45</c:v>
                </c:pt>
                <c:pt idx="75">
                  <c:v>2.5</c:v>
                </c:pt>
                <c:pt idx="76">
                  <c:v>2.5</c:v>
                </c:pt>
                <c:pt idx="77">
                  <c:v>2.55</c:v>
                </c:pt>
                <c:pt idx="78">
                  <c:v>2.6</c:v>
                </c:pt>
                <c:pt idx="79">
                  <c:v>2.6</c:v>
                </c:pt>
                <c:pt idx="80">
                  <c:v>2.65</c:v>
                </c:pt>
                <c:pt idx="81">
                  <c:v>2.7</c:v>
                </c:pt>
                <c:pt idx="82">
                  <c:v>2.7</c:v>
                </c:pt>
                <c:pt idx="83">
                  <c:v>2.75</c:v>
                </c:pt>
                <c:pt idx="84">
                  <c:v>2.8</c:v>
                </c:pt>
                <c:pt idx="85">
                  <c:v>2.8</c:v>
                </c:pt>
                <c:pt idx="86">
                  <c:v>2.85</c:v>
                </c:pt>
                <c:pt idx="87">
                  <c:v>2.9</c:v>
                </c:pt>
                <c:pt idx="88">
                  <c:v>2.9</c:v>
                </c:pt>
                <c:pt idx="89">
                  <c:v>2.95</c:v>
                </c:pt>
                <c:pt idx="90">
                  <c:v>3</c:v>
                </c:pt>
                <c:pt idx="91">
                  <c:v>3</c:v>
                </c:pt>
                <c:pt idx="92">
                  <c:v>3.05</c:v>
                </c:pt>
                <c:pt idx="93">
                  <c:v>3.1</c:v>
                </c:pt>
                <c:pt idx="94">
                  <c:v>3.1</c:v>
                </c:pt>
                <c:pt idx="95">
                  <c:v>3.15</c:v>
                </c:pt>
                <c:pt idx="96">
                  <c:v>3.2</c:v>
                </c:pt>
                <c:pt idx="97">
                  <c:v>3.2</c:v>
                </c:pt>
                <c:pt idx="98">
                  <c:v>3.25</c:v>
                </c:pt>
                <c:pt idx="99">
                  <c:v>3.3</c:v>
                </c:pt>
                <c:pt idx="100">
                  <c:v>3.3</c:v>
                </c:pt>
                <c:pt idx="101">
                  <c:v>3.35</c:v>
                </c:pt>
                <c:pt idx="102">
                  <c:v>3.4</c:v>
                </c:pt>
                <c:pt idx="103">
                  <c:v>3.4</c:v>
                </c:pt>
                <c:pt idx="104">
                  <c:v>3.45</c:v>
                </c:pt>
                <c:pt idx="105">
                  <c:v>3.5</c:v>
                </c:pt>
                <c:pt idx="106">
                  <c:v>3.5</c:v>
                </c:pt>
                <c:pt idx="107">
                  <c:v>3.55</c:v>
                </c:pt>
                <c:pt idx="108">
                  <c:v>3.6</c:v>
                </c:pt>
                <c:pt idx="109">
                  <c:v>3.6</c:v>
                </c:pt>
                <c:pt idx="110">
                  <c:v>3.65</c:v>
                </c:pt>
                <c:pt idx="111">
                  <c:v>3.7</c:v>
                </c:pt>
                <c:pt idx="112">
                  <c:v>3.7</c:v>
                </c:pt>
                <c:pt idx="113">
                  <c:v>3.75</c:v>
                </c:pt>
                <c:pt idx="114">
                  <c:v>3.8</c:v>
                </c:pt>
                <c:pt idx="115">
                  <c:v>3.8</c:v>
                </c:pt>
                <c:pt idx="116">
                  <c:v>3.85</c:v>
                </c:pt>
                <c:pt idx="117">
                  <c:v>3.9</c:v>
                </c:pt>
                <c:pt idx="118">
                  <c:v>3.9</c:v>
                </c:pt>
                <c:pt idx="119">
                  <c:v>3.95</c:v>
                </c:pt>
                <c:pt idx="120">
                  <c:v>4</c:v>
                </c:pt>
                <c:pt idx="121">
                  <c:v>4</c:v>
                </c:pt>
                <c:pt idx="122">
                  <c:v>4.05</c:v>
                </c:pt>
                <c:pt idx="123">
                  <c:v>4.1</c:v>
                </c:pt>
                <c:pt idx="124">
                  <c:v>4.1</c:v>
                </c:pt>
                <c:pt idx="125">
                  <c:v>4.15</c:v>
                </c:pt>
                <c:pt idx="126">
                  <c:v>4.2</c:v>
                </c:pt>
                <c:pt idx="127">
                  <c:v>4.2</c:v>
                </c:pt>
                <c:pt idx="128">
                  <c:v>4.25</c:v>
                </c:pt>
                <c:pt idx="129">
                  <c:v>4.3</c:v>
                </c:pt>
                <c:pt idx="130">
                  <c:v>4.3</c:v>
                </c:pt>
                <c:pt idx="131">
                  <c:v>4.35</c:v>
                </c:pt>
                <c:pt idx="132">
                  <c:v>4.4</c:v>
                </c:pt>
                <c:pt idx="133">
                  <c:v>4.4</c:v>
                </c:pt>
                <c:pt idx="134">
                  <c:v>4.45</c:v>
                </c:pt>
                <c:pt idx="135">
                  <c:v>4.5</c:v>
                </c:pt>
                <c:pt idx="136">
                  <c:v>4.5</c:v>
                </c:pt>
                <c:pt idx="137">
                  <c:v>4.55</c:v>
                </c:pt>
                <c:pt idx="138">
                  <c:v>4.6</c:v>
                </c:pt>
                <c:pt idx="139">
                  <c:v>4.6</c:v>
                </c:pt>
                <c:pt idx="140">
                  <c:v>4.65</c:v>
                </c:pt>
                <c:pt idx="141">
                  <c:v>4.7</c:v>
                </c:pt>
                <c:pt idx="142">
                  <c:v>4.7</c:v>
                </c:pt>
                <c:pt idx="143">
                  <c:v>4.75</c:v>
                </c:pt>
                <c:pt idx="144">
                  <c:v>4.8</c:v>
                </c:pt>
                <c:pt idx="145">
                  <c:v>4.8</c:v>
                </c:pt>
                <c:pt idx="146">
                  <c:v>4.85</c:v>
                </c:pt>
                <c:pt idx="147">
                  <c:v>4.9</c:v>
                </c:pt>
                <c:pt idx="148">
                  <c:v>4.9</c:v>
                </c:pt>
                <c:pt idx="149">
                  <c:v>4.95</c:v>
                </c:pt>
                <c:pt idx="150">
                  <c:v>5</c:v>
                </c:pt>
                <c:pt idx="151">
                  <c:v>5</c:v>
                </c:pt>
                <c:pt idx="152">
                  <c:v>5.05</c:v>
                </c:pt>
                <c:pt idx="153">
                  <c:v>5.1</c:v>
                </c:pt>
                <c:pt idx="154">
                  <c:v>5.1</c:v>
                </c:pt>
                <c:pt idx="155">
                  <c:v>5.15</c:v>
                </c:pt>
                <c:pt idx="156">
                  <c:v>5.2</c:v>
                </c:pt>
                <c:pt idx="157">
                  <c:v>5.2</c:v>
                </c:pt>
                <c:pt idx="158">
                  <c:v>5.25</c:v>
                </c:pt>
                <c:pt idx="159">
                  <c:v>5.3</c:v>
                </c:pt>
                <c:pt idx="160">
                  <c:v>5.3</c:v>
                </c:pt>
                <c:pt idx="161">
                  <c:v>5.35</c:v>
                </c:pt>
                <c:pt idx="162">
                  <c:v>5.4</c:v>
                </c:pt>
                <c:pt idx="163">
                  <c:v>5.4</c:v>
                </c:pt>
                <c:pt idx="164">
                  <c:v>5.45</c:v>
                </c:pt>
                <c:pt idx="165">
                  <c:v>5.5</c:v>
                </c:pt>
                <c:pt idx="166">
                  <c:v>5.55</c:v>
                </c:pt>
                <c:pt idx="167">
                  <c:v>5.55</c:v>
                </c:pt>
                <c:pt idx="168">
                  <c:v>5.6</c:v>
                </c:pt>
                <c:pt idx="169">
                  <c:v>5.65</c:v>
                </c:pt>
                <c:pt idx="170">
                  <c:v>5.65</c:v>
                </c:pt>
                <c:pt idx="171">
                  <c:v>5.7</c:v>
                </c:pt>
                <c:pt idx="172">
                  <c:v>5.75</c:v>
                </c:pt>
                <c:pt idx="173">
                  <c:v>5.75</c:v>
                </c:pt>
                <c:pt idx="174">
                  <c:v>5.8</c:v>
                </c:pt>
                <c:pt idx="175">
                  <c:v>5.85</c:v>
                </c:pt>
                <c:pt idx="176">
                  <c:v>5.85</c:v>
                </c:pt>
                <c:pt idx="177">
                  <c:v>5.9</c:v>
                </c:pt>
                <c:pt idx="178">
                  <c:v>5.95</c:v>
                </c:pt>
                <c:pt idx="179">
                  <c:v>5.95</c:v>
                </c:pt>
                <c:pt idx="180">
                  <c:v>6</c:v>
                </c:pt>
                <c:pt idx="181">
                  <c:v>6.05</c:v>
                </c:pt>
                <c:pt idx="182">
                  <c:v>6.05</c:v>
                </c:pt>
                <c:pt idx="183">
                  <c:v>6.1</c:v>
                </c:pt>
                <c:pt idx="184">
                  <c:v>6.15</c:v>
                </c:pt>
                <c:pt idx="185">
                  <c:v>6.15</c:v>
                </c:pt>
                <c:pt idx="186">
                  <c:v>6.2</c:v>
                </c:pt>
                <c:pt idx="187">
                  <c:v>6.25</c:v>
                </c:pt>
                <c:pt idx="188">
                  <c:v>6.25</c:v>
                </c:pt>
                <c:pt idx="189">
                  <c:v>6.3</c:v>
                </c:pt>
                <c:pt idx="190">
                  <c:v>6.35</c:v>
                </c:pt>
                <c:pt idx="191">
                  <c:v>6.35</c:v>
                </c:pt>
                <c:pt idx="192">
                  <c:v>6.4</c:v>
                </c:pt>
                <c:pt idx="193">
                  <c:v>6.45</c:v>
                </c:pt>
                <c:pt idx="194">
                  <c:v>6.45</c:v>
                </c:pt>
                <c:pt idx="195">
                  <c:v>6.5</c:v>
                </c:pt>
                <c:pt idx="196">
                  <c:v>6.55</c:v>
                </c:pt>
                <c:pt idx="197">
                  <c:v>6.55</c:v>
                </c:pt>
                <c:pt idx="198">
                  <c:v>6.6</c:v>
                </c:pt>
                <c:pt idx="199">
                  <c:v>6.65</c:v>
                </c:pt>
                <c:pt idx="200">
                  <c:v>6.65</c:v>
                </c:pt>
                <c:pt idx="201">
                  <c:v>6.7</c:v>
                </c:pt>
                <c:pt idx="202">
                  <c:v>6.75</c:v>
                </c:pt>
                <c:pt idx="203">
                  <c:v>6.75</c:v>
                </c:pt>
                <c:pt idx="204">
                  <c:v>6.8</c:v>
                </c:pt>
                <c:pt idx="205">
                  <c:v>6.85</c:v>
                </c:pt>
                <c:pt idx="206">
                  <c:v>6.85</c:v>
                </c:pt>
                <c:pt idx="207">
                  <c:v>6.9</c:v>
                </c:pt>
                <c:pt idx="208">
                  <c:v>6.95</c:v>
                </c:pt>
                <c:pt idx="209">
                  <c:v>6.95</c:v>
                </c:pt>
                <c:pt idx="210">
                  <c:v>7</c:v>
                </c:pt>
                <c:pt idx="211">
                  <c:v>7.05</c:v>
                </c:pt>
                <c:pt idx="212">
                  <c:v>7.05</c:v>
                </c:pt>
                <c:pt idx="213">
                  <c:v>7.1</c:v>
                </c:pt>
                <c:pt idx="214">
                  <c:v>7.15</c:v>
                </c:pt>
                <c:pt idx="215">
                  <c:v>7.15</c:v>
                </c:pt>
                <c:pt idx="216">
                  <c:v>7.2</c:v>
                </c:pt>
                <c:pt idx="217">
                  <c:v>7.25</c:v>
                </c:pt>
                <c:pt idx="218">
                  <c:v>7.25</c:v>
                </c:pt>
                <c:pt idx="219">
                  <c:v>7.3</c:v>
                </c:pt>
                <c:pt idx="220">
                  <c:v>7.35</c:v>
                </c:pt>
                <c:pt idx="221">
                  <c:v>7.35</c:v>
                </c:pt>
                <c:pt idx="222">
                  <c:v>7.4</c:v>
                </c:pt>
                <c:pt idx="223">
                  <c:v>7.45</c:v>
                </c:pt>
                <c:pt idx="224">
                  <c:v>7.45</c:v>
                </c:pt>
                <c:pt idx="225">
                  <c:v>7.5</c:v>
                </c:pt>
                <c:pt idx="226">
                  <c:v>7.55</c:v>
                </c:pt>
                <c:pt idx="227">
                  <c:v>7.55</c:v>
                </c:pt>
                <c:pt idx="228">
                  <c:v>7.6</c:v>
                </c:pt>
                <c:pt idx="229">
                  <c:v>7.65</c:v>
                </c:pt>
                <c:pt idx="230">
                  <c:v>7.65</c:v>
                </c:pt>
                <c:pt idx="231">
                  <c:v>7.7</c:v>
                </c:pt>
                <c:pt idx="232">
                  <c:v>7.75</c:v>
                </c:pt>
                <c:pt idx="233">
                  <c:v>7.75</c:v>
                </c:pt>
                <c:pt idx="234">
                  <c:v>7.8</c:v>
                </c:pt>
                <c:pt idx="235">
                  <c:v>7.85</c:v>
                </c:pt>
                <c:pt idx="236">
                  <c:v>7.85</c:v>
                </c:pt>
                <c:pt idx="237">
                  <c:v>7.9</c:v>
                </c:pt>
                <c:pt idx="238">
                  <c:v>7.95</c:v>
                </c:pt>
                <c:pt idx="239">
                  <c:v>7.95</c:v>
                </c:pt>
                <c:pt idx="240">
                  <c:v>8</c:v>
                </c:pt>
                <c:pt idx="241">
                  <c:v>8.05</c:v>
                </c:pt>
                <c:pt idx="242">
                  <c:v>8.05</c:v>
                </c:pt>
                <c:pt idx="243">
                  <c:v>8.1</c:v>
                </c:pt>
                <c:pt idx="244">
                  <c:v>8.15</c:v>
                </c:pt>
                <c:pt idx="245">
                  <c:v>8.15</c:v>
                </c:pt>
                <c:pt idx="246">
                  <c:v>8.2</c:v>
                </c:pt>
                <c:pt idx="247">
                  <c:v>8.25</c:v>
                </c:pt>
                <c:pt idx="248">
                  <c:v>8.25</c:v>
                </c:pt>
                <c:pt idx="249">
                  <c:v>8.3</c:v>
                </c:pt>
                <c:pt idx="250">
                  <c:v>8.35</c:v>
                </c:pt>
                <c:pt idx="251">
                  <c:v>8.35</c:v>
                </c:pt>
                <c:pt idx="252">
                  <c:v>8.4</c:v>
                </c:pt>
                <c:pt idx="253">
                  <c:v>8.45</c:v>
                </c:pt>
                <c:pt idx="254">
                  <c:v>8.45</c:v>
                </c:pt>
                <c:pt idx="255">
                  <c:v>8.5</c:v>
                </c:pt>
                <c:pt idx="256">
                  <c:v>8.55</c:v>
                </c:pt>
                <c:pt idx="257">
                  <c:v>8.55</c:v>
                </c:pt>
                <c:pt idx="258">
                  <c:v>8.6</c:v>
                </c:pt>
                <c:pt idx="259">
                  <c:v>8.65</c:v>
                </c:pt>
                <c:pt idx="260">
                  <c:v>8.65</c:v>
                </c:pt>
                <c:pt idx="261">
                  <c:v>8.7</c:v>
                </c:pt>
                <c:pt idx="262">
                  <c:v>8.75</c:v>
                </c:pt>
                <c:pt idx="263">
                  <c:v>8.75</c:v>
                </c:pt>
                <c:pt idx="264">
                  <c:v>8.8</c:v>
                </c:pt>
                <c:pt idx="265">
                  <c:v>8.85</c:v>
                </c:pt>
                <c:pt idx="266">
                  <c:v>8.85</c:v>
                </c:pt>
                <c:pt idx="267">
                  <c:v>8.9</c:v>
                </c:pt>
                <c:pt idx="268">
                  <c:v>8.95</c:v>
                </c:pt>
                <c:pt idx="269">
                  <c:v>8.95</c:v>
                </c:pt>
                <c:pt idx="270">
                  <c:v>9</c:v>
                </c:pt>
                <c:pt idx="271">
                  <c:v>9.05</c:v>
                </c:pt>
                <c:pt idx="272">
                  <c:v>9.05</c:v>
                </c:pt>
                <c:pt idx="273">
                  <c:v>9.1</c:v>
                </c:pt>
                <c:pt idx="274">
                  <c:v>9.15</c:v>
                </c:pt>
                <c:pt idx="275">
                  <c:v>9.15</c:v>
                </c:pt>
                <c:pt idx="276">
                  <c:v>9.2</c:v>
                </c:pt>
                <c:pt idx="277">
                  <c:v>9.25</c:v>
                </c:pt>
                <c:pt idx="278">
                  <c:v>9.25</c:v>
                </c:pt>
                <c:pt idx="279">
                  <c:v>9.3</c:v>
                </c:pt>
                <c:pt idx="280">
                  <c:v>9.35</c:v>
                </c:pt>
                <c:pt idx="281">
                  <c:v>9.35</c:v>
                </c:pt>
                <c:pt idx="282">
                  <c:v>9.4</c:v>
                </c:pt>
                <c:pt idx="283">
                  <c:v>9.45</c:v>
                </c:pt>
                <c:pt idx="284">
                  <c:v>9.45</c:v>
                </c:pt>
                <c:pt idx="285">
                  <c:v>9.5</c:v>
                </c:pt>
                <c:pt idx="286">
                  <c:v>9.55</c:v>
                </c:pt>
                <c:pt idx="287">
                  <c:v>9.55</c:v>
                </c:pt>
                <c:pt idx="288">
                  <c:v>9.6</c:v>
                </c:pt>
                <c:pt idx="289">
                  <c:v>9.65</c:v>
                </c:pt>
                <c:pt idx="290">
                  <c:v>9.65</c:v>
                </c:pt>
                <c:pt idx="291">
                  <c:v>9.7</c:v>
                </c:pt>
                <c:pt idx="292">
                  <c:v>9.75</c:v>
                </c:pt>
                <c:pt idx="293">
                  <c:v>9.75</c:v>
                </c:pt>
                <c:pt idx="294">
                  <c:v>9.8</c:v>
                </c:pt>
                <c:pt idx="295">
                  <c:v>9.85</c:v>
                </c:pt>
                <c:pt idx="296">
                  <c:v>9.85</c:v>
                </c:pt>
                <c:pt idx="297">
                  <c:v>9.9</c:v>
                </c:pt>
                <c:pt idx="298">
                  <c:v>9.95</c:v>
                </c:pt>
                <c:pt idx="299">
                  <c:v>9.95</c:v>
                </c:pt>
                <c:pt idx="300">
                  <c:v>10</c:v>
                </c:pt>
                <c:pt idx="301">
                  <c:v>10.05</c:v>
                </c:pt>
                <c:pt idx="302">
                  <c:v>10.05</c:v>
                </c:pt>
                <c:pt idx="303">
                  <c:v>10.1</c:v>
                </c:pt>
                <c:pt idx="304">
                  <c:v>10.15</c:v>
                </c:pt>
                <c:pt idx="305">
                  <c:v>10.15</c:v>
                </c:pt>
                <c:pt idx="306">
                  <c:v>10.2</c:v>
                </c:pt>
                <c:pt idx="307">
                  <c:v>10.25</c:v>
                </c:pt>
                <c:pt idx="308">
                  <c:v>10.25</c:v>
                </c:pt>
                <c:pt idx="309">
                  <c:v>10.3</c:v>
                </c:pt>
                <c:pt idx="310">
                  <c:v>10.35</c:v>
                </c:pt>
                <c:pt idx="311">
                  <c:v>10.35</c:v>
                </c:pt>
                <c:pt idx="312">
                  <c:v>10.4</c:v>
                </c:pt>
                <c:pt idx="313">
                  <c:v>10.45</c:v>
                </c:pt>
                <c:pt idx="314">
                  <c:v>10.45</c:v>
                </c:pt>
                <c:pt idx="315">
                  <c:v>10.5</c:v>
                </c:pt>
                <c:pt idx="316">
                  <c:v>10.55</c:v>
                </c:pt>
                <c:pt idx="317">
                  <c:v>10.55</c:v>
                </c:pt>
                <c:pt idx="318">
                  <c:v>10.6</c:v>
                </c:pt>
                <c:pt idx="319">
                  <c:v>10.65</c:v>
                </c:pt>
                <c:pt idx="320">
                  <c:v>10.65</c:v>
                </c:pt>
                <c:pt idx="321">
                  <c:v>10.7</c:v>
                </c:pt>
                <c:pt idx="322">
                  <c:v>10.75</c:v>
                </c:pt>
                <c:pt idx="323">
                  <c:v>10.75</c:v>
                </c:pt>
                <c:pt idx="324">
                  <c:v>10.8</c:v>
                </c:pt>
                <c:pt idx="325">
                  <c:v>10.85</c:v>
                </c:pt>
                <c:pt idx="326">
                  <c:v>10.85</c:v>
                </c:pt>
                <c:pt idx="327">
                  <c:v>10.9</c:v>
                </c:pt>
                <c:pt idx="328">
                  <c:v>10.95</c:v>
                </c:pt>
                <c:pt idx="329">
                  <c:v>10.95</c:v>
                </c:pt>
                <c:pt idx="330">
                  <c:v>11</c:v>
                </c:pt>
                <c:pt idx="331">
                  <c:v>11.05</c:v>
                </c:pt>
                <c:pt idx="332">
                  <c:v>11.05</c:v>
                </c:pt>
                <c:pt idx="333">
                  <c:v>11.1</c:v>
                </c:pt>
                <c:pt idx="334">
                  <c:v>11.15</c:v>
                </c:pt>
                <c:pt idx="335">
                  <c:v>11.15</c:v>
                </c:pt>
                <c:pt idx="336">
                  <c:v>11.2</c:v>
                </c:pt>
                <c:pt idx="337">
                  <c:v>11.25</c:v>
                </c:pt>
                <c:pt idx="338">
                  <c:v>11.3</c:v>
                </c:pt>
                <c:pt idx="339">
                  <c:v>11.3</c:v>
                </c:pt>
                <c:pt idx="340">
                  <c:v>11.35</c:v>
                </c:pt>
                <c:pt idx="341">
                  <c:v>11.4</c:v>
                </c:pt>
                <c:pt idx="342">
                  <c:v>11.4</c:v>
                </c:pt>
                <c:pt idx="343">
                  <c:v>11.45</c:v>
                </c:pt>
                <c:pt idx="344">
                  <c:v>11.5</c:v>
                </c:pt>
                <c:pt idx="345">
                  <c:v>11.5</c:v>
                </c:pt>
                <c:pt idx="346">
                  <c:v>11.55</c:v>
                </c:pt>
                <c:pt idx="347">
                  <c:v>11.6</c:v>
                </c:pt>
                <c:pt idx="348">
                  <c:v>11.6</c:v>
                </c:pt>
                <c:pt idx="349">
                  <c:v>11.65</c:v>
                </c:pt>
                <c:pt idx="350">
                  <c:v>11.7</c:v>
                </c:pt>
                <c:pt idx="351">
                  <c:v>11.7</c:v>
                </c:pt>
                <c:pt idx="352">
                  <c:v>11.75</c:v>
                </c:pt>
                <c:pt idx="353">
                  <c:v>11.8</c:v>
                </c:pt>
                <c:pt idx="354">
                  <c:v>11.8</c:v>
                </c:pt>
                <c:pt idx="355">
                  <c:v>11.85</c:v>
                </c:pt>
                <c:pt idx="356">
                  <c:v>11.9</c:v>
                </c:pt>
                <c:pt idx="357">
                  <c:v>11.9</c:v>
                </c:pt>
                <c:pt idx="358">
                  <c:v>11.95</c:v>
                </c:pt>
                <c:pt idx="359">
                  <c:v>12</c:v>
                </c:pt>
                <c:pt idx="360">
                  <c:v>12</c:v>
                </c:pt>
                <c:pt idx="361">
                  <c:v>12.05</c:v>
                </c:pt>
                <c:pt idx="362">
                  <c:v>12.1</c:v>
                </c:pt>
                <c:pt idx="363">
                  <c:v>12.1</c:v>
                </c:pt>
                <c:pt idx="364">
                  <c:v>12.15</c:v>
                </c:pt>
                <c:pt idx="365">
                  <c:v>12.2</c:v>
                </c:pt>
                <c:pt idx="366">
                  <c:v>12.2</c:v>
                </c:pt>
                <c:pt idx="367">
                  <c:v>12.25</c:v>
                </c:pt>
                <c:pt idx="368">
                  <c:v>12.3</c:v>
                </c:pt>
                <c:pt idx="369">
                  <c:v>12.3</c:v>
                </c:pt>
                <c:pt idx="370">
                  <c:v>12.35</c:v>
                </c:pt>
                <c:pt idx="371">
                  <c:v>12.4</c:v>
                </c:pt>
                <c:pt idx="372">
                  <c:v>12.4</c:v>
                </c:pt>
                <c:pt idx="373">
                  <c:v>12.45</c:v>
                </c:pt>
                <c:pt idx="374">
                  <c:v>12.5</c:v>
                </c:pt>
                <c:pt idx="375">
                  <c:v>12.5</c:v>
                </c:pt>
                <c:pt idx="376">
                  <c:v>12.55</c:v>
                </c:pt>
                <c:pt idx="377">
                  <c:v>12.6</c:v>
                </c:pt>
                <c:pt idx="378">
                  <c:v>12.6</c:v>
                </c:pt>
                <c:pt idx="379">
                  <c:v>12.65</c:v>
                </c:pt>
                <c:pt idx="380">
                  <c:v>12.7</c:v>
                </c:pt>
                <c:pt idx="381">
                  <c:v>12.7</c:v>
                </c:pt>
                <c:pt idx="382">
                  <c:v>12.75</c:v>
                </c:pt>
                <c:pt idx="383">
                  <c:v>12.8</c:v>
                </c:pt>
                <c:pt idx="384">
                  <c:v>12.8</c:v>
                </c:pt>
                <c:pt idx="385">
                  <c:v>12.85</c:v>
                </c:pt>
                <c:pt idx="386">
                  <c:v>12.9</c:v>
                </c:pt>
                <c:pt idx="387">
                  <c:v>12.9</c:v>
                </c:pt>
                <c:pt idx="388">
                  <c:v>12.95</c:v>
                </c:pt>
                <c:pt idx="389">
                  <c:v>13</c:v>
                </c:pt>
                <c:pt idx="390">
                  <c:v>13</c:v>
                </c:pt>
                <c:pt idx="391">
                  <c:v>13.05</c:v>
                </c:pt>
                <c:pt idx="392">
                  <c:v>13.1</c:v>
                </c:pt>
                <c:pt idx="393">
                  <c:v>13.1</c:v>
                </c:pt>
                <c:pt idx="394">
                  <c:v>13.15</c:v>
                </c:pt>
                <c:pt idx="395">
                  <c:v>13.2</c:v>
                </c:pt>
                <c:pt idx="396">
                  <c:v>13.2</c:v>
                </c:pt>
                <c:pt idx="397">
                  <c:v>13.25</c:v>
                </c:pt>
                <c:pt idx="398">
                  <c:v>13.3</c:v>
                </c:pt>
                <c:pt idx="399">
                  <c:v>13.3</c:v>
                </c:pt>
                <c:pt idx="400">
                  <c:v>13.35</c:v>
                </c:pt>
                <c:pt idx="401">
                  <c:v>13.4</c:v>
                </c:pt>
                <c:pt idx="402">
                  <c:v>13.4</c:v>
                </c:pt>
                <c:pt idx="403">
                  <c:v>13.45</c:v>
                </c:pt>
                <c:pt idx="404">
                  <c:v>13.5</c:v>
                </c:pt>
                <c:pt idx="405">
                  <c:v>13.5</c:v>
                </c:pt>
                <c:pt idx="406">
                  <c:v>13.55</c:v>
                </c:pt>
                <c:pt idx="407">
                  <c:v>13.6</c:v>
                </c:pt>
                <c:pt idx="408">
                  <c:v>13.6</c:v>
                </c:pt>
                <c:pt idx="409">
                  <c:v>13.65</c:v>
                </c:pt>
                <c:pt idx="410">
                  <c:v>13.7</c:v>
                </c:pt>
                <c:pt idx="411">
                  <c:v>13.7</c:v>
                </c:pt>
                <c:pt idx="412">
                  <c:v>13.75</c:v>
                </c:pt>
                <c:pt idx="413">
                  <c:v>13.8</c:v>
                </c:pt>
                <c:pt idx="414">
                  <c:v>13.8</c:v>
                </c:pt>
                <c:pt idx="415">
                  <c:v>13.85</c:v>
                </c:pt>
                <c:pt idx="416">
                  <c:v>13.9</c:v>
                </c:pt>
                <c:pt idx="417">
                  <c:v>13.9</c:v>
                </c:pt>
                <c:pt idx="418">
                  <c:v>13.95</c:v>
                </c:pt>
                <c:pt idx="419">
                  <c:v>14</c:v>
                </c:pt>
                <c:pt idx="420">
                  <c:v>14</c:v>
                </c:pt>
                <c:pt idx="421">
                  <c:v>14.05</c:v>
                </c:pt>
                <c:pt idx="422">
                  <c:v>14.1</c:v>
                </c:pt>
                <c:pt idx="423">
                  <c:v>14.1</c:v>
                </c:pt>
                <c:pt idx="424">
                  <c:v>14.15</c:v>
                </c:pt>
                <c:pt idx="425">
                  <c:v>14.2</c:v>
                </c:pt>
                <c:pt idx="426">
                  <c:v>14.2</c:v>
                </c:pt>
                <c:pt idx="427">
                  <c:v>14.25</c:v>
                </c:pt>
                <c:pt idx="428">
                  <c:v>14.3</c:v>
                </c:pt>
                <c:pt idx="429">
                  <c:v>14.3</c:v>
                </c:pt>
                <c:pt idx="430">
                  <c:v>14.35</c:v>
                </c:pt>
                <c:pt idx="431">
                  <c:v>14.4</c:v>
                </c:pt>
                <c:pt idx="432">
                  <c:v>14.4</c:v>
                </c:pt>
                <c:pt idx="433">
                  <c:v>14.45</c:v>
                </c:pt>
                <c:pt idx="434">
                  <c:v>14.5</c:v>
                </c:pt>
                <c:pt idx="435">
                  <c:v>14.5</c:v>
                </c:pt>
                <c:pt idx="436">
                  <c:v>14.55</c:v>
                </c:pt>
                <c:pt idx="437">
                  <c:v>14.6</c:v>
                </c:pt>
                <c:pt idx="438">
                  <c:v>14.6</c:v>
                </c:pt>
                <c:pt idx="439">
                  <c:v>14.65</c:v>
                </c:pt>
                <c:pt idx="440">
                  <c:v>14.7</c:v>
                </c:pt>
                <c:pt idx="441">
                  <c:v>14.7</c:v>
                </c:pt>
                <c:pt idx="442">
                  <c:v>14.75</c:v>
                </c:pt>
                <c:pt idx="443">
                  <c:v>14.8</c:v>
                </c:pt>
                <c:pt idx="444">
                  <c:v>14.8</c:v>
                </c:pt>
                <c:pt idx="445">
                  <c:v>14.85</c:v>
                </c:pt>
                <c:pt idx="446">
                  <c:v>14.9</c:v>
                </c:pt>
                <c:pt idx="447">
                  <c:v>14.9</c:v>
                </c:pt>
                <c:pt idx="448">
                  <c:v>14.95</c:v>
                </c:pt>
                <c:pt idx="449">
                  <c:v>15</c:v>
                </c:pt>
                <c:pt idx="450">
                  <c:v>15</c:v>
                </c:pt>
                <c:pt idx="451">
                  <c:v>15.05</c:v>
                </c:pt>
                <c:pt idx="452">
                  <c:v>15.1</c:v>
                </c:pt>
                <c:pt idx="453">
                  <c:v>15.1</c:v>
                </c:pt>
                <c:pt idx="454">
                  <c:v>15.15</c:v>
                </c:pt>
                <c:pt idx="455">
                  <c:v>15.2</c:v>
                </c:pt>
                <c:pt idx="456">
                  <c:v>15.2</c:v>
                </c:pt>
                <c:pt idx="457">
                  <c:v>15.25</c:v>
                </c:pt>
                <c:pt idx="458">
                  <c:v>15.3</c:v>
                </c:pt>
                <c:pt idx="459">
                  <c:v>15.3</c:v>
                </c:pt>
                <c:pt idx="460">
                  <c:v>15.35</c:v>
                </c:pt>
                <c:pt idx="461">
                  <c:v>15.4</c:v>
                </c:pt>
                <c:pt idx="462">
                  <c:v>15.4</c:v>
                </c:pt>
                <c:pt idx="463">
                  <c:v>15.45</c:v>
                </c:pt>
                <c:pt idx="464">
                  <c:v>15.5</c:v>
                </c:pt>
                <c:pt idx="465">
                  <c:v>15.5</c:v>
                </c:pt>
                <c:pt idx="466">
                  <c:v>15.55</c:v>
                </c:pt>
                <c:pt idx="467">
                  <c:v>15.6</c:v>
                </c:pt>
                <c:pt idx="468">
                  <c:v>15.6</c:v>
                </c:pt>
                <c:pt idx="469">
                  <c:v>15.65</c:v>
                </c:pt>
                <c:pt idx="470">
                  <c:v>15.7</c:v>
                </c:pt>
                <c:pt idx="471">
                  <c:v>15.7</c:v>
                </c:pt>
                <c:pt idx="472">
                  <c:v>15.75</c:v>
                </c:pt>
                <c:pt idx="473">
                  <c:v>15.8</c:v>
                </c:pt>
                <c:pt idx="474">
                  <c:v>15.8</c:v>
                </c:pt>
                <c:pt idx="475">
                  <c:v>15.85</c:v>
                </c:pt>
                <c:pt idx="476">
                  <c:v>15.9</c:v>
                </c:pt>
                <c:pt idx="477">
                  <c:v>15.9</c:v>
                </c:pt>
                <c:pt idx="478">
                  <c:v>15.95</c:v>
                </c:pt>
                <c:pt idx="479">
                  <c:v>16</c:v>
                </c:pt>
                <c:pt idx="480">
                  <c:v>16</c:v>
                </c:pt>
                <c:pt idx="481">
                  <c:v>16.05</c:v>
                </c:pt>
                <c:pt idx="482">
                  <c:v>16.1</c:v>
                </c:pt>
                <c:pt idx="483">
                  <c:v>16.1</c:v>
                </c:pt>
                <c:pt idx="484">
                  <c:v>16.15</c:v>
                </c:pt>
                <c:pt idx="485">
                  <c:v>16.2</c:v>
                </c:pt>
                <c:pt idx="486">
                  <c:v>16.2</c:v>
                </c:pt>
                <c:pt idx="487">
                  <c:v>16.25</c:v>
                </c:pt>
                <c:pt idx="488">
                  <c:v>16.3</c:v>
                </c:pt>
                <c:pt idx="489">
                  <c:v>16.3</c:v>
                </c:pt>
                <c:pt idx="490">
                  <c:v>16.35</c:v>
                </c:pt>
                <c:pt idx="491">
                  <c:v>16.4</c:v>
                </c:pt>
                <c:pt idx="492">
                  <c:v>16.4</c:v>
                </c:pt>
                <c:pt idx="493">
                  <c:v>16.45</c:v>
                </c:pt>
                <c:pt idx="494">
                  <c:v>16.5</c:v>
                </c:pt>
                <c:pt idx="495">
                  <c:v>16.5</c:v>
                </c:pt>
                <c:pt idx="496">
                  <c:v>16.55</c:v>
                </c:pt>
                <c:pt idx="497">
                  <c:v>16.6</c:v>
                </c:pt>
                <c:pt idx="498">
                  <c:v>16.6</c:v>
                </c:pt>
                <c:pt idx="499">
                  <c:v>16.65</c:v>
                </c:pt>
                <c:pt idx="500">
                  <c:v>16.7</c:v>
                </c:pt>
                <c:pt idx="501">
                  <c:v>16.7</c:v>
                </c:pt>
                <c:pt idx="502">
                  <c:v>16.75</c:v>
                </c:pt>
                <c:pt idx="503">
                  <c:v>16.8</c:v>
                </c:pt>
                <c:pt idx="504">
                  <c:v>16.8</c:v>
                </c:pt>
                <c:pt idx="505">
                  <c:v>16.85</c:v>
                </c:pt>
                <c:pt idx="506">
                  <c:v>16.9</c:v>
                </c:pt>
                <c:pt idx="507">
                  <c:v>16.9</c:v>
                </c:pt>
                <c:pt idx="508">
                  <c:v>16.95</c:v>
                </c:pt>
                <c:pt idx="509">
                  <c:v>17</c:v>
                </c:pt>
                <c:pt idx="510">
                  <c:v>17.05</c:v>
                </c:pt>
                <c:pt idx="511">
                  <c:v>17.05</c:v>
                </c:pt>
                <c:pt idx="512">
                  <c:v>17.1</c:v>
                </c:pt>
                <c:pt idx="513">
                  <c:v>17.15</c:v>
                </c:pt>
                <c:pt idx="514">
                  <c:v>17.15</c:v>
                </c:pt>
                <c:pt idx="515">
                  <c:v>17.2</c:v>
                </c:pt>
                <c:pt idx="516">
                  <c:v>17.25</c:v>
                </c:pt>
                <c:pt idx="517">
                  <c:v>17.25</c:v>
                </c:pt>
                <c:pt idx="518">
                  <c:v>17.3</c:v>
                </c:pt>
                <c:pt idx="519">
                  <c:v>17.35</c:v>
                </c:pt>
                <c:pt idx="520">
                  <c:v>17.35</c:v>
                </c:pt>
                <c:pt idx="521">
                  <c:v>17.4</c:v>
                </c:pt>
                <c:pt idx="522">
                  <c:v>17.45</c:v>
                </c:pt>
                <c:pt idx="523">
                  <c:v>17.45</c:v>
                </c:pt>
                <c:pt idx="524">
                  <c:v>17.5</c:v>
                </c:pt>
                <c:pt idx="525">
                  <c:v>17.55</c:v>
                </c:pt>
                <c:pt idx="526">
                  <c:v>17.55</c:v>
                </c:pt>
                <c:pt idx="527">
                  <c:v>17.6</c:v>
                </c:pt>
                <c:pt idx="528">
                  <c:v>17.65</c:v>
                </c:pt>
                <c:pt idx="529">
                  <c:v>17.65</c:v>
                </c:pt>
                <c:pt idx="530">
                  <c:v>17.7</c:v>
                </c:pt>
                <c:pt idx="531">
                  <c:v>17.75</c:v>
                </c:pt>
                <c:pt idx="532">
                  <c:v>17.75</c:v>
                </c:pt>
                <c:pt idx="533">
                  <c:v>17.8</c:v>
                </c:pt>
                <c:pt idx="534">
                  <c:v>17.85</c:v>
                </c:pt>
                <c:pt idx="535">
                  <c:v>17.85</c:v>
                </c:pt>
                <c:pt idx="536">
                  <c:v>17.9</c:v>
                </c:pt>
                <c:pt idx="537">
                  <c:v>17.95</c:v>
                </c:pt>
                <c:pt idx="538">
                  <c:v>17.95</c:v>
                </c:pt>
                <c:pt idx="539">
                  <c:v>18</c:v>
                </c:pt>
                <c:pt idx="540">
                  <c:v>18.05</c:v>
                </c:pt>
                <c:pt idx="541">
                  <c:v>18.05</c:v>
                </c:pt>
                <c:pt idx="542">
                  <c:v>18.1</c:v>
                </c:pt>
                <c:pt idx="543">
                  <c:v>18.15</c:v>
                </c:pt>
                <c:pt idx="544">
                  <c:v>18.15</c:v>
                </c:pt>
                <c:pt idx="545">
                  <c:v>18.2</c:v>
                </c:pt>
                <c:pt idx="546">
                  <c:v>18.25</c:v>
                </c:pt>
                <c:pt idx="547">
                  <c:v>18.25</c:v>
                </c:pt>
                <c:pt idx="548">
                  <c:v>18.3</c:v>
                </c:pt>
                <c:pt idx="549">
                  <c:v>18.35</c:v>
                </c:pt>
                <c:pt idx="550">
                  <c:v>18.35</c:v>
                </c:pt>
                <c:pt idx="551">
                  <c:v>18.4</c:v>
                </c:pt>
                <c:pt idx="552">
                  <c:v>18.45</c:v>
                </c:pt>
                <c:pt idx="553">
                  <c:v>18.45</c:v>
                </c:pt>
                <c:pt idx="554">
                  <c:v>18.5</c:v>
                </c:pt>
                <c:pt idx="555">
                  <c:v>18.55</c:v>
                </c:pt>
                <c:pt idx="556">
                  <c:v>18.55</c:v>
                </c:pt>
                <c:pt idx="557">
                  <c:v>18.6</c:v>
                </c:pt>
                <c:pt idx="558">
                  <c:v>18.65</c:v>
                </c:pt>
                <c:pt idx="559">
                  <c:v>18.65</c:v>
                </c:pt>
                <c:pt idx="560">
                  <c:v>18.7</c:v>
                </c:pt>
                <c:pt idx="561">
                  <c:v>18.75</c:v>
                </c:pt>
                <c:pt idx="562">
                  <c:v>18.75</c:v>
                </c:pt>
                <c:pt idx="563">
                  <c:v>18.8</c:v>
                </c:pt>
                <c:pt idx="564">
                  <c:v>18.85</c:v>
                </c:pt>
                <c:pt idx="565">
                  <c:v>18.85</c:v>
                </c:pt>
                <c:pt idx="566">
                  <c:v>18.9</c:v>
                </c:pt>
                <c:pt idx="567">
                  <c:v>18.95</c:v>
                </c:pt>
                <c:pt idx="568">
                  <c:v>18.95</c:v>
                </c:pt>
                <c:pt idx="569">
                  <c:v>19</c:v>
                </c:pt>
                <c:pt idx="570">
                  <c:v>19.05</c:v>
                </c:pt>
                <c:pt idx="571">
                  <c:v>19.05</c:v>
                </c:pt>
                <c:pt idx="572">
                  <c:v>19.1</c:v>
                </c:pt>
                <c:pt idx="573">
                  <c:v>19.15</c:v>
                </c:pt>
                <c:pt idx="574">
                  <c:v>19.15</c:v>
                </c:pt>
                <c:pt idx="575">
                  <c:v>19.2</c:v>
                </c:pt>
                <c:pt idx="576">
                  <c:v>19.25</c:v>
                </c:pt>
                <c:pt idx="577">
                  <c:v>19.25</c:v>
                </c:pt>
                <c:pt idx="578">
                  <c:v>19.3</c:v>
                </c:pt>
                <c:pt idx="579">
                  <c:v>19.35</c:v>
                </c:pt>
                <c:pt idx="580">
                  <c:v>19.35</c:v>
                </c:pt>
                <c:pt idx="581">
                  <c:v>19.4</c:v>
                </c:pt>
                <c:pt idx="582">
                  <c:v>19.45</c:v>
                </c:pt>
                <c:pt idx="583">
                  <c:v>19.45</c:v>
                </c:pt>
                <c:pt idx="584">
                  <c:v>19.5</c:v>
                </c:pt>
                <c:pt idx="585">
                  <c:v>19.55</c:v>
                </c:pt>
                <c:pt idx="586">
                  <c:v>19.55</c:v>
                </c:pt>
                <c:pt idx="587">
                  <c:v>19.6</c:v>
                </c:pt>
                <c:pt idx="588">
                  <c:v>19.65</c:v>
                </c:pt>
                <c:pt idx="589">
                  <c:v>19.65</c:v>
                </c:pt>
                <c:pt idx="590">
                  <c:v>19.7</c:v>
                </c:pt>
                <c:pt idx="591">
                  <c:v>19.75</c:v>
                </c:pt>
                <c:pt idx="592">
                  <c:v>19.75</c:v>
                </c:pt>
                <c:pt idx="593">
                  <c:v>19.8</c:v>
                </c:pt>
                <c:pt idx="594">
                  <c:v>19.85</c:v>
                </c:pt>
                <c:pt idx="595">
                  <c:v>19.85</c:v>
                </c:pt>
                <c:pt idx="596">
                  <c:v>19.9</c:v>
                </c:pt>
                <c:pt idx="597">
                  <c:v>19.95</c:v>
                </c:pt>
                <c:pt idx="598">
                  <c:v>19.95</c:v>
                </c:pt>
                <c:pt idx="599">
                  <c:v>20</c:v>
                </c:pt>
                <c:pt idx="600">
                  <c:v>20.05</c:v>
                </c:pt>
                <c:pt idx="601">
                  <c:v>20.05</c:v>
                </c:pt>
                <c:pt idx="602">
                  <c:v>20.1</c:v>
                </c:pt>
                <c:pt idx="603">
                  <c:v>20.15</c:v>
                </c:pt>
                <c:pt idx="604">
                  <c:v>20.15</c:v>
                </c:pt>
                <c:pt idx="605">
                  <c:v>20.2</c:v>
                </c:pt>
                <c:pt idx="606">
                  <c:v>20.25</c:v>
                </c:pt>
                <c:pt idx="607">
                  <c:v>20.25</c:v>
                </c:pt>
                <c:pt idx="608">
                  <c:v>20.3</c:v>
                </c:pt>
                <c:pt idx="609">
                  <c:v>20.35</c:v>
                </c:pt>
                <c:pt idx="610">
                  <c:v>20.35</c:v>
                </c:pt>
                <c:pt idx="611">
                  <c:v>20.4</c:v>
                </c:pt>
                <c:pt idx="612">
                  <c:v>20.45</c:v>
                </c:pt>
                <c:pt idx="613">
                  <c:v>20.45</c:v>
                </c:pt>
                <c:pt idx="614">
                  <c:v>20.5</c:v>
                </c:pt>
                <c:pt idx="615">
                  <c:v>20.55</c:v>
                </c:pt>
                <c:pt idx="616">
                  <c:v>20.55</c:v>
                </c:pt>
                <c:pt idx="617">
                  <c:v>20.6</c:v>
                </c:pt>
                <c:pt idx="618">
                  <c:v>20.65</c:v>
                </c:pt>
                <c:pt idx="619">
                  <c:v>20.65</c:v>
                </c:pt>
                <c:pt idx="620">
                  <c:v>20.7</c:v>
                </c:pt>
                <c:pt idx="621">
                  <c:v>20.75</c:v>
                </c:pt>
                <c:pt idx="622">
                  <c:v>20.75</c:v>
                </c:pt>
                <c:pt idx="623">
                  <c:v>20.8</c:v>
                </c:pt>
                <c:pt idx="624">
                  <c:v>20.85</c:v>
                </c:pt>
                <c:pt idx="625">
                  <c:v>20.85</c:v>
                </c:pt>
                <c:pt idx="626">
                  <c:v>20.9</c:v>
                </c:pt>
                <c:pt idx="627">
                  <c:v>20.95</c:v>
                </c:pt>
                <c:pt idx="628">
                  <c:v>20.95</c:v>
                </c:pt>
                <c:pt idx="629">
                  <c:v>21</c:v>
                </c:pt>
                <c:pt idx="630">
                  <c:v>21.05</c:v>
                </c:pt>
                <c:pt idx="631">
                  <c:v>21.05</c:v>
                </c:pt>
                <c:pt idx="632">
                  <c:v>21.1</c:v>
                </c:pt>
                <c:pt idx="633">
                  <c:v>21.15</c:v>
                </c:pt>
                <c:pt idx="634">
                  <c:v>21.15</c:v>
                </c:pt>
                <c:pt idx="635">
                  <c:v>21.2</c:v>
                </c:pt>
                <c:pt idx="636">
                  <c:v>21.25</c:v>
                </c:pt>
                <c:pt idx="637">
                  <c:v>21.25</c:v>
                </c:pt>
                <c:pt idx="638">
                  <c:v>21.3</c:v>
                </c:pt>
                <c:pt idx="639">
                  <c:v>21.35</c:v>
                </c:pt>
                <c:pt idx="640">
                  <c:v>21.35</c:v>
                </c:pt>
                <c:pt idx="641">
                  <c:v>21.4</c:v>
                </c:pt>
                <c:pt idx="642">
                  <c:v>21.45</c:v>
                </c:pt>
                <c:pt idx="643">
                  <c:v>21.45</c:v>
                </c:pt>
                <c:pt idx="644">
                  <c:v>21.5</c:v>
                </c:pt>
                <c:pt idx="645">
                  <c:v>21.55</c:v>
                </c:pt>
                <c:pt idx="646">
                  <c:v>21.55</c:v>
                </c:pt>
                <c:pt idx="647">
                  <c:v>21.6</c:v>
                </c:pt>
                <c:pt idx="648">
                  <c:v>21.65</c:v>
                </c:pt>
                <c:pt idx="649">
                  <c:v>21.65</c:v>
                </c:pt>
                <c:pt idx="650">
                  <c:v>21.7</c:v>
                </c:pt>
                <c:pt idx="651">
                  <c:v>21.75</c:v>
                </c:pt>
                <c:pt idx="652">
                  <c:v>21.75</c:v>
                </c:pt>
                <c:pt idx="653">
                  <c:v>21.8</c:v>
                </c:pt>
                <c:pt idx="654">
                  <c:v>21.85</c:v>
                </c:pt>
                <c:pt idx="655">
                  <c:v>21.85</c:v>
                </c:pt>
                <c:pt idx="656">
                  <c:v>21.9</c:v>
                </c:pt>
                <c:pt idx="657">
                  <c:v>21.95</c:v>
                </c:pt>
                <c:pt idx="658">
                  <c:v>21.95</c:v>
                </c:pt>
                <c:pt idx="659">
                  <c:v>22</c:v>
                </c:pt>
                <c:pt idx="660">
                  <c:v>22.05</c:v>
                </c:pt>
                <c:pt idx="661">
                  <c:v>22.05</c:v>
                </c:pt>
                <c:pt idx="662">
                  <c:v>22.1</c:v>
                </c:pt>
                <c:pt idx="663">
                  <c:v>22.15</c:v>
                </c:pt>
                <c:pt idx="664">
                  <c:v>22.15</c:v>
                </c:pt>
                <c:pt idx="665">
                  <c:v>22.2</c:v>
                </c:pt>
                <c:pt idx="666">
                  <c:v>22.25</c:v>
                </c:pt>
                <c:pt idx="667">
                  <c:v>22.25</c:v>
                </c:pt>
                <c:pt idx="668">
                  <c:v>22.3</c:v>
                </c:pt>
                <c:pt idx="669">
                  <c:v>22.35</c:v>
                </c:pt>
                <c:pt idx="670">
                  <c:v>22.35</c:v>
                </c:pt>
                <c:pt idx="671">
                  <c:v>22.4</c:v>
                </c:pt>
                <c:pt idx="672">
                  <c:v>22.45</c:v>
                </c:pt>
                <c:pt idx="673">
                  <c:v>22.45</c:v>
                </c:pt>
                <c:pt idx="674">
                  <c:v>22.5</c:v>
                </c:pt>
                <c:pt idx="675">
                  <c:v>22.55</c:v>
                </c:pt>
                <c:pt idx="676">
                  <c:v>22.55</c:v>
                </c:pt>
                <c:pt idx="677">
                  <c:v>22.6</c:v>
                </c:pt>
                <c:pt idx="678">
                  <c:v>22.65</c:v>
                </c:pt>
                <c:pt idx="679">
                  <c:v>22.7</c:v>
                </c:pt>
                <c:pt idx="680">
                  <c:v>22.7</c:v>
                </c:pt>
                <c:pt idx="681">
                  <c:v>22.75</c:v>
                </c:pt>
                <c:pt idx="682">
                  <c:v>22.8</c:v>
                </c:pt>
                <c:pt idx="683">
                  <c:v>22.8</c:v>
                </c:pt>
                <c:pt idx="684">
                  <c:v>22.85</c:v>
                </c:pt>
                <c:pt idx="685">
                  <c:v>22.9</c:v>
                </c:pt>
                <c:pt idx="686">
                  <c:v>22.9</c:v>
                </c:pt>
                <c:pt idx="687">
                  <c:v>22.95</c:v>
                </c:pt>
                <c:pt idx="688">
                  <c:v>23</c:v>
                </c:pt>
                <c:pt idx="689">
                  <c:v>23</c:v>
                </c:pt>
                <c:pt idx="690">
                  <c:v>23.05</c:v>
                </c:pt>
                <c:pt idx="691">
                  <c:v>23.1</c:v>
                </c:pt>
                <c:pt idx="692">
                  <c:v>23.1</c:v>
                </c:pt>
                <c:pt idx="693">
                  <c:v>23.15</c:v>
                </c:pt>
                <c:pt idx="694">
                  <c:v>23.2</c:v>
                </c:pt>
                <c:pt idx="695">
                  <c:v>23.2</c:v>
                </c:pt>
                <c:pt idx="696">
                  <c:v>23.25</c:v>
                </c:pt>
                <c:pt idx="697">
                  <c:v>23.3</c:v>
                </c:pt>
                <c:pt idx="698">
                  <c:v>23.3</c:v>
                </c:pt>
                <c:pt idx="699">
                  <c:v>23.35</c:v>
                </c:pt>
                <c:pt idx="700">
                  <c:v>23.4</c:v>
                </c:pt>
                <c:pt idx="701">
                  <c:v>23.4</c:v>
                </c:pt>
                <c:pt idx="702">
                  <c:v>23.45</c:v>
                </c:pt>
                <c:pt idx="703">
                  <c:v>23.5</c:v>
                </c:pt>
                <c:pt idx="704">
                  <c:v>23.5</c:v>
                </c:pt>
                <c:pt idx="705">
                  <c:v>23.55</c:v>
                </c:pt>
                <c:pt idx="706">
                  <c:v>23.6</c:v>
                </c:pt>
                <c:pt idx="707">
                  <c:v>23.6</c:v>
                </c:pt>
                <c:pt idx="708">
                  <c:v>23.65</c:v>
                </c:pt>
                <c:pt idx="709">
                  <c:v>23.7</c:v>
                </c:pt>
                <c:pt idx="710">
                  <c:v>23.7</c:v>
                </c:pt>
                <c:pt idx="711">
                  <c:v>23.75</c:v>
                </c:pt>
                <c:pt idx="712">
                  <c:v>23.8</c:v>
                </c:pt>
                <c:pt idx="713">
                  <c:v>23.8</c:v>
                </c:pt>
                <c:pt idx="714">
                  <c:v>23.85</c:v>
                </c:pt>
                <c:pt idx="715">
                  <c:v>23.9</c:v>
                </c:pt>
                <c:pt idx="716">
                  <c:v>23.9</c:v>
                </c:pt>
                <c:pt idx="717">
                  <c:v>23.95</c:v>
                </c:pt>
                <c:pt idx="718">
                  <c:v>24</c:v>
                </c:pt>
                <c:pt idx="719">
                  <c:v>24</c:v>
                </c:pt>
                <c:pt idx="720">
                  <c:v>24.05</c:v>
                </c:pt>
                <c:pt idx="721">
                  <c:v>24.1</c:v>
                </c:pt>
                <c:pt idx="722">
                  <c:v>24.1</c:v>
                </c:pt>
                <c:pt idx="723">
                  <c:v>24.15</c:v>
                </c:pt>
                <c:pt idx="724">
                  <c:v>24.2</c:v>
                </c:pt>
                <c:pt idx="725">
                  <c:v>24.2</c:v>
                </c:pt>
                <c:pt idx="726">
                  <c:v>24.25</c:v>
                </c:pt>
                <c:pt idx="727">
                  <c:v>24.3</c:v>
                </c:pt>
                <c:pt idx="728">
                  <c:v>24.3</c:v>
                </c:pt>
                <c:pt idx="729">
                  <c:v>24.35</c:v>
                </c:pt>
                <c:pt idx="730">
                  <c:v>24.4</c:v>
                </c:pt>
                <c:pt idx="731">
                  <c:v>24.4</c:v>
                </c:pt>
                <c:pt idx="732">
                  <c:v>24.45</c:v>
                </c:pt>
                <c:pt idx="733">
                  <c:v>24.5</c:v>
                </c:pt>
                <c:pt idx="734">
                  <c:v>24.5</c:v>
                </c:pt>
                <c:pt idx="735">
                  <c:v>24.55</c:v>
                </c:pt>
                <c:pt idx="736">
                  <c:v>24.6</c:v>
                </c:pt>
                <c:pt idx="737">
                  <c:v>24.6</c:v>
                </c:pt>
                <c:pt idx="738">
                  <c:v>24.65</c:v>
                </c:pt>
                <c:pt idx="739">
                  <c:v>24.7</c:v>
                </c:pt>
                <c:pt idx="740">
                  <c:v>24.7</c:v>
                </c:pt>
                <c:pt idx="741">
                  <c:v>24.75</c:v>
                </c:pt>
                <c:pt idx="742">
                  <c:v>24.8</c:v>
                </c:pt>
                <c:pt idx="743">
                  <c:v>24.8</c:v>
                </c:pt>
                <c:pt idx="744">
                  <c:v>24.85</c:v>
                </c:pt>
                <c:pt idx="745">
                  <c:v>24.9</c:v>
                </c:pt>
                <c:pt idx="746">
                  <c:v>24.9</c:v>
                </c:pt>
                <c:pt idx="747">
                  <c:v>24.95</c:v>
                </c:pt>
                <c:pt idx="748">
                  <c:v>25</c:v>
                </c:pt>
                <c:pt idx="749">
                  <c:v>25</c:v>
                </c:pt>
                <c:pt idx="750">
                  <c:v>25.05</c:v>
                </c:pt>
                <c:pt idx="751">
                  <c:v>25.1</c:v>
                </c:pt>
                <c:pt idx="752">
                  <c:v>25.1</c:v>
                </c:pt>
                <c:pt idx="753">
                  <c:v>25.15</c:v>
                </c:pt>
                <c:pt idx="754">
                  <c:v>25.2</c:v>
                </c:pt>
                <c:pt idx="755">
                  <c:v>25.2</c:v>
                </c:pt>
                <c:pt idx="756">
                  <c:v>25.25</c:v>
                </c:pt>
                <c:pt idx="757">
                  <c:v>25.3</c:v>
                </c:pt>
                <c:pt idx="758">
                  <c:v>25.3</c:v>
                </c:pt>
                <c:pt idx="759">
                  <c:v>25.35</c:v>
                </c:pt>
                <c:pt idx="760">
                  <c:v>25.4</c:v>
                </c:pt>
                <c:pt idx="761">
                  <c:v>25.4</c:v>
                </c:pt>
                <c:pt idx="762">
                  <c:v>25.45</c:v>
                </c:pt>
                <c:pt idx="763">
                  <c:v>25.5</c:v>
                </c:pt>
                <c:pt idx="764">
                  <c:v>25.5</c:v>
                </c:pt>
                <c:pt idx="765">
                  <c:v>25.55</c:v>
                </c:pt>
                <c:pt idx="766">
                  <c:v>25.6</c:v>
                </c:pt>
                <c:pt idx="767">
                  <c:v>25.6</c:v>
                </c:pt>
                <c:pt idx="768">
                  <c:v>25.65</c:v>
                </c:pt>
                <c:pt idx="769">
                  <c:v>25.7</c:v>
                </c:pt>
                <c:pt idx="770">
                  <c:v>25.7</c:v>
                </c:pt>
                <c:pt idx="771">
                  <c:v>25.75</c:v>
                </c:pt>
                <c:pt idx="772">
                  <c:v>25.8</c:v>
                </c:pt>
                <c:pt idx="773">
                  <c:v>25.8</c:v>
                </c:pt>
                <c:pt idx="774">
                  <c:v>25.85</c:v>
                </c:pt>
                <c:pt idx="775">
                  <c:v>25.9</c:v>
                </c:pt>
                <c:pt idx="776">
                  <c:v>25.9</c:v>
                </c:pt>
                <c:pt idx="777">
                  <c:v>25.95</c:v>
                </c:pt>
                <c:pt idx="778">
                  <c:v>26</c:v>
                </c:pt>
                <c:pt idx="779">
                  <c:v>26</c:v>
                </c:pt>
                <c:pt idx="780">
                  <c:v>26.05</c:v>
                </c:pt>
                <c:pt idx="781">
                  <c:v>26.1</c:v>
                </c:pt>
                <c:pt idx="782">
                  <c:v>26.1</c:v>
                </c:pt>
                <c:pt idx="783">
                  <c:v>26.15</c:v>
                </c:pt>
                <c:pt idx="784">
                  <c:v>26.2</c:v>
                </c:pt>
                <c:pt idx="785">
                  <c:v>26.2</c:v>
                </c:pt>
                <c:pt idx="786">
                  <c:v>26.25</c:v>
                </c:pt>
                <c:pt idx="787">
                  <c:v>26.3</c:v>
                </c:pt>
                <c:pt idx="788">
                  <c:v>26.3</c:v>
                </c:pt>
                <c:pt idx="789">
                  <c:v>26.35</c:v>
                </c:pt>
                <c:pt idx="790">
                  <c:v>26.4</c:v>
                </c:pt>
                <c:pt idx="791">
                  <c:v>26.4</c:v>
                </c:pt>
                <c:pt idx="792">
                  <c:v>26.45</c:v>
                </c:pt>
                <c:pt idx="793">
                  <c:v>26.5</c:v>
                </c:pt>
                <c:pt idx="794">
                  <c:v>26.5</c:v>
                </c:pt>
                <c:pt idx="795">
                  <c:v>26.55</c:v>
                </c:pt>
                <c:pt idx="796">
                  <c:v>26.6</c:v>
                </c:pt>
                <c:pt idx="797">
                  <c:v>26.6</c:v>
                </c:pt>
                <c:pt idx="798">
                  <c:v>26.65</c:v>
                </c:pt>
                <c:pt idx="799">
                  <c:v>26.7</c:v>
                </c:pt>
                <c:pt idx="800">
                  <c:v>26.7</c:v>
                </c:pt>
                <c:pt idx="801">
                  <c:v>26.75</c:v>
                </c:pt>
                <c:pt idx="802">
                  <c:v>26.8</c:v>
                </c:pt>
                <c:pt idx="803">
                  <c:v>26.8</c:v>
                </c:pt>
                <c:pt idx="804">
                  <c:v>26.85</c:v>
                </c:pt>
                <c:pt idx="805">
                  <c:v>26.9</c:v>
                </c:pt>
                <c:pt idx="806">
                  <c:v>26.9</c:v>
                </c:pt>
                <c:pt idx="807">
                  <c:v>26.95</c:v>
                </c:pt>
                <c:pt idx="808">
                  <c:v>27</c:v>
                </c:pt>
                <c:pt idx="809">
                  <c:v>27</c:v>
                </c:pt>
                <c:pt idx="810">
                  <c:v>27.05</c:v>
                </c:pt>
                <c:pt idx="811">
                  <c:v>27.1</c:v>
                </c:pt>
                <c:pt idx="812">
                  <c:v>27.1</c:v>
                </c:pt>
                <c:pt idx="813">
                  <c:v>27.15</c:v>
                </c:pt>
                <c:pt idx="814">
                  <c:v>27.2</c:v>
                </c:pt>
                <c:pt idx="815">
                  <c:v>27.2</c:v>
                </c:pt>
                <c:pt idx="816">
                  <c:v>27.25</c:v>
                </c:pt>
                <c:pt idx="817">
                  <c:v>27.3</c:v>
                </c:pt>
                <c:pt idx="818">
                  <c:v>27.3</c:v>
                </c:pt>
                <c:pt idx="819">
                  <c:v>27.35</c:v>
                </c:pt>
                <c:pt idx="820">
                  <c:v>27.4</c:v>
                </c:pt>
                <c:pt idx="821">
                  <c:v>27.4</c:v>
                </c:pt>
                <c:pt idx="822">
                  <c:v>27.45</c:v>
                </c:pt>
                <c:pt idx="823">
                  <c:v>27.5</c:v>
                </c:pt>
                <c:pt idx="824">
                  <c:v>27.5</c:v>
                </c:pt>
                <c:pt idx="825">
                  <c:v>27.55</c:v>
                </c:pt>
                <c:pt idx="826">
                  <c:v>27.6</c:v>
                </c:pt>
                <c:pt idx="827">
                  <c:v>27.6</c:v>
                </c:pt>
                <c:pt idx="828">
                  <c:v>27.65</c:v>
                </c:pt>
                <c:pt idx="829">
                  <c:v>27.7</c:v>
                </c:pt>
                <c:pt idx="830">
                  <c:v>27.7</c:v>
                </c:pt>
                <c:pt idx="831">
                  <c:v>27.75</c:v>
                </c:pt>
                <c:pt idx="832">
                  <c:v>27.8</c:v>
                </c:pt>
                <c:pt idx="833">
                  <c:v>27.8</c:v>
                </c:pt>
                <c:pt idx="834">
                  <c:v>27.85</c:v>
                </c:pt>
                <c:pt idx="835">
                  <c:v>27.9</c:v>
                </c:pt>
                <c:pt idx="836">
                  <c:v>27.9</c:v>
                </c:pt>
                <c:pt idx="837">
                  <c:v>27.95</c:v>
                </c:pt>
                <c:pt idx="838">
                  <c:v>28</c:v>
                </c:pt>
                <c:pt idx="839">
                  <c:v>28</c:v>
                </c:pt>
                <c:pt idx="840">
                  <c:v>28.05</c:v>
                </c:pt>
                <c:pt idx="841">
                  <c:v>28.1</c:v>
                </c:pt>
                <c:pt idx="842">
                  <c:v>28.1</c:v>
                </c:pt>
                <c:pt idx="843">
                  <c:v>28.15</c:v>
                </c:pt>
                <c:pt idx="844">
                  <c:v>28.2</c:v>
                </c:pt>
                <c:pt idx="845">
                  <c:v>28.2</c:v>
                </c:pt>
                <c:pt idx="846">
                  <c:v>28.25</c:v>
                </c:pt>
                <c:pt idx="847">
                  <c:v>28.3</c:v>
                </c:pt>
                <c:pt idx="848">
                  <c:v>28.3</c:v>
                </c:pt>
                <c:pt idx="849">
                  <c:v>28.35</c:v>
                </c:pt>
                <c:pt idx="850">
                  <c:v>28.4</c:v>
                </c:pt>
                <c:pt idx="851">
                  <c:v>28.45</c:v>
                </c:pt>
                <c:pt idx="852">
                  <c:v>28.45</c:v>
                </c:pt>
                <c:pt idx="853">
                  <c:v>28.5</c:v>
                </c:pt>
                <c:pt idx="854">
                  <c:v>28.55</c:v>
                </c:pt>
                <c:pt idx="855">
                  <c:v>28.55</c:v>
                </c:pt>
                <c:pt idx="856">
                  <c:v>28.6</c:v>
                </c:pt>
                <c:pt idx="857">
                  <c:v>28.65</c:v>
                </c:pt>
                <c:pt idx="858">
                  <c:v>28.65</c:v>
                </c:pt>
                <c:pt idx="859">
                  <c:v>28.7</c:v>
                </c:pt>
                <c:pt idx="860">
                  <c:v>28.75</c:v>
                </c:pt>
                <c:pt idx="861">
                  <c:v>28.75</c:v>
                </c:pt>
                <c:pt idx="862">
                  <c:v>28.8</c:v>
                </c:pt>
                <c:pt idx="863">
                  <c:v>28.85</c:v>
                </c:pt>
                <c:pt idx="864">
                  <c:v>28.85</c:v>
                </c:pt>
                <c:pt idx="865">
                  <c:v>28.9</c:v>
                </c:pt>
                <c:pt idx="866">
                  <c:v>28.95</c:v>
                </c:pt>
                <c:pt idx="867">
                  <c:v>28.95</c:v>
                </c:pt>
                <c:pt idx="868">
                  <c:v>29</c:v>
                </c:pt>
                <c:pt idx="869">
                  <c:v>29.05</c:v>
                </c:pt>
                <c:pt idx="870">
                  <c:v>29.05</c:v>
                </c:pt>
                <c:pt idx="871">
                  <c:v>29.1</c:v>
                </c:pt>
                <c:pt idx="872">
                  <c:v>29.15</c:v>
                </c:pt>
                <c:pt idx="873">
                  <c:v>29.15</c:v>
                </c:pt>
                <c:pt idx="874">
                  <c:v>29.2</c:v>
                </c:pt>
                <c:pt idx="875">
                  <c:v>29.25</c:v>
                </c:pt>
                <c:pt idx="876">
                  <c:v>29.25</c:v>
                </c:pt>
                <c:pt idx="877">
                  <c:v>29.3</c:v>
                </c:pt>
                <c:pt idx="878">
                  <c:v>29.35</c:v>
                </c:pt>
                <c:pt idx="879">
                  <c:v>29.35</c:v>
                </c:pt>
                <c:pt idx="880">
                  <c:v>29.4</c:v>
                </c:pt>
                <c:pt idx="881">
                  <c:v>29.45</c:v>
                </c:pt>
                <c:pt idx="882">
                  <c:v>29.45</c:v>
                </c:pt>
                <c:pt idx="883">
                  <c:v>29.5</c:v>
                </c:pt>
                <c:pt idx="884">
                  <c:v>29.55</c:v>
                </c:pt>
                <c:pt idx="885">
                  <c:v>29.55</c:v>
                </c:pt>
                <c:pt idx="886">
                  <c:v>29.6</c:v>
                </c:pt>
                <c:pt idx="887">
                  <c:v>29.65</c:v>
                </c:pt>
                <c:pt idx="888">
                  <c:v>29.65</c:v>
                </c:pt>
                <c:pt idx="889">
                  <c:v>29.7</c:v>
                </c:pt>
                <c:pt idx="890">
                  <c:v>29.75</c:v>
                </c:pt>
                <c:pt idx="891">
                  <c:v>29.75</c:v>
                </c:pt>
                <c:pt idx="892">
                  <c:v>29.8</c:v>
                </c:pt>
                <c:pt idx="893">
                  <c:v>29.85</c:v>
                </c:pt>
                <c:pt idx="894">
                  <c:v>29.85</c:v>
                </c:pt>
                <c:pt idx="895">
                  <c:v>29.9</c:v>
                </c:pt>
                <c:pt idx="896">
                  <c:v>29.95</c:v>
                </c:pt>
                <c:pt idx="897">
                  <c:v>29.95</c:v>
                </c:pt>
                <c:pt idx="898">
                  <c:v>30</c:v>
                </c:pt>
                <c:pt idx="899">
                  <c:v>30.05</c:v>
                </c:pt>
                <c:pt idx="900">
                  <c:v>30.05</c:v>
                </c:pt>
                <c:pt idx="901">
                  <c:v>30.1</c:v>
                </c:pt>
                <c:pt idx="902">
                  <c:v>30.15</c:v>
                </c:pt>
                <c:pt idx="903">
                  <c:v>30.15</c:v>
                </c:pt>
                <c:pt idx="904">
                  <c:v>30.2</c:v>
                </c:pt>
                <c:pt idx="905">
                  <c:v>30.25</c:v>
                </c:pt>
                <c:pt idx="906">
                  <c:v>30.25</c:v>
                </c:pt>
                <c:pt idx="907">
                  <c:v>30.3</c:v>
                </c:pt>
                <c:pt idx="908">
                  <c:v>30.35</c:v>
                </c:pt>
                <c:pt idx="909">
                  <c:v>30.35</c:v>
                </c:pt>
                <c:pt idx="910">
                  <c:v>30.4</c:v>
                </c:pt>
                <c:pt idx="911">
                  <c:v>30.45</c:v>
                </c:pt>
                <c:pt idx="912">
                  <c:v>30.45</c:v>
                </c:pt>
                <c:pt idx="913">
                  <c:v>30.5</c:v>
                </c:pt>
                <c:pt idx="914">
                  <c:v>30.55</c:v>
                </c:pt>
                <c:pt idx="915">
                  <c:v>30.55</c:v>
                </c:pt>
                <c:pt idx="916">
                  <c:v>30.6</c:v>
                </c:pt>
                <c:pt idx="917">
                  <c:v>30.65</c:v>
                </c:pt>
                <c:pt idx="918">
                  <c:v>30.65</c:v>
                </c:pt>
                <c:pt idx="919">
                  <c:v>30.7</c:v>
                </c:pt>
                <c:pt idx="920">
                  <c:v>30.75</c:v>
                </c:pt>
                <c:pt idx="921">
                  <c:v>30.75</c:v>
                </c:pt>
                <c:pt idx="922">
                  <c:v>30.8</c:v>
                </c:pt>
                <c:pt idx="923">
                  <c:v>30.85</c:v>
                </c:pt>
                <c:pt idx="924">
                  <c:v>30.85</c:v>
                </c:pt>
                <c:pt idx="925">
                  <c:v>30.9</c:v>
                </c:pt>
                <c:pt idx="926">
                  <c:v>30.95</c:v>
                </c:pt>
                <c:pt idx="927">
                  <c:v>30.95</c:v>
                </c:pt>
                <c:pt idx="928">
                  <c:v>31</c:v>
                </c:pt>
                <c:pt idx="929">
                  <c:v>31.05</c:v>
                </c:pt>
                <c:pt idx="930">
                  <c:v>31.05</c:v>
                </c:pt>
                <c:pt idx="931">
                  <c:v>31.1</c:v>
                </c:pt>
                <c:pt idx="932">
                  <c:v>31.15</c:v>
                </c:pt>
                <c:pt idx="933">
                  <c:v>31.15</c:v>
                </c:pt>
                <c:pt idx="934">
                  <c:v>31.2</c:v>
                </c:pt>
                <c:pt idx="935">
                  <c:v>31.25</c:v>
                </c:pt>
                <c:pt idx="936">
                  <c:v>31.25</c:v>
                </c:pt>
                <c:pt idx="937">
                  <c:v>31.3</c:v>
                </c:pt>
                <c:pt idx="938">
                  <c:v>31.35</c:v>
                </c:pt>
                <c:pt idx="939">
                  <c:v>31.35</c:v>
                </c:pt>
                <c:pt idx="940">
                  <c:v>31.4</c:v>
                </c:pt>
                <c:pt idx="941">
                  <c:v>31.45</c:v>
                </c:pt>
                <c:pt idx="942">
                  <c:v>31.45</c:v>
                </c:pt>
                <c:pt idx="943">
                  <c:v>31.5</c:v>
                </c:pt>
                <c:pt idx="944">
                  <c:v>31.55</c:v>
                </c:pt>
                <c:pt idx="945">
                  <c:v>31.55</c:v>
                </c:pt>
                <c:pt idx="946">
                  <c:v>31.6</c:v>
                </c:pt>
                <c:pt idx="947">
                  <c:v>31.65</c:v>
                </c:pt>
                <c:pt idx="948">
                  <c:v>31.65</c:v>
                </c:pt>
                <c:pt idx="949">
                  <c:v>31.7</c:v>
                </c:pt>
                <c:pt idx="950">
                  <c:v>31.75</c:v>
                </c:pt>
                <c:pt idx="951">
                  <c:v>31.75</c:v>
                </c:pt>
                <c:pt idx="952">
                  <c:v>31.8</c:v>
                </c:pt>
                <c:pt idx="953">
                  <c:v>31.85</c:v>
                </c:pt>
                <c:pt idx="954">
                  <c:v>31.85</c:v>
                </c:pt>
                <c:pt idx="955">
                  <c:v>31.9</c:v>
                </c:pt>
                <c:pt idx="956">
                  <c:v>31.95</c:v>
                </c:pt>
                <c:pt idx="957">
                  <c:v>31.95</c:v>
                </c:pt>
                <c:pt idx="958">
                  <c:v>32</c:v>
                </c:pt>
                <c:pt idx="959">
                  <c:v>32.05</c:v>
                </c:pt>
                <c:pt idx="960">
                  <c:v>32.05</c:v>
                </c:pt>
                <c:pt idx="961">
                  <c:v>32.1</c:v>
                </c:pt>
                <c:pt idx="962">
                  <c:v>32.15</c:v>
                </c:pt>
                <c:pt idx="963">
                  <c:v>32.15</c:v>
                </c:pt>
                <c:pt idx="964">
                  <c:v>32.2</c:v>
                </c:pt>
                <c:pt idx="965">
                  <c:v>32.25</c:v>
                </c:pt>
                <c:pt idx="966">
                  <c:v>32.25</c:v>
                </c:pt>
                <c:pt idx="967">
                  <c:v>32.3</c:v>
                </c:pt>
                <c:pt idx="968">
                  <c:v>32.35</c:v>
                </c:pt>
                <c:pt idx="969">
                  <c:v>32.35</c:v>
                </c:pt>
                <c:pt idx="970">
                  <c:v>32.4</c:v>
                </c:pt>
                <c:pt idx="971">
                  <c:v>32.45</c:v>
                </c:pt>
                <c:pt idx="972">
                  <c:v>32.45</c:v>
                </c:pt>
                <c:pt idx="973">
                  <c:v>32.5</c:v>
                </c:pt>
                <c:pt idx="974">
                  <c:v>32.55</c:v>
                </c:pt>
                <c:pt idx="975">
                  <c:v>32.55</c:v>
                </c:pt>
                <c:pt idx="976">
                  <c:v>32.6</c:v>
                </c:pt>
                <c:pt idx="977">
                  <c:v>32.65</c:v>
                </c:pt>
                <c:pt idx="978">
                  <c:v>32.65</c:v>
                </c:pt>
                <c:pt idx="979">
                  <c:v>32.7</c:v>
                </c:pt>
                <c:pt idx="980">
                  <c:v>32.75</c:v>
                </c:pt>
                <c:pt idx="981">
                  <c:v>32.75</c:v>
                </c:pt>
                <c:pt idx="982">
                  <c:v>32.8</c:v>
                </c:pt>
                <c:pt idx="983">
                  <c:v>32.85</c:v>
                </c:pt>
                <c:pt idx="984">
                  <c:v>32.85</c:v>
                </c:pt>
                <c:pt idx="985">
                  <c:v>32.9</c:v>
                </c:pt>
                <c:pt idx="986">
                  <c:v>32.95</c:v>
                </c:pt>
                <c:pt idx="987">
                  <c:v>32.95</c:v>
                </c:pt>
                <c:pt idx="988">
                  <c:v>33</c:v>
                </c:pt>
                <c:pt idx="989">
                  <c:v>33.05</c:v>
                </c:pt>
                <c:pt idx="990">
                  <c:v>33.05</c:v>
                </c:pt>
                <c:pt idx="991">
                  <c:v>33.1</c:v>
                </c:pt>
                <c:pt idx="992">
                  <c:v>33.15</c:v>
                </c:pt>
                <c:pt idx="993">
                  <c:v>33.15</c:v>
                </c:pt>
                <c:pt idx="994">
                  <c:v>33.2</c:v>
                </c:pt>
                <c:pt idx="995">
                  <c:v>33.25</c:v>
                </c:pt>
                <c:pt idx="996">
                  <c:v>33.25</c:v>
                </c:pt>
                <c:pt idx="997">
                  <c:v>33.3</c:v>
                </c:pt>
                <c:pt idx="998">
                  <c:v>33.35</c:v>
                </c:pt>
                <c:pt idx="999">
                  <c:v>33.35</c:v>
                </c:pt>
                <c:pt idx="1000">
                  <c:v>33.4</c:v>
                </c:pt>
                <c:pt idx="1001">
                  <c:v>33.45</c:v>
                </c:pt>
                <c:pt idx="1002">
                  <c:v>33.45</c:v>
                </c:pt>
                <c:pt idx="1003">
                  <c:v>33.5</c:v>
                </c:pt>
                <c:pt idx="1004">
                  <c:v>33.55</c:v>
                </c:pt>
                <c:pt idx="1005">
                  <c:v>33.55</c:v>
                </c:pt>
                <c:pt idx="1006">
                  <c:v>33.6</c:v>
                </c:pt>
                <c:pt idx="1007">
                  <c:v>33.65</c:v>
                </c:pt>
                <c:pt idx="1008">
                  <c:v>33.65</c:v>
                </c:pt>
                <c:pt idx="1009">
                  <c:v>33.7</c:v>
                </c:pt>
                <c:pt idx="1010">
                  <c:v>33.75</c:v>
                </c:pt>
                <c:pt idx="1011">
                  <c:v>33.75</c:v>
                </c:pt>
                <c:pt idx="1012">
                  <c:v>33.8</c:v>
                </c:pt>
                <c:pt idx="1013">
                  <c:v>33.85</c:v>
                </c:pt>
                <c:pt idx="1014">
                  <c:v>33.85</c:v>
                </c:pt>
                <c:pt idx="1015">
                  <c:v>33.9</c:v>
                </c:pt>
                <c:pt idx="1016">
                  <c:v>33.95</c:v>
                </c:pt>
                <c:pt idx="1017">
                  <c:v>33.95</c:v>
                </c:pt>
                <c:pt idx="1018">
                  <c:v>34</c:v>
                </c:pt>
                <c:pt idx="1019">
                  <c:v>34.05</c:v>
                </c:pt>
                <c:pt idx="1020">
                  <c:v>34.05</c:v>
                </c:pt>
                <c:pt idx="1021">
                  <c:v>34.1</c:v>
                </c:pt>
                <c:pt idx="1022">
                  <c:v>34.15</c:v>
                </c:pt>
                <c:pt idx="1023">
                  <c:v>34.2</c:v>
                </c:pt>
                <c:pt idx="1024">
                  <c:v>34.2</c:v>
                </c:pt>
                <c:pt idx="1025">
                  <c:v>34.25</c:v>
                </c:pt>
                <c:pt idx="1026">
                  <c:v>34.3</c:v>
                </c:pt>
                <c:pt idx="1027">
                  <c:v>34.3</c:v>
                </c:pt>
                <c:pt idx="1028">
                  <c:v>34.35</c:v>
                </c:pt>
                <c:pt idx="1029">
                  <c:v>34.4</c:v>
                </c:pt>
                <c:pt idx="1030">
                  <c:v>34.4</c:v>
                </c:pt>
                <c:pt idx="1031">
                  <c:v>34.45</c:v>
                </c:pt>
                <c:pt idx="1032">
                  <c:v>34.5</c:v>
                </c:pt>
                <c:pt idx="1033">
                  <c:v>34.5</c:v>
                </c:pt>
                <c:pt idx="1034">
                  <c:v>34.55</c:v>
                </c:pt>
                <c:pt idx="1035">
                  <c:v>34.6</c:v>
                </c:pt>
                <c:pt idx="1036">
                  <c:v>34.6</c:v>
                </c:pt>
                <c:pt idx="1037">
                  <c:v>34.65</c:v>
                </c:pt>
                <c:pt idx="1038">
                  <c:v>34.7</c:v>
                </c:pt>
                <c:pt idx="1039">
                  <c:v>34.7</c:v>
                </c:pt>
                <c:pt idx="1040">
                  <c:v>34.75</c:v>
                </c:pt>
                <c:pt idx="1041">
                  <c:v>34.8</c:v>
                </c:pt>
                <c:pt idx="1042">
                  <c:v>34.8</c:v>
                </c:pt>
                <c:pt idx="1043">
                  <c:v>34.85</c:v>
                </c:pt>
                <c:pt idx="1044">
                  <c:v>34.9</c:v>
                </c:pt>
                <c:pt idx="1045">
                  <c:v>34.9</c:v>
                </c:pt>
                <c:pt idx="1046">
                  <c:v>34.95</c:v>
                </c:pt>
                <c:pt idx="1047">
                  <c:v>35</c:v>
                </c:pt>
                <c:pt idx="1048">
                  <c:v>35</c:v>
                </c:pt>
                <c:pt idx="1049">
                  <c:v>35.05</c:v>
                </c:pt>
                <c:pt idx="1050">
                  <c:v>35.1</c:v>
                </c:pt>
                <c:pt idx="1051">
                  <c:v>35.1</c:v>
                </c:pt>
                <c:pt idx="1052">
                  <c:v>35.15</c:v>
                </c:pt>
                <c:pt idx="1053">
                  <c:v>35.2</c:v>
                </c:pt>
                <c:pt idx="1054">
                  <c:v>35.2</c:v>
                </c:pt>
                <c:pt idx="1055">
                  <c:v>35.25</c:v>
                </c:pt>
                <c:pt idx="1056">
                  <c:v>35.3</c:v>
                </c:pt>
                <c:pt idx="1057">
                  <c:v>35.3</c:v>
                </c:pt>
                <c:pt idx="1058">
                  <c:v>35.35</c:v>
                </c:pt>
                <c:pt idx="1059">
                  <c:v>35.4</c:v>
                </c:pt>
                <c:pt idx="1060">
                  <c:v>35.4</c:v>
                </c:pt>
                <c:pt idx="1061">
                  <c:v>35.45</c:v>
                </c:pt>
                <c:pt idx="1062">
                  <c:v>35.5</c:v>
                </c:pt>
                <c:pt idx="1063">
                  <c:v>35.5</c:v>
                </c:pt>
                <c:pt idx="1064">
                  <c:v>35.55</c:v>
                </c:pt>
                <c:pt idx="1065">
                  <c:v>35.6</c:v>
                </c:pt>
                <c:pt idx="1066">
                  <c:v>35.6</c:v>
                </c:pt>
                <c:pt idx="1067">
                  <c:v>35.65</c:v>
                </c:pt>
                <c:pt idx="1068">
                  <c:v>35.7</c:v>
                </c:pt>
                <c:pt idx="1069">
                  <c:v>35.7</c:v>
                </c:pt>
                <c:pt idx="1070">
                  <c:v>35.75</c:v>
                </c:pt>
                <c:pt idx="1071">
                  <c:v>35.8</c:v>
                </c:pt>
                <c:pt idx="1072">
                  <c:v>35.8</c:v>
                </c:pt>
                <c:pt idx="1073">
                  <c:v>35.85</c:v>
                </c:pt>
                <c:pt idx="1074">
                  <c:v>35.9</c:v>
                </c:pt>
                <c:pt idx="1075">
                  <c:v>35.9</c:v>
                </c:pt>
                <c:pt idx="1076">
                  <c:v>35.95</c:v>
                </c:pt>
                <c:pt idx="1077">
                  <c:v>36</c:v>
                </c:pt>
                <c:pt idx="1078">
                  <c:v>36</c:v>
                </c:pt>
                <c:pt idx="1079">
                  <c:v>36.05</c:v>
                </c:pt>
                <c:pt idx="1080">
                  <c:v>36.1</c:v>
                </c:pt>
                <c:pt idx="1081">
                  <c:v>36.1</c:v>
                </c:pt>
                <c:pt idx="1082">
                  <c:v>36.15</c:v>
                </c:pt>
                <c:pt idx="1083">
                  <c:v>36.2</c:v>
                </c:pt>
                <c:pt idx="1084">
                  <c:v>36.2</c:v>
                </c:pt>
                <c:pt idx="1085">
                  <c:v>36.25</c:v>
                </c:pt>
                <c:pt idx="1086">
                  <c:v>36.3</c:v>
                </c:pt>
                <c:pt idx="1087">
                  <c:v>36.3</c:v>
                </c:pt>
                <c:pt idx="1088">
                  <c:v>36.35</c:v>
                </c:pt>
                <c:pt idx="1089">
                  <c:v>36.4</c:v>
                </c:pt>
                <c:pt idx="1090">
                  <c:v>36.4</c:v>
                </c:pt>
                <c:pt idx="1091">
                  <c:v>36.45</c:v>
                </c:pt>
                <c:pt idx="1092">
                  <c:v>36.5</c:v>
                </c:pt>
                <c:pt idx="1093">
                  <c:v>36.5</c:v>
                </c:pt>
                <c:pt idx="1094">
                  <c:v>36.55</c:v>
                </c:pt>
                <c:pt idx="1095">
                  <c:v>36.6</c:v>
                </c:pt>
                <c:pt idx="1096">
                  <c:v>36.6</c:v>
                </c:pt>
                <c:pt idx="1097">
                  <c:v>36.65</c:v>
                </c:pt>
                <c:pt idx="1098">
                  <c:v>36.7</c:v>
                </c:pt>
                <c:pt idx="1099">
                  <c:v>36.7</c:v>
                </c:pt>
                <c:pt idx="1100">
                  <c:v>36.75</c:v>
                </c:pt>
                <c:pt idx="1101">
                  <c:v>36.8</c:v>
                </c:pt>
                <c:pt idx="1102">
                  <c:v>36.8</c:v>
                </c:pt>
                <c:pt idx="1103">
                  <c:v>36.85</c:v>
                </c:pt>
                <c:pt idx="1104">
                  <c:v>36.9</c:v>
                </c:pt>
                <c:pt idx="1105">
                  <c:v>36.9</c:v>
                </c:pt>
                <c:pt idx="1106">
                  <c:v>36.95</c:v>
                </c:pt>
                <c:pt idx="1107">
                  <c:v>37</c:v>
                </c:pt>
                <c:pt idx="1108">
                  <c:v>37</c:v>
                </c:pt>
                <c:pt idx="1109">
                  <c:v>37.05</c:v>
                </c:pt>
                <c:pt idx="1110">
                  <c:v>37.1</c:v>
                </c:pt>
                <c:pt idx="1111">
                  <c:v>37.1</c:v>
                </c:pt>
                <c:pt idx="1112">
                  <c:v>37.15</c:v>
                </c:pt>
                <c:pt idx="1113">
                  <c:v>37.2</c:v>
                </c:pt>
                <c:pt idx="1114">
                  <c:v>37.2</c:v>
                </c:pt>
                <c:pt idx="1115">
                  <c:v>37.25</c:v>
                </c:pt>
                <c:pt idx="1116">
                  <c:v>37.3</c:v>
                </c:pt>
                <c:pt idx="1117">
                  <c:v>37.3</c:v>
                </c:pt>
                <c:pt idx="1118">
                  <c:v>37.35</c:v>
                </c:pt>
                <c:pt idx="1119">
                  <c:v>37.4</c:v>
                </c:pt>
                <c:pt idx="1120">
                  <c:v>37.4</c:v>
                </c:pt>
                <c:pt idx="1121">
                  <c:v>37.45</c:v>
                </c:pt>
                <c:pt idx="1122">
                  <c:v>37.5</c:v>
                </c:pt>
                <c:pt idx="1123">
                  <c:v>37.5</c:v>
                </c:pt>
                <c:pt idx="1124">
                  <c:v>37.55</c:v>
                </c:pt>
                <c:pt idx="1125">
                  <c:v>37.6</c:v>
                </c:pt>
                <c:pt idx="1126">
                  <c:v>37.6</c:v>
                </c:pt>
                <c:pt idx="1127">
                  <c:v>37.65</c:v>
                </c:pt>
                <c:pt idx="1128">
                  <c:v>37.7</c:v>
                </c:pt>
                <c:pt idx="1129">
                  <c:v>37.7</c:v>
                </c:pt>
                <c:pt idx="1130">
                  <c:v>37.75</c:v>
                </c:pt>
                <c:pt idx="1131">
                  <c:v>37.8</c:v>
                </c:pt>
                <c:pt idx="1132">
                  <c:v>37.8</c:v>
                </c:pt>
                <c:pt idx="1133">
                  <c:v>37.85</c:v>
                </c:pt>
                <c:pt idx="1134">
                  <c:v>37.9</c:v>
                </c:pt>
                <c:pt idx="1135">
                  <c:v>37.9</c:v>
                </c:pt>
                <c:pt idx="1136">
                  <c:v>37.95</c:v>
                </c:pt>
                <c:pt idx="1137">
                  <c:v>38</c:v>
                </c:pt>
                <c:pt idx="1138">
                  <c:v>38</c:v>
                </c:pt>
                <c:pt idx="1139">
                  <c:v>38.05</c:v>
                </c:pt>
                <c:pt idx="1140">
                  <c:v>38.1</c:v>
                </c:pt>
                <c:pt idx="1141">
                  <c:v>38.1</c:v>
                </c:pt>
                <c:pt idx="1142">
                  <c:v>38.15</c:v>
                </c:pt>
                <c:pt idx="1143">
                  <c:v>38.2</c:v>
                </c:pt>
                <c:pt idx="1144">
                  <c:v>38.2</c:v>
                </c:pt>
                <c:pt idx="1145">
                  <c:v>38.25</c:v>
                </c:pt>
                <c:pt idx="1146">
                  <c:v>38.3</c:v>
                </c:pt>
                <c:pt idx="1147">
                  <c:v>38.3</c:v>
                </c:pt>
                <c:pt idx="1148">
                  <c:v>38.35</c:v>
                </c:pt>
                <c:pt idx="1149">
                  <c:v>38.4</c:v>
                </c:pt>
                <c:pt idx="1150">
                  <c:v>38.4</c:v>
                </c:pt>
                <c:pt idx="1151">
                  <c:v>38.45</c:v>
                </c:pt>
                <c:pt idx="1152">
                  <c:v>38.5</c:v>
                </c:pt>
                <c:pt idx="1153">
                  <c:v>38.5</c:v>
                </c:pt>
                <c:pt idx="1154">
                  <c:v>38.55</c:v>
                </c:pt>
                <c:pt idx="1155">
                  <c:v>38.6</c:v>
                </c:pt>
                <c:pt idx="1156">
                  <c:v>38.6</c:v>
                </c:pt>
                <c:pt idx="1157">
                  <c:v>38.65</c:v>
                </c:pt>
                <c:pt idx="1158">
                  <c:v>38.7</c:v>
                </c:pt>
                <c:pt idx="1159">
                  <c:v>38.7</c:v>
                </c:pt>
                <c:pt idx="1160">
                  <c:v>38.75</c:v>
                </c:pt>
                <c:pt idx="1161">
                  <c:v>38.8</c:v>
                </c:pt>
                <c:pt idx="1162">
                  <c:v>38.8</c:v>
                </c:pt>
                <c:pt idx="1163">
                  <c:v>38.85</c:v>
                </c:pt>
                <c:pt idx="1164">
                  <c:v>38.9</c:v>
                </c:pt>
                <c:pt idx="1165">
                  <c:v>38.9</c:v>
                </c:pt>
                <c:pt idx="1166">
                  <c:v>38.95</c:v>
                </c:pt>
                <c:pt idx="1167">
                  <c:v>39</c:v>
                </c:pt>
                <c:pt idx="1168">
                  <c:v>39</c:v>
                </c:pt>
                <c:pt idx="1169">
                  <c:v>39.05</c:v>
                </c:pt>
                <c:pt idx="1170">
                  <c:v>39.1</c:v>
                </c:pt>
                <c:pt idx="1171">
                  <c:v>39.1</c:v>
                </c:pt>
                <c:pt idx="1172">
                  <c:v>39.15</c:v>
                </c:pt>
                <c:pt idx="1173">
                  <c:v>39.2</c:v>
                </c:pt>
                <c:pt idx="1174">
                  <c:v>39.2</c:v>
                </c:pt>
                <c:pt idx="1175">
                  <c:v>39.25</c:v>
                </c:pt>
                <c:pt idx="1176">
                  <c:v>39.3</c:v>
                </c:pt>
                <c:pt idx="1177">
                  <c:v>39.3</c:v>
                </c:pt>
                <c:pt idx="1178">
                  <c:v>39.35</c:v>
                </c:pt>
                <c:pt idx="1179">
                  <c:v>39.4</c:v>
                </c:pt>
                <c:pt idx="1180">
                  <c:v>39.4</c:v>
                </c:pt>
                <c:pt idx="1181">
                  <c:v>39.45</c:v>
                </c:pt>
                <c:pt idx="1182">
                  <c:v>39.5</c:v>
                </c:pt>
                <c:pt idx="1183">
                  <c:v>39.5</c:v>
                </c:pt>
                <c:pt idx="1184">
                  <c:v>39.55</c:v>
                </c:pt>
                <c:pt idx="1185">
                  <c:v>39.6</c:v>
                </c:pt>
                <c:pt idx="1186">
                  <c:v>39.6</c:v>
                </c:pt>
                <c:pt idx="1187">
                  <c:v>39.65</c:v>
                </c:pt>
                <c:pt idx="1188">
                  <c:v>39.7</c:v>
                </c:pt>
                <c:pt idx="1189">
                  <c:v>39.7</c:v>
                </c:pt>
                <c:pt idx="1190">
                  <c:v>39.75</c:v>
                </c:pt>
                <c:pt idx="1191">
                  <c:v>39.8</c:v>
                </c:pt>
                <c:pt idx="1192">
                  <c:v>39.85</c:v>
                </c:pt>
                <c:pt idx="1193">
                  <c:v>39.85</c:v>
                </c:pt>
                <c:pt idx="1194">
                  <c:v>39.9</c:v>
                </c:pt>
                <c:pt idx="1195">
                  <c:v>39.95</c:v>
                </c:pt>
                <c:pt idx="1196">
                  <c:v>39.95</c:v>
                </c:pt>
                <c:pt idx="1197">
                  <c:v>40</c:v>
                </c:pt>
                <c:pt idx="1198">
                  <c:v>40.05</c:v>
                </c:pt>
                <c:pt idx="1199">
                  <c:v>40.05</c:v>
                </c:pt>
                <c:pt idx="1200">
                  <c:v>40.1</c:v>
                </c:pt>
                <c:pt idx="1201">
                  <c:v>40.15</c:v>
                </c:pt>
                <c:pt idx="1202">
                  <c:v>40.15</c:v>
                </c:pt>
                <c:pt idx="1203">
                  <c:v>40.2</c:v>
                </c:pt>
                <c:pt idx="1204">
                  <c:v>40.25</c:v>
                </c:pt>
                <c:pt idx="1205">
                  <c:v>40.25</c:v>
                </c:pt>
                <c:pt idx="1206">
                  <c:v>40.3</c:v>
                </c:pt>
                <c:pt idx="1207">
                  <c:v>40.35</c:v>
                </c:pt>
                <c:pt idx="1208">
                  <c:v>40.35</c:v>
                </c:pt>
                <c:pt idx="1209">
                  <c:v>40.4</c:v>
                </c:pt>
                <c:pt idx="1210">
                  <c:v>40.45</c:v>
                </c:pt>
                <c:pt idx="1211">
                  <c:v>40.45</c:v>
                </c:pt>
                <c:pt idx="1212">
                  <c:v>40.5</c:v>
                </c:pt>
                <c:pt idx="1213">
                  <c:v>40.55</c:v>
                </c:pt>
                <c:pt idx="1214">
                  <c:v>40.55</c:v>
                </c:pt>
                <c:pt idx="1215">
                  <c:v>40.6</c:v>
                </c:pt>
                <c:pt idx="1216">
                  <c:v>40.65</c:v>
                </c:pt>
                <c:pt idx="1217">
                  <c:v>40.65</c:v>
                </c:pt>
                <c:pt idx="1218">
                  <c:v>40.7</c:v>
                </c:pt>
                <c:pt idx="1219">
                  <c:v>40.75</c:v>
                </c:pt>
                <c:pt idx="1220">
                  <c:v>40.75</c:v>
                </c:pt>
                <c:pt idx="1221">
                  <c:v>40.8</c:v>
                </c:pt>
                <c:pt idx="1222">
                  <c:v>40.85</c:v>
                </c:pt>
                <c:pt idx="1223">
                  <c:v>40.85</c:v>
                </c:pt>
                <c:pt idx="1224">
                  <c:v>40.9</c:v>
                </c:pt>
                <c:pt idx="1225">
                  <c:v>40.95</c:v>
                </c:pt>
                <c:pt idx="1226">
                  <c:v>40.95</c:v>
                </c:pt>
                <c:pt idx="1227">
                  <c:v>41</c:v>
                </c:pt>
                <c:pt idx="1228">
                  <c:v>41.05</c:v>
                </c:pt>
                <c:pt idx="1229">
                  <c:v>41.05</c:v>
                </c:pt>
                <c:pt idx="1230">
                  <c:v>41.1</c:v>
                </c:pt>
                <c:pt idx="1231">
                  <c:v>41.15</c:v>
                </c:pt>
                <c:pt idx="1232">
                  <c:v>41.15</c:v>
                </c:pt>
                <c:pt idx="1233">
                  <c:v>41.2</c:v>
                </c:pt>
                <c:pt idx="1234">
                  <c:v>41.25</c:v>
                </c:pt>
                <c:pt idx="1235">
                  <c:v>41.25</c:v>
                </c:pt>
                <c:pt idx="1236">
                  <c:v>41.3</c:v>
                </c:pt>
                <c:pt idx="1237">
                  <c:v>41.35</c:v>
                </c:pt>
                <c:pt idx="1238">
                  <c:v>41.35</c:v>
                </c:pt>
                <c:pt idx="1239">
                  <c:v>41.4</c:v>
                </c:pt>
                <c:pt idx="1240">
                  <c:v>41.45</c:v>
                </c:pt>
                <c:pt idx="1241">
                  <c:v>41.45</c:v>
                </c:pt>
                <c:pt idx="1242">
                  <c:v>41.5</c:v>
                </c:pt>
                <c:pt idx="1243">
                  <c:v>41.55</c:v>
                </c:pt>
                <c:pt idx="1244">
                  <c:v>41.55</c:v>
                </c:pt>
                <c:pt idx="1245">
                  <c:v>41.6</c:v>
                </c:pt>
                <c:pt idx="1246">
                  <c:v>41.65</c:v>
                </c:pt>
                <c:pt idx="1247">
                  <c:v>41.65</c:v>
                </c:pt>
                <c:pt idx="1248">
                  <c:v>41.7</c:v>
                </c:pt>
                <c:pt idx="1249">
                  <c:v>41.75</c:v>
                </c:pt>
                <c:pt idx="1250">
                  <c:v>41.75</c:v>
                </c:pt>
                <c:pt idx="1251">
                  <c:v>41.8</c:v>
                </c:pt>
                <c:pt idx="1252">
                  <c:v>41.85</c:v>
                </c:pt>
                <c:pt idx="1253">
                  <c:v>41.85</c:v>
                </c:pt>
                <c:pt idx="1254">
                  <c:v>41.9</c:v>
                </c:pt>
                <c:pt idx="1255">
                  <c:v>41.95</c:v>
                </c:pt>
                <c:pt idx="1256">
                  <c:v>41.95</c:v>
                </c:pt>
                <c:pt idx="1257">
                  <c:v>42</c:v>
                </c:pt>
                <c:pt idx="1258">
                  <c:v>42.05</c:v>
                </c:pt>
                <c:pt idx="1259">
                  <c:v>42.05</c:v>
                </c:pt>
                <c:pt idx="1260">
                  <c:v>42.1</c:v>
                </c:pt>
                <c:pt idx="1261">
                  <c:v>42.15</c:v>
                </c:pt>
                <c:pt idx="1262">
                  <c:v>42.15</c:v>
                </c:pt>
                <c:pt idx="1263">
                  <c:v>42.2</c:v>
                </c:pt>
                <c:pt idx="1264">
                  <c:v>42.25</c:v>
                </c:pt>
                <c:pt idx="1265">
                  <c:v>42.25</c:v>
                </c:pt>
                <c:pt idx="1266">
                  <c:v>42.3</c:v>
                </c:pt>
                <c:pt idx="1267">
                  <c:v>42.35</c:v>
                </c:pt>
                <c:pt idx="1268">
                  <c:v>42.35</c:v>
                </c:pt>
                <c:pt idx="1269">
                  <c:v>42.4</c:v>
                </c:pt>
                <c:pt idx="1270">
                  <c:v>42.45</c:v>
                </c:pt>
                <c:pt idx="1271">
                  <c:v>42.45</c:v>
                </c:pt>
                <c:pt idx="1272">
                  <c:v>42.5</c:v>
                </c:pt>
                <c:pt idx="1273">
                  <c:v>42.55</c:v>
                </c:pt>
                <c:pt idx="1274">
                  <c:v>42.55</c:v>
                </c:pt>
                <c:pt idx="1275">
                  <c:v>42.6</c:v>
                </c:pt>
                <c:pt idx="1276">
                  <c:v>42.65</c:v>
                </c:pt>
                <c:pt idx="1277">
                  <c:v>42.65</c:v>
                </c:pt>
                <c:pt idx="1278">
                  <c:v>42.7</c:v>
                </c:pt>
                <c:pt idx="1279">
                  <c:v>42.75</c:v>
                </c:pt>
                <c:pt idx="1280">
                  <c:v>42.75</c:v>
                </c:pt>
                <c:pt idx="1281">
                  <c:v>42.8</c:v>
                </c:pt>
                <c:pt idx="1282">
                  <c:v>42.85</c:v>
                </c:pt>
                <c:pt idx="1283">
                  <c:v>42.85</c:v>
                </c:pt>
                <c:pt idx="1284">
                  <c:v>42.9</c:v>
                </c:pt>
                <c:pt idx="1285">
                  <c:v>42.95</c:v>
                </c:pt>
                <c:pt idx="1286">
                  <c:v>42.95</c:v>
                </c:pt>
                <c:pt idx="1287">
                  <c:v>43</c:v>
                </c:pt>
                <c:pt idx="1288">
                  <c:v>43.05</c:v>
                </c:pt>
                <c:pt idx="1289">
                  <c:v>43.05</c:v>
                </c:pt>
                <c:pt idx="1290">
                  <c:v>43.1</c:v>
                </c:pt>
                <c:pt idx="1291">
                  <c:v>43.15</c:v>
                </c:pt>
                <c:pt idx="1292">
                  <c:v>43.15</c:v>
                </c:pt>
                <c:pt idx="1293">
                  <c:v>43.2</c:v>
                </c:pt>
                <c:pt idx="1294">
                  <c:v>43.25</c:v>
                </c:pt>
                <c:pt idx="1295">
                  <c:v>43.25</c:v>
                </c:pt>
                <c:pt idx="1296">
                  <c:v>43.3</c:v>
                </c:pt>
                <c:pt idx="1297">
                  <c:v>43.35</c:v>
                </c:pt>
                <c:pt idx="1298">
                  <c:v>43.35</c:v>
                </c:pt>
                <c:pt idx="1299">
                  <c:v>43.4</c:v>
                </c:pt>
                <c:pt idx="1300">
                  <c:v>43.45</c:v>
                </c:pt>
                <c:pt idx="1301">
                  <c:v>43.45</c:v>
                </c:pt>
                <c:pt idx="1302">
                  <c:v>43.5</c:v>
                </c:pt>
                <c:pt idx="1303">
                  <c:v>43.55</c:v>
                </c:pt>
                <c:pt idx="1304">
                  <c:v>43.55</c:v>
                </c:pt>
                <c:pt idx="1305">
                  <c:v>43.6</c:v>
                </c:pt>
                <c:pt idx="1306">
                  <c:v>43.65</c:v>
                </c:pt>
                <c:pt idx="1307">
                  <c:v>43.65</c:v>
                </c:pt>
                <c:pt idx="1308">
                  <c:v>43.7</c:v>
                </c:pt>
                <c:pt idx="1309">
                  <c:v>43.75</c:v>
                </c:pt>
                <c:pt idx="1310">
                  <c:v>43.75</c:v>
                </c:pt>
                <c:pt idx="1311">
                  <c:v>43.8</c:v>
                </c:pt>
                <c:pt idx="1312">
                  <c:v>43.85</c:v>
                </c:pt>
                <c:pt idx="1313">
                  <c:v>43.85</c:v>
                </c:pt>
                <c:pt idx="1314">
                  <c:v>43.9</c:v>
                </c:pt>
                <c:pt idx="1315">
                  <c:v>43.95</c:v>
                </c:pt>
                <c:pt idx="1316">
                  <c:v>43.95</c:v>
                </c:pt>
                <c:pt idx="1317">
                  <c:v>44</c:v>
                </c:pt>
                <c:pt idx="1318">
                  <c:v>44.05</c:v>
                </c:pt>
                <c:pt idx="1319">
                  <c:v>44.05</c:v>
                </c:pt>
                <c:pt idx="1320">
                  <c:v>44.1</c:v>
                </c:pt>
                <c:pt idx="1321">
                  <c:v>44.15</c:v>
                </c:pt>
                <c:pt idx="1322">
                  <c:v>44.15</c:v>
                </c:pt>
                <c:pt idx="1323">
                  <c:v>44.2</c:v>
                </c:pt>
                <c:pt idx="1324">
                  <c:v>44.25</c:v>
                </c:pt>
                <c:pt idx="1325">
                  <c:v>44.25</c:v>
                </c:pt>
                <c:pt idx="1326">
                  <c:v>44.3</c:v>
                </c:pt>
                <c:pt idx="1327">
                  <c:v>44.35</c:v>
                </c:pt>
                <c:pt idx="1328">
                  <c:v>44.35</c:v>
                </c:pt>
                <c:pt idx="1329">
                  <c:v>44.4</c:v>
                </c:pt>
                <c:pt idx="1330">
                  <c:v>44.45</c:v>
                </c:pt>
                <c:pt idx="1331">
                  <c:v>44.45</c:v>
                </c:pt>
                <c:pt idx="1332">
                  <c:v>44.5</c:v>
                </c:pt>
                <c:pt idx="1333">
                  <c:v>44.55</c:v>
                </c:pt>
                <c:pt idx="1334">
                  <c:v>44.55</c:v>
                </c:pt>
                <c:pt idx="1335">
                  <c:v>44.6</c:v>
                </c:pt>
                <c:pt idx="1336">
                  <c:v>44.65</c:v>
                </c:pt>
                <c:pt idx="1337">
                  <c:v>44.65</c:v>
                </c:pt>
                <c:pt idx="1338">
                  <c:v>44.7</c:v>
                </c:pt>
                <c:pt idx="1339">
                  <c:v>44.75</c:v>
                </c:pt>
                <c:pt idx="1340">
                  <c:v>44.75</c:v>
                </c:pt>
                <c:pt idx="1341">
                  <c:v>44.8</c:v>
                </c:pt>
                <c:pt idx="1342">
                  <c:v>44.85</c:v>
                </c:pt>
                <c:pt idx="1343">
                  <c:v>44.85</c:v>
                </c:pt>
                <c:pt idx="1344">
                  <c:v>44.9</c:v>
                </c:pt>
                <c:pt idx="1345">
                  <c:v>44.95</c:v>
                </c:pt>
                <c:pt idx="1346">
                  <c:v>44.95</c:v>
                </c:pt>
                <c:pt idx="1347">
                  <c:v>45</c:v>
                </c:pt>
                <c:pt idx="1348">
                  <c:v>45.05</c:v>
                </c:pt>
                <c:pt idx="1349">
                  <c:v>45.05</c:v>
                </c:pt>
                <c:pt idx="1350">
                  <c:v>45.1</c:v>
                </c:pt>
                <c:pt idx="1351">
                  <c:v>45.15</c:v>
                </c:pt>
                <c:pt idx="1352">
                  <c:v>45.15</c:v>
                </c:pt>
                <c:pt idx="1353">
                  <c:v>45.2</c:v>
                </c:pt>
                <c:pt idx="1354">
                  <c:v>45.25</c:v>
                </c:pt>
                <c:pt idx="1355">
                  <c:v>45.25</c:v>
                </c:pt>
                <c:pt idx="1356">
                  <c:v>45.3</c:v>
                </c:pt>
                <c:pt idx="1357">
                  <c:v>45.35</c:v>
                </c:pt>
                <c:pt idx="1358">
                  <c:v>45.35</c:v>
                </c:pt>
                <c:pt idx="1359">
                  <c:v>45.4</c:v>
                </c:pt>
                <c:pt idx="1360">
                  <c:v>45.45</c:v>
                </c:pt>
                <c:pt idx="1361">
                  <c:v>45.45</c:v>
                </c:pt>
                <c:pt idx="1362">
                  <c:v>45.5</c:v>
                </c:pt>
                <c:pt idx="1363">
                  <c:v>45.55</c:v>
                </c:pt>
                <c:pt idx="1364">
                  <c:v>45.6</c:v>
                </c:pt>
                <c:pt idx="1365">
                  <c:v>45.6</c:v>
                </c:pt>
                <c:pt idx="1366">
                  <c:v>45.65</c:v>
                </c:pt>
                <c:pt idx="1367">
                  <c:v>45.7</c:v>
                </c:pt>
                <c:pt idx="1368">
                  <c:v>45.7</c:v>
                </c:pt>
                <c:pt idx="1369">
                  <c:v>45.75</c:v>
                </c:pt>
                <c:pt idx="1370">
                  <c:v>45.8</c:v>
                </c:pt>
                <c:pt idx="1371">
                  <c:v>45.8</c:v>
                </c:pt>
                <c:pt idx="1372">
                  <c:v>45.85</c:v>
                </c:pt>
                <c:pt idx="1373">
                  <c:v>45.9</c:v>
                </c:pt>
                <c:pt idx="1374">
                  <c:v>45.9</c:v>
                </c:pt>
                <c:pt idx="1375">
                  <c:v>45.95</c:v>
                </c:pt>
                <c:pt idx="1376">
                  <c:v>46</c:v>
                </c:pt>
                <c:pt idx="1377">
                  <c:v>46</c:v>
                </c:pt>
                <c:pt idx="1378">
                  <c:v>46.05</c:v>
                </c:pt>
                <c:pt idx="1379">
                  <c:v>46.1</c:v>
                </c:pt>
                <c:pt idx="1380">
                  <c:v>46.1</c:v>
                </c:pt>
                <c:pt idx="1381">
                  <c:v>46.15</c:v>
                </c:pt>
                <c:pt idx="1382">
                  <c:v>46.2</c:v>
                </c:pt>
                <c:pt idx="1383">
                  <c:v>46.2</c:v>
                </c:pt>
                <c:pt idx="1384">
                  <c:v>46.25</c:v>
                </c:pt>
                <c:pt idx="1385">
                  <c:v>46.3</c:v>
                </c:pt>
                <c:pt idx="1386">
                  <c:v>46.3</c:v>
                </c:pt>
                <c:pt idx="1387">
                  <c:v>46.35</c:v>
                </c:pt>
                <c:pt idx="1388">
                  <c:v>46.4</c:v>
                </c:pt>
                <c:pt idx="1389">
                  <c:v>46.4</c:v>
                </c:pt>
                <c:pt idx="1390">
                  <c:v>46.45</c:v>
                </c:pt>
                <c:pt idx="1391">
                  <c:v>46.5</c:v>
                </c:pt>
                <c:pt idx="1392">
                  <c:v>46.5</c:v>
                </c:pt>
                <c:pt idx="1393">
                  <c:v>46.55</c:v>
                </c:pt>
                <c:pt idx="1394">
                  <c:v>46.6</c:v>
                </c:pt>
                <c:pt idx="1395">
                  <c:v>46.6</c:v>
                </c:pt>
                <c:pt idx="1396">
                  <c:v>46.65</c:v>
                </c:pt>
                <c:pt idx="1397">
                  <c:v>46.7</c:v>
                </c:pt>
                <c:pt idx="1398">
                  <c:v>46.7</c:v>
                </c:pt>
                <c:pt idx="1399">
                  <c:v>46.75</c:v>
                </c:pt>
                <c:pt idx="1400">
                  <c:v>46.8</c:v>
                </c:pt>
                <c:pt idx="1401">
                  <c:v>46.8</c:v>
                </c:pt>
                <c:pt idx="1402">
                  <c:v>46.85</c:v>
                </c:pt>
                <c:pt idx="1403">
                  <c:v>46.9</c:v>
                </c:pt>
                <c:pt idx="1404">
                  <c:v>46.9</c:v>
                </c:pt>
                <c:pt idx="1405">
                  <c:v>46.95</c:v>
                </c:pt>
                <c:pt idx="1406">
                  <c:v>47</c:v>
                </c:pt>
                <c:pt idx="1407">
                  <c:v>47</c:v>
                </c:pt>
                <c:pt idx="1408">
                  <c:v>47.05</c:v>
                </c:pt>
                <c:pt idx="1409">
                  <c:v>47.1</c:v>
                </c:pt>
                <c:pt idx="1410">
                  <c:v>47.1</c:v>
                </c:pt>
                <c:pt idx="1411">
                  <c:v>47.15</c:v>
                </c:pt>
                <c:pt idx="1412">
                  <c:v>47.2</c:v>
                </c:pt>
                <c:pt idx="1413">
                  <c:v>47.2</c:v>
                </c:pt>
                <c:pt idx="1414">
                  <c:v>47.25</c:v>
                </c:pt>
                <c:pt idx="1415">
                  <c:v>47.3</c:v>
                </c:pt>
                <c:pt idx="1416">
                  <c:v>47.3</c:v>
                </c:pt>
                <c:pt idx="1417">
                  <c:v>47.35</c:v>
                </c:pt>
                <c:pt idx="1418">
                  <c:v>47.4</c:v>
                </c:pt>
                <c:pt idx="1419">
                  <c:v>47.4</c:v>
                </c:pt>
                <c:pt idx="1420">
                  <c:v>47.45</c:v>
                </c:pt>
                <c:pt idx="1421">
                  <c:v>47.5</c:v>
                </c:pt>
                <c:pt idx="1422">
                  <c:v>47.5</c:v>
                </c:pt>
                <c:pt idx="1423">
                  <c:v>47.55</c:v>
                </c:pt>
                <c:pt idx="1424">
                  <c:v>47.6</c:v>
                </c:pt>
                <c:pt idx="1425">
                  <c:v>47.6</c:v>
                </c:pt>
                <c:pt idx="1426">
                  <c:v>47.65</c:v>
                </c:pt>
                <c:pt idx="1427">
                  <c:v>47.7</c:v>
                </c:pt>
                <c:pt idx="1428">
                  <c:v>47.7</c:v>
                </c:pt>
                <c:pt idx="1429">
                  <c:v>47.75</c:v>
                </c:pt>
                <c:pt idx="1430">
                  <c:v>47.8</c:v>
                </c:pt>
                <c:pt idx="1431">
                  <c:v>47.8</c:v>
                </c:pt>
                <c:pt idx="1432">
                  <c:v>47.85</c:v>
                </c:pt>
                <c:pt idx="1433">
                  <c:v>47.9</c:v>
                </c:pt>
                <c:pt idx="1434">
                  <c:v>47.9</c:v>
                </c:pt>
                <c:pt idx="1435">
                  <c:v>47.95</c:v>
                </c:pt>
                <c:pt idx="1436">
                  <c:v>48</c:v>
                </c:pt>
                <c:pt idx="1437">
                  <c:v>48</c:v>
                </c:pt>
                <c:pt idx="1438">
                  <c:v>48.05</c:v>
                </c:pt>
                <c:pt idx="1439">
                  <c:v>48.1</c:v>
                </c:pt>
                <c:pt idx="1440">
                  <c:v>48.1</c:v>
                </c:pt>
                <c:pt idx="1441">
                  <c:v>48.15</c:v>
                </c:pt>
                <c:pt idx="1442">
                  <c:v>48.2</c:v>
                </c:pt>
                <c:pt idx="1443">
                  <c:v>48.2</c:v>
                </c:pt>
                <c:pt idx="1444">
                  <c:v>48.25</c:v>
                </c:pt>
                <c:pt idx="1445">
                  <c:v>48.3</c:v>
                </c:pt>
                <c:pt idx="1446">
                  <c:v>48.3</c:v>
                </c:pt>
                <c:pt idx="1447">
                  <c:v>48.35</c:v>
                </c:pt>
                <c:pt idx="1448">
                  <c:v>48.4</c:v>
                </c:pt>
                <c:pt idx="1449">
                  <c:v>48.4</c:v>
                </c:pt>
                <c:pt idx="1450">
                  <c:v>48.45</c:v>
                </c:pt>
                <c:pt idx="1451">
                  <c:v>48.5</c:v>
                </c:pt>
                <c:pt idx="1452">
                  <c:v>48.5</c:v>
                </c:pt>
                <c:pt idx="1453">
                  <c:v>48.55</c:v>
                </c:pt>
                <c:pt idx="1454">
                  <c:v>48.6</c:v>
                </c:pt>
                <c:pt idx="1455">
                  <c:v>48.6</c:v>
                </c:pt>
                <c:pt idx="1456">
                  <c:v>48.65</c:v>
                </c:pt>
                <c:pt idx="1457">
                  <c:v>48.7</c:v>
                </c:pt>
                <c:pt idx="1458">
                  <c:v>48.7</c:v>
                </c:pt>
                <c:pt idx="1459">
                  <c:v>48.75</c:v>
                </c:pt>
                <c:pt idx="1460">
                  <c:v>48.8</c:v>
                </c:pt>
                <c:pt idx="1461">
                  <c:v>48.8</c:v>
                </c:pt>
                <c:pt idx="1462">
                  <c:v>48.85</c:v>
                </c:pt>
                <c:pt idx="1463">
                  <c:v>48.9</c:v>
                </c:pt>
                <c:pt idx="1464">
                  <c:v>48.9</c:v>
                </c:pt>
                <c:pt idx="1465">
                  <c:v>48.95</c:v>
                </c:pt>
                <c:pt idx="1466">
                  <c:v>49</c:v>
                </c:pt>
                <c:pt idx="1467">
                  <c:v>49</c:v>
                </c:pt>
                <c:pt idx="1468">
                  <c:v>49.05</c:v>
                </c:pt>
                <c:pt idx="1469">
                  <c:v>49.1</c:v>
                </c:pt>
                <c:pt idx="1470">
                  <c:v>49.1</c:v>
                </c:pt>
                <c:pt idx="1471">
                  <c:v>49.15</c:v>
                </c:pt>
                <c:pt idx="1472">
                  <c:v>49.2</c:v>
                </c:pt>
                <c:pt idx="1473">
                  <c:v>49.2</c:v>
                </c:pt>
                <c:pt idx="1474">
                  <c:v>49.25</c:v>
                </c:pt>
                <c:pt idx="1475">
                  <c:v>49.3</c:v>
                </c:pt>
                <c:pt idx="1476">
                  <c:v>49.3</c:v>
                </c:pt>
                <c:pt idx="1477">
                  <c:v>49.35</c:v>
                </c:pt>
                <c:pt idx="1478">
                  <c:v>49.4</c:v>
                </c:pt>
                <c:pt idx="1479">
                  <c:v>49.4</c:v>
                </c:pt>
                <c:pt idx="1480">
                  <c:v>49.45</c:v>
                </c:pt>
                <c:pt idx="1481">
                  <c:v>49.5</c:v>
                </c:pt>
                <c:pt idx="1482">
                  <c:v>49.5</c:v>
                </c:pt>
                <c:pt idx="1483">
                  <c:v>49.55</c:v>
                </c:pt>
                <c:pt idx="1484">
                  <c:v>49.6</c:v>
                </c:pt>
                <c:pt idx="1485">
                  <c:v>49.6</c:v>
                </c:pt>
                <c:pt idx="1486">
                  <c:v>49.65</c:v>
                </c:pt>
                <c:pt idx="1487">
                  <c:v>49.7</c:v>
                </c:pt>
                <c:pt idx="1488">
                  <c:v>49.7</c:v>
                </c:pt>
                <c:pt idx="1489">
                  <c:v>49.75</c:v>
                </c:pt>
                <c:pt idx="1490">
                  <c:v>49.8</c:v>
                </c:pt>
                <c:pt idx="1491">
                  <c:v>49.8</c:v>
                </c:pt>
                <c:pt idx="1492">
                  <c:v>49.85</c:v>
                </c:pt>
                <c:pt idx="1493">
                  <c:v>49.9</c:v>
                </c:pt>
                <c:pt idx="1494">
                  <c:v>49.9</c:v>
                </c:pt>
                <c:pt idx="1495">
                  <c:v>49.95</c:v>
                </c:pt>
                <c:pt idx="1496">
                  <c:v>50</c:v>
                </c:pt>
                <c:pt idx="1497">
                  <c:v>50</c:v>
                </c:pt>
                <c:pt idx="1498">
                  <c:v>50.05</c:v>
                </c:pt>
                <c:pt idx="1499">
                  <c:v>50.1</c:v>
                </c:pt>
                <c:pt idx="1500">
                  <c:v>50.1</c:v>
                </c:pt>
                <c:pt idx="1501">
                  <c:v>50.15</c:v>
                </c:pt>
                <c:pt idx="1502">
                  <c:v>50.2</c:v>
                </c:pt>
                <c:pt idx="1503">
                  <c:v>50.2</c:v>
                </c:pt>
                <c:pt idx="1504">
                  <c:v>50.25</c:v>
                </c:pt>
                <c:pt idx="1505">
                  <c:v>50.3</c:v>
                </c:pt>
                <c:pt idx="1506">
                  <c:v>50.3</c:v>
                </c:pt>
                <c:pt idx="1507">
                  <c:v>50.35</c:v>
                </c:pt>
                <c:pt idx="1508">
                  <c:v>50.4</c:v>
                </c:pt>
                <c:pt idx="1509">
                  <c:v>50.4</c:v>
                </c:pt>
                <c:pt idx="1510">
                  <c:v>50.45</c:v>
                </c:pt>
                <c:pt idx="1511">
                  <c:v>50.5</c:v>
                </c:pt>
                <c:pt idx="1512">
                  <c:v>50.5</c:v>
                </c:pt>
                <c:pt idx="1513">
                  <c:v>50.55</c:v>
                </c:pt>
                <c:pt idx="1514">
                  <c:v>50.6</c:v>
                </c:pt>
                <c:pt idx="1515">
                  <c:v>50.6</c:v>
                </c:pt>
                <c:pt idx="1516">
                  <c:v>50.65</c:v>
                </c:pt>
                <c:pt idx="1517">
                  <c:v>50.7</c:v>
                </c:pt>
                <c:pt idx="1518">
                  <c:v>50.7</c:v>
                </c:pt>
                <c:pt idx="1519">
                  <c:v>50.75</c:v>
                </c:pt>
                <c:pt idx="1520">
                  <c:v>50.8</c:v>
                </c:pt>
                <c:pt idx="1521">
                  <c:v>50.8</c:v>
                </c:pt>
                <c:pt idx="1522">
                  <c:v>50.85</c:v>
                </c:pt>
                <c:pt idx="1523">
                  <c:v>50.9</c:v>
                </c:pt>
                <c:pt idx="1524">
                  <c:v>50.9</c:v>
                </c:pt>
                <c:pt idx="1525">
                  <c:v>50.95</c:v>
                </c:pt>
                <c:pt idx="1526">
                  <c:v>51</c:v>
                </c:pt>
                <c:pt idx="1527">
                  <c:v>51</c:v>
                </c:pt>
                <c:pt idx="1528">
                  <c:v>51.05</c:v>
                </c:pt>
                <c:pt idx="1529">
                  <c:v>51.1</c:v>
                </c:pt>
                <c:pt idx="1530">
                  <c:v>51.1</c:v>
                </c:pt>
                <c:pt idx="1531">
                  <c:v>51.15</c:v>
                </c:pt>
                <c:pt idx="1532">
                  <c:v>51.2</c:v>
                </c:pt>
                <c:pt idx="1533">
                  <c:v>51.25</c:v>
                </c:pt>
                <c:pt idx="1534">
                  <c:v>51.25</c:v>
                </c:pt>
                <c:pt idx="1535">
                  <c:v>51.3</c:v>
                </c:pt>
                <c:pt idx="1536">
                  <c:v>51.35</c:v>
                </c:pt>
                <c:pt idx="1537">
                  <c:v>51.35</c:v>
                </c:pt>
                <c:pt idx="1538">
                  <c:v>51.4</c:v>
                </c:pt>
                <c:pt idx="1539">
                  <c:v>51.45</c:v>
                </c:pt>
                <c:pt idx="1540">
                  <c:v>51.45</c:v>
                </c:pt>
                <c:pt idx="1541">
                  <c:v>51.5</c:v>
                </c:pt>
                <c:pt idx="1542">
                  <c:v>51.55</c:v>
                </c:pt>
                <c:pt idx="1543">
                  <c:v>51.55</c:v>
                </c:pt>
                <c:pt idx="1544">
                  <c:v>51.6</c:v>
                </c:pt>
                <c:pt idx="1545">
                  <c:v>51.65</c:v>
                </c:pt>
                <c:pt idx="1546">
                  <c:v>51.65</c:v>
                </c:pt>
                <c:pt idx="1547">
                  <c:v>51.7</c:v>
                </c:pt>
                <c:pt idx="1548">
                  <c:v>51.75</c:v>
                </c:pt>
                <c:pt idx="1549">
                  <c:v>51.75</c:v>
                </c:pt>
                <c:pt idx="1550">
                  <c:v>51.8</c:v>
                </c:pt>
                <c:pt idx="1551">
                  <c:v>51.85</c:v>
                </c:pt>
                <c:pt idx="1552">
                  <c:v>51.85</c:v>
                </c:pt>
                <c:pt idx="1553">
                  <c:v>51.9</c:v>
                </c:pt>
                <c:pt idx="1554">
                  <c:v>51.95</c:v>
                </c:pt>
                <c:pt idx="1555">
                  <c:v>51.95</c:v>
                </c:pt>
                <c:pt idx="1556">
                  <c:v>52</c:v>
                </c:pt>
                <c:pt idx="1557">
                  <c:v>52.05</c:v>
                </c:pt>
                <c:pt idx="1558">
                  <c:v>52.05</c:v>
                </c:pt>
                <c:pt idx="1559">
                  <c:v>52.1</c:v>
                </c:pt>
                <c:pt idx="1560">
                  <c:v>52.15</c:v>
                </c:pt>
                <c:pt idx="1561">
                  <c:v>52.15</c:v>
                </c:pt>
                <c:pt idx="1562">
                  <c:v>52.2</c:v>
                </c:pt>
                <c:pt idx="1563">
                  <c:v>52.25</c:v>
                </c:pt>
                <c:pt idx="1564">
                  <c:v>52.25</c:v>
                </c:pt>
                <c:pt idx="1565">
                  <c:v>52.3</c:v>
                </c:pt>
                <c:pt idx="1566">
                  <c:v>52.35</c:v>
                </c:pt>
                <c:pt idx="1567">
                  <c:v>52.35</c:v>
                </c:pt>
                <c:pt idx="1568">
                  <c:v>52.4</c:v>
                </c:pt>
                <c:pt idx="1569">
                  <c:v>52.45</c:v>
                </c:pt>
                <c:pt idx="1570">
                  <c:v>52.45</c:v>
                </c:pt>
                <c:pt idx="1571">
                  <c:v>52.5</c:v>
                </c:pt>
                <c:pt idx="1572">
                  <c:v>52.55</c:v>
                </c:pt>
                <c:pt idx="1573">
                  <c:v>52.55</c:v>
                </c:pt>
                <c:pt idx="1574">
                  <c:v>52.6</c:v>
                </c:pt>
                <c:pt idx="1575">
                  <c:v>52.65</c:v>
                </c:pt>
                <c:pt idx="1576">
                  <c:v>52.65</c:v>
                </c:pt>
                <c:pt idx="1577">
                  <c:v>52.7</c:v>
                </c:pt>
                <c:pt idx="1578">
                  <c:v>52.75</c:v>
                </c:pt>
                <c:pt idx="1579">
                  <c:v>52.75</c:v>
                </c:pt>
                <c:pt idx="1580">
                  <c:v>52.8</c:v>
                </c:pt>
                <c:pt idx="1581">
                  <c:v>52.85</c:v>
                </c:pt>
                <c:pt idx="1582">
                  <c:v>52.85</c:v>
                </c:pt>
                <c:pt idx="1583">
                  <c:v>52.9</c:v>
                </c:pt>
                <c:pt idx="1584">
                  <c:v>52.95</c:v>
                </c:pt>
                <c:pt idx="1585">
                  <c:v>52.95</c:v>
                </c:pt>
                <c:pt idx="1586">
                  <c:v>53</c:v>
                </c:pt>
                <c:pt idx="1587">
                  <c:v>53.05</c:v>
                </c:pt>
                <c:pt idx="1588">
                  <c:v>53.05</c:v>
                </c:pt>
                <c:pt idx="1589">
                  <c:v>53.1</c:v>
                </c:pt>
                <c:pt idx="1590">
                  <c:v>53.15</c:v>
                </c:pt>
                <c:pt idx="1591">
                  <c:v>53.15</c:v>
                </c:pt>
                <c:pt idx="1592">
                  <c:v>53.2</c:v>
                </c:pt>
                <c:pt idx="1593">
                  <c:v>53.25</c:v>
                </c:pt>
                <c:pt idx="1594">
                  <c:v>53.25</c:v>
                </c:pt>
                <c:pt idx="1595">
                  <c:v>53.3</c:v>
                </c:pt>
                <c:pt idx="1596">
                  <c:v>53.35</c:v>
                </c:pt>
                <c:pt idx="1597">
                  <c:v>53.35</c:v>
                </c:pt>
                <c:pt idx="1598">
                  <c:v>53.4</c:v>
                </c:pt>
                <c:pt idx="1599">
                  <c:v>53.45</c:v>
                </c:pt>
                <c:pt idx="1600">
                  <c:v>53.45</c:v>
                </c:pt>
                <c:pt idx="1601">
                  <c:v>53.5</c:v>
                </c:pt>
                <c:pt idx="1602">
                  <c:v>53.55</c:v>
                </c:pt>
                <c:pt idx="1603">
                  <c:v>53.55</c:v>
                </c:pt>
                <c:pt idx="1604">
                  <c:v>53.6</c:v>
                </c:pt>
                <c:pt idx="1605">
                  <c:v>53.65</c:v>
                </c:pt>
                <c:pt idx="1606">
                  <c:v>53.65</c:v>
                </c:pt>
                <c:pt idx="1607">
                  <c:v>53.7</c:v>
                </c:pt>
                <c:pt idx="1608">
                  <c:v>53.75</c:v>
                </c:pt>
                <c:pt idx="1609">
                  <c:v>53.75</c:v>
                </c:pt>
                <c:pt idx="1610">
                  <c:v>53.8</c:v>
                </c:pt>
                <c:pt idx="1611">
                  <c:v>53.85</c:v>
                </c:pt>
                <c:pt idx="1612">
                  <c:v>53.85</c:v>
                </c:pt>
                <c:pt idx="1613">
                  <c:v>53.9</c:v>
                </c:pt>
                <c:pt idx="1614">
                  <c:v>53.95</c:v>
                </c:pt>
                <c:pt idx="1615">
                  <c:v>53.95</c:v>
                </c:pt>
                <c:pt idx="1616">
                  <c:v>54</c:v>
                </c:pt>
                <c:pt idx="1617">
                  <c:v>54.05</c:v>
                </c:pt>
                <c:pt idx="1618">
                  <c:v>54.05</c:v>
                </c:pt>
                <c:pt idx="1619">
                  <c:v>54.1</c:v>
                </c:pt>
                <c:pt idx="1620">
                  <c:v>54.15</c:v>
                </c:pt>
                <c:pt idx="1621">
                  <c:v>54.15</c:v>
                </c:pt>
                <c:pt idx="1622">
                  <c:v>54.2</c:v>
                </c:pt>
                <c:pt idx="1623">
                  <c:v>54.25</c:v>
                </c:pt>
                <c:pt idx="1624">
                  <c:v>54.25</c:v>
                </c:pt>
                <c:pt idx="1625">
                  <c:v>54.3</c:v>
                </c:pt>
                <c:pt idx="1626">
                  <c:v>54.35</c:v>
                </c:pt>
                <c:pt idx="1627">
                  <c:v>54.35</c:v>
                </c:pt>
                <c:pt idx="1628">
                  <c:v>54.4</c:v>
                </c:pt>
                <c:pt idx="1629">
                  <c:v>54.45</c:v>
                </c:pt>
                <c:pt idx="1630">
                  <c:v>54.45</c:v>
                </c:pt>
                <c:pt idx="1631">
                  <c:v>54.5</c:v>
                </c:pt>
                <c:pt idx="1632">
                  <c:v>54.55</c:v>
                </c:pt>
                <c:pt idx="1633">
                  <c:v>54.55</c:v>
                </c:pt>
                <c:pt idx="1634">
                  <c:v>54.6</c:v>
                </c:pt>
                <c:pt idx="1635">
                  <c:v>54.65</c:v>
                </c:pt>
                <c:pt idx="1636">
                  <c:v>54.65</c:v>
                </c:pt>
                <c:pt idx="1637">
                  <c:v>54.7</c:v>
                </c:pt>
                <c:pt idx="1638">
                  <c:v>54.75</c:v>
                </c:pt>
                <c:pt idx="1639">
                  <c:v>54.75</c:v>
                </c:pt>
                <c:pt idx="1640">
                  <c:v>54.8</c:v>
                </c:pt>
                <c:pt idx="1641">
                  <c:v>54.85</c:v>
                </c:pt>
                <c:pt idx="1642">
                  <c:v>54.85</c:v>
                </c:pt>
                <c:pt idx="1643">
                  <c:v>54.9</c:v>
                </c:pt>
                <c:pt idx="1644">
                  <c:v>54.95</c:v>
                </c:pt>
                <c:pt idx="1645">
                  <c:v>54.95</c:v>
                </c:pt>
                <c:pt idx="1646">
                  <c:v>55</c:v>
                </c:pt>
                <c:pt idx="1647">
                  <c:v>55.05</c:v>
                </c:pt>
                <c:pt idx="1648">
                  <c:v>55.05</c:v>
                </c:pt>
                <c:pt idx="1649">
                  <c:v>55.1</c:v>
                </c:pt>
                <c:pt idx="1650">
                  <c:v>55.15</c:v>
                </c:pt>
                <c:pt idx="1651">
                  <c:v>55.15</c:v>
                </c:pt>
                <c:pt idx="1652">
                  <c:v>55.2</c:v>
                </c:pt>
                <c:pt idx="1653">
                  <c:v>55.25</c:v>
                </c:pt>
                <c:pt idx="1654">
                  <c:v>55.25</c:v>
                </c:pt>
                <c:pt idx="1655">
                  <c:v>55.3</c:v>
                </c:pt>
                <c:pt idx="1656">
                  <c:v>55.35</c:v>
                </c:pt>
                <c:pt idx="1657">
                  <c:v>55.35</c:v>
                </c:pt>
                <c:pt idx="1658">
                  <c:v>55.4</c:v>
                </c:pt>
                <c:pt idx="1659">
                  <c:v>55.45</c:v>
                </c:pt>
                <c:pt idx="1660">
                  <c:v>55.45</c:v>
                </c:pt>
                <c:pt idx="1661">
                  <c:v>55.5</c:v>
                </c:pt>
                <c:pt idx="1662">
                  <c:v>55.55</c:v>
                </c:pt>
                <c:pt idx="1663">
                  <c:v>55.55</c:v>
                </c:pt>
                <c:pt idx="1664">
                  <c:v>55.6</c:v>
                </c:pt>
                <c:pt idx="1665">
                  <c:v>55.65</c:v>
                </c:pt>
                <c:pt idx="1666">
                  <c:v>55.65</c:v>
                </c:pt>
                <c:pt idx="1667">
                  <c:v>55.7</c:v>
                </c:pt>
                <c:pt idx="1668">
                  <c:v>55.75</c:v>
                </c:pt>
                <c:pt idx="1669">
                  <c:v>55.75</c:v>
                </c:pt>
                <c:pt idx="1670">
                  <c:v>55.8</c:v>
                </c:pt>
                <c:pt idx="1671">
                  <c:v>55.85</c:v>
                </c:pt>
                <c:pt idx="1672">
                  <c:v>55.85</c:v>
                </c:pt>
                <c:pt idx="1673">
                  <c:v>55.9</c:v>
                </c:pt>
                <c:pt idx="1674">
                  <c:v>55.95</c:v>
                </c:pt>
                <c:pt idx="1675">
                  <c:v>55.95</c:v>
                </c:pt>
                <c:pt idx="1676">
                  <c:v>56</c:v>
                </c:pt>
                <c:pt idx="1677">
                  <c:v>56.05</c:v>
                </c:pt>
                <c:pt idx="1678">
                  <c:v>56.05</c:v>
                </c:pt>
                <c:pt idx="1679">
                  <c:v>56.1</c:v>
                </c:pt>
                <c:pt idx="1680">
                  <c:v>56.15</c:v>
                </c:pt>
                <c:pt idx="1681">
                  <c:v>56.15</c:v>
                </c:pt>
                <c:pt idx="1682">
                  <c:v>56.2</c:v>
                </c:pt>
                <c:pt idx="1683">
                  <c:v>56.25</c:v>
                </c:pt>
                <c:pt idx="1684">
                  <c:v>56.25</c:v>
                </c:pt>
                <c:pt idx="1685">
                  <c:v>56.3</c:v>
                </c:pt>
                <c:pt idx="1686">
                  <c:v>56.35</c:v>
                </c:pt>
                <c:pt idx="1687">
                  <c:v>56.35</c:v>
                </c:pt>
                <c:pt idx="1688">
                  <c:v>56.4</c:v>
                </c:pt>
                <c:pt idx="1689">
                  <c:v>56.45</c:v>
                </c:pt>
                <c:pt idx="1690">
                  <c:v>56.45</c:v>
                </c:pt>
                <c:pt idx="1691">
                  <c:v>56.5</c:v>
                </c:pt>
                <c:pt idx="1692">
                  <c:v>56.55</c:v>
                </c:pt>
                <c:pt idx="1693">
                  <c:v>56.55</c:v>
                </c:pt>
                <c:pt idx="1694">
                  <c:v>56.6</c:v>
                </c:pt>
                <c:pt idx="1695">
                  <c:v>56.65</c:v>
                </c:pt>
                <c:pt idx="1696">
                  <c:v>56.65</c:v>
                </c:pt>
                <c:pt idx="1697">
                  <c:v>56.7</c:v>
                </c:pt>
                <c:pt idx="1698">
                  <c:v>56.75</c:v>
                </c:pt>
                <c:pt idx="1699">
                  <c:v>56.75</c:v>
                </c:pt>
                <c:pt idx="1700">
                  <c:v>56.8</c:v>
                </c:pt>
                <c:pt idx="1701">
                  <c:v>56.85</c:v>
                </c:pt>
                <c:pt idx="1702">
                  <c:v>56.85</c:v>
                </c:pt>
                <c:pt idx="1703">
                  <c:v>56.9</c:v>
                </c:pt>
                <c:pt idx="1704">
                  <c:v>56.95</c:v>
                </c:pt>
                <c:pt idx="1705">
                  <c:v>57</c:v>
                </c:pt>
                <c:pt idx="1706">
                  <c:v>57</c:v>
                </c:pt>
                <c:pt idx="1707">
                  <c:v>57.05</c:v>
                </c:pt>
                <c:pt idx="1708">
                  <c:v>57.1</c:v>
                </c:pt>
                <c:pt idx="1709">
                  <c:v>57.1</c:v>
                </c:pt>
                <c:pt idx="1710">
                  <c:v>57.15</c:v>
                </c:pt>
                <c:pt idx="1711">
                  <c:v>57.2</c:v>
                </c:pt>
                <c:pt idx="1712">
                  <c:v>57.2</c:v>
                </c:pt>
                <c:pt idx="1713">
                  <c:v>57.25</c:v>
                </c:pt>
                <c:pt idx="1714">
                  <c:v>57.3</c:v>
                </c:pt>
                <c:pt idx="1715">
                  <c:v>57.3</c:v>
                </c:pt>
                <c:pt idx="1716">
                  <c:v>57.35</c:v>
                </c:pt>
                <c:pt idx="1717">
                  <c:v>57.4</c:v>
                </c:pt>
                <c:pt idx="1718">
                  <c:v>57.4</c:v>
                </c:pt>
                <c:pt idx="1719">
                  <c:v>57.45</c:v>
                </c:pt>
                <c:pt idx="1720">
                  <c:v>57.5</c:v>
                </c:pt>
                <c:pt idx="1721">
                  <c:v>57.5</c:v>
                </c:pt>
                <c:pt idx="1722">
                  <c:v>57.55</c:v>
                </c:pt>
                <c:pt idx="1723">
                  <c:v>57.6</c:v>
                </c:pt>
                <c:pt idx="1724">
                  <c:v>57.6</c:v>
                </c:pt>
                <c:pt idx="1725">
                  <c:v>57.65</c:v>
                </c:pt>
                <c:pt idx="1726">
                  <c:v>57.7</c:v>
                </c:pt>
                <c:pt idx="1727">
                  <c:v>57.7</c:v>
                </c:pt>
                <c:pt idx="1728">
                  <c:v>57.75</c:v>
                </c:pt>
                <c:pt idx="1729">
                  <c:v>57.8</c:v>
                </c:pt>
                <c:pt idx="1730">
                  <c:v>57.8</c:v>
                </c:pt>
                <c:pt idx="1731">
                  <c:v>57.85</c:v>
                </c:pt>
                <c:pt idx="1732">
                  <c:v>57.9</c:v>
                </c:pt>
                <c:pt idx="1733">
                  <c:v>57.9</c:v>
                </c:pt>
                <c:pt idx="1734">
                  <c:v>57.95</c:v>
                </c:pt>
                <c:pt idx="1735">
                  <c:v>58</c:v>
                </c:pt>
                <c:pt idx="1736">
                  <c:v>58</c:v>
                </c:pt>
                <c:pt idx="1737">
                  <c:v>58.05</c:v>
                </c:pt>
                <c:pt idx="1738">
                  <c:v>58.1</c:v>
                </c:pt>
                <c:pt idx="1739">
                  <c:v>58.1</c:v>
                </c:pt>
                <c:pt idx="1740">
                  <c:v>58.15</c:v>
                </c:pt>
                <c:pt idx="1741">
                  <c:v>58.2</c:v>
                </c:pt>
                <c:pt idx="1742">
                  <c:v>58.2</c:v>
                </c:pt>
                <c:pt idx="1743">
                  <c:v>58.25</c:v>
                </c:pt>
                <c:pt idx="1744">
                  <c:v>58.3</c:v>
                </c:pt>
                <c:pt idx="1745">
                  <c:v>58.3</c:v>
                </c:pt>
                <c:pt idx="1746">
                  <c:v>58.35</c:v>
                </c:pt>
                <c:pt idx="1747">
                  <c:v>58.4</c:v>
                </c:pt>
                <c:pt idx="1748">
                  <c:v>58.4</c:v>
                </c:pt>
                <c:pt idx="1749">
                  <c:v>58.45</c:v>
                </c:pt>
                <c:pt idx="1750">
                  <c:v>58.5</c:v>
                </c:pt>
                <c:pt idx="1751">
                  <c:v>58.5</c:v>
                </c:pt>
                <c:pt idx="1752">
                  <c:v>58.55</c:v>
                </c:pt>
                <c:pt idx="1753">
                  <c:v>58.6</c:v>
                </c:pt>
                <c:pt idx="1754">
                  <c:v>58.6</c:v>
                </c:pt>
                <c:pt idx="1755">
                  <c:v>58.65</c:v>
                </c:pt>
                <c:pt idx="1756">
                  <c:v>58.7</c:v>
                </c:pt>
                <c:pt idx="1757">
                  <c:v>58.7</c:v>
                </c:pt>
                <c:pt idx="1758">
                  <c:v>58.75</c:v>
                </c:pt>
                <c:pt idx="1759">
                  <c:v>58.8</c:v>
                </c:pt>
                <c:pt idx="1760">
                  <c:v>58.8</c:v>
                </c:pt>
                <c:pt idx="1761">
                  <c:v>58.85</c:v>
                </c:pt>
                <c:pt idx="1762">
                  <c:v>58.9</c:v>
                </c:pt>
                <c:pt idx="1763">
                  <c:v>58.9</c:v>
                </c:pt>
                <c:pt idx="1764">
                  <c:v>58.95</c:v>
                </c:pt>
                <c:pt idx="1765">
                  <c:v>59</c:v>
                </c:pt>
                <c:pt idx="1766">
                  <c:v>59</c:v>
                </c:pt>
                <c:pt idx="1767">
                  <c:v>59.05</c:v>
                </c:pt>
                <c:pt idx="1768">
                  <c:v>59.1</c:v>
                </c:pt>
                <c:pt idx="1769">
                  <c:v>59.1</c:v>
                </c:pt>
                <c:pt idx="1770">
                  <c:v>59.15</c:v>
                </c:pt>
                <c:pt idx="1771">
                  <c:v>59.2</c:v>
                </c:pt>
                <c:pt idx="1772">
                  <c:v>59.2</c:v>
                </c:pt>
                <c:pt idx="1773">
                  <c:v>59.25</c:v>
                </c:pt>
                <c:pt idx="1774">
                  <c:v>59.3</c:v>
                </c:pt>
                <c:pt idx="1775">
                  <c:v>59.3</c:v>
                </c:pt>
                <c:pt idx="1776">
                  <c:v>59.35</c:v>
                </c:pt>
                <c:pt idx="1777">
                  <c:v>59.4</c:v>
                </c:pt>
              </c:numCache>
            </c:numRef>
          </c:cat>
          <c:val>
            <c:numRef>
              <c:f>常压_a_20!$J$4:$J$1781</c:f>
              <c:numCache>
                <c:formatCode>General</c:formatCode>
                <c:ptCount val="1778"/>
                <c:pt idx="0">
                  <c:v>-6.5</c:v>
                </c:pt>
                <c:pt idx="1">
                  <c:v>-6.40000000000001</c:v>
                </c:pt>
                <c:pt idx="2">
                  <c:v>-6.30000000000001</c:v>
                </c:pt>
                <c:pt idx="3">
                  <c:v>-6.19999999999999</c:v>
                </c:pt>
                <c:pt idx="4">
                  <c:v>-6.09999999999999</c:v>
                </c:pt>
                <c:pt idx="5">
                  <c:v>-6</c:v>
                </c:pt>
                <c:pt idx="6">
                  <c:v>-5.80000000000001</c:v>
                </c:pt>
                <c:pt idx="7">
                  <c:v>-5.40000000000001</c:v>
                </c:pt>
                <c:pt idx="8">
                  <c:v>-5.19999999999999</c:v>
                </c:pt>
                <c:pt idx="9">
                  <c:v>-5.09999999999999</c:v>
                </c:pt>
                <c:pt idx="10">
                  <c:v>-5</c:v>
                </c:pt>
                <c:pt idx="11">
                  <c:v>-4.5</c:v>
                </c:pt>
                <c:pt idx="12">
                  <c:v>-4.30000000000001</c:v>
                </c:pt>
                <c:pt idx="13">
                  <c:v>-4.19999999999999</c:v>
                </c:pt>
                <c:pt idx="14">
                  <c:v>-4.19999999999999</c:v>
                </c:pt>
                <c:pt idx="15">
                  <c:v>-4.19999999999999</c:v>
                </c:pt>
                <c:pt idx="16">
                  <c:v>-4.19999999999999</c:v>
                </c:pt>
                <c:pt idx="17">
                  <c:v>-4.19999999999999</c:v>
                </c:pt>
                <c:pt idx="18">
                  <c:v>-4.19999999999999</c:v>
                </c:pt>
                <c:pt idx="19">
                  <c:v>-4.30000000000001</c:v>
                </c:pt>
                <c:pt idx="20">
                  <c:v>-4.40000000000001</c:v>
                </c:pt>
                <c:pt idx="21">
                  <c:v>-4.5</c:v>
                </c:pt>
                <c:pt idx="22">
                  <c:v>-4.5</c:v>
                </c:pt>
                <c:pt idx="23">
                  <c:v>-4.5</c:v>
                </c:pt>
                <c:pt idx="24">
                  <c:v>-4.59999999999999</c:v>
                </c:pt>
                <c:pt idx="25">
                  <c:v>-4.69999999999999</c:v>
                </c:pt>
                <c:pt idx="26">
                  <c:v>-4.80000000000001</c:v>
                </c:pt>
                <c:pt idx="27">
                  <c:v>-4.80000000000001</c:v>
                </c:pt>
                <c:pt idx="28">
                  <c:v>-4.90000000000001</c:v>
                </c:pt>
                <c:pt idx="29">
                  <c:v>-5</c:v>
                </c:pt>
                <c:pt idx="30">
                  <c:v>-5.09999999999999</c:v>
                </c:pt>
                <c:pt idx="31">
                  <c:v>-5.59999999999999</c:v>
                </c:pt>
                <c:pt idx="32">
                  <c:v>-5.80000000000001</c:v>
                </c:pt>
                <c:pt idx="33">
                  <c:v>-5.90000000000001</c:v>
                </c:pt>
                <c:pt idx="34">
                  <c:v>-6</c:v>
                </c:pt>
                <c:pt idx="35">
                  <c:v>-6.40000000000001</c:v>
                </c:pt>
                <c:pt idx="36">
                  <c:v>-6.5</c:v>
                </c:pt>
                <c:pt idx="37">
                  <c:v>-6.59999999999999</c:v>
                </c:pt>
                <c:pt idx="38">
                  <c:v>-6.69999999999999</c:v>
                </c:pt>
                <c:pt idx="39">
                  <c:v>-6.59999999999999</c:v>
                </c:pt>
                <c:pt idx="40">
                  <c:v>-6.59999999999999</c:v>
                </c:pt>
                <c:pt idx="41">
                  <c:v>-6.59999999999999</c:v>
                </c:pt>
                <c:pt idx="42">
                  <c:v>-6.5</c:v>
                </c:pt>
                <c:pt idx="43">
                  <c:v>-6.5</c:v>
                </c:pt>
                <c:pt idx="44">
                  <c:v>-6.40000000000001</c:v>
                </c:pt>
                <c:pt idx="45">
                  <c:v>-6.40000000000001</c:v>
                </c:pt>
                <c:pt idx="46">
                  <c:v>-6.30000000000001</c:v>
                </c:pt>
                <c:pt idx="47">
                  <c:v>-6.30000000000001</c:v>
                </c:pt>
                <c:pt idx="48">
                  <c:v>-6.19999999999999</c:v>
                </c:pt>
                <c:pt idx="49">
                  <c:v>-6.09999999999999</c:v>
                </c:pt>
                <c:pt idx="50">
                  <c:v>-6</c:v>
                </c:pt>
                <c:pt idx="51">
                  <c:v>-5.90000000000001</c:v>
                </c:pt>
                <c:pt idx="52">
                  <c:v>-5.40000000000001</c:v>
                </c:pt>
                <c:pt idx="53">
                  <c:v>-5.19999999999999</c:v>
                </c:pt>
                <c:pt idx="54">
                  <c:v>-5.09999999999999</c:v>
                </c:pt>
                <c:pt idx="55">
                  <c:v>-5</c:v>
                </c:pt>
                <c:pt idx="56">
                  <c:v>-5</c:v>
                </c:pt>
                <c:pt idx="57">
                  <c:v>-4.5</c:v>
                </c:pt>
                <c:pt idx="58">
                  <c:v>-4.30000000000001</c:v>
                </c:pt>
                <c:pt idx="59">
                  <c:v>-4.19999999999999</c:v>
                </c:pt>
                <c:pt idx="60">
                  <c:v>-4.09999999999999</c:v>
                </c:pt>
                <c:pt idx="61">
                  <c:v>-4.19999999999999</c:v>
                </c:pt>
                <c:pt idx="62">
                  <c:v>-4.19999999999999</c:v>
                </c:pt>
                <c:pt idx="63">
                  <c:v>-4.30000000000001</c:v>
                </c:pt>
                <c:pt idx="64">
                  <c:v>-4.30000000000001</c:v>
                </c:pt>
                <c:pt idx="65">
                  <c:v>-4.30000000000001</c:v>
                </c:pt>
                <c:pt idx="66">
                  <c:v>-4.40000000000001</c:v>
                </c:pt>
                <c:pt idx="67">
                  <c:v>-4.5</c:v>
                </c:pt>
                <c:pt idx="68">
                  <c:v>-4.5</c:v>
                </c:pt>
                <c:pt idx="69">
                  <c:v>-4.59999999999999</c:v>
                </c:pt>
                <c:pt idx="70">
                  <c:v>-4.69999999999999</c:v>
                </c:pt>
                <c:pt idx="71">
                  <c:v>-4.69999999999999</c:v>
                </c:pt>
                <c:pt idx="72">
                  <c:v>-4.80000000000001</c:v>
                </c:pt>
                <c:pt idx="73">
                  <c:v>-4.90000000000001</c:v>
                </c:pt>
                <c:pt idx="74">
                  <c:v>-5</c:v>
                </c:pt>
                <c:pt idx="75">
                  <c:v>-5</c:v>
                </c:pt>
                <c:pt idx="76">
                  <c:v>-5.09999999999999</c:v>
                </c:pt>
                <c:pt idx="77">
                  <c:v>-5.59999999999999</c:v>
                </c:pt>
                <c:pt idx="78">
                  <c:v>-5.80000000000001</c:v>
                </c:pt>
                <c:pt idx="79">
                  <c:v>-5.90000000000001</c:v>
                </c:pt>
                <c:pt idx="80">
                  <c:v>-6</c:v>
                </c:pt>
                <c:pt idx="81">
                  <c:v>-6.09999999999999</c:v>
                </c:pt>
                <c:pt idx="82">
                  <c:v>-6.40000000000001</c:v>
                </c:pt>
                <c:pt idx="83">
                  <c:v>-6.5</c:v>
                </c:pt>
                <c:pt idx="84">
                  <c:v>-6.5</c:v>
                </c:pt>
                <c:pt idx="85">
                  <c:v>-6.59999999999999</c:v>
                </c:pt>
                <c:pt idx="86">
                  <c:v>-6.5</c:v>
                </c:pt>
                <c:pt idx="87">
                  <c:v>-6.5</c:v>
                </c:pt>
                <c:pt idx="88">
                  <c:v>-6.5</c:v>
                </c:pt>
                <c:pt idx="89">
                  <c:v>-6.5</c:v>
                </c:pt>
                <c:pt idx="90">
                  <c:v>-6.40000000000001</c:v>
                </c:pt>
                <c:pt idx="91">
                  <c:v>-6.30000000000001</c:v>
                </c:pt>
                <c:pt idx="92">
                  <c:v>-6.30000000000001</c:v>
                </c:pt>
                <c:pt idx="93">
                  <c:v>-6.19999999999999</c:v>
                </c:pt>
                <c:pt idx="94">
                  <c:v>-6.09999999999999</c:v>
                </c:pt>
                <c:pt idx="95">
                  <c:v>-6</c:v>
                </c:pt>
                <c:pt idx="96">
                  <c:v>-6</c:v>
                </c:pt>
                <c:pt idx="97">
                  <c:v>-5.5</c:v>
                </c:pt>
                <c:pt idx="98">
                  <c:v>-5.19999999999999</c:v>
                </c:pt>
                <c:pt idx="99">
                  <c:v>-5.09999999999999</c:v>
                </c:pt>
                <c:pt idx="100">
                  <c:v>-4.90000000000001</c:v>
                </c:pt>
                <c:pt idx="101">
                  <c:v>-4.5</c:v>
                </c:pt>
                <c:pt idx="102">
                  <c:v>-4.19999999999999</c:v>
                </c:pt>
                <c:pt idx="103">
                  <c:v>-4.09999999999999</c:v>
                </c:pt>
                <c:pt idx="104">
                  <c:v>-4.09999999999999</c:v>
                </c:pt>
                <c:pt idx="105">
                  <c:v>-4.09999999999999</c:v>
                </c:pt>
                <c:pt idx="106">
                  <c:v>-4.09999999999999</c:v>
                </c:pt>
                <c:pt idx="107">
                  <c:v>-4.09999999999999</c:v>
                </c:pt>
                <c:pt idx="108">
                  <c:v>-4.19999999999999</c:v>
                </c:pt>
                <c:pt idx="109">
                  <c:v>-4.30000000000001</c:v>
                </c:pt>
                <c:pt idx="110">
                  <c:v>-4.30000000000001</c:v>
                </c:pt>
                <c:pt idx="111">
                  <c:v>-4.40000000000001</c:v>
                </c:pt>
                <c:pt idx="112">
                  <c:v>-4.40000000000001</c:v>
                </c:pt>
                <c:pt idx="113">
                  <c:v>-4.5</c:v>
                </c:pt>
                <c:pt idx="114">
                  <c:v>-4.59999999999999</c:v>
                </c:pt>
                <c:pt idx="115">
                  <c:v>-4.69999999999999</c:v>
                </c:pt>
                <c:pt idx="116">
                  <c:v>-4.69999999999999</c:v>
                </c:pt>
                <c:pt idx="117">
                  <c:v>-4.80000000000001</c:v>
                </c:pt>
                <c:pt idx="118">
                  <c:v>-4.80000000000001</c:v>
                </c:pt>
                <c:pt idx="119">
                  <c:v>-4.90000000000001</c:v>
                </c:pt>
                <c:pt idx="120">
                  <c:v>-5</c:v>
                </c:pt>
                <c:pt idx="121">
                  <c:v>-5</c:v>
                </c:pt>
                <c:pt idx="122">
                  <c:v>-5.5</c:v>
                </c:pt>
                <c:pt idx="123">
                  <c:v>-5.80000000000001</c:v>
                </c:pt>
                <c:pt idx="124">
                  <c:v>-5.90000000000001</c:v>
                </c:pt>
                <c:pt idx="125">
                  <c:v>-6</c:v>
                </c:pt>
                <c:pt idx="126">
                  <c:v>-6</c:v>
                </c:pt>
                <c:pt idx="127">
                  <c:v>-6.40000000000001</c:v>
                </c:pt>
                <c:pt idx="128">
                  <c:v>-6.5</c:v>
                </c:pt>
                <c:pt idx="129">
                  <c:v>-6.59999999999999</c:v>
                </c:pt>
                <c:pt idx="130">
                  <c:v>-6.59999999999999</c:v>
                </c:pt>
                <c:pt idx="131">
                  <c:v>-6.59999999999999</c:v>
                </c:pt>
                <c:pt idx="132">
                  <c:v>-6.5</c:v>
                </c:pt>
                <c:pt idx="133">
                  <c:v>-6.5</c:v>
                </c:pt>
                <c:pt idx="134">
                  <c:v>-6.5</c:v>
                </c:pt>
                <c:pt idx="135">
                  <c:v>-6.40000000000001</c:v>
                </c:pt>
                <c:pt idx="136">
                  <c:v>-6.30000000000001</c:v>
                </c:pt>
                <c:pt idx="137">
                  <c:v>-6.30000000000001</c:v>
                </c:pt>
                <c:pt idx="138">
                  <c:v>-6.19999999999999</c:v>
                </c:pt>
                <c:pt idx="139">
                  <c:v>-6.09999999999999</c:v>
                </c:pt>
                <c:pt idx="140">
                  <c:v>-6</c:v>
                </c:pt>
                <c:pt idx="141">
                  <c:v>-5.90000000000001</c:v>
                </c:pt>
                <c:pt idx="142">
                  <c:v>-5.5</c:v>
                </c:pt>
                <c:pt idx="143">
                  <c:v>-5.19999999999999</c:v>
                </c:pt>
                <c:pt idx="144">
                  <c:v>-5.09999999999999</c:v>
                </c:pt>
                <c:pt idx="145">
                  <c:v>-5</c:v>
                </c:pt>
                <c:pt idx="146">
                  <c:v>-4.90000000000001</c:v>
                </c:pt>
                <c:pt idx="147">
                  <c:v>-4.5</c:v>
                </c:pt>
                <c:pt idx="148">
                  <c:v>-4.30000000000001</c:v>
                </c:pt>
                <c:pt idx="149">
                  <c:v>-4.19999999999999</c:v>
                </c:pt>
                <c:pt idx="150">
                  <c:v>-4.09999999999999</c:v>
                </c:pt>
                <c:pt idx="151">
                  <c:v>-4.09999999999999</c:v>
                </c:pt>
                <c:pt idx="152">
                  <c:v>-4.09999999999999</c:v>
                </c:pt>
                <c:pt idx="153">
                  <c:v>-4.19999999999999</c:v>
                </c:pt>
                <c:pt idx="154">
                  <c:v>-4.19999999999999</c:v>
                </c:pt>
                <c:pt idx="155">
                  <c:v>-4.30000000000001</c:v>
                </c:pt>
                <c:pt idx="156">
                  <c:v>-4.30000000000001</c:v>
                </c:pt>
                <c:pt idx="157">
                  <c:v>-4.40000000000001</c:v>
                </c:pt>
                <c:pt idx="158">
                  <c:v>-4.5</c:v>
                </c:pt>
                <c:pt idx="159">
                  <c:v>-4.5</c:v>
                </c:pt>
                <c:pt idx="160">
                  <c:v>-4.59999999999999</c:v>
                </c:pt>
                <c:pt idx="161">
                  <c:v>-4.69999999999999</c:v>
                </c:pt>
                <c:pt idx="162">
                  <c:v>-4.80000000000001</c:v>
                </c:pt>
                <c:pt idx="163">
                  <c:v>-4.80000000000001</c:v>
                </c:pt>
                <c:pt idx="164">
                  <c:v>-4.90000000000001</c:v>
                </c:pt>
                <c:pt idx="165">
                  <c:v>-4.90000000000001</c:v>
                </c:pt>
                <c:pt idx="166">
                  <c:v>-4.90000000000001</c:v>
                </c:pt>
                <c:pt idx="167">
                  <c:v>-4.90000000000001</c:v>
                </c:pt>
                <c:pt idx="168">
                  <c:v>-4.90000000000001</c:v>
                </c:pt>
                <c:pt idx="169">
                  <c:v>-4.90000000000001</c:v>
                </c:pt>
                <c:pt idx="170">
                  <c:v>-4.80000000000001</c:v>
                </c:pt>
                <c:pt idx="171">
                  <c:v>-4.80000000000001</c:v>
                </c:pt>
                <c:pt idx="172">
                  <c:v>-4.69999999999999</c:v>
                </c:pt>
                <c:pt idx="173">
                  <c:v>-4.69999999999999</c:v>
                </c:pt>
                <c:pt idx="174">
                  <c:v>-4.59999999999999</c:v>
                </c:pt>
                <c:pt idx="175">
                  <c:v>-4.5</c:v>
                </c:pt>
                <c:pt idx="176">
                  <c:v>-4.5</c:v>
                </c:pt>
                <c:pt idx="177">
                  <c:v>-4.40000000000001</c:v>
                </c:pt>
                <c:pt idx="178">
                  <c:v>-4.30000000000001</c:v>
                </c:pt>
                <c:pt idx="179">
                  <c:v>-4.19999999999999</c:v>
                </c:pt>
                <c:pt idx="180">
                  <c:v>-4.09999999999999</c:v>
                </c:pt>
                <c:pt idx="181">
                  <c:v>-4.09999999999999</c:v>
                </c:pt>
                <c:pt idx="182">
                  <c:v>-4</c:v>
                </c:pt>
                <c:pt idx="183">
                  <c:v>-3.40000000000001</c:v>
                </c:pt>
                <c:pt idx="184">
                  <c:v>-3.19999999999999</c:v>
                </c:pt>
                <c:pt idx="185">
                  <c:v>-3.09999999999999</c:v>
                </c:pt>
                <c:pt idx="186">
                  <c:v>-2.90000000000001</c:v>
                </c:pt>
                <c:pt idx="187">
                  <c:v>-2.5</c:v>
                </c:pt>
                <c:pt idx="188">
                  <c:v>-2.30000000000001</c:v>
                </c:pt>
                <c:pt idx="189">
                  <c:v>-2.19999999999999</c:v>
                </c:pt>
                <c:pt idx="190">
                  <c:v>-2.19999999999999</c:v>
                </c:pt>
                <c:pt idx="191">
                  <c:v>-2.30000000000001</c:v>
                </c:pt>
                <c:pt idx="192">
                  <c:v>-2.30000000000001</c:v>
                </c:pt>
                <c:pt idx="193">
                  <c:v>-2.40000000000001</c:v>
                </c:pt>
                <c:pt idx="194">
                  <c:v>-2.5</c:v>
                </c:pt>
                <c:pt idx="195">
                  <c:v>-2.59999999999999</c:v>
                </c:pt>
                <c:pt idx="196">
                  <c:v>-2.69999999999999</c:v>
                </c:pt>
                <c:pt idx="197">
                  <c:v>-2.80000000000001</c:v>
                </c:pt>
                <c:pt idx="198">
                  <c:v>-2.90000000000001</c:v>
                </c:pt>
                <c:pt idx="199">
                  <c:v>-3</c:v>
                </c:pt>
                <c:pt idx="200">
                  <c:v>-3.30000000000001</c:v>
                </c:pt>
                <c:pt idx="201">
                  <c:v>-3.90000000000001</c:v>
                </c:pt>
                <c:pt idx="202">
                  <c:v>-4.19999999999999</c:v>
                </c:pt>
                <c:pt idx="203">
                  <c:v>-4.69999999999999</c:v>
                </c:pt>
                <c:pt idx="204">
                  <c:v>-5</c:v>
                </c:pt>
                <c:pt idx="205">
                  <c:v>-5.30000000000001</c:v>
                </c:pt>
                <c:pt idx="206">
                  <c:v>-5.80000000000001</c:v>
                </c:pt>
                <c:pt idx="207">
                  <c:v>-6.09999999999999</c:v>
                </c:pt>
                <c:pt idx="208">
                  <c:v>-6.5</c:v>
                </c:pt>
                <c:pt idx="209">
                  <c:v>-6.80000000000001</c:v>
                </c:pt>
                <c:pt idx="210">
                  <c:v>-6.90000000000001</c:v>
                </c:pt>
                <c:pt idx="211">
                  <c:v>-6.90000000000001</c:v>
                </c:pt>
                <c:pt idx="212">
                  <c:v>-6.80000000000001</c:v>
                </c:pt>
                <c:pt idx="213">
                  <c:v>-6.80000000000001</c:v>
                </c:pt>
                <c:pt idx="214">
                  <c:v>-6.69999999999999</c:v>
                </c:pt>
                <c:pt idx="215">
                  <c:v>-6.59999999999999</c:v>
                </c:pt>
                <c:pt idx="216">
                  <c:v>-6.5</c:v>
                </c:pt>
                <c:pt idx="217">
                  <c:v>-6.40000000000001</c:v>
                </c:pt>
                <c:pt idx="218">
                  <c:v>-6.30000000000001</c:v>
                </c:pt>
                <c:pt idx="219">
                  <c:v>-6.09999999999999</c:v>
                </c:pt>
                <c:pt idx="220">
                  <c:v>-5.80000000000001</c:v>
                </c:pt>
                <c:pt idx="221">
                  <c:v>-5.19999999999999</c:v>
                </c:pt>
                <c:pt idx="222">
                  <c:v>-4.80000000000001</c:v>
                </c:pt>
                <c:pt idx="223">
                  <c:v>-4.19999999999999</c:v>
                </c:pt>
                <c:pt idx="224">
                  <c:v>-3.80000000000001</c:v>
                </c:pt>
                <c:pt idx="225">
                  <c:v>-3</c:v>
                </c:pt>
                <c:pt idx="226">
                  <c:v>-2.19999999999999</c:v>
                </c:pt>
                <c:pt idx="227">
                  <c:v>-1.5</c:v>
                </c:pt>
                <c:pt idx="228">
                  <c:v>-0.900000000000006</c:v>
                </c:pt>
                <c:pt idx="229">
                  <c:v>-0.300000000000011</c:v>
                </c:pt>
                <c:pt idx="230">
                  <c:v>0.0999999999999943</c:v>
                </c:pt>
                <c:pt idx="231">
                  <c:v>0.699999999999989</c:v>
                </c:pt>
                <c:pt idx="232">
                  <c:v>0.900000000000006</c:v>
                </c:pt>
                <c:pt idx="233">
                  <c:v>1.09999999999999</c:v>
                </c:pt>
                <c:pt idx="234">
                  <c:v>1.59999999999999</c:v>
                </c:pt>
                <c:pt idx="235">
                  <c:v>1.80000000000001</c:v>
                </c:pt>
                <c:pt idx="236">
                  <c:v>1.80000000000001</c:v>
                </c:pt>
                <c:pt idx="237">
                  <c:v>1.69999999999999</c:v>
                </c:pt>
                <c:pt idx="238">
                  <c:v>1.5</c:v>
                </c:pt>
                <c:pt idx="239">
                  <c:v>1.5</c:v>
                </c:pt>
                <c:pt idx="240">
                  <c:v>1.30000000000001</c:v>
                </c:pt>
                <c:pt idx="241">
                  <c:v>1.19999999999999</c:v>
                </c:pt>
                <c:pt idx="242">
                  <c:v>0.900000000000006</c:v>
                </c:pt>
                <c:pt idx="243">
                  <c:v>0.199999999999989</c:v>
                </c:pt>
                <c:pt idx="244">
                  <c:v>-0.300000000000011</c:v>
                </c:pt>
                <c:pt idx="245">
                  <c:v>-1.30000000000001</c:v>
                </c:pt>
                <c:pt idx="246">
                  <c:v>-2.19999999999999</c:v>
                </c:pt>
                <c:pt idx="247">
                  <c:v>-3.19999999999999</c:v>
                </c:pt>
                <c:pt idx="248">
                  <c:v>-4.09999999999999</c:v>
                </c:pt>
                <c:pt idx="249">
                  <c:v>-5</c:v>
                </c:pt>
                <c:pt idx="250">
                  <c:v>-5.90000000000001</c:v>
                </c:pt>
                <c:pt idx="251">
                  <c:v>-6.40000000000001</c:v>
                </c:pt>
                <c:pt idx="252">
                  <c:v>-7.19999999999999</c:v>
                </c:pt>
                <c:pt idx="253">
                  <c:v>-8</c:v>
                </c:pt>
                <c:pt idx="254">
                  <c:v>-8.69999999999999</c:v>
                </c:pt>
                <c:pt idx="255">
                  <c:v>-8.90000000000001</c:v>
                </c:pt>
                <c:pt idx="256">
                  <c:v>-9.09999999999999</c:v>
                </c:pt>
                <c:pt idx="257">
                  <c:v>-9.59999999999999</c:v>
                </c:pt>
                <c:pt idx="258">
                  <c:v>-9.69999999999999</c:v>
                </c:pt>
                <c:pt idx="259">
                  <c:v>-9.69999999999999</c:v>
                </c:pt>
                <c:pt idx="260">
                  <c:v>-9.69999999999999</c:v>
                </c:pt>
                <c:pt idx="261">
                  <c:v>-9.59999999999999</c:v>
                </c:pt>
                <c:pt idx="262">
                  <c:v>-9.40000000000001</c:v>
                </c:pt>
                <c:pt idx="263">
                  <c:v>-9.30000000000001</c:v>
                </c:pt>
                <c:pt idx="264">
                  <c:v>-9.09999999999999</c:v>
                </c:pt>
                <c:pt idx="265">
                  <c:v>-8.80000000000001</c:v>
                </c:pt>
                <c:pt idx="266">
                  <c:v>-7.90000000000001</c:v>
                </c:pt>
                <c:pt idx="267">
                  <c:v>-6.90000000000001</c:v>
                </c:pt>
                <c:pt idx="268">
                  <c:v>-6.09999999999999</c:v>
                </c:pt>
                <c:pt idx="269">
                  <c:v>-5.40000000000001</c:v>
                </c:pt>
                <c:pt idx="270">
                  <c:v>-4.59999999999999</c:v>
                </c:pt>
                <c:pt idx="271">
                  <c:v>-3.59999999999999</c:v>
                </c:pt>
                <c:pt idx="272">
                  <c:v>-2.19999999999999</c:v>
                </c:pt>
                <c:pt idx="273">
                  <c:v>-1.19999999999999</c:v>
                </c:pt>
                <c:pt idx="274">
                  <c:v>-0.300000000000011</c:v>
                </c:pt>
                <c:pt idx="275">
                  <c:v>0.400000000000006</c:v>
                </c:pt>
                <c:pt idx="276">
                  <c:v>1.40000000000001</c:v>
                </c:pt>
                <c:pt idx="277">
                  <c:v>2.19999999999999</c:v>
                </c:pt>
                <c:pt idx="278">
                  <c:v>2.80000000000001</c:v>
                </c:pt>
                <c:pt idx="279">
                  <c:v>3.19999999999999</c:v>
                </c:pt>
                <c:pt idx="280">
                  <c:v>3.69999999999999</c:v>
                </c:pt>
                <c:pt idx="281">
                  <c:v>3.80000000000001</c:v>
                </c:pt>
                <c:pt idx="282">
                  <c:v>3.90000000000001</c:v>
                </c:pt>
                <c:pt idx="283">
                  <c:v>3.80000000000001</c:v>
                </c:pt>
                <c:pt idx="284">
                  <c:v>3.69999999999999</c:v>
                </c:pt>
                <c:pt idx="285">
                  <c:v>3.59999999999999</c:v>
                </c:pt>
                <c:pt idx="286">
                  <c:v>3.40000000000001</c:v>
                </c:pt>
                <c:pt idx="287">
                  <c:v>3.30000000000001</c:v>
                </c:pt>
                <c:pt idx="288">
                  <c:v>3</c:v>
                </c:pt>
                <c:pt idx="289">
                  <c:v>2.09999999999999</c:v>
                </c:pt>
                <c:pt idx="290">
                  <c:v>1.30000000000001</c:v>
                </c:pt>
                <c:pt idx="291">
                  <c:v>0.300000000000011</c:v>
                </c:pt>
                <c:pt idx="292">
                  <c:v>-0.599999999999994</c:v>
                </c:pt>
                <c:pt idx="293">
                  <c:v>-1.69999999999999</c:v>
                </c:pt>
                <c:pt idx="294">
                  <c:v>-2.80000000000001</c:v>
                </c:pt>
                <c:pt idx="295">
                  <c:v>-3.90000000000001</c:v>
                </c:pt>
                <c:pt idx="296">
                  <c:v>-5.19999999999999</c:v>
                </c:pt>
                <c:pt idx="297">
                  <c:v>-6.30000000000001</c:v>
                </c:pt>
                <c:pt idx="298">
                  <c:v>-7.19999999999999</c:v>
                </c:pt>
                <c:pt idx="299">
                  <c:v>-8.30000000000001</c:v>
                </c:pt>
                <c:pt idx="300">
                  <c:v>-9.19999999999999</c:v>
                </c:pt>
                <c:pt idx="301">
                  <c:v>-10</c:v>
                </c:pt>
                <c:pt idx="302">
                  <c:v>-10.5</c:v>
                </c:pt>
                <c:pt idx="303">
                  <c:v>-11</c:v>
                </c:pt>
                <c:pt idx="304">
                  <c:v>-11.1</c:v>
                </c:pt>
                <c:pt idx="305">
                  <c:v>-11.6</c:v>
                </c:pt>
                <c:pt idx="306">
                  <c:v>-11.6</c:v>
                </c:pt>
                <c:pt idx="307">
                  <c:v>-11.6</c:v>
                </c:pt>
                <c:pt idx="308">
                  <c:v>-11.4</c:v>
                </c:pt>
                <c:pt idx="309">
                  <c:v>-11.3</c:v>
                </c:pt>
                <c:pt idx="310">
                  <c:v>-11.1</c:v>
                </c:pt>
                <c:pt idx="311">
                  <c:v>-10.7</c:v>
                </c:pt>
                <c:pt idx="312">
                  <c:v>-9.90000000000001</c:v>
                </c:pt>
                <c:pt idx="313">
                  <c:v>-9</c:v>
                </c:pt>
                <c:pt idx="314">
                  <c:v>-7.69999999999999</c:v>
                </c:pt>
                <c:pt idx="315">
                  <c:v>-6.5</c:v>
                </c:pt>
                <c:pt idx="316">
                  <c:v>-5.5</c:v>
                </c:pt>
                <c:pt idx="317">
                  <c:v>-4.40000000000001</c:v>
                </c:pt>
                <c:pt idx="318">
                  <c:v>-2.90000000000001</c:v>
                </c:pt>
                <c:pt idx="319">
                  <c:v>-1.40000000000001</c:v>
                </c:pt>
                <c:pt idx="320">
                  <c:v>-0.400000000000006</c:v>
                </c:pt>
                <c:pt idx="321">
                  <c:v>0.599999999999994</c:v>
                </c:pt>
                <c:pt idx="322">
                  <c:v>1.69999999999999</c:v>
                </c:pt>
                <c:pt idx="323">
                  <c:v>2.69999999999999</c:v>
                </c:pt>
                <c:pt idx="324">
                  <c:v>3.5</c:v>
                </c:pt>
                <c:pt idx="325">
                  <c:v>4.40000000000001</c:v>
                </c:pt>
                <c:pt idx="326">
                  <c:v>5.19999999999999</c:v>
                </c:pt>
                <c:pt idx="327">
                  <c:v>5.69999999999999</c:v>
                </c:pt>
                <c:pt idx="328">
                  <c:v>5.80000000000001</c:v>
                </c:pt>
                <c:pt idx="329">
                  <c:v>5.80000000000001</c:v>
                </c:pt>
                <c:pt idx="330">
                  <c:v>5.80000000000001</c:v>
                </c:pt>
                <c:pt idx="331">
                  <c:v>5.69999999999999</c:v>
                </c:pt>
                <c:pt idx="332">
                  <c:v>5.59999999999999</c:v>
                </c:pt>
                <c:pt idx="333">
                  <c:v>5.40000000000001</c:v>
                </c:pt>
                <c:pt idx="334">
                  <c:v>5.19999999999999</c:v>
                </c:pt>
                <c:pt idx="335">
                  <c:v>4.5</c:v>
                </c:pt>
                <c:pt idx="336">
                  <c:v>3.69999999999999</c:v>
                </c:pt>
                <c:pt idx="337">
                  <c:v>2.59999999999999</c:v>
                </c:pt>
                <c:pt idx="338">
                  <c:v>1.30000000000001</c:v>
                </c:pt>
                <c:pt idx="339">
                  <c:v>0</c:v>
                </c:pt>
                <c:pt idx="340">
                  <c:v>-1.40000000000001</c:v>
                </c:pt>
                <c:pt idx="341">
                  <c:v>-2.69999999999999</c:v>
                </c:pt>
                <c:pt idx="342">
                  <c:v>-4.09999999999999</c:v>
                </c:pt>
                <c:pt idx="343">
                  <c:v>-5.69999999999999</c:v>
                </c:pt>
                <c:pt idx="344">
                  <c:v>-6.69999999999999</c:v>
                </c:pt>
                <c:pt idx="345">
                  <c:v>-8</c:v>
                </c:pt>
                <c:pt idx="346">
                  <c:v>-9</c:v>
                </c:pt>
                <c:pt idx="347">
                  <c:v>-10.2</c:v>
                </c:pt>
                <c:pt idx="348">
                  <c:v>-11.1</c:v>
                </c:pt>
                <c:pt idx="349">
                  <c:v>-12</c:v>
                </c:pt>
                <c:pt idx="350">
                  <c:v>-12.5</c:v>
                </c:pt>
                <c:pt idx="351">
                  <c:v>-12.9</c:v>
                </c:pt>
                <c:pt idx="352">
                  <c:v>-12.9</c:v>
                </c:pt>
                <c:pt idx="353">
                  <c:v>-12.9</c:v>
                </c:pt>
                <c:pt idx="354">
                  <c:v>-12.8</c:v>
                </c:pt>
                <c:pt idx="355">
                  <c:v>-12.6</c:v>
                </c:pt>
                <c:pt idx="356">
                  <c:v>-12.4</c:v>
                </c:pt>
                <c:pt idx="357">
                  <c:v>-12.1</c:v>
                </c:pt>
                <c:pt idx="358">
                  <c:v>-11.5</c:v>
                </c:pt>
                <c:pt idx="359">
                  <c:v>-10.8</c:v>
                </c:pt>
                <c:pt idx="360">
                  <c:v>-9.59999999999999</c:v>
                </c:pt>
                <c:pt idx="361">
                  <c:v>-8.19999999999999</c:v>
                </c:pt>
                <c:pt idx="362">
                  <c:v>-7.09999999999999</c:v>
                </c:pt>
                <c:pt idx="363">
                  <c:v>-5.59999999999999</c:v>
                </c:pt>
                <c:pt idx="364">
                  <c:v>-4.30000000000001</c:v>
                </c:pt>
                <c:pt idx="365">
                  <c:v>-2.69999999999999</c:v>
                </c:pt>
                <c:pt idx="366">
                  <c:v>-1.19999999999999</c:v>
                </c:pt>
                <c:pt idx="367">
                  <c:v>0</c:v>
                </c:pt>
                <c:pt idx="368">
                  <c:v>1.19999999999999</c:v>
                </c:pt>
                <c:pt idx="369">
                  <c:v>2.80000000000001</c:v>
                </c:pt>
                <c:pt idx="370">
                  <c:v>3.80000000000001</c:v>
                </c:pt>
                <c:pt idx="371">
                  <c:v>4.69999999999999</c:v>
                </c:pt>
                <c:pt idx="372">
                  <c:v>5.40000000000001</c:v>
                </c:pt>
                <c:pt idx="373">
                  <c:v>6.09999999999999</c:v>
                </c:pt>
                <c:pt idx="374">
                  <c:v>6.80000000000001</c:v>
                </c:pt>
                <c:pt idx="375">
                  <c:v>7</c:v>
                </c:pt>
                <c:pt idx="376">
                  <c:v>6.90000000000001</c:v>
                </c:pt>
                <c:pt idx="377">
                  <c:v>6.80000000000001</c:v>
                </c:pt>
                <c:pt idx="378">
                  <c:v>6.69999999999999</c:v>
                </c:pt>
                <c:pt idx="379">
                  <c:v>6.59999999999999</c:v>
                </c:pt>
                <c:pt idx="380">
                  <c:v>6.40000000000001</c:v>
                </c:pt>
                <c:pt idx="381">
                  <c:v>6.09999999999999</c:v>
                </c:pt>
                <c:pt idx="382">
                  <c:v>5.5</c:v>
                </c:pt>
                <c:pt idx="383">
                  <c:v>4.59999999999999</c:v>
                </c:pt>
                <c:pt idx="384">
                  <c:v>3.30000000000001</c:v>
                </c:pt>
                <c:pt idx="385">
                  <c:v>2</c:v>
                </c:pt>
                <c:pt idx="386">
                  <c:v>0.400000000000006</c:v>
                </c:pt>
                <c:pt idx="387">
                  <c:v>-0.900000000000006</c:v>
                </c:pt>
                <c:pt idx="388">
                  <c:v>-2.5</c:v>
                </c:pt>
                <c:pt idx="389">
                  <c:v>-4.09999999999999</c:v>
                </c:pt>
                <c:pt idx="390">
                  <c:v>-5.59999999999999</c:v>
                </c:pt>
                <c:pt idx="391">
                  <c:v>-6.90000000000001</c:v>
                </c:pt>
                <c:pt idx="392">
                  <c:v>-8.30000000000001</c:v>
                </c:pt>
                <c:pt idx="393">
                  <c:v>-9.69999999999999</c:v>
                </c:pt>
                <c:pt idx="394">
                  <c:v>-10.8</c:v>
                </c:pt>
                <c:pt idx="395">
                  <c:v>-11.8</c:v>
                </c:pt>
                <c:pt idx="396">
                  <c:v>-12.6</c:v>
                </c:pt>
                <c:pt idx="397">
                  <c:v>-13.2</c:v>
                </c:pt>
                <c:pt idx="398">
                  <c:v>-13.7</c:v>
                </c:pt>
                <c:pt idx="399">
                  <c:v>-13.9</c:v>
                </c:pt>
                <c:pt idx="400">
                  <c:v>-13.9</c:v>
                </c:pt>
                <c:pt idx="401">
                  <c:v>-13.7</c:v>
                </c:pt>
                <c:pt idx="402">
                  <c:v>-13.6</c:v>
                </c:pt>
                <c:pt idx="403">
                  <c:v>-13.3</c:v>
                </c:pt>
                <c:pt idx="404">
                  <c:v>-13.1</c:v>
                </c:pt>
                <c:pt idx="405">
                  <c:v>-12.5</c:v>
                </c:pt>
                <c:pt idx="406">
                  <c:v>-11.4</c:v>
                </c:pt>
                <c:pt idx="407">
                  <c:v>-10.3</c:v>
                </c:pt>
                <c:pt idx="408">
                  <c:v>-8.90000000000001</c:v>
                </c:pt>
                <c:pt idx="409">
                  <c:v>-7.40000000000001</c:v>
                </c:pt>
                <c:pt idx="410">
                  <c:v>-5.80000000000001</c:v>
                </c:pt>
                <c:pt idx="411">
                  <c:v>-4.30000000000001</c:v>
                </c:pt>
                <c:pt idx="412">
                  <c:v>-2.80000000000001</c:v>
                </c:pt>
                <c:pt idx="413">
                  <c:v>-1.19999999999999</c:v>
                </c:pt>
                <c:pt idx="414">
                  <c:v>0.300000000000011</c:v>
                </c:pt>
                <c:pt idx="415">
                  <c:v>1.80000000000001</c:v>
                </c:pt>
                <c:pt idx="416">
                  <c:v>3.59999999999999</c:v>
                </c:pt>
                <c:pt idx="417">
                  <c:v>4.59999999999999</c:v>
                </c:pt>
                <c:pt idx="418">
                  <c:v>5.69999999999999</c:v>
                </c:pt>
                <c:pt idx="419">
                  <c:v>6.5</c:v>
                </c:pt>
                <c:pt idx="420">
                  <c:v>7.30000000000001</c:v>
                </c:pt>
                <c:pt idx="421">
                  <c:v>7.90000000000001</c:v>
                </c:pt>
                <c:pt idx="422">
                  <c:v>8</c:v>
                </c:pt>
                <c:pt idx="423">
                  <c:v>8.5</c:v>
                </c:pt>
                <c:pt idx="424">
                  <c:v>8.5</c:v>
                </c:pt>
                <c:pt idx="425">
                  <c:v>8.40000000000001</c:v>
                </c:pt>
                <c:pt idx="426">
                  <c:v>8.30000000000001</c:v>
                </c:pt>
                <c:pt idx="427">
                  <c:v>8.09999999999999</c:v>
                </c:pt>
                <c:pt idx="428">
                  <c:v>7.69999999999999</c:v>
                </c:pt>
                <c:pt idx="429">
                  <c:v>6.80000000000001</c:v>
                </c:pt>
                <c:pt idx="430">
                  <c:v>5.40000000000001</c:v>
                </c:pt>
                <c:pt idx="431">
                  <c:v>4.19999999999999</c:v>
                </c:pt>
                <c:pt idx="432">
                  <c:v>3</c:v>
                </c:pt>
                <c:pt idx="433">
                  <c:v>1.19999999999999</c:v>
                </c:pt>
                <c:pt idx="434">
                  <c:v>-0.400000000000006</c:v>
                </c:pt>
                <c:pt idx="435">
                  <c:v>-2.09999999999999</c:v>
                </c:pt>
                <c:pt idx="436">
                  <c:v>-3.90000000000001</c:v>
                </c:pt>
                <c:pt idx="437">
                  <c:v>-5.19999999999999</c:v>
                </c:pt>
                <c:pt idx="438">
                  <c:v>-7</c:v>
                </c:pt>
                <c:pt idx="439">
                  <c:v>-8.69999999999999</c:v>
                </c:pt>
                <c:pt idx="440">
                  <c:v>-10</c:v>
                </c:pt>
                <c:pt idx="441">
                  <c:v>-11.1</c:v>
                </c:pt>
                <c:pt idx="442">
                  <c:v>-12.3</c:v>
                </c:pt>
                <c:pt idx="443">
                  <c:v>-13.3</c:v>
                </c:pt>
                <c:pt idx="444">
                  <c:v>-14</c:v>
                </c:pt>
                <c:pt idx="445">
                  <c:v>-14.4</c:v>
                </c:pt>
                <c:pt idx="446">
                  <c:v>-14.7</c:v>
                </c:pt>
                <c:pt idx="447">
                  <c:v>-14.8</c:v>
                </c:pt>
                <c:pt idx="448">
                  <c:v>-14.6</c:v>
                </c:pt>
                <c:pt idx="449">
                  <c:v>-14.5</c:v>
                </c:pt>
                <c:pt idx="450">
                  <c:v>-14.2</c:v>
                </c:pt>
                <c:pt idx="451">
                  <c:v>-13.8</c:v>
                </c:pt>
                <c:pt idx="452">
                  <c:v>-12.9</c:v>
                </c:pt>
                <c:pt idx="453">
                  <c:v>-11.9</c:v>
                </c:pt>
                <c:pt idx="454">
                  <c:v>-10.6</c:v>
                </c:pt>
                <c:pt idx="455">
                  <c:v>-9.09999999999999</c:v>
                </c:pt>
                <c:pt idx="456">
                  <c:v>-7.59999999999999</c:v>
                </c:pt>
                <c:pt idx="457">
                  <c:v>-5.90000000000001</c:v>
                </c:pt>
                <c:pt idx="458">
                  <c:v>-4.30000000000001</c:v>
                </c:pt>
                <c:pt idx="459">
                  <c:v>-2.80000000000001</c:v>
                </c:pt>
                <c:pt idx="460">
                  <c:v>-0.699999999999989</c:v>
                </c:pt>
                <c:pt idx="461">
                  <c:v>0.900000000000006</c:v>
                </c:pt>
                <c:pt idx="462">
                  <c:v>2.40000000000001</c:v>
                </c:pt>
                <c:pt idx="463">
                  <c:v>3.90000000000001</c:v>
                </c:pt>
                <c:pt idx="464">
                  <c:v>5.19999999999999</c:v>
                </c:pt>
                <c:pt idx="465">
                  <c:v>6.30000000000001</c:v>
                </c:pt>
                <c:pt idx="466">
                  <c:v>7.30000000000001</c:v>
                </c:pt>
                <c:pt idx="467">
                  <c:v>7.90000000000001</c:v>
                </c:pt>
                <c:pt idx="468">
                  <c:v>8.5</c:v>
                </c:pt>
                <c:pt idx="469">
                  <c:v>8.90000000000001</c:v>
                </c:pt>
                <c:pt idx="470">
                  <c:v>8.90000000000001</c:v>
                </c:pt>
                <c:pt idx="471">
                  <c:v>8.80000000000001</c:v>
                </c:pt>
                <c:pt idx="472">
                  <c:v>8.59999999999999</c:v>
                </c:pt>
                <c:pt idx="473">
                  <c:v>8.40000000000001</c:v>
                </c:pt>
                <c:pt idx="474">
                  <c:v>8.19999999999999</c:v>
                </c:pt>
                <c:pt idx="475">
                  <c:v>7.90000000000001</c:v>
                </c:pt>
                <c:pt idx="476">
                  <c:v>7</c:v>
                </c:pt>
                <c:pt idx="477">
                  <c:v>5.69999999999999</c:v>
                </c:pt>
                <c:pt idx="478">
                  <c:v>4.19999999999999</c:v>
                </c:pt>
                <c:pt idx="479">
                  <c:v>2.69999999999999</c:v>
                </c:pt>
                <c:pt idx="480">
                  <c:v>1</c:v>
                </c:pt>
                <c:pt idx="481">
                  <c:v>-0.599999999999994</c:v>
                </c:pt>
                <c:pt idx="482">
                  <c:v>-2.30000000000001</c:v>
                </c:pt>
                <c:pt idx="483">
                  <c:v>-4.09999999999999</c:v>
                </c:pt>
                <c:pt idx="484">
                  <c:v>-5.69999999999999</c:v>
                </c:pt>
                <c:pt idx="485">
                  <c:v>-7.5</c:v>
                </c:pt>
                <c:pt idx="486">
                  <c:v>-9.30000000000001</c:v>
                </c:pt>
                <c:pt idx="487">
                  <c:v>-10.8</c:v>
                </c:pt>
                <c:pt idx="488">
                  <c:v>-12.1</c:v>
                </c:pt>
                <c:pt idx="489">
                  <c:v>-13.2</c:v>
                </c:pt>
                <c:pt idx="490">
                  <c:v>-14.3</c:v>
                </c:pt>
                <c:pt idx="491">
                  <c:v>-14.9</c:v>
                </c:pt>
                <c:pt idx="492">
                  <c:v>-15.3</c:v>
                </c:pt>
                <c:pt idx="493">
                  <c:v>-15.8</c:v>
                </c:pt>
                <c:pt idx="494">
                  <c:v>-15.8</c:v>
                </c:pt>
                <c:pt idx="495">
                  <c:v>-15.7</c:v>
                </c:pt>
                <c:pt idx="496">
                  <c:v>-15.5</c:v>
                </c:pt>
                <c:pt idx="497">
                  <c:v>-15.2</c:v>
                </c:pt>
                <c:pt idx="498">
                  <c:v>-14.8</c:v>
                </c:pt>
                <c:pt idx="499">
                  <c:v>-13.9</c:v>
                </c:pt>
                <c:pt idx="500">
                  <c:v>-12.7</c:v>
                </c:pt>
                <c:pt idx="501">
                  <c:v>-11.3</c:v>
                </c:pt>
                <c:pt idx="502">
                  <c:v>-9.80000000000001</c:v>
                </c:pt>
                <c:pt idx="503">
                  <c:v>-8.19999999999999</c:v>
                </c:pt>
                <c:pt idx="504">
                  <c:v>-6.5</c:v>
                </c:pt>
                <c:pt idx="505">
                  <c:v>-4.69999999999999</c:v>
                </c:pt>
                <c:pt idx="506">
                  <c:v>-3</c:v>
                </c:pt>
                <c:pt idx="507">
                  <c:v>-1.19999999999999</c:v>
                </c:pt>
                <c:pt idx="508">
                  <c:v>0.400000000000006</c:v>
                </c:pt>
                <c:pt idx="509">
                  <c:v>2.19999999999999</c:v>
                </c:pt>
                <c:pt idx="510">
                  <c:v>3.80000000000001</c:v>
                </c:pt>
                <c:pt idx="511">
                  <c:v>5.09999999999999</c:v>
                </c:pt>
                <c:pt idx="512">
                  <c:v>6.30000000000001</c:v>
                </c:pt>
                <c:pt idx="513">
                  <c:v>7.30000000000001</c:v>
                </c:pt>
                <c:pt idx="514">
                  <c:v>8</c:v>
                </c:pt>
                <c:pt idx="515">
                  <c:v>8.40000000000001</c:v>
                </c:pt>
                <c:pt idx="516">
                  <c:v>8.80000000000001</c:v>
                </c:pt>
                <c:pt idx="517">
                  <c:v>8.90000000000001</c:v>
                </c:pt>
                <c:pt idx="518">
                  <c:v>8.80000000000001</c:v>
                </c:pt>
                <c:pt idx="519">
                  <c:v>8.59999999999999</c:v>
                </c:pt>
                <c:pt idx="520">
                  <c:v>8.5</c:v>
                </c:pt>
                <c:pt idx="521">
                  <c:v>8.19999999999999</c:v>
                </c:pt>
                <c:pt idx="522">
                  <c:v>7.90000000000001</c:v>
                </c:pt>
                <c:pt idx="523">
                  <c:v>6.90000000000001</c:v>
                </c:pt>
                <c:pt idx="524">
                  <c:v>5.40000000000001</c:v>
                </c:pt>
                <c:pt idx="525">
                  <c:v>4.09999999999999</c:v>
                </c:pt>
                <c:pt idx="526">
                  <c:v>2.59999999999999</c:v>
                </c:pt>
                <c:pt idx="527">
                  <c:v>0.800000000000011</c:v>
                </c:pt>
                <c:pt idx="528">
                  <c:v>-0.800000000000011</c:v>
                </c:pt>
                <c:pt idx="529">
                  <c:v>-2.40000000000001</c:v>
                </c:pt>
                <c:pt idx="530">
                  <c:v>-4.40000000000001</c:v>
                </c:pt>
                <c:pt idx="531">
                  <c:v>-6</c:v>
                </c:pt>
                <c:pt idx="532">
                  <c:v>-8</c:v>
                </c:pt>
                <c:pt idx="533">
                  <c:v>-9.40000000000001</c:v>
                </c:pt>
                <c:pt idx="534">
                  <c:v>-11</c:v>
                </c:pt>
                <c:pt idx="535">
                  <c:v>-12.6</c:v>
                </c:pt>
                <c:pt idx="536">
                  <c:v>-13.5</c:v>
                </c:pt>
                <c:pt idx="537">
                  <c:v>-14.5</c:v>
                </c:pt>
                <c:pt idx="538">
                  <c:v>-15.2</c:v>
                </c:pt>
                <c:pt idx="539">
                  <c:v>-15.9</c:v>
                </c:pt>
                <c:pt idx="540">
                  <c:v>-16</c:v>
                </c:pt>
                <c:pt idx="541">
                  <c:v>-16.4</c:v>
                </c:pt>
                <c:pt idx="542">
                  <c:v>-16.5</c:v>
                </c:pt>
                <c:pt idx="543">
                  <c:v>-16.3</c:v>
                </c:pt>
                <c:pt idx="544">
                  <c:v>-16.1</c:v>
                </c:pt>
                <c:pt idx="545">
                  <c:v>-15.6</c:v>
                </c:pt>
                <c:pt idx="546">
                  <c:v>-14.6</c:v>
                </c:pt>
                <c:pt idx="547">
                  <c:v>-13.4</c:v>
                </c:pt>
                <c:pt idx="548">
                  <c:v>-12.2</c:v>
                </c:pt>
                <c:pt idx="549">
                  <c:v>-10.7</c:v>
                </c:pt>
                <c:pt idx="550">
                  <c:v>-9.09999999999999</c:v>
                </c:pt>
                <c:pt idx="551">
                  <c:v>-7.40000000000001</c:v>
                </c:pt>
                <c:pt idx="552">
                  <c:v>-5.69999999999999</c:v>
                </c:pt>
                <c:pt idx="553">
                  <c:v>-3.90000000000001</c:v>
                </c:pt>
                <c:pt idx="554">
                  <c:v>-2</c:v>
                </c:pt>
                <c:pt idx="555">
                  <c:v>-0.300000000000011</c:v>
                </c:pt>
                <c:pt idx="556">
                  <c:v>1.19999999999999</c:v>
                </c:pt>
                <c:pt idx="557">
                  <c:v>3.30000000000001</c:v>
                </c:pt>
                <c:pt idx="558">
                  <c:v>4.59999999999999</c:v>
                </c:pt>
                <c:pt idx="559">
                  <c:v>6</c:v>
                </c:pt>
                <c:pt idx="560">
                  <c:v>6.80000000000001</c:v>
                </c:pt>
                <c:pt idx="561">
                  <c:v>7.40000000000001</c:v>
                </c:pt>
                <c:pt idx="562">
                  <c:v>8</c:v>
                </c:pt>
                <c:pt idx="563">
                  <c:v>8.09999999999999</c:v>
                </c:pt>
                <c:pt idx="564">
                  <c:v>8.59999999999999</c:v>
                </c:pt>
                <c:pt idx="565">
                  <c:v>8.69999999999999</c:v>
                </c:pt>
                <c:pt idx="566">
                  <c:v>8.5</c:v>
                </c:pt>
                <c:pt idx="567">
                  <c:v>8.30000000000001</c:v>
                </c:pt>
                <c:pt idx="568">
                  <c:v>8.09999999999999</c:v>
                </c:pt>
                <c:pt idx="569">
                  <c:v>7.69999999999999</c:v>
                </c:pt>
                <c:pt idx="570">
                  <c:v>6.69999999999999</c:v>
                </c:pt>
                <c:pt idx="571">
                  <c:v>5.30000000000001</c:v>
                </c:pt>
                <c:pt idx="572">
                  <c:v>4</c:v>
                </c:pt>
                <c:pt idx="573">
                  <c:v>2.59999999999999</c:v>
                </c:pt>
                <c:pt idx="574">
                  <c:v>0.900000000000006</c:v>
                </c:pt>
                <c:pt idx="575">
                  <c:v>-0.900000000000006</c:v>
                </c:pt>
                <c:pt idx="576">
                  <c:v>-2.5</c:v>
                </c:pt>
                <c:pt idx="577">
                  <c:v>-4.30000000000001</c:v>
                </c:pt>
                <c:pt idx="578">
                  <c:v>-6</c:v>
                </c:pt>
                <c:pt idx="579">
                  <c:v>-7.59999999999999</c:v>
                </c:pt>
                <c:pt idx="580">
                  <c:v>-9.5</c:v>
                </c:pt>
                <c:pt idx="581">
                  <c:v>-10.9</c:v>
                </c:pt>
                <c:pt idx="582">
                  <c:v>-12.2</c:v>
                </c:pt>
                <c:pt idx="583">
                  <c:v>-13.3</c:v>
                </c:pt>
                <c:pt idx="584">
                  <c:v>-14.2</c:v>
                </c:pt>
                <c:pt idx="585">
                  <c:v>-15</c:v>
                </c:pt>
                <c:pt idx="586">
                  <c:v>-15.8</c:v>
                </c:pt>
                <c:pt idx="587">
                  <c:v>-16.1</c:v>
                </c:pt>
                <c:pt idx="588">
                  <c:v>-16.4</c:v>
                </c:pt>
                <c:pt idx="589">
                  <c:v>-16.4</c:v>
                </c:pt>
                <c:pt idx="590">
                  <c:v>-16.3</c:v>
                </c:pt>
                <c:pt idx="591">
                  <c:v>-16</c:v>
                </c:pt>
                <c:pt idx="592">
                  <c:v>-15.5</c:v>
                </c:pt>
                <c:pt idx="593">
                  <c:v>-14.6</c:v>
                </c:pt>
                <c:pt idx="594">
                  <c:v>-13.5</c:v>
                </c:pt>
                <c:pt idx="595">
                  <c:v>-12.2</c:v>
                </c:pt>
                <c:pt idx="596">
                  <c:v>-10.7</c:v>
                </c:pt>
                <c:pt idx="597">
                  <c:v>-9</c:v>
                </c:pt>
                <c:pt idx="598">
                  <c:v>-7.5</c:v>
                </c:pt>
                <c:pt idx="599">
                  <c:v>-5.80000000000001</c:v>
                </c:pt>
                <c:pt idx="600">
                  <c:v>-4.09999999999999</c:v>
                </c:pt>
                <c:pt idx="601">
                  <c:v>-2.40000000000001</c:v>
                </c:pt>
                <c:pt idx="602">
                  <c:v>-0.699999999999989</c:v>
                </c:pt>
                <c:pt idx="603">
                  <c:v>0.800000000000011</c:v>
                </c:pt>
                <c:pt idx="604">
                  <c:v>2.5</c:v>
                </c:pt>
                <c:pt idx="605">
                  <c:v>3.80000000000001</c:v>
                </c:pt>
                <c:pt idx="606">
                  <c:v>5.30000000000001</c:v>
                </c:pt>
                <c:pt idx="607">
                  <c:v>6.40000000000001</c:v>
                </c:pt>
                <c:pt idx="608">
                  <c:v>7</c:v>
                </c:pt>
                <c:pt idx="609">
                  <c:v>7.69999999999999</c:v>
                </c:pt>
                <c:pt idx="610">
                  <c:v>8</c:v>
                </c:pt>
                <c:pt idx="611">
                  <c:v>8</c:v>
                </c:pt>
                <c:pt idx="612">
                  <c:v>7.90000000000001</c:v>
                </c:pt>
                <c:pt idx="613">
                  <c:v>7.69999999999999</c:v>
                </c:pt>
                <c:pt idx="614">
                  <c:v>7.5</c:v>
                </c:pt>
                <c:pt idx="615">
                  <c:v>7.40000000000001</c:v>
                </c:pt>
                <c:pt idx="616">
                  <c:v>7</c:v>
                </c:pt>
                <c:pt idx="617">
                  <c:v>6.30000000000001</c:v>
                </c:pt>
                <c:pt idx="618">
                  <c:v>5</c:v>
                </c:pt>
                <c:pt idx="619">
                  <c:v>3.40000000000001</c:v>
                </c:pt>
                <c:pt idx="620">
                  <c:v>2</c:v>
                </c:pt>
                <c:pt idx="621">
                  <c:v>0.300000000000011</c:v>
                </c:pt>
                <c:pt idx="622">
                  <c:v>-1.19999999999999</c:v>
                </c:pt>
                <c:pt idx="623">
                  <c:v>-3.09999999999999</c:v>
                </c:pt>
                <c:pt idx="624">
                  <c:v>-4.80000000000001</c:v>
                </c:pt>
                <c:pt idx="625">
                  <c:v>-6.30000000000001</c:v>
                </c:pt>
                <c:pt idx="626">
                  <c:v>-8.30000000000001</c:v>
                </c:pt>
                <c:pt idx="627">
                  <c:v>-9.80000000000001</c:v>
                </c:pt>
                <c:pt idx="628">
                  <c:v>-11.1</c:v>
                </c:pt>
                <c:pt idx="629">
                  <c:v>-12.5</c:v>
                </c:pt>
                <c:pt idx="630">
                  <c:v>-13.7</c:v>
                </c:pt>
                <c:pt idx="631">
                  <c:v>-14.5</c:v>
                </c:pt>
                <c:pt idx="632">
                  <c:v>-15.2</c:v>
                </c:pt>
                <c:pt idx="633">
                  <c:v>-15.8</c:v>
                </c:pt>
                <c:pt idx="634">
                  <c:v>-16</c:v>
                </c:pt>
                <c:pt idx="635">
                  <c:v>-15.9</c:v>
                </c:pt>
                <c:pt idx="636">
                  <c:v>-15.7</c:v>
                </c:pt>
                <c:pt idx="637">
                  <c:v>-15.6</c:v>
                </c:pt>
                <c:pt idx="638">
                  <c:v>-15.3</c:v>
                </c:pt>
                <c:pt idx="639">
                  <c:v>-15</c:v>
                </c:pt>
                <c:pt idx="640">
                  <c:v>-14.1</c:v>
                </c:pt>
                <c:pt idx="641">
                  <c:v>-13.2</c:v>
                </c:pt>
                <c:pt idx="642">
                  <c:v>-11.9</c:v>
                </c:pt>
                <c:pt idx="643">
                  <c:v>-10.3</c:v>
                </c:pt>
                <c:pt idx="644">
                  <c:v>-8.90000000000001</c:v>
                </c:pt>
                <c:pt idx="645">
                  <c:v>-7.19999999999999</c:v>
                </c:pt>
                <c:pt idx="646">
                  <c:v>-5.69999999999999</c:v>
                </c:pt>
                <c:pt idx="647">
                  <c:v>-4.09999999999999</c:v>
                </c:pt>
                <c:pt idx="648">
                  <c:v>-2.59999999999999</c:v>
                </c:pt>
                <c:pt idx="649">
                  <c:v>-0.900000000000006</c:v>
                </c:pt>
                <c:pt idx="650">
                  <c:v>0.599999999999994</c:v>
                </c:pt>
                <c:pt idx="651">
                  <c:v>2.69999999999999</c:v>
                </c:pt>
                <c:pt idx="652">
                  <c:v>3.59999999999999</c:v>
                </c:pt>
                <c:pt idx="653">
                  <c:v>4.80000000000001</c:v>
                </c:pt>
                <c:pt idx="654">
                  <c:v>5.80000000000001</c:v>
                </c:pt>
                <c:pt idx="655">
                  <c:v>6.5</c:v>
                </c:pt>
                <c:pt idx="656">
                  <c:v>7.19999999999999</c:v>
                </c:pt>
                <c:pt idx="657">
                  <c:v>7.59999999999999</c:v>
                </c:pt>
                <c:pt idx="658">
                  <c:v>7.80000000000001</c:v>
                </c:pt>
                <c:pt idx="659">
                  <c:v>7.69999999999999</c:v>
                </c:pt>
                <c:pt idx="660">
                  <c:v>7.59999999999999</c:v>
                </c:pt>
                <c:pt idx="661">
                  <c:v>7.5</c:v>
                </c:pt>
                <c:pt idx="662">
                  <c:v>7.30000000000001</c:v>
                </c:pt>
                <c:pt idx="663">
                  <c:v>6.90000000000001</c:v>
                </c:pt>
                <c:pt idx="664">
                  <c:v>5.80000000000001</c:v>
                </c:pt>
                <c:pt idx="665">
                  <c:v>4.40000000000001</c:v>
                </c:pt>
                <c:pt idx="666">
                  <c:v>3.30000000000001</c:v>
                </c:pt>
                <c:pt idx="667">
                  <c:v>1.69999999999999</c:v>
                </c:pt>
                <c:pt idx="668">
                  <c:v>0.199999999999989</c:v>
                </c:pt>
                <c:pt idx="669">
                  <c:v>-1.19999999999999</c:v>
                </c:pt>
                <c:pt idx="670">
                  <c:v>-3</c:v>
                </c:pt>
                <c:pt idx="671">
                  <c:v>-4.40000000000001</c:v>
                </c:pt>
                <c:pt idx="672">
                  <c:v>-6</c:v>
                </c:pt>
                <c:pt idx="673">
                  <c:v>-7.69999999999999</c:v>
                </c:pt>
                <c:pt idx="674">
                  <c:v>-9.30000000000001</c:v>
                </c:pt>
                <c:pt idx="675">
                  <c:v>-10.6</c:v>
                </c:pt>
                <c:pt idx="676">
                  <c:v>-11.8</c:v>
                </c:pt>
                <c:pt idx="677">
                  <c:v>-12.9</c:v>
                </c:pt>
                <c:pt idx="678">
                  <c:v>-13.6</c:v>
                </c:pt>
                <c:pt idx="679">
                  <c:v>-14.3</c:v>
                </c:pt>
                <c:pt idx="680">
                  <c:v>-14.8</c:v>
                </c:pt>
                <c:pt idx="681">
                  <c:v>-14.9</c:v>
                </c:pt>
                <c:pt idx="682">
                  <c:v>-14.8</c:v>
                </c:pt>
                <c:pt idx="683">
                  <c:v>-14.7</c:v>
                </c:pt>
                <c:pt idx="684">
                  <c:v>-14.6</c:v>
                </c:pt>
                <c:pt idx="685">
                  <c:v>-14.4</c:v>
                </c:pt>
                <c:pt idx="686">
                  <c:v>-14.1</c:v>
                </c:pt>
                <c:pt idx="687">
                  <c:v>-13.4</c:v>
                </c:pt>
                <c:pt idx="688">
                  <c:v>-12.5</c:v>
                </c:pt>
                <c:pt idx="689">
                  <c:v>-11.3</c:v>
                </c:pt>
                <c:pt idx="690">
                  <c:v>-10.1</c:v>
                </c:pt>
                <c:pt idx="691">
                  <c:v>-8.69999999999999</c:v>
                </c:pt>
                <c:pt idx="692">
                  <c:v>-7.09999999999999</c:v>
                </c:pt>
                <c:pt idx="693">
                  <c:v>-5.69999999999999</c:v>
                </c:pt>
                <c:pt idx="694">
                  <c:v>-4.09999999999999</c:v>
                </c:pt>
                <c:pt idx="695">
                  <c:v>-2.69999999999999</c:v>
                </c:pt>
                <c:pt idx="696">
                  <c:v>-1.19999999999999</c:v>
                </c:pt>
                <c:pt idx="697">
                  <c:v>0.0999999999999943</c:v>
                </c:pt>
                <c:pt idx="698">
                  <c:v>1.69999999999999</c:v>
                </c:pt>
                <c:pt idx="699">
                  <c:v>3.09999999999999</c:v>
                </c:pt>
                <c:pt idx="700">
                  <c:v>4.09999999999999</c:v>
                </c:pt>
                <c:pt idx="701">
                  <c:v>5.09999999999999</c:v>
                </c:pt>
                <c:pt idx="702">
                  <c:v>5.90000000000001</c:v>
                </c:pt>
                <c:pt idx="703">
                  <c:v>6.40000000000001</c:v>
                </c:pt>
                <c:pt idx="704">
                  <c:v>6.69999999999999</c:v>
                </c:pt>
                <c:pt idx="705">
                  <c:v>6.80000000000001</c:v>
                </c:pt>
                <c:pt idx="706">
                  <c:v>6.69999999999999</c:v>
                </c:pt>
                <c:pt idx="707">
                  <c:v>6.59999999999999</c:v>
                </c:pt>
                <c:pt idx="708">
                  <c:v>6.5</c:v>
                </c:pt>
                <c:pt idx="709">
                  <c:v>6.30000000000001</c:v>
                </c:pt>
                <c:pt idx="710">
                  <c:v>5.80000000000001</c:v>
                </c:pt>
                <c:pt idx="711">
                  <c:v>5</c:v>
                </c:pt>
                <c:pt idx="712">
                  <c:v>3.69999999999999</c:v>
                </c:pt>
                <c:pt idx="713">
                  <c:v>2.59999999999999</c:v>
                </c:pt>
                <c:pt idx="714">
                  <c:v>0.900000000000006</c:v>
                </c:pt>
                <c:pt idx="715">
                  <c:v>-0.5</c:v>
                </c:pt>
                <c:pt idx="716">
                  <c:v>-1.80000000000001</c:v>
                </c:pt>
                <c:pt idx="717">
                  <c:v>-3.40000000000001</c:v>
                </c:pt>
                <c:pt idx="718">
                  <c:v>-5</c:v>
                </c:pt>
                <c:pt idx="719">
                  <c:v>-6.09999999999999</c:v>
                </c:pt>
                <c:pt idx="720">
                  <c:v>-7.69999999999999</c:v>
                </c:pt>
                <c:pt idx="721">
                  <c:v>-9</c:v>
                </c:pt>
                <c:pt idx="722">
                  <c:v>-10</c:v>
                </c:pt>
                <c:pt idx="723">
                  <c:v>-11.3</c:v>
                </c:pt>
                <c:pt idx="724">
                  <c:v>-12.3</c:v>
                </c:pt>
                <c:pt idx="725">
                  <c:v>-13.1</c:v>
                </c:pt>
                <c:pt idx="726">
                  <c:v>-13.8</c:v>
                </c:pt>
                <c:pt idx="727">
                  <c:v>-14.1</c:v>
                </c:pt>
                <c:pt idx="728">
                  <c:v>-14.6</c:v>
                </c:pt>
                <c:pt idx="729">
                  <c:v>-14.6</c:v>
                </c:pt>
                <c:pt idx="730">
                  <c:v>-14.5</c:v>
                </c:pt>
                <c:pt idx="731">
                  <c:v>-14.4</c:v>
                </c:pt>
                <c:pt idx="732">
                  <c:v>-14.2</c:v>
                </c:pt>
                <c:pt idx="733">
                  <c:v>-13.9</c:v>
                </c:pt>
                <c:pt idx="734">
                  <c:v>-13.1</c:v>
                </c:pt>
                <c:pt idx="735">
                  <c:v>-12.4</c:v>
                </c:pt>
                <c:pt idx="736">
                  <c:v>-11.2</c:v>
                </c:pt>
                <c:pt idx="737">
                  <c:v>-10</c:v>
                </c:pt>
                <c:pt idx="738">
                  <c:v>-8.5</c:v>
                </c:pt>
                <c:pt idx="739">
                  <c:v>-7.19999999999999</c:v>
                </c:pt>
                <c:pt idx="740">
                  <c:v>-5.80000000000001</c:v>
                </c:pt>
                <c:pt idx="741">
                  <c:v>-4.5</c:v>
                </c:pt>
                <c:pt idx="742">
                  <c:v>-3.09999999999999</c:v>
                </c:pt>
                <c:pt idx="743">
                  <c:v>-1.90000000000001</c:v>
                </c:pt>
                <c:pt idx="744">
                  <c:v>-0.400000000000006</c:v>
                </c:pt>
                <c:pt idx="745">
                  <c:v>0.800000000000011</c:v>
                </c:pt>
                <c:pt idx="746">
                  <c:v>2.09999999999999</c:v>
                </c:pt>
                <c:pt idx="747">
                  <c:v>3</c:v>
                </c:pt>
                <c:pt idx="748">
                  <c:v>3.90000000000001</c:v>
                </c:pt>
                <c:pt idx="749">
                  <c:v>4.40000000000001</c:v>
                </c:pt>
                <c:pt idx="750">
                  <c:v>4.90000000000001</c:v>
                </c:pt>
                <c:pt idx="751">
                  <c:v>5.09999999999999</c:v>
                </c:pt>
                <c:pt idx="752">
                  <c:v>5.5</c:v>
                </c:pt>
                <c:pt idx="753">
                  <c:v>5.5</c:v>
                </c:pt>
                <c:pt idx="754">
                  <c:v>5.40000000000001</c:v>
                </c:pt>
                <c:pt idx="755">
                  <c:v>5.30000000000001</c:v>
                </c:pt>
                <c:pt idx="756">
                  <c:v>5.09999999999999</c:v>
                </c:pt>
                <c:pt idx="757">
                  <c:v>4.69999999999999</c:v>
                </c:pt>
                <c:pt idx="758">
                  <c:v>3.90000000000001</c:v>
                </c:pt>
                <c:pt idx="759">
                  <c:v>3</c:v>
                </c:pt>
                <c:pt idx="760">
                  <c:v>1.69999999999999</c:v>
                </c:pt>
                <c:pt idx="761">
                  <c:v>0.199999999999989</c:v>
                </c:pt>
                <c:pt idx="762">
                  <c:v>-0.699999999999989</c:v>
                </c:pt>
                <c:pt idx="763">
                  <c:v>-2</c:v>
                </c:pt>
                <c:pt idx="764">
                  <c:v>-3.59999999999999</c:v>
                </c:pt>
                <c:pt idx="765">
                  <c:v>-4.80000000000001</c:v>
                </c:pt>
                <c:pt idx="766">
                  <c:v>-6</c:v>
                </c:pt>
                <c:pt idx="767">
                  <c:v>-7.30000000000001</c:v>
                </c:pt>
                <c:pt idx="768">
                  <c:v>-8.5</c:v>
                </c:pt>
                <c:pt idx="769">
                  <c:v>-9.5</c:v>
                </c:pt>
                <c:pt idx="770">
                  <c:v>-10.5</c:v>
                </c:pt>
                <c:pt idx="771">
                  <c:v>-11.4</c:v>
                </c:pt>
                <c:pt idx="772">
                  <c:v>-12.1</c:v>
                </c:pt>
                <c:pt idx="773">
                  <c:v>-12.8</c:v>
                </c:pt>
                <c:pt idx="774">
                  <c:v>-13</c:v>
                </c:pt>
                <c:pt idx="775">
                  <c:v>-13.5</c:v>
                </c:pt>
                <c:pt idx="776">
                  <c:v>-13.5</c:v>
                </c:pt>
                <c:pt idx="777">
                  <c:v>-13.5</c:v>
                </c:pt>
                <c:pt idx="778">
                  <c:v>-13.4</c:v>
                </c:pt>
                <c:pt idx="779">
                  <c:v>-13.2</c:v>
                </c:pt>
                <c:pt idx="780">
                  <c:v>-12.9</c:v>
                </c:pt>
                <c:pt idx="781">
                  <c:v>-12.3</c:v>
                </c:pt>
                <c:pt idx="782">
                  <c:v>-11.6</c:v>
                </c:pt>
                <c:pt idx="783">
                  <c:v>-10.5</c:v>
                </c:pt>
                <c:pt idx="784">
                  <c:v>-9.30000000000001</c:v>
                </c:pt>
                <c:pt idx="785">
                  <c:v>-8.30000000000001</c:v>
                </c:pt>
                <c:pt idx="786">
                  <c:v>-7</c:v>
                </c:pt>
                <c:pt idx="787">
                  <c:v>-6</c:v>
                </c:pt>
                <c:pt idx="788">
                  <c:v>-4.90000000000001</c:v>
                </c:pt>
                <c:pt idx="789">
                  <c:v>-3.5</c:v>
                </c:pt>
                <c:pt idx="790">
                  <c:v>-2.40000000000001</c:v>
                </c:pt>
                <c:pt idx="791">
                  <c:v>-1.30000000000001</c:v>
                </c:pt>
                <c:pt idx="792">
                  <c:v>-0.400000000000006</c:v>
                </c:pt>
                <c:pt idx="793">
                  <c:v>0.599999999999994</c:v>
                </c:pt>
                <c:pt idx="794">
                  <c:v>1.40000000000001</c:v>
                </c:pt>
                <c:pt idx="795">
                  <c:v>2.30000000000001</c:v>
                </c:pt>
                <c:pt idx="796">
                  <c:v>2.80000000000001</c:v>
                </c:pt>
                <c:pt idx="797">
                  <c:v>3</c:v>
                </c:pt>
                <c:pt idx="798">
                  <c:v>3</c:v>
                </c:pt>
                <c:pt idx="799">
                  <c:v>3.40000000000001</c:v>
                </c:pt>
                <c:pt idx="800">
                  <c:v>3.40000000000001</c:v>
                </c:pt>
                <c:pt idx="801">
                  <c:v>3.40000000000001</c:v>
                </c:pt>
                <c:pt idx="802">
                  <c:v>3.30000000000001</c:v>
                </c:pt>
                <c:pt idx="803">
                  <c:v>3.19999999999999</c:v>
                </c:pt>
                <c:pt idx="804">
                  <c:v>3</c:v>
                </c:pt>
                <c:pt idx="805">
                  <c:v>2.30000000000001</c:v>
                </c:pt>
                <c:pt idx="806">
                  <c:v>1.5</c:v>
                </c:pt>
                <c:pt idx="807">
                  <c:v>0.199999999999989</c:v>
                </c:pt>
                <c:pt idx="808">
                  <c:v>-0.699999999999989</c:v>
                </c:pt>
                <c:pt idx="809">
                  <c:v>-1.69999999999999</c:v>
                </c:pt>
                <c:pt idx="810">
                  <c:v>-2.90000000000001</c:v>
                </c:pt>
                <c:pt idx="811">
                  <c:v>-4</c:v>
                </c:pt>
                <c:pt idx="812">
                  <c:v>-5.30000000000001</c:v>
                </c:pt>
                <c:pt idx="813">
                  <c:v>-6.30000000000001</c:v>
                </c:pt>
                <c:pt idx="814">
                  <c:v>-7.30000000000001</c:v>
                </c:pt>
                <c:pt idx="815">
                  <c:v>-8.40000000000001</c:v>
                </c:pt>
                <c:pt idx="816">
                  <c:v>-9.19999999999999</c:v>
                </c:pt>
                <c:pt idx="817">
                  <c:v>-10.1</c:v>
                </c:pt>
                <c:pt idx="818">
                  <c:v>-10.9</c:v>
                </c:pt>
                <c:pt idx="819">
                  <c:v>-11.4</c:v>
                </c:pt>
                <c:pt idx="820">
                  <c:v>-11.9</c:v>
                </c:pt>
                <c:pt idx="821">
                  <c:v>-12</c:v>
                </c:pt>
                <c:pt idx="822">
                  <c:v>-12</c:v>
                </c:pt>
                <c:pt idx="823">
                  <c:v>-11.9</c:v>
                </c:pt>
                <c:pt idx="824">
                  <c:v>-11.7</c:v>
                </c:pt>
                <c:pt idx="825">
                  <c:v>-11.6</c:v>
                </c:pt>
                <c:pt idx="826">
                  <c:v>-11.4</c:v>
                </c:pt>
                <c:pt idx="827">
                  <c:v>-11.2</c:v>
                </c:pt>
                <c:pt idx="828">
                  <c:v>-10.9</c:v>
                </c:pt>
                <c:pt idx="829">
                  <c:v>-10.1</c:v>
                </c:pt>
                <c:pt idx="830">
                  <c:v>-9.5</c:v>
                </c:pt>
                <c:pt idx="831">
                  <c:v>-8.5</c:v>
                </c:pt>
                <c:pt idx="832">
                  <c:v>-7.40000000000001</c:v>
                </c:pt>
                <c:pt idx="833">
                  <c:v>-6.5</c:v>
                </c:pt>
                <c:pt idx="834">
                  <c:v>-5.5</c:v>
                </c:pt>
                <c:pt idx="835">
                  <c:v>-4.5</c:v>
                </c:pt>
                <c:pt idx="836">
                  <c:v>-3.59999999999999</c:v>
                </c:pt>
                <c:pt idx="837">
                  <c:v>-2.40000000000001</c:v>
                </c:pt>
                <c:pt idx="838">
                  <c:v>-1.59999999999999</c:v>
                </c:pt>
                <c:pt idx="839">
                  <c:v>-0.800000000000011</c:v>
                </c:pt>
                <c:pt idx="840">
                  <c:v>0</c:v>
                </c:pt>
                <c:pt idx="841">
                  <c:v>0.900000000000006</c:v>
                </c:pt>
                <c:pt idx="842">
                  <c:v>1.19999999999999</c:v>
                </c:pt>
                <c:pt idx="843">
                  <c:v>1.80000000000001</c:v>
                </c:pt>
                <c:pt idx="844">
                  <c:v>1.90000000000001</c:v>
                </c:pt>
                <c:pt idx="845">
                  <c:v>1.90000000000001</c:v>
                </c:pt>
                <c:pt idx="846">
                  <c:v>1.80000000000001</c:v>
                </c:pt>
                <c:pt idx="847">
                  <c:v>1.80000000000001</c:v>
                </c:pt>
                <c:pt idx="848">
                  <c:v>1.59999999999999</c:v>
                </c:pt>
                <c:pt idx="849">
                  <c:v>1.5</c:v>
                </c:pt>
                <c:pt idx="850">
                  <c:v>1.30000000000001</c:v>
                </c:pt>
                <c:pt idx="851">
                  <c:v>1.09999999999999</c:v>
                </c:pt>
                <c:pt idx="852">
                  <c:v>0.699999999999989</c:v>
                </c:pt>
                <c:pt idx="853">
                  <c:v>-0.0999999999999943</c:v>
                </c:pt>
                <c:pt idx="854">
                  <c:v>-1</c:v>
                </c:pt>
                <c:pt idx="855">
                  <c:v>-1.80000000000001</c:v>
                </c:pt>
                <c:pt idx="856">
                  <c:v>-2.5</c:v>
                </c:pt>
                <c:pt idx="857">
                  <c:v>-3.5</c:v>
                </c:pt>
                <c:pt idx="858">
                  <c:v>-4.5</c:v>
                </c:pt>
                <c:pt idx="859">
                  <c:v>-5.30000000000001</c:v>
                </c:pt>
                <c:pt idx="860">
                  <c:v>-6.19999999999999</c:v>
                </c:pt>
                <c:pt idx="861">
                  <c:v>-7</c:v>
                </c:pt>
                <c:pt idx="862">
                  <c:v>-7.69999999999999</c:v>
                </c:pt>
                <c:pt idx="863">
                  <c:v>-8.30000000000001</c:v>
                </c:pt>
                <c:pt idx="864">
                  <c:v>-8.90000000000001</c:v>
                </c:pt>
                <c:pt idx="865">
                  <c:v>-9.30000000000001</c:v>
                </c:pt>
                <c:pt idx="866">
                  <c:v>-9.80000000000001</c:v>
                </c:pt>
                <c:pt idx="867">
                  <c:v>-9.90000000000001</c:v>
                </c:pt>
                <c:pt idx="868">
                  <c:v>-9.90000000000001</c:v>
                </c:pt>
                <c:pt idx="869">
                  <c:v>-9.90000000000001</c:v>
                </c:pt>
                <c:pt idx="870">
                  <c:v>-9.80000000000001</c:v>
                </c:pt>
                <c:pt idx="871">
                  <c:v>-9.69999999999999</c:v>
                </c:pt>
                <c:pt idx="872">
                  <c:v>-9.59999999999999</c:v>
                </c:pt>
                <c:pt idx="873">
                  <c:v>-9.40000000000001</c:v>
                </c:pt>
                <c:pt idx="874">
                  <c:v>-9.30000000000001</c:v>
                </c:pt>
                <c:pt idx="875">
                  <c:v>-9</c:v>
                </c:pt>
                <c:pt idx="876">
                  <c:v>-8.59999999999999</c:v>
                </c:pt>
                <c:pt idx="877">
                  <c:v>-8</c:v>
                </c:pt>
                <c:pt idx="878">
                  <c:v>-7.09999999999999</c:v>
                </c:pt>
                <c:pt idx="879">
                  <c:v>-6.40000000000001</c:v>
                </c:pt>
                <c:pt idx="880">
                  <c:v>-5.69999999999999</c:v>
                </c:pt>
                <c:pt idx="881">
                  <c:v>-5</c:v>
                </c:pt>
                <c:pt idx="882">
                  <c:v>-4.30000000000001</c:v>
                </c:pt>
                <c:pt idx="883">
                  <c:v>-3.5</c:v>
                </c:pt>
                <c:pt idx="884">
                  <c:v>-2.80000000000001</c:v>
                </c:pt>
                <c:pt idx="885">
                  <c:v>-2.09999999999999</c:v>
                </c:pt>
                <c:pt idx="886">
                  <c:v>-1.59999999999999</c:v>
                </c:pt>
                <c:pt idx="887">
                  <c:v>-1.09999999999999</c:v>
                </c:pt>
                <c:pt idx="888">
                  <c:v>-0.900000000000006</c:v>
                </c:pt>
                <c:pt idx="889">
                  <c:v>-0.300000000000011</c:v>
                </c:pt>
                <c:pt idx="890">
                  <c:v>-0.300000000000011</c:v>
                </c:pt>
                <c:pt idx="891">
                  <c:v>-0.199999999999989</c:v>
                </c:pt>
                <c:pt idx="892">
                  <c:v>-0.199999999999989</c:v>
                </c:pt>
                <c:pt idx="893">
                  <c:v>-0.300000000000011</c:v>
                </c:pt>
                <c:pt idx="894">
                  <c:v>-0.300000000000011</c:v>
                </c:pt>
                <c:pt idx="895">
                  <c:v>-0.5</c:v>
                </c:pt>
                <c:pt idx="896">
                  <c:v>-0.599999999999994</c:v>
                </c:pt>
                <c:pt idx="897">
                  <c:v>-0.699999999999989</c:v>
                </c:pt>
                <c:pt idx="898">
                  <c:v>-0.900000000000006</c:v>
                </c:pt>
                <c:pt idx="899">
                  <c:v>-1.09999999999999</c:v>
                </c:pt>
                <c:pt idx="900">
                  <c:v>-1.69999999999999</c:v>
                </c:pt>
                <c:pt idx="901">
                  <c:v>-2.09999999999999</c:v>
                </c:pt>
                <c:pt idx="902">
                  <c:v>-2.90000000000001</c:v>
                </c:pt>
                <c:pt idx="903">
                  <c:v>-3.5</c:v>
                </c:pt>
                <c:pt idx="904">
                  <c:v>-4.30000000000001</c:v>
                </c:pt>
                <c:pt idx="905">
                  <c:v>-4.90000000000001</c:v>
                </c:pt>
                <c:pt idx="906">
                  <c:v>-5.5</c:v>
                </c:pt>
                <c:pt idx="907">
                  <c:v>-6.09999999999999</c:v>
                </c:pt>
                <c:pt idx="908">
                  <c:v>-6.80000000000001</c:v>
                </c:pt>
                <c:pt idx="909">
                  <c:v>-7.09999999999999</c:v>
                </c:pt>
                <c:pt idx="910">
                  <c:v>-7.69999999999999</c:v>
                </c:pt>
                <c:pt idx="911">
                  <c:v>-7.90000000000001</c:v>
                </c:pt>
                <c:pt idx="912">
                  <c:v>-8</c:v>
                </c:pt>
                <c:pt idx="913">
                  <c:v>-8.5</c:v>
                </c:pt>
                <c:pt idx="914">
                  <c:v>-8.59999999999999</c:v>
                </c:pt>
                <c:pt idx="915">
                  <c:v>-8.69999999999999</c:v>
                </c:pt>
                <c:pt idx="916">
                  <c:v>-8.59999999999999</c:v>
                </c:pt>
                <c:pt idx="917">
                  <c:v>-8.5</c:v>
                </c:pt>
                <c:pt idx="918">
                  <c:v>-8.5</c:v>
                </c:pt>
                <c:pt idx="919">
                  <c:v>-8.40000000000001</c:v>
                </c:pt>
                <c:pt idx="920">
                  <c:v>-8.30000000000001</c:v>
                </c:pt>
                <c:pt idx="921">
                  <c:v>-8.09999999999999</c:v>
                </c:pt>
                <c:pt idx="922">
                  <c:v>-8</c:v>
                </c:pt>
                <c:pt idx="923">
                  <c:v>-7.80000000000001</c:v>
                </c:pt>
                <c:pt idx="924">
                  <c:v>-7.09999999999999</c:v>
                </c:pt>
                <c:pt idx="925">
                  <c:v>-6.69999999999999</c:v>
                </c:pt>
                <c:pt idx="926">
                  <c:v>-6.09999999999999</c:v>
                </c:pt>
                <c:pt idx="927">
                  <c:v>-5.80000000000001</c:v>
                </c:pt>
                <c:pt idx="928">
                  <c:v>-5.09999999999999</c:v>
                </c:pt>
                <c:pt idx="929">
                  <c:v>-4.59999999999999</c:v>
                </c:pt>
                <c:pt idx="930">
                  <c:v>-4</c:v>
                </c:pt>
                <c:pt idx="931">
                  <c:v>-3.59999999999999</c:v>
                </c:pt>
                <c:pt idx="932">
                  <c:v>-3.09999999999999</c:v>
                </c:pt>
                <c:pt idx="933">
                  <c:v>-3</c:v>
                </c:pt>
                <c:pt idx="934">
                  <c:v>-2.80000000000001</c:v>
                </c:pt>
                <c:pt idx="935">
                  <c:v>-2.40000000000001</c:v>
                </c:pt>
                <c:pt idx="936">
                  <c:v>-2.19999999999999</c:v>
                </c:pt>
                <c:pt idx="937">
                  <c:v>-2.19999999999999</c:v>
                </c:pt>
                <c:pt idx="938">
                  <c:v>-2.19999999999999</c:v>
                </c:pt>
                <c:pt idx="939">
                  <c:v>-2.30000000000001</c:v>
                </c:pt>
                <c:pt idx="940">
                  <c:v>-2.40000000000001</c:v>
                </c:pt>
                <c:pt idx="941">
                  <c:v>-2.5</c:v>
                </c:pt>
                <c:pt idx="942">
                  <c:v>-2.5</c:v>
                </c:pt>
                <c:pt idx="943">
                  <c:v>-2.59999999999999</c:v>
                </c:pt>
                <c:pt idx="944">
                  <c:v>-2.69999999999999</c:v>
                </c:pt>
                <c:pt idx="945">
                  <c:v>-2.80000000000001</c:v>
                </c:pt>
                <c:pt idx="946">
                  <c:v>-2.90000000000001</c:v>
                </c:pt>
                <c:pt idx="947">
                  <c:v>-3.19999999999999</c:v>
                </c:pt>
                <c:pt idx="948">
                  <c:v>-3.80000000000001</c:v>
                </c:pt>
                <c:pt idx="949">
                  <c:v>-4.09999999999999</c:v>
                </c:pt>
                <c:pt idx="950">
                  <c:v>-4.69999999999999</c:v>
                </c:pt>
                <c:pt idx="951">
                  <c:v>-4.90000000000001</c:v>
                </c:pt>
                <c:pt idx="952">
                  <c:v>-5.19999999999999</c:v>
                </c:pt>
                <c:pt idx="953">
                  <c:v>-5.80000000000001</c:v>
                </c:pt>
                <c:pt idx="954">
                  <c:v>-6.09999999999999</c:v>
                </c:pt>
                <c:pt idx="955">
                  <c:v>-6.69999999999999</c:v>
                </c:pt>
                <c:pt idx="956">
                  <c:v>-6.80000000000001</c:v>
                </c:pt>
                <c:pt idx="957">
                  <c:v>-6.90000000000001</c:v>
                </c:pt>
                <c:pt idx="958">
                  <c:v>-6.90000000000001</c:v>
                </c:pt>
                <c:pt idx="959">
                  <c:v>-6.90000000000001</c:v>
                </c:pt>
                <c:pt idx="960">
                  <c:v>-6.80000000000001</c:v>
                </c:pt>
                <c:pt idx="961">
                  <c:v>-6.80000000000001</c:v>
                </c:pt>
                <c:pt idx="962">
                  <c:v>-6.69999999999999</c:v>
                </c:pt>
                <c:pt idx="963">
                  <c:v>-6.59999999999999</c:v>
                </c:pt>
                <c:pt idx="964">
                  <c:v>-6.59999999999999</c:v>
                </c:pt>
                <c:pt idx="965">
                  <c:v>-6.5</c:v>
                </c:pt>
                <c:pt idx="966">
                  <c:v>-6.40000000000001</c:v>
                </c:pt>
                <c:pt idx="967">
                  <c:v>-6.30000000000001</c:v>
                </c:pt>
                <c:pt idx="968">
                  <c:v>-6.19999999999999</c:v>
                </c:pt>
                <c:pt idx="969">
                  <c:v>-6.09999999999999</c:v>
                </c:pt>
                <c:pt idx="970">
                  <c:v>-6</c:v>
                </c:pt>
                <c:pt idx="971">
                  <c:v>-5.80000000000001</c:v>
                </c:pt>
                <c:pt idx="972">
                  <c:v>-5.40000000000001</c:v>
                </c:pt>
                <c:pt idx="973">
                  <c:v>-5.09999999999999</c:v>
                </c:pt>
                <c:pt idx="974">
                  <c:v>-4.90000000000001</c:v>
                </c:pt>
                <c:pt idx="975">
                  <c:v>-4.40000000000001</c:v>
                </c:pt>
                <c:pt idx="976">
                  <c:v>-4.19999999999999</c:v>
                </c:pt>
                <c:pt idx="977">
                  <c:v>-4.09999999999999</c:v>
                </c:pt>
                <c:pt idx="978">
                  <c:v>-4</c:v>
                </c:pt>
                <c:pt idx="979">
                  <c:v>-4</c:v>
                </c:pt>
                <c:pt idx="980">
                  <c:v>-3.5</c:v>
                </c:pt>
                <c:pt idx="981">
                  <c:v>-3.40000000000001</c:v>
                </c:pt>
                <c:pt idx="982">
                  <c:v>-3.40000000000001</c:v>
                </c:pt>
                <c:pt idx="983">
                  <c:v>-3.40000000000001</c:v>
                </c:pt>
                <c:pt idx="984">
                  <c:v>-3.40000000000001</c:v>
                </c:pt>
                <c:pt idx="985">
                  <c:v>-3.40000000000001</c:v>
                </c:pt>
                <c:pt idx="986">
                  <c:v>-3.5</c:v>
                </c:pt>
                <c:pt idx="987">
                  <c:v>-3.59999999999999</c:v>
                </c:pt>
                <c:pt idx="988">
                  <c:v>-3.59999999999999</c:v>
                </c:pt>
                <c:pt idx="989">
                  <c:v>-3.69999999999999</c:v>
                </c:pt>
                <c:pt idx="990">
                  <c:v>-3.80000000000001</c:v>
                </c:pt>
                <c:pt idx="991">
                  <c:v>-3.90000000000001</c:v>
                </c:pt>
                <c:pt idx="992">
                  <c:v>-4</c:v>
                </c:pt>
                <c:pt idx="993">
                  <c:v>-4.5</c:v>
                </c:pt>
                <c:pt idx="994">
                  <c:v>-4.69999999999999</c:v>
                </c:pt>
                <c:pt idx="995">
                  <c:v>-4.90000000000001</c:v>
                </c:pt>
                <c:pt idx="996">
                  <c:v>-4.90000000000001</c:v>
                </c:pt>
                <c:pt idx="997">
                  <c:v>-5</c:v>
                </c:pt>
                <c:pt idx="998">
                  <c:v>-5.5</c:v>
                </c:pt>
                <c:pt idx="999">
                  <c:v>-5.59999999999999</c:v>
                </c:pt>
                <c:pt idx="1000">
                  <c:v>-5.80000000000001</c:v>
                </c:pt>
                <c:pt idx="1001">
                  <c:v>-5.90000000000001</c:v>
                </c:pt>
                <c:pt idx="1002">
                  <c:v>-5.90000000000001</c:v>
                </c:pt>
                <c:pt idx="1003">
                  <c:v>-5.90000000000001</c:v>
                </c:pt>
                <c:pt idx="1004">
                  <c:v>-5.80000000000001</c:v>
                </c:pt>
                <c:pt idx="1005">
                  <c:v>-5.80000000000001</c:v>
                </c:pt>
                <c:pt idx="1006">
                  <c:v>-5.69999999999999</c:v>
                </c:pt>
                <c:pt idx="1007">
                  <c:v>-5.59999999999999</c:v>
                </c:pt>
                <c:pt idx="1008">
                  <c:v>-5.59999999999999</c:v>
                </c:pt>
                <c:pt idx="1009">
                  <c:v>-5.5</c:v>
                </c:pt>
                <c:pt idx="1010">
                  <c:v>-5.5</c:v>
                </c:pt>
                <c:pt idx="1011">
                  <c:v>-5.40000000000001</c:v>
                </c:pt>
                <c:pt idx="1012">
                  <c:v>-5.30000000000001</c:v>
                </c:pt>
                <c:pt idx="1013">
                  <c:v>-5.19999999999999</c:v>
                </c:pt>
                <c:pt idx="1014">
                  <c:v>-5.09999999999999</c:v>
                </c:pt>
                <c:pt idx="1015">
                  <c:v>-5</c:v>
                </c:pt>
                <c:pt idx="1016">
                  <c:v>-5</c:v>
                </c:pt>
                <c:pt idx="1017">
                  <c:v>-5</c:v>
                </c:pt>
                <c:pt idx="1018">
                  <c:v>-4.59999999999999</c:v>
                </c:pt>
                <c:pt idx="1019">
                  <c:v>-4.40000000000001</c:v>
                </c:pt>
                <c:pt idx="1020">
                  <c:v>-4.19999999999999</c:v>
                </c:pt>
                <c:pt idx="1021">
                  <c:v>-4.09999999999999</c:v>
                </c:pt>
                <c:pt idx="1022">
                  <c:v>-4.09999999999999</c:v>
                </c:pt>
                <c:pt idx="1023">
                  <c:v>-4.19999999999999</c:v>
                </c:pt>
                <c:pt idx="1024">
                  <c:v>-4.09999999999999</c:v>
                </c:pt>
                <c:pt idx="1025">
                  <c:v>-4.19999999999999</c:v>
                </c:pt>
                <c:pt idx="1026">
                  <c:v>-4.19999999999999</c:v>
                </c:pt>
                <c:pt idx="1027">
                  <c:v>-4.30000000000001</c:v>
                </c:pt>
                <c:pt idx="1028">
                  <c:v>-4.40000000000001</c:v>
                </c:pt>
                <c:pt idx="1029">
                  <c:v>-4.40000000000001</c:v>
                </c:pt>
                <c:pt idx="1030">
                  <c:v>-4.5</c:v>
                </c:pt>
                <c:pt idx="1031">
                  <c:v>-4.59999999999999</c:v>
                </c:pt>
                <c:pt idx="1032">
                  <c:v>-4.59999999999999</c:v>
                </c:pt>
                <c:pt idx="1033">
                  <c:v>-4.69999999999999</c:v>
                </c:pt>
                <c:pt idx="1034">
                  <c:v>-4.80000000000001</c:v>
                </c:pt>
                <c:pt idx="1035">
                  <c:v>-4.90000000000001</c:v>
                </c:pt>
                <c:pt idx="1036">
                  <c:v>-5</c:v>
                </c:pt>
                <c:pt idx="1037">
                  <c:v>-5</c:v>
                </c:pt>
                <c:pt idx="1038">
                  <c:v>-5</c:v>
                </c:pt>
                <c:pt idx="1039">
                  <c:v>-5.5</c:v>
                </c:pt>
                <c:pt idx="1040">
                  <c:v>-5.69999999999999</c:v>
                </c:pt>
                <c:pt idx="1041">
                  <c:v>-5.80000000000001</c:v>
                </c:pt>
                <c:pt idx="1042">
                  <c:v>-5.90000000000001</c:v>
                </c:pt>
                <c:pt idx="1043">
                  <c:v>-5.90000000000001</c:v>
                </c:pt>
                <c:pt idx="1044">
                  <c:v>-5.80000000000001</c:v>
                </c:pt>
                <c:pt idx="1045">
                  <c:v>-5.80000000000001</c:v>
                </c:pt>
                <c:pt idx="1046">
                  <c:v>-5.80000000000001</c:v>
                </c:pt>
                <c:pt idx="1047">
                  <c:v>-5.69999999999999</c:v>
                </c:pt>
                <c:pt idx="1048">
                  <c:v>-5.69999999999999</c:v>
                </c:pt>
                <c:pt idx="1049">
                  <c:v>-5.59999999999999</c:v>
                </c:pt>
                <c:pt idx="1050">
                  <c:v>-5.59999999999999</c:v>
                </c:pt>
                <c:pt idx="1051">
                  <c:v>-5.5</c:v>
                </c:pt>
                <c:pt idx="1052">
                  <c:v>-5.5</c:v>
                </c:pt>
                <c:pt idx="1053">
                  <c:v>-5.40000000000001</c:v>
                </c:pt>
                <c:pt idx="1054">
                  <c:v>-5.30000000000001</c:v>
                </c:pt>
                <c:pt idx="1055">
                  <c:v>-5.19999999999999</c:v>
                </c:pt>
                <c:pt idx="1056">
                  <c:v>-5.19999999999999</c:v>
                </c:pt>
                <c:pt idx="1057">
                  <c:v>-5.09999999999999</c:v>
                </c:pt>
                <c:pt idx="1058">
                  <c:v>-5</c:v>
                </c:pt>
                <c:pt idx="1059">
                  <c:v>-5</c:v>
                </c:pt>
                <c:pt idx="1060">
                  <c:v>-4.40000000000001</c:v>
                </c:pt>
                <c:pt idx="1061">
                  <c:v>-4.19999999999999</c:v>
                </c:pt>
                <c:pt idx="1062">
                  <c:v>-4.09999999999999</c:v>
                </c:pt>
                <c:pt idx="1063">
                  <c:v>-4.09999999999999</c:v>
                </c:pt>
                <c:pt idx="1064">
                  <c:v>-4</c:v>
                </c:pt>
                <c:pt idx="1065">
                  <c:v>-4.09999999999999</c:v>
                </c:pt>
                <c:pt idx="1066">
                  <c:v>-4.09999999999999</c:v>
                </c:pt>
                <c:pt idx="1067">
                  <c:v>-4.09999999999999</c:v>
                </c:pt>
                <c:pt idx="1068">
                  <c:v>-4.19999999999999</c:v>
                </c:pt>
                <c:pt idx="1069">
                  <c:v>-4.30000000000001</c:v>
                </c:pt>
                <c:pt idx="1070">
                  <c:v>-4.30000000000001</c:v>
                </c:pt>
                <c:pt idx="1071">
                  <c:v>-4.40000000000001</c:v>
                </c:pt>
                <c:pt idx="1072">
                  <c:v>-4.5</c:v>
                </c:pt>
                <c:pt idx="1073">
                  <c:v>-4.5</c:v>
                </c:pt>
                <c:pt idx="1074">
                  <c:v>-4.59999999999999</c:v>
                </c:pt>
                <c:pt idx="1075">
                  <c:v>-4.69999999999999</c:v>
                </c:pt>
                <c:pt idx="1076">
                  <c:v>-4.80000000000001</c:v>
                </c:pt>
                <c:pt idx="1077">
                  <c:v>-4.90000000000001</c:v>
                </c:pt>
                <c:pt idx="1078">
                  <c:v>-5</c:v>
                </c:pt>
                <c:pt idx="1079">
                  <c:v>-5</c:v>
                </c:pt>
                <c:pt idx="1080">
                  <c:v>-5.5</c:v>
                </c:pt>
                <c:pt idx="1081">
                  <c:v>-5.69999999999999</c:v>
                </c:pt>
                <c:pt idx="1082">
                  <c:v>-5.90000000000001</c:v>
                </c:pt>
                <c:pt idx="1083">
                  <c:v>-6.09999999999999</c:v>
                </c:pt>
                <c:pt idx="1084">
                  <c:v>-6.5</c:v>
                </c:pt>
                <c:pt idx="1085">
                  <c:v>-6.69999999999999</c:v>
                </c:pt>
                <c:pt idx="1086">
                  <c:v>-6.80000000000001</c:v>
                </c:pt>
                <c:pt idx="1087">
                  <c:v>-6.80000000000001</c:v>
                </c:pt>
                <c:pt idx="1088">
                  <c:v>-6.80000000000001</c:v>
                </c:pt>
                <c:pt idx="1089">
                  <c:v>-6.80000000000001</c:v>
                </c:pt>
                <c:pt idx="1090">
                  <c:v>-6.80000000000001</c:v>
                </c:pt>
                <c:pt idx="1091">
                  <c:v>-6.69999999999999</c:v>
                </c:pt>
                <c:pt idx="1092">
                  <c:v>-6.59999999999999</c:v>
                </c:pt>
                <c:pt idx="1093">
                  <c:v>-6.59999999999999</c:v>
                </c:pt>
                <c:pt idx="1094">
                  <c:v>-6.5</c:v>
                </c:pt>
                <c:pt idx="1095">
                  <c:v>-6.40000000000001</c:v>
                </c:pt>
                <c:pt idx="1096">
                  <c:v>-6.30000000000001</c:v>
                </c:pt>
                <c:pt idx="1097">
                  <c:v>-6.19999999999999</c:v>
                </c:pt>
                <c:pt idx="1098">
                  <c:v>-6.09999999999999</c:v>
                </c:pt>
                <c:pt idx="1099">
                  <c:v>-6.09999999999999</c:v>
                </c:pt>
                <c:pt idx="1100">
                  <c:v>-6</c:v>
                </c:pt>
                <c:pt idx="1101">
                  <c:v>-5.40000000000001</c:v>
                </c:pt>
                <c:pt idx="1102">
                  <c:v>-5.19999999999999</c:v>
                </c:pt>
                <c:pt idx="1103">
                  <c:v>-4.90000000000001</c:v>
                </c:pt>
                <c:pt idx="1104">
                  <c:v>-4.40000000000001</c:v>
                </c:pt>
                <c:pt idx="1105">
                  <c:v>-4.09999999999999</c:v>
                </c:pt>
                <c:pt idx="1106">
                  <c:v>-4</c:v>
                </c:pt>
                <c:pt idx="1107">
                  <c:v>-3.90000000000001</c:v>
                </c:pt>
                <c:pt idx="1108">
                  <c:v>-3.40000000000001</c:v>
                </c:pt>
                <c:pt idx="1109">
                  <c:v>-3.19999999999999</c:v>
                </c:pt>
                <c:pt idx="1110">
                  <c:v>-3.09999999999999</c:v>
                </c:pt>
                <c:pt idx="1111">
                  <c:v>-3.19999999999999</c:v>
                </c:pt>
                <c:pt idx="1112">
                  <c:v>-3.19999999999999</c:v>
                </c:pt>
                <c:pt idx="1113">
                  <c:v>-3.30000000000001</c:v>
                </c:pt>
                <c:pt idx="1114">
                  <c:v>-3.40000000000001</c:v>
                </c:pt>
                <c:pt idx="1115">
                  <c:v>-3.40000000000001</c:v>
                </c:pt>
                <c:pt idx="1116">
                  <c:v>-3.5</c:v>
                </c:pt>
                <c:pt idx="1117">
                  <c:v>-3.59999999999999</c:v>
                </c:pt>
                <c:pt idx="1118">
                  <c:v>-3.59999999999999</c:v>
                </c:pt>
                <c:pt idx="1119">
                  <c:v>-3.69999999999999</c:v>
                </c:pt>
                <c:pt idx="1120">
                  <c:v>-3.90000000000001</c:v>
                </c:pt>
                <c:pt idx="1121">
                  <c:v>-4.09999999999999</c:v>
                </c:pt>
                <c:pt idx="1122">
                  <c:v>-4.69999999999999</c:v>
                </c:pt>
                <c:pt idx="1123">
                  <c:v>-4.90000000000001</c:v>
                </c:pt>
                <c:pt idx="1124">
                  <c:v>-5.19999999999999</c:v>
                </c:pt>
                <c:pt idx="1125">
                  <c:v>-5.80000000000001</c:v>
                </c:pt>
                <c:pt idx="1126">
                  <c:v>-6</c:v>
                </c:pt>
                <c:pt idx="1127">
                  <c:v>-6.40000000000001</c:v>
                </c:pt>
                <c:pt idx="1128">
                  <c:v>-6.80000000000001</c:v>
                </c:pt>
                <c:pt idx="1129">
                  <c:v>-7.09999999999999</c:v>
                </c:pt>
                <c:pt idx="1130">
                  <c:v>-7.59999999999999</c:v>
                </c:pt>
                <c:pt idx="1131">
                  <c:v>-7.80000000000001</c:v>
                </c:pt>
                <c:pt idx="1132">
                  <c:v>-7.90000000000001</c:v>
                </c:pt>
                <c:pt idx="1133">
                  <c:v>-7.90000000000001</c:v>
                </c:pt>
                <c:pt idx="1134">
                  <c:v>-7.90000000000001</c:v>
                </c:pt>
                <c:pt idx="1135">
                  <c:v>-7.90000000000001</c:v>
                </c:pt>
                <c:pt idx="1136">
                  <c:v>-7.80000000000001</c:v>
                </c:pt>
                <c:pt idx="1137">
                  <c:v>-7.69999999999999</c:v>
                </c:pt>
                <c:pt idx="1138">
                  <c:v>-7.59999999999999</c:v>
                </c:pt>
                <c:pt idx="1139">
                  <c:v>-7.5</c:v>
                </c:pt>
                <c:pt idx="1140">
                  <c:v>-7.40000000000001</c:v>
                </c:pt>
                <c:pt idx="1141">
                  <c:v>-7.30000000000001</c:v>
                </c:pt>
                <c:pt idx="1142">
                  <c:v>-7.19999999999999</c:v>
                </c:pt>
                <c:pt idx="1143">
                  <c:v>-7.09999999999999</c:v>
                </c:pt>
                <c:pt idx="1144">
                  <c:v>-6.90000000000001</c:v>
                </c:pt>
                <c:pt idx="1145">
                  <c:v>-6.30000000000001</c:v>
                </c:pt>
                <c:pt idx="1146">
                  <c:v>-6</c:v>
                </c:pt>
                <c:pt idx="1147">
                  <c:v>-5.90000000000001</c:v>
                </c:pt>
                <c:pt idx="1148">
                  <c:v>-5.30000000000001</c:v>
                </c:pt>
                <c:pt idx="1149">
                  <c:v>-5</c:v>
                </c:pt>
                <c:pt idx="1150">
                  <c:v>-4.69999999999999</c:v>
                </c:pt>
                <c:pt idx="1151">
                  <c:v>-4.19999999999999</c:v>
                </c:pt>
                <c:pt idx="1152">
                  <c:v>-4</c:v>
                </c:pt>
                <c:pt idx="1153">
                  <c:v>-4</c:v>
                </c:pt>
                <c:pt idx="1154">
                  <c:v>-3.80000000000001</c:v>
                </c:pt>
                <c:pt idx="1155">
                  <c:v>-3.5</c:v>
                </c:pt>
                <c:pt idx="1156">
                  <c:v>-3.30000000000001</c:v>
                </c:pt>
                <c:pt idx="1157">
                  <c:v>-3.30000000000001</c:v>
                </c:pt>
                <c:pt idx="1158">
                  <c:v>-3.30000000000001</c:v>
                </c:pt>
                <c:pt idx="1159">
                  <c:v>-3.40000000000001</c:v>
                </c:pt>
                <c:pt idx="1160">
                  <c:v>-3.40000000000001</c:v>
                </c:pt>
                <c:pt idx="1161">
                  <c:v>-3.5</c:v>
                </c:pt>
                <c:pt idx="1162">
                  <c:v>-3.59999999999999</c:v>
                </c:pt>
                <c:pt idx="1163">
                  <c:v>-3.69999999999999</c:v>
                </c:pt>
                <c:pt idx="1164">
                  <c:v>-3.80000000000001</c:v>
                </c:pt>
                <c:pt idx="1165">
                  <c:v>-3.90000000000001</c:v>
                </c:pt>
                <c:pt idx="1166">
                  <c:v>-4.09999999999999</c:v>
                </c:pt>
                <c:pt idx="1167">
                  <c:v>-4.59999999999999</c:v>
                </c:pt>
                <c:pt idx="1168">
                  <c:v>-4.90000000000001</c:v>
                </c:pt>
                <c:pt idx="1169">
                  <c:v>-5</c:v>
                </c:pt>
                <c:pt idx="1170">
                  <c:v>-5.69999999999999</c:v>
                </c:pt>
                <c:pt idx="1171">
                  <c:v>-6.09999999999999</c:v>
                </c:pt>
                <c:pt idx="1172">
                  <c:v>-6.69999999999999</c:v>
                </c:pt>
                <c:pt idx="1173">
                  <c:v>-7</c:v>
                </c:pt>
                <c:pt idx="1174">
                  <c:v>-7.19999999999999</c:v>
                </c:pt>
                <c:pt idx="1175">
                  <c:v>-7.59999999999999</c:v>
                </c:pt>
                <c:pt idx="1176">
                  <c:v>-7.80000000000001</c:v>
                </c:pt>
                <c:pt idx="1177">
                  <c:v>-7.80000000000001</c:v>
                </c:pt>
                <c:pt idx="1178">
                  <c:v>-7.90000000000001</c:v>
                </c:pt>
                <c:pt idx="1179">
                  <c:v>-7.90000000000001</c:v>
                </c:pt>
                <c:pt idx="1180">
                  <c:v>-7.80000000000001</c:v>
                </c:pt>
                <c:pt idx="1181">
                  <c:v>-7.80000000000001</c:v>
                </c:pt>
                <c:pt idx="1182">
                  <c:v>-7.69999999999999</c:v>
                </c:pt>
                <c:pt idx="1183">
                  <c:v>-7.59999999999999</c:v>
                </c:pt>
                <c:pt idx="1184">
                  <c:v>-7.59999999999999</c:v>
                </c:pt>
                <c:pt idx="1185">
                  <c:v>-7.5</c:v>
                </c:pt>
                <c:pt idx="1186">
                  <c:v>-7.40000000000001</c:v>
                </c:pt>
                <c:pt idx="1187">
                  <c:v>-7.30000000000001</c:v>
                </c:pt>
                <c:pt idx="1188">
                  <c:v>-7.19999999999999</c:v>
                </c:pt>
                <c:pt idx="1189">
                  <c:v>-7.09999999999999</c:v>
                </c:pt>
                <c:pt idx="1190">
                  <c:v>-6.80000000000001</c:v>
                </c:pt>
                <c:pt idx="1191">
                  <c:v>-6.40000000000001</c:v>
                </c:pt>
                <c:pt idx="1192">
                  <c:v>-6.09999999999999</c:v>
                </c:pt>
                <c:pt idx="1193">
                  <c:v>-5.90000000000001</c:v>
                </c:pt>
                <c:pt idx="1194">
                  <c:v>-5.30000000000001</c:v>
                </c:pt>
                <c:pt idx="1195">
                  <c:v>-5.09999999999999</c:v>
                </c:pt>
                <c:pt idx="1196">
                  <c:v>-5</c:v>
                </c:pt>
                <c:pt idx="1197">
                  <c:v>-4.40000000000001</c:v>
                </c:pt>
                <c:pt idx="1198">
                  <c:v>-4.19999999999999</c:v>
                </c:pt>
                <c:pt idx="1199">
                  <c:v>-4.09999999999999</c:v>
                </c:pt>
                <c:pt idx="1200">
                  <c:v>-3.90000000000001</c:v>
                </c:pt>
                <c:pt idx="1201">
                  <c:v>-3.59999999999999</c:v>
                </c:pt>
                <c:pt idx="1202">
                  <c:v>-3.5</c:v>
                </c:pt>
                <c:pt idx="1203">
                  <c:v>-3.40000000000001</c:v>
                </c:pt>
                <c:pt idx="1204">
                  <c:v>-3.40000000000001</c:v>
                </c:pt>
                <c:pt idx="1205">
                  <c:v>-3.40000000000001</c:v>
                </c:pt>
                <c:pt idx="1206">
                  <c:v>-3.5</c:v>
                </c:pt>
                <c:pt idx="1207">
                  <c:v>-3.59999999999999</c:v>
                </c:pt>
                <c:pt idx="1208">
                  <c:v>-3.69999999999999</c:v>
                </c:pt>
                <c:pt idx="1209">
                  <c:v>-3.80000000000001</c:v>
                </c:pt>
                <c:pt idx="1210">
                  <c:v>-3.90000000000001</c:v>
                </c:pt>
                <c:pt idx="1211">
                  <c:v>-4</c:v>
                </c:pt>
                <c:pt idx="1212">
                  <c:v>-4.59999999999999</c:v>
                </c:pt>
                <c:pt idx="1213">
                  <c:v>-4.90000000000001</c:v>
                </c:pt>
                <c:pt idx="1214">
                  <c:v>-5.09999999999999</c:v>
                </c:pt>
                <c:pt idx="1215">
                  <c:v>-5.69999999999999</c:v>
                </c:pt>
                <c:pt idx="1216">
                  <c:v>-6</c:v>
                </c:pt>
                <c:pt idx="1217">
                  <c:v>-6.19999999999999</c:v>
                </c:pt>
                <c:pt idx="1218">
                  <c:v>-6.69999999999999</c:v>
                </c:pt>
                <c:pt idx="1219">
                  <c:v>-6.90000000000001</c:v>
                </c:pt>
                <c:pt idx="1220">
                  <c:v>-7.09999999999999</c:v>
                </c:pt>
                <c:pt idx="1221">
                  <c:v>-7.59999999999999</c:v>
                </c:pt>
                <c:pt idx="1222">
                  <c:v>-7.69999999999999</c:v>
                </c:pt>
                <c:pt idx="1223">
                  <c:v>-7.80000000000001</c:v>
                </c:pt>
                <c:pt idx="1224">
                  <c:v>-7.80000000000001</c:v>
                </c:pt>
                <c:pt idx="1225">
                  <c:v>-7.80000000000001</c:v>
                </c:pt>
                <c:pt idx="1226">
                  <c:v>-7.69999999999999</c:v>
                </c:pt>
                <c:pt idx="1227">
                  <c:v>-7.69999999999999</c:v>
                </c:pt>
                <c:pt idx="1228">
                  <c:v>-7.59999999999999</c:v>
                </c:pt>
                <c:pt idx="1229">
                  <c:v>-7.59999999999999</c:v>
                </c:pt>
                <c:pt idx="1230">
                  <c:v>-7.5</c:v>
                </c:pt>
                <c:pt idx="1231">
                  <c:v>-7.40000000000001</c:v>
                </c:pt>
                <c:pt idx="1232">
                  <c:v>-7.30000000000001</c:v>
                </c:pt>
                <c:pt idx="1233">
                  <c:v>-7.19999999999999</c:v>
                </c:pt>
                <c:pt idx="1234">
                  <c:v>-7</c:v>
                </c:pt>
                <c:pt idx="1235">
                  <c:v>-6.69999999999999</c:v>
                </c:pt>
                <c:pt idx="1236">
                  <c:v>-6.30000000000001</c:v>
                </c:pt>
                <c:pt idx="1237">
                  <c:v>-6.09999999999999</c:v>
                </c:pt>
                <c:pt idx="1238">
                  <c:v>-5.80000000000001</c:v>
                </c:pt>
                <c:pt idx="1239">
                  <c:v>-5.30000000000001</c:v>
                </c:pt>
                <c:pt idx="1240">
                  <c:v>-5.09999999999999</c:v>
                </c:pt>
                <c:pt idx="1241">
                  <c:v>-4.80000000000001</c:v>
                </c:pt>
                <c:pt idx="1242">
                  <c:v>-4.30000000000001</c:v>
                </c:pt>
                <c:pt idx="1243">
                  <c:v>-4.09999999999999</c:v>
                </c:pt>
                <c:pt idx="1244">
                  <c:v>-4.09999999999999</c:v>
                </c:pt>
                <c:pt idx="1245">
                  <c:v>-4</c:v>
                </c:pt>
                <c:pt idx="1246">
                  <c:v>-4</c:v>
                </c:pt>
                <c:pt idx="1247">
                  <c:v>-4.09999999999999</c:v>
                </c:pt>
                <c:pt idx="1248">
                  <c:v>-4.09999999999999</c:v>
                </c:pt>
                <c:pt idx="1249">
                  <c:v>-4.19999999999999</c:v>
                </c:pt>
                <c:pt idx="1250">
                  <c:v>-4.30000000000001</c:v>
                </c:pt>
                <c:pt idx="1251">
                  <c:v>-4.40000000000001</c:v>
                </c:pt>
                <c:pt idx="1252">
                  <c:v>-4.40000000000001</c:v>
                </c:pt>
                <c:pt idx="1253">
                  <c:v>-4.5</c:v>
                </c:pt>
                <c:pt idx="1254">
                  <c:v>-4.59999999999999</c:v>
                </c:pt>
                <c:pt idx="1255">
                  <c:v>-4.69999999999999</c:v>
                </c:pt>
                <c:pt idx="1256">
                  <c:v>-4.80000000000001</c:v>
                </c:pt>
                <c:pt idx="1257">
                  <c:v>-4.90000000000001</c:v>
                </c:pt>
                <c:pt idx="1258">
                  <c:v>-5.09999999999999</c:v>
                </c:pt>
                <c:pt idx="1259">
                  <c:v>-5.59999999999999</c:v>
                </c:pt>
                <c:pt idx="1260">
                  <c:v>-5.90000000000001</c:v>
                </c:pt>
                <c:pt idx="1261">
                  <c:v>-6.19999999999999</c:v>
                </c:pt>
                <c:pt idx="1262">
                  <c:v>-6.69999999999999</c:v>
                </c:pt>
                <c:pt idx="1263">
                  <c:v>-6.90000000000001</c:v>
                </c:pt>
                <c:pt idx="1264">
                  <c:v>-7.09999999999999</c:v>
                </c:pt>
                <c:pt idx="1265">
                  <c:v>-7.69999999999999</c:v>
                </c:pt>
                <c:pt idx="1266">
                  <c:v>-7.80000000000001</c:v>
                </c:pt>
                <c:pt idx="1267">
                  <c:v>-8</c:v>
                </c:pt>
                <c:pt idx="1268">
                  <c:v>-7.90000000000001</c:v>
                </c:pt>
                <c:pt idx="1269">
                  <c:v>-7.90000000000001</c:v>
                </c:pt>
                <c:pt idx="1270">
                  <c:v>-7.90000000000001</c:v>
                </c:pt>
                <c:pt idx="1271">
                  <c:v>-7.80000000000001</c:v>
                </c:pt>
                <c:pt idx="1272">
                  <c:v>-7.80000000000001</c:v>
                </c:pt>
                <c:pt idx="1273">
                  <c:v>-7.69999999999999</c:v>
                </c:pt>
                <c:pt idx="1274">
                  <c:v>-7.59999999999999</c:v>
                </c:pt>
                <c:pt idx="1275">
                  <c:v>-7.5</c:v>
                </c:pt>
                <c:pt idx="1276">
                  <c:v>-7.40000000000001</c:v>
                </c:pt>
                <c:pt idx="1277">
                  <c:v>-7.30000000000001</c:v>
                </c:pt>
                <c:pt idx="1278">
                  <c:v>-7.19999999999999</c:v>
                </c:pt>
                <c:pt idx="1279">
                  <c:v>-7</c:v>
                </c:pt>
                <c:pt idx="1280">
                  <c:v>-6.90000000000001</c:v>
                </c:pt>
                <c:pt idx="1281">
                  <c:v>-6.30000000000001</c:v>
                </c:pt>
                <c:pt idx="1282">
                  <c:v>-6.09999999999999</c:v>
                </c:pt>
                <c:pt idx="1283">
                  <c:v>-5.80000000000001</c:v>
                </c:pt>
                <c:pt idx="1284">
                  <c:v>-5.30000000000001</c:v>
                </c:pt>
                <c:pt idx="1285">
                  <c:v>-5</c:v>
                </c:pt>
                <c:pt idx="1286">
                  <c:v>-4.40000000000001</c:v>
                </c:pt>
                <c:pt idx="1287">
                  <c:v>-4.19999999999999</c:v>
                </c:pt>
                <c:pt idx="1288">
                  <c:v>-4.09999999999999</c:v>
                </c:pt>
                <c:pt idx="1289">
                  <c:v>-3.90000000000001</c:v>
                </c:pt>
                <c:pt idx="1290">
                  <c:v>-3.40000000000001</c:v>
                </c:pt>
                <c:pt idx="1291">
                  <c:v>-3.30000000000001</c:v>
                </c:pt>
                <c:pt idx="1292">
                  <c:v>-3.30000000000001</c:v>
                </c:pt>
                <c:pt idx="1293">
                  <c:v>-3.30000000000001</c:v>
                </c:pt>
                <c:pt idx="1294">
                  <c:v>-3.30000000000001</c:v>
                </c:pt>
                <c:pt idx="1295">
                  <c:v>-3.30000000000001</c:v>
                </c:pt>
                <c:pt idx="1296">
                  <c:v>-3.40000000000001</c:v>
                </c:pt>
                <c:pt idx="1297">
                  <c:v>-3.5</c:v>
                </c:pt>
                <c:pt idx="1298">
                  <c:v>-3.59999999999999</c:v>
                </c:pt>
                <c:pt idx="1299">
                  <c:v>-3.59999999999999</c:v>
                </c:pt>
                <c:pt idx="1300">
                  <c:v>-3.80000000000001</c:v>
                </c:pt>
                <c:pt idx="1301">
                  <c:v>-3.90000000000001</c:v>
                </c:pt>
                <c:pt idx="1302">
                  <c:v>-4</c:v>
                </c:pt>
                <c:pt idx="1303">
                  <c:v>-4.19999999999999</c:v>
                </c:pt>
                <c:pt idx="1304">
                  <c:v>-4.69999999999999</c:v>
                </c:pt>
                <c:pt idx="1305">
                  <c:v>-4.90000000000001</c:v>
                </c:pt>
                <c:pt idx="1306">
                  <c:v>-5.19999999999999</c:v>
                </c:pt>
                <c:pt idx="1307">
                  <c:v>-5.80000000000001</c:v>
                </c:pt>
                <c:pt idx="1308">
                  <c:v>-6.09999999999999</c:v>
                </c:pt>
                <c:pt idx="1309">
                  <c:v>-6.59999999999999</c:v>
                </c:pt>
                <c:pt idx="1310">
                  <c:v>-6.90000000000001</c:v>
                </c:pt>
                <c:pt idx="1311">
                  <c:v>-7</c:v>
                </c:pt>
                <c:pt idx="1312">
                  <c:v>-7.5</c:v>
                </c:pt>
                <c:pt idx="1313">
                  <c:v>-7.69999999999999</c:v>
                </c:pt>
                <c:pt idx="1314">
                  <c:v>-7.69999999999999</c:v>
                </c:pt>
                <c:pt idx="1315">
                  <c:v>-7.80000000000001</c:v>
                </c:pt>
                <c:pt idx="1316">
                  <c:v>-7.69999999999999</c:v>
                </c:pt>
                <c:pt idx="1317">
                  <c:v>-7.69999999999999</c:v>
                </c:pt>
                <c:pt idx="1318">
                  <c:v>-7.59999999999999</c:v>
                </c:pt>
                <c:pt idx="1319">
                  <c:v>-7.59999999999999</c:v>
                </c:pt>
                <c:pt idx="1320">
                  <c:v>-7.5</c:v>
                </c:pt>
                <c:pt idx="1321">
                  <c:v>-7.40000000000001</c:v>
                </c:pt>
                <c:pt idx="1322">
                  <c:v>-7.30000000000001</c:v>
                </c:pt>
                <c:pt idx="1323">
                  <c:v>-7.19999999999999</c:v>
                </c:pt>
                <c:pt idx="1324">
                  <c:v>-7.09999999999999</c:v>
                </c:pt>
                <c:pt idx="1325">
                  <c:v>-6.80000000000001</c:v>
                </c:pt>
                <c:pt idx="1326">
                  <c:v>-6.30000000000001</c:v>
                </c:pt>
                <c:pt idx="1327">
                  <c:v>-6.19999999999999</c:v>
                </c:pt>
                <c:pt idx="1328">
                  <c:v>-5.90000000000001</c:v>
                </c:pt>
                <c:pt idx="1329">
                  <c:v>-5.40000000000001</c:v>
                </c:pt>
                <c:pt idx="1330">
                  <c:v>-5.09999999999999</c:v>
                </c:pt>
                <c:pt idx="1331">
                  <c:v>-4.90000000000001</c:v>
                </c:pt>
                <c:pt idx="1332">
                  <c:v>-4.30000000000001</c:v>
                </c:pt>
                <c:pt idx="1333">
                  <c:v>-4.09999999999999</c:v>
                </c:pt>
                <c:pt idx="1334">
                  <c:v>-4.09999999999999</c:v>
                </c:pt>
                <c:pt idx="1335">
                  <c:v>-4</c:v>
                </c:pt>
                <c:pt idx="1336">
                  <c:v>-3.90000000000001</c:v>
                </c:pt>
                <c:pt idx="1337">
                  <c:v>-3.59999999999999</c:v>
                </c:pt>
                <c:pt idx="1338">
                  <c:v>-3.5</c:v>
                </c:pt>
                <c:pt idx="1339">
                  <c:v>-3.40000000000001</c:v>
                </c:pt>
                <c:pt idx="1340">
                  <c:v>-3.40000000000001</c:v>
                </c:pt>
                <c:pt idx="1341">
                  <c:v>-3.40000000000001</c:v>
                </c:pt>
                <c:pt idx="1342">
                  <c:v>-3.59999999999999</c:v>
                </c:pt>
                <c:pt idx="1343">
                  <c:v>-3.59999999999999</c:v>
                </c:pt>
                <c:pt idx="1344">
                  <c:v>-3.69999999999999</c:v>
                </c:pt>
                <c:pt idx="1345">
                  <c:v>-3.69999999999999</c:v>
                </c:pt>
                <c:pt idx="1346">
                  <c:v>-3.90000000000001</c:v>
                </c:pt>
                <c:pt idx="1347">
                  <c:v>-3.90000000000001</c:v>
                </c:pt>
                <c:pt idx="1348">
                  <c:v>-4.09999999999999</c:v>
                </c:pt>
                <c:pt idx="1349">
                  <c:v>-4.59999999999999</c:v>
                </c:pt>
                <c:pt idx="1350">
                  <c:v>-5</c:v>
                </c:pt>
                <c:pt idx="1351">
                  <c:v>-5.19999999999999</c:v>
                </c:pt>
                <c:pt idx="1352">
                  <c:v>-5.69999999999999</c:v>
                </c:pt>
                <c:pt idx="1353">
                  <c:v>-5.90000000000001</c:v>
                </c:pt>
                <c:pt idx="1354">
                  <c:v>-6.19999999999999</c:v>
                </c:pt>
                <c:pt idx="1355">
                  <c:v>-6.69999999999999</c:v>
                </c:pt>
                <c:pt idx="1356">
                  <c:v>-6.90000000000001</c:v>
                </c:pt>
                <c:pt idx="1357">
                  <c:v>-7</c:v>
                </c:pt>
                <c:pt idx="1358">
                  <c:v>-7</c:v>
                </c:pt>
                <c:pt idx="1359">
                  <c:v>-7.40000000000001</c:v>
                </c:pt>
                <c:pt idx="1360">
                  <c:v>-7.59999999999999</c:v>
                </c:pt>
                <c:pt idx="1361">
                  <c:v>-7.59999999999999</c:v>
                </c:pt>
                <c:pt idx="1362">
                  <c:v>-7.59999999999999</c:v>
                </c:pt>
                <c:pt idx="1363">
                  <c:v>-7.59999999999999</c:v>
                </c:pt>
                <c:pt idx="1364">
                  <c:v>-7.5</c:v>
                </c:pt>
                <c:pt idx="1365">
                  <c:v>-7.5</c:v>
                </c:pt>
                <c:pt idx="1366">
                  <c:v>-7.40000000000001</c:v>
                </c:pt>
                <c:pt idx="1367">
                  <c:v>-7.30000000000001</c:v>
                </c:pt>
                <c:pt idx="1368">
                  <c:v>-7.19999999999999</c:v>
                </c:pt>
                <c:pt idx="1369">
                  <c:v>-7.09999999999999</c:v>
                </c:pt>
                <c:pt idx="1370">
                  <c:v>-6.90000000000001</c:v>
                </c:pt>
                <c:pt idx="1371">
                  <c:v>-6.40000000000001</c:v>
                </c:pt>
                <c:pt idx="1372">
                  <c:v>-6.09999999999999</c:v>
                </c:pt>
                <c:pt idx="1373">
                  <c:v>-6</c:v>
                </c:pt>
                <c:pt idx="1374">
                  <c:v>-5.40000000000001</c:v>
                </c:pt>
                <c:pt idx="1375">
                  <c:v>-5.19999999999999</c:v>
                </c:pt>
                <c:pt idx="1376">
                  <c:v>-5</c:v>
                </c:pt>
                <c:pt idx="1377">
                  <c:v>-4.69999999999999</c:v>
                </c:pt>
                <c:pt idx="1378">
                  <c:v>-4.30000000000001</c:v>
                </c:pt>
                <c:pt idx="1379">
                  <c:v>-4.19999999999999</c:v>
                </c:pt>
                <c:pt idx="1380">
                  <c:v>-4.09999999999999</c:v>
                </c:pt>
                <c:pt idx="1381">
                  <c:v>-4.09999999999999</c:v>
                </c:pt>
                <c:pt idx="1382">
                  <c:v>-4.09999999999999</c:v>
                </c:pt>
                <c:pt idx="1383">
                  <c:v>-4.09999999999999</c:v>
                </c:pt>
                <c:pt idx="1384">
                  <c:v>-4.09999999999999</c:v>
                </c:pt>
                <c:pt idx="1385">
                  <c:v>-4.19999999999999</c:v>
                </c:pt>
                <c:pt idx="1386">
                  <c:v>-4.30000000000001</c:v>
                </c:pt>
                <c:pt idx="1387">
                  <c:v>-4.30000000000001</c:v>
                </c:pt>
                <c:pt idx="1388">
                  <c:v>-4.40000000000001</c:v>
                </c:pt>
                <c:pt idx="1389">
                  <c:v>-4.5</c:v>
                </c:pt>
                <c:pt idx="1390">
                  <c:v>-4.5</c:v>
                </c:pt>
                <c:pt idx="1391">
                  <c:v>-4.69999999999999</c:v>
                </c:pt>
                <c:pt idx="1392">
                  <c:v>-4.69999999999999</c:v>
                </c:pt>
                <c:pt idx="1393">
                  <c:v>-4.80000000000001</c:v>
                </c:pt>
                <c:pt idx="1394">
                  <c:v>-5</c:v>
                </c:pt>
                <c:pt idx="1395">
                  <c:v>-5.09999999999999</c:v>
                </c:pt>
                <c:pt idx="1396">
                  <c:v>-5.69999999999999</c:v>
                </c:pt>
                <c:pt idx="1397">
                  <c:v>-5.90000000000001</c:v>
                </c:pt>
                <c:pt idx="1398">
                  <c:v>-6.09999999999999</c:v>
                </c:pt>
                <c:pt idx="1399">
                  <c:v>-6.59999999999999</c:v>
                </c:pt>
                <c:pt idx="1400">
                  <c:v>-6.80000000000001</c:v>
                </c:pt>
                <c:pt idx="1401">
                  <c:v>-7</c:v>
                </c:pt>
                <c:pt idx="1402">
                  <c:v>-7.5</c:v>
                </c:pt>
                <c:pt idx="1403">
                  <c:v>-7.69999999999999</c:v>
                </c:pt>
                <c:pt idx="1404">
                  <c:v>-7.80000000000001</c:v>
                </c:pt>
                <c:pt idx="1405">
                  <c:v>-7.80000000000001</c:v>
                </c:pt>
                <c:pt idx="1406">
                  <c:v>-7.80000000000001</c:v>
                </c:pt>
                <c:pt idx="1407">
                  <c:v>-7.80000000000001</c:v>
                </c:pt>
                <c:pt idx="1408">
                  <c:v>-7.69999999999999</c:v>
                </c:pt>
                <c:pt idx="1409">
                  <c:v>-7.59999999999999</c:v>
                </c:pt>
                <c:pt idx="1410">
                  <c:v>-7.5</c:v>
                </c:pt>
                <c:pt idx="1411">
                  <c:v>-7.40000000000001</c:v>
                </c:pt>
                <c:pt idx="1412">
                  <c:v>-7.40000000000001</c:v>
                </c:pt>
                <c:pt idx="1413">
                  <c:v>-7.30000000000001</c:v>
                </c:pt>
                <c:pt idx="1414">
                  <c:v>-7.09999999999999</c:v>
                </c:pt>
                <c:pt idx="1415">
                  <c:v>-6.90000000000001</c:v>
                </c:pt>
                <c:pt idx="1416">
                  <c:v>-6.5</c:v>
                </c:pt>
                <c:pt idx="1417">
                  <c:v>-6.19999999999999</c:v>
                </c:pt>
                <c:pt idx="1418">
                  <c:v>-6.09999999999999</c:v>
                </c:pt>
                <c:pt idx="1419">
                  <c:v>-5.90000000000001</c:v>
                </c:pt>
                <c:pt idx="1420">
                  <c:v>-5.40000000000001</c:v>
                </c:pt>
                <c:pt idx="1421">
                  <c:v>-5.09999999999999</c:v>
                </c:pt>
                <c:pt idx="1422">
                  <c:v>-5</c:v>
                </c:pt>
                <c:pt idx="1423">
                  <c:v>-4.80000000000001</c:v>
                </c:pt>
                <c:pt idx="1424">
                  <c:v>-4.40000000000001</c:v>
                </c:pt>
                <c:pt idx="1425">
                  <c:v>-4.19999999999999</c:v>
                </c:pt>
                <c:pt idx="1426">
                  <c:v>-4.19999999999999</c:v>
                </c:pt>
                <c:pt idx="1427">
                  <c:v>-4.09999999999999</c:v>
                </c:pt>
                <c:pt idx="1428">
                  <c:v>-4.09999999999999</c:v>
                </c:pt>
                <c:pt idx="1429">
                  <c:v>-4.19999999999999</c:v>
                </c:pt>
                <c:pt idx="1430">
                  <c:v>-4.19999999999999</c:v>
                </c:pt>
                <c:pt idx="1431">
                  <c:v>-4.30000000000001</c:v>
                </c:pt>
                <c:pt idx="1432">
                  <c:v>-4.30000000000001</c:v>
                </c:pt>
                <c:pt idx="1433">
                  <c:v>-4.40000000000001</c:v>
                </c:pt>
                <c:pt idx="1434">
                  <c:v>-4.5</c:v>
                </c:pt>
                <c:pt idx="1435">
                  <c:v>-4.5</c:v>
                </c:pt>
                <c:pt idx="1436">
                  <c:v>-4.59999999999999</c:v>
                </c:pt>
                <c:pt idx="1437">
                  <c:v>-4.69999999999999</c:v>
                </c:pt>
                <c:pt idx="1438">
                  <c:v>-4.80000000000001</c:v>
                </c:pt>
                <c:pt idx="1439">
                  <c:v>-4.90000000000001</c:v>
                </c:pt>
                <c:pt idx="1440">
                  <c:v>-4.90000000000001</c:v>
                </c:pt>
                <c:pt idx="1441">
                  <c:v>-5.09999999999999</c:v>
                </c:pt>
                <c:pt idx="1442">
                  <c:v>-5.59999999999999</c:v>
                </c:pt>
                <c:pt idx="1443">
                  <c:v>-5.90000000000001</c:v>
                </c:pt>
                <c:pt idx="1444">
                  <c:v>-6.19999999999999</c:v>
                </c:pt>
                <c:pt idx="1445">
                  <c:v>-6.59999999999999</c:v>
                </c:pt>
                <c:pt idx="1446">
                  <c:v>-6.80000000000001</c:v>
                </c:pt>
                <c:pt idx="1447">
                  <c:v>-6.90000000000001</c:v>
                </c:pt>
                <c:pt idx="1448">
                  <c:v>-6.90000000000001</c:v>
                </c:pt>
                <c:pt idx="1449">
                  <c:v>-6.90000000000001</c:v>
                </c:pt>
                <c:pt idx="1450">
                  <c:v>-6.90000000000001</c:v>
                </c:pt>
                <c:pt idx="1451">
                  <c:v>-6.90000000000001</c:v>
                </c:pt>
                <c:pt idx="1452">
                  <c:v>-6.90000000000001</c:v>
                </c:pt>
                <c:pt idx="1453">
                  <c:v>-6.80000000000001</c:v>
                </c:pt>
                <c:pt idx="1454">
                  <c:v>-6.69999999999999</c:v>
                </c:pt>
                <c:pt idx="1455">
                  <c:v>-6.59999999999999</c:v>
                </c:pt>
                <c:pt idx="1456">
                  <c:v>-6.59999999999999</c:v>
                </c:pt>
                <c:pt idx="1457">
                  <c:v>-6.5</c:v>
                </c:pt>
                <c:pt idx="1458">
                  <c:v>-6.40000000000001</c:v>
                </c:pt>
                <c:pt idx="1459">
                  <c:v>-6.19999999999999</c:v>
                </c:pt>
                <c:pt idx="1460">
                  <c:v>-6.19999999999999</c:v>
                </c:pt>
                <c:pt idx="1461">
                  <c:v>-6</c:v>
                </c:pt>
                <c:pt idx="1462">
                  <c:v>-5.90000000000001</c:v>
                </c:pt>
                <c:pt idx="1463">
                  <c:v>-5.40000000000001</c:v>
                </c:pt>
                <c:pt idx="1464">
                  <c:v>-5.19999999999999</c:v>
                </c:pt>
                <c:pt idx="1465">
                  <c:v>-5</c:v>
                </c:pt>
                <c:pt idx="1466">
                  <c:v>-4.80000000000001</c:v>
                </c:pt>
                <c:pt idx="1467">
                  <c:v>-4.40000000000001</c:v>
                </c:pt>
                <c:pt idx="1468">
                  <c:v>-4.19999999999999</c:v>
                </c:pt>
                <c:pt idx="1469">
                  <c:v>-4.09999999999999</c:v>
                </c:pt>
                <c:pt idx="1470">
                  <c:v>-4</c:v>
                </c:pt>
                <c:pt idx="1471">
                  <c:v>-3.5</c:v>
                </c:pt>
                <c:pt idx="1472">
                  <c:v>-3.40000000000001</c:v>
                </c:pt>
                <c:pt idx="1473">
                  <c:v>-3.30000000000001</c:v>
                </c:pt>
                <c:pt idx="1474">
                  <c:v>-3.30000000000001</c:v>
                </c:pt>
                <c:pt idx="1475">
                  <c:v>-3.30000000000001</c:v>
                </c:pt>
                <c:pt idx="1476">
                  <c:v>-3.40000000000001</c:v>
                </c:pt>
                <c:pt idx="1477">
                  <c:v>-3.40000000000001</c:v>
                </c:pt>
                <c:pt idx="1478">
                  <c:v>-3.5</c:v>
                </c:pt>
                <c:pt idx="1479">
                  <c:v>-3.5</c:v>
                </c:pt>
                <c:pt idx="1480">
                  <c:v>-3.59999999999999</c:v>
                </c:pt>
                <c:pt idx="1481">
                  <c:v>-3.69999999999999</c:v>
                </c:pt>
                <c:pt idx="1482">
                  <c:v>-3.80000000000001</c:v>
                </c:pt>
                <c:pt idx="1483">
                  <c:v>-3.90000000000001</c:v>
                </c:pt>
                <c:pt idx="1484">
                  <c:v>-4.09999999999999</c:v>
                </c:pt>
                <c:pt idx="1485">
                  <c:v>-4.5</c:v>
                </c:pt>
                <c:pt idx="1486">
                  <c:v>-4.80000000000001</c:v>
                </c:pt>
                <c:pt idx="1487">
                  <c:v>-4.90000000000001</c:v>
                </c:pt>
                <c:pt idx="1488">
                  <c:v>-5.09999999999999</c:v>
                </c:pt>
                <c:pt idx="1489">
                  <c:v>-5.59999999999999</c:v>
                </c:pt>
                <c:pt idx="1490">
                  <c:v>-5.80000000000001</c:v>
                </c:pt>
                <c:pt idx="1491">
                  <c:v>-6</c:v>
                </c:pt>
                <c:pt idx="1492">
                  <c:v>-6.09999999999999</c:v>
                </c:pt>
                <c:pt idx="1493">
                  <c:v>-6.5</c:v>
                </c:pt>
                <c:pt idx="1494">
                  <c:v>-6.69999999999999</c:v>
                </c:pt>
                <c:pt idx="1495">
                  <c:v>-6.69999999999999</c:v>
                </c:pt>
                <c:pt idx="1496">
                  <c:v>-6.80000000000001</c:v>
                </c:pt>
                <c:pt idx="1497">
                  <c:v>-6.69999999999999</c:v>
                </c:pt>
                <c:pt idx="1498">
                  <c:v>-6.69999999999999</c:v>
                </c:pt>
                <c:pt idx="1499">
                  <c:v>-6.59999999999999</c:v>
                </c:pt>
                <c:pt idx="1500">
                  <c:v>-6.59999999999999</c:v>
                </c:pt>
                <c:pt idx="1501">
                  <c:v>-6.5</c:v>
                </c:pt>
                <c:pt idx="1502">
                  <c:v>-6.40000000000001</c:v>
                </c:pt>
                <c:pt idx="1503">
                  <c:v>-6.30000000000001</c:v>
                </c:pt>
                <c:pt idx="1504">
                  <c:v>-6.30000000000001</c:v>
                </c:pt>
                <c:pt idx="1505">
                  <c:v>-6.19999999999999</c:v>
                </c:pt>
                <c:pt idx="1506">
                  <c:v>-6.09999999999999</c:v>
                </c:pt>
                <c:pt idx="1507">
                  <c:v>-6</c:v>
                </c:pt>
                <c:pt idx="1508">
                  <c:v>-6</c:v>
                </c:pt>
                <c:pt idx="1509">
                  <c:v>-5.40000000000001</c:v>
                </c:pt>
                <c:pt idx="1510">
                  <c:v>-5.09999999999999</c:v>
                </c:pt>
                <c:pt idx="1511">
                  <c:v>-5</c:v>
                </c:pt>
                <c:pt idx="1512">
                  <c:v>-4.40000000000001</c:v>
                </c:pt>
                <c:pt idx="1513">
                  <c:v>-4.19999999999999</c:v>
                </c:pt>
                <c:pt idx="1514">
                  <c:v>-4.09999999999999</c:v>
                </c:pt>
                <c:pt idx="1515">
                  <c:v>-4</c:v>
                </c:pt>
                <c:pt idx="1516">
                  <c:v>-4</c:v>
                </c:pt>
                <c:pt idx="1517">
                  <c:v>-4</c:v>
                </c:pt>
                <c:pt idx="1518">
                  <c:v>-3.59999999999999</c:v>
                </c:pt>
                <c:pt idx="1519">
                  <c:v>-3.5</c:v>
                </c:pt>
                <c:pt idx="1520">
                  <c:v>-3.40000000000001</c:v>
                </c:pt>
                <c:pt idx="1521">
                  <c:v>-3.40000000000001</c:v>
                </c:pt>
                <c:pt idx="1522">
                  <c:v>-3.40000000000001</c:v>
                </c:pt>
                <c:pt idx="1523">
                  <c:v>-3.5</c:v>
                </c:pt>
                <c:pt idx="1524">
                  <c:v>-3.59999999999999</c:v>
                </c:pt>
                <c:pt idx="1525">
                  <c:v>-3.59999999999999</c:v>
                </c:pt>
                <c:pt idx="1526">
                  <c:v>-3.69999999999999</c:v>
                </c:pt>
                <c:pt idx="1527">
                  <c:v>-3.80000000000001</c:v>
                </c:pt>
                <c:pt idx="1528">
                  <c:v>-3.90000000000001</c:v>
                </c:pt>
                <c:pt idx="1529">
                  <c:v>-4</c:v>
                </c:pt>
                <c:pt idx="1530">
                  <c:v>-4.5</c:v>
                </c:pt>
                <c:pt idx="1531">
                  <c:v>-4.69999999999999</c:v>
                </c:pt>
                <c:pt idx="1532">
                  <c:v>-4.90000000000001</c:v>
                </c:pt>
                <c:pt idx="1533">
                  <c:v>-5.09999999999999</c:v>
                </c:pt>
                <c:pt idx="1534">
                  <c:v>-5.59999999999999</c:v>
                </c:pt>
                <c:pt idx="1535">
                  <c:v>-5.80000000000001</c:v>
                </c:pt>
                <c:pt idx="1536">
                  <c:v>-6</c:v>
                </c:pt>
                <c:pt idx="1537">
                  <c:v>-6.09999999999999</c:v>
                </c:pt>
                <c:pt idx="1538">
                  <c:v>-6.5</c:v>
                </c:pt>
                <c:pt idx="1539">
                  <c:v>-6.69999999999999</c:v>
                </c:pt>
                <c:pt idx="1540">
                  <c:v>-6.69999999999999</c:v>
                </c:pt>
                <c:pt idx="1541">
                  <c:v>-6.80000000000001</c:v>
                </c:pt>
                <c:pt idx="1542">
                  <c:v>-6.69999999999999</c:v>
                </c:pt>
                <c:pt idx="1543">
                  <c:v>-6.80000000000001</c:v>
                </c:pt>
                <c:pt idx="1544">
                  <c:v>-6.69999999999999</c:v>
                </c:pt>
                <c:pt idx="1545">
                  <c:v>-6.59999999999999</c:v>
                </c:pt>
                <c:pt idx="1546">
                  <c:v>-6.59999999999999</c:v>
                </c:pt>
                <c:pt idx="1547">
                  <c:v>-6.5</c:v>
                </c:pt>
                <c:pt idx="1548">
                  <c:v>-6.40000000000001</c:v>
                </c:pt>
                <c:pt idx="1549">
                  <c:v>-6.40000000000001</c:v>
                </c:pt>
                <c:pt idx="1550">
                  <c:v>-6.30000000000001</c:v>
                </c:pt>
                <c:pt idx="1551">
                  <c:v>-6.19999999999999</c:v>
                </c:pt>
                <c:pt idx="1552">
                  <c:v>-6.09999999999999</c:v>
                </c:pt>
                <c:pt idx="1553">
                  <c:v>-6.09999999999999</c:v>
                </c:pt>
                <c:pt idx="1554">
                  <c:v>-6</c:v>
                </c:pt>
                <c:pt idx="1555">
                  <c:v>-5.80000000000001</c:v>
                </c:pt>
                <c:pt idx="1556">
                  <c:v>-5.30000000000001</c:v>
                </c:pt>
                <c:pt idx="1557">
                  <c:v>-5.09999999999999</c:v>
                </c:pt>
                <c:pt idx="1558">
                  <c:v>-5</c:v>
                </c:pt>
                <c:pt idx="1559">
                  <c:v>-4.90000000000001</c:v>
                </c:pt>
                <c:pt idx="1560">
                  <c:v>-4.40000000000001</c:v>
                </c:pt>
                <c:pt idx="1561">
                  <c:v>-4.19999999999999</c:v>
                </c:pt>
                <c:pt idx="1562">
                  <c:v>-4.09999999999999</c:v>
                </c:pt>
                <c:pt idx="1563">
                  <c:v>-4.09999999999999</c:v>
                </c:pt>
                <c:pt idx="1564">
                  <c:v>-4.09999999999999</c:v>
                </c:pt>
                <c:pt idx="1565">
                  <c:v>-4.09999999999999</c:v>
                </c:pt>
                <c:pt idx="1566">
                  <c:v>-4.19999999999999</c:v>
                </c:pt>
                <c:pt idx="1567">
                  <c:v>-4.30000000000001</c:v>
                </c:pt>
                <c:pt idx="1568">
                  <c:v>-4.30000000000001</c:v>
                </c:pt>
                <c:pt idx="1569">
                  <c:v>-4.40000000000001</c:v>
                </c:pt>
                <c:pt idx="1570">
                  <c:v>-4.40000000000001</c:v>
                </c:pt>
                <c:pt idx="1571">
                  <c:v>-4.5</c:v>
                </c:pt>
                <c:pt idx="1572">
                  <c:v>-4.59999999999999</c:v>
                </c:pt>
                <c:pt idx="1573">
                  <c:v>-4.69999999999999</c:v>
                </c:pt>
                <c:pt idx="1574">
                  <c:v>-4.80000000000001</c:v>
                </c:pt>
                <c:pt idx="1575">
                  <c:v>-4.90000000000001</c:v>
                </c:pt>
                <c:pt idx="1576">
                  <c:v>-4.90000000000001</c:v>
                </c:pt>
                <c:pt idx="1577">
                  <c:v>-5</c:v>
                </c:pt>
                <c:pt idx="1578">
                  <c:v>-5.5</c:v>
                </c:pt>
                <c:pt idx="1579">
                  <c:v>-5.80000000000001</c:v>
                </c:pt>
                <c:pt idx="1580">
                  <c:v>-5.90000000000001</c:v>
                </c:pt>
                <c:pt idx="1581">
                  <c:v>-6.09999999999999</c:v>
                </c:pt>
                <c:pt idx="1582">
                  <c:v>-6.40000000000001</c:v>
                </c:pt>
                <c:pt idx="1583">
                  <c:v>-6.69999999999999</c:v>
                </c:pt>
                <c:pt idx="1584">
                  <c:v>-6.69999999999999</c:v>
                </c:pt>
                <c:pt idx="1585">
                  <c:v>-6.80000000000001</c:v>
                </c:pt>
                <c:pt idx="1586">
                  <c:v>-6.80000000000001</c:v>
                </c:pt>
                <c:pt idx="1587">
                  <c:v>-6.80000000000001</c:v>
                </c:pt>
                <c:pt idx="1588">
                  <c:v>-6.80000000000001</c:v>
                </c:pt>
                <c:pt idx="1589">
                  <c:v>-6.69999999999999</c:v>
                </c:pt>
                <c:pt idx="1590">
                  <c:v>-6.59999999999999</c:v>
                </c:pt>
                <c:pt idx="1591">
                  <c:v>-6.59999999999999</c:v>
                </c:pt>
                <c:pt idx="1592">
                  <c:v>-6.5</c:v>
                </c:pt>
                <c:pt idx="1593">
                  <c:v>-6.40000000000001</c:v>
                </c:pt>
                <c:pt idx="1594">
                  <c:v>-6.40000000000001</c:v>
                </c:pt>
                <c:pt idx="1595">
                  <c:v>-6.30000000000001</c:v>
                </c:pt>
                <c:pt idx="1596">
                  <c:v>-6.19999999999999</c:v>
                </c:pt>
                <c:pt idx="1597">
                  <c:v>-6.19999999999999</c:v>
                </c:pt>
                <c:pt idx="1598">
                  <c:v>-6.09999999999999</c:v>
                </c:pt>
                <c:pt idx="1599">
                  <c:v>-6</c:v>
                </c:pt>
                <c:pt idx="1600">
                  <c:v>-5.90000000000001</c:v>
                </c:pt>
                <c:pt idx="1601">
                  <c:v>-5.40000000000001</c:v>
                </c:pt>
                <c:pt idx="1602">
                  <c:v>-5.09999999999999</c:v>
                </c:pt>
                <c:pt idx="1603">
                  <c:v>-4.90000000000001</c:v>
                </c:pt>
                <c:pt idx="1604">
                  <c:v>-4.40000000000001</c:v>
                </c:pt>
                <c:pt idx="1605">
                  <c:v>-4.30000000000001</c:v>
                </c:pt>
                <c:pt idx="1606">
                  <c:v>-4.09999999999999</c:v>
                </c:pt>
                <c:pt idx="1607">
                  <c:v>-4</c:v>
                </c:pt>
                <c:pt idx="1608">
                  <c:v>-4.09999999999999</c:v>
                </c:pt>
                <c:pt idx="1609">
                  <c:v>-4</c:v>
                </c:pt>
                <c:pt idx="1610">
                  <c:v>-4.09999999999999</c:v>
                </c:pt>
                <c:pt idx="1611">
                  <c:v>-4.19999999999999</c:v>
                </c:pt>
                <c:pt idx="1612">
                  <c:v>-4.19999999999999</c:v>
                </c:pt>
                <c:pt idx="1613">
                  <c:v>-4.30000000000001</c:v>
                </c:pt>
                <c:pt idx="1614">
                  <c:v>-4.30000000000001</c:v>
                </c:pt>
                <c:pt idx="1615">
                  <c:v>-4.40000000000001</c:v>
                </c:pt>
                <c:pt idx="1616">
                  <c:v>-4.5</c:v>
                </c:pt>
                <c:pt idx="1617">
                  <c:v>-4.5</c:v>
                </c:pt>
                <c:pt idx="1618">
                  <c:v>-4.59999999999999</c:v>
                </c:pt>
                <c:pt idx="1619">
                  <c:v>-4.69999999999999</c:v>
                </c:pt>
                <c:pt idx="1620">
                  <c:v>-4.69999999999999</c:v>
                </c:pt>
                <c:pt idx="1621">
                  <c:v>-4.80000000000001</c:v>
                </c:pt>
                <c:pt idx="1622">
                  <c:v>-4.90000000000001</c:v>
                </c:pt>
                <c:pt idx="1623">
                  <c:v>-5</c:v>
                </c:pt>
                <c:pt idx="1624">
                  <c:v>-5.09999999999999</c:v>
                </c:pt>
                <c:pt idx="1625">
                  <c:v>-5.59999999999999</c:v>
                </c:pt>
                <c:pt idx="1626">
                  <c:v>-5.69999999999999</c:v>
                </c:pt>
                <c:pt idx="1627">
                  <c:v>-5.90000000000001</c:v>
                </c:pt>
                <c:pt idx="1628">
                  <c:v>-5.90000000000001</c:v>
                </c:pt>
                <c:pt idx="1629">
                  <c:v>-5.90000000000001</c:v>
                </c:pt>
                <c:pt idx="1630">
                  <c:v>-5.90000000000001</c:v>
                </c:pt>
                <c:pt idx="1631">
                  <c:v>-5.90000000000001</c:v>
                </c:pt>
                <c:pt idx="1632">
                  <c:v>-5.90000000000001</c:v>
                </c:pt>
                <c:pt idx="1633">
                  <c:v>-5.80000000000001</c:v>
                </c:pt>
                <c:pt idx="1634">
                  <c:v>-5.69999999999999</c:v>
                </c:pt>
                <c:pt idx="1635">
                  <c:v>-5.69999999999999</c:v>
                </c:pt>
                <c:pt idx="1636">
                  <c:v>-5.69999999999999</c:v>
                </c:pt>
                <c:pt idx="1637">
                  <c:v>-5.59999999999999</c:v>
                </c:pt>
                <c:pt idx="1638">
                  <c:v>-5.5</c:v>
                </c:pt>
                <c:pt idx="1639">
                  <c:v>-5.5</c:v>
                </c:pt>
                <c:pt idx="1640">
                  <c:v>-5.40000000000001</c:v>
                </c:pt>
                <c:pt idx="1641">
                  <c:v>-5.40000000000001</c:v>
                </c:pt>
                <c:pt idx="1642">
                  <c:v>-5.30000000000001</c:v>
                </c:pt>
                <c:pt idx="1643">
                  <c:v>-5.19999999999999</c:v>
                </c:pt>
                <c:pt idx="1644">
                  <c:v>-5.09999999999999</c:v>
                </c:pt>
                <c:pt idx="1645">
                  <c:v>-5</c:v>
                </c:pt>
                <c:pt idx="1646">
                  <c:v>-4.90000000000001</c:v>
                </c:pt>
                <c:pt idx="1647">
                  <c:v>-4.40000000000001</c:v>
                </c:pt>
                <c:pt idx="1648">
                  <c:v>-4.19999999999999</c:v>
                </c:pt>
                <c:pt idx="1649">
                  <c:v>-4.09999999999999</c:v>
                </c:pt>
                <c:pt idx="1650">
                  <c:v>-4</c:v>
                </c:pt>
                <c:pt idx="1651">
                  <c:v>-3.90000000000001</c:v>
                </c:pt>
                <c:pt idx="1652">
                  <c:v>-3.5</c:v>
                </c:pt>
                <c:pt idx="1653">
                  <c:v>-3.40000000000001</c:v>
                </c:pt>
                <c:pt idx="1654">
                  <c:v>-3.30000000000001</c:v>
                </c:pt>
                <c:pt idx="1655">
                  <c:v>-3.30000000000001</c:v>
                </c:pt>
                <c:pt idx="1656">
                  <c:v>-3.30000000000001</c:v>
                </c:pt>
                <c:pt idx="1657">
                  <c:v>-3.30000000000001</c:v>
                </c:pt>
                <c:pt idx="1658">
                  <c:v>-3.30000000000001</c:v>
                </c:pt>
                <c:pt idx="1659">
                  <c:v>-3.40000000000001</c:v>
                </c:pt>
                <c:pt idx="1660">
                  <c:v>-3.5</c:v>
                </c:pt>
                <c:pt idx="1661">
                  <c:v>-3.5</c:v>
                </c:pt>
                <c:pt idx="1662">
                  <c:v>-3.59999999999999</c:v>
                </c:pt>
                <c:pt idx="1663">
                  <c:v>-3.69999999999999</c:v>
                </c:pt>
                <c:pt idx="1664">
                  <c:v>-3.69999999999999</c:v>
                </c:pt>
                <c:pt idx="1665">
                  <c:v>-3.80000000000001</c:v>
                </c:pt>
                <c:pt idx="1666">
                  <c:v>-3.90000000000001</c:v>
                </c:pt>
                <c:pt idx="1667">
                  <c:v>-4</c:v>
                </c:pt>
                <c:pt idx="1668">
                  <c:v>-4.09999999999999</c:v>
                </c:pt>
                <c:pt idx="1669">
                  <c:v>-4.5</c:v>
                </c:pt>
                <c:pt idx="1670">
                  <c:v>-4.69999999999999</c:v>
                </c:pt>
                <c:pt idx="1671">
                  <c:v>-4.90000000000001</c:v>
                </c:pt>
                <c:pt idx="1672">
                  <c:v>-5</c:v>
                </c:pt>
                <c:pt idx="1673">
                  <c:v>-4.90000000000001</c:v>
                </c:pt>
                <c:pt idx="1674">
                  <c:v>-5</c:v>
                </c:pt>
                <c:pt idx="1675">
                  <c:v>-5</c:v>
                </c:pt>
                <c:pt idx="1676">
                  <c:v>-5.40000000000001</c:v>
                </c:pt>
                <c:pt idx="1677">
                  <c:v>-5.59999999999999</c:v>
                </c:pt>
                <c:pt idx="1678">
                  <c:v>-5.59999999999999</c:v>
                </c:pt>
                <c:pt idx="1679">
                  <c:v>-5.59999999999999</c:v>
                </c:pt>
                <c:pt idx="1680">
                  <c:v>-5.59999999999999</c:v>
                </c:pt>
                <c:pt idx="1681">
                  <c:v>-5.59999999999999</c:v>
                </c:pt>
                <c:pt idx="1682">
                  <c:v>-5.59999999999999</c:v>
                </c:pt>
                <c:pt idx="1683">
                  <c:v>-5.5</c:v>
                </c:pt>
                <c:pt idx="1684">
                  <c:v>-5.40000000000001</c:v>
                </c:pt>
                <c:pt idx="1685">
                  <c:v>-5.30000000000001</c:v>
                </c:pt>
                <c:pt idx="1686">
                  <c:v>-5.30000000000001</c:v>
                </c:pt>
                <c:pt idx="1687">
                  <c:v>-5.30000000000001</c:v>
                </c:pt>
                <c:pt idx="1688">
                  <c:v>-5.19999999999999</c:v>
                </c:pt>
                <c:pt idx="1689">
                  <c:v>-5.09999999999999</c:v>
                </c:pt>
                <c:pt idx="1690">
                  <c:v>-5.09999999999999</c:v>
                </c:pt>
                <c:pt idx="1691">
                  <c:v>-5</c:v>
                </c:pt>
                <c:pt idx="1692">
                  <c:v>-4.90000000000001</c:v>
                </c:pt>
                <c:pt idx="1693">
                  <c:v>-4.40000000000001</c:v>
                </c:pt>
                <c:pt idx="1694">
                  <c:v>-4.19999999999999</c:v>
                </c:pt>
                <c:pt idx="1695">
                  <c:v>-4.09999999999999</c:v>
                </c:pt>
                <c:pt idx="1696">
                  <c:v>-4</c:v>
                </c:pt>
                <c:pt idx="1697">
                  <c:v>-4</c:v>
                </c:pt>
                <c:pt idx="1698">
                  <c:v>-4</c:v>
                </c:pt>
                <c:pt idx="1699">
                  <c:v>-3.59999999999999</c:v>
                </c:pt>
                <c:pt idx="1700">
                  <c:v>-3.5</c:v>
                </c:pt>
                <c:pt idx="1701">
                  <c:v>-3.40000000000001</c:v>
                </c:pt>
                <c:pt idx="1702">
                  <c:v>-3.40000000000001</c:v>
                </c:pt>
                <c:pt idx="1703">
                  <c:v>-3.40000000000001</c:v>
                </c:pt>
                <c:pt idx="1704">
                  <c:v>-3.5</c:v>
                </c:pt>
                <c:pt idx="1705">
                  <c:v>-3.5</c:v>
                </c:pt>
                <c:pt idx="1706">
                  <c:v>-3.5</c:v>
                </c:pt>
                <c:pt idx="1707">
                  <c:v>-3.59999999999999</c:v>
                </c:pt>
                <c:pt idx="1708">
                  <c:v>-3.69999999999999</c:v>
                </c:pt>
                <c:pt idx="1709">
                  <c:v>-3.69999999999999</c:v>
                </c:pt>
                <c:pt idx="1710">
                  <c:v>-3.80000000000001</c:v>
                </c:pt>
                <c:pt idx="1711">
                  <c:v>-3.90000000000001</c:v>
                </c:pt>
                <c:pt idx="1712">
                  <c:v>-3.90000000000001</c:v>
                </c:pt>
                <c:pt idx="1713">
                  <c:v>-4</c:v>
                </c:pt>
                <c:pt idx="1714">
                  <c:v>-4.5</c:v>
                </c:pt>
                <c:pt idx="1715">
                  <c:v>-4.69999999999999</c:v>
                </c:pt>
                <c:pt idx="1716">
                  <c:v>-4.80000000000001</c:v>
                </c:pt>
                <c:pt idx="1717">
                  <c:v>-4.90000000000001</c:v>
                </c:pt>
                <c:pt idx="1718">
                  <c:v>-5</c:v>
                </c:pt>
                <c:pt idx="1719">
                  <c:v>-5</c:v>
                </c:pt>
                <c:pt idx="1720">
                  <c:v>-5</c:v>
                </c:pt>
                <c:pt idx="1721">
                  <c:v>-5</c:v>
                </c:pt>
                <c:pt idx="1722">
                  <c:v>-4.90000000000001</c:v>
                </c:pt>
                <c:pt idx="1723">
                  <c:v>-4.90000000000001</c:v>
                </c:pt>
                <c:pt idx="1724">
                  <c:v>-4.90000000000001</c:v>
                </c:pt>
                <c:pt idx="1725">
                  <c:v>-4.80000000000001</c:v>
                </c:pt>
                <c:pt idx="1726">
                  <c:v>-4.69999999999999</c:v>
                </c:pt>
                <c:pt idx="1727">
                  <c:v>-4.69999999999999</c:v>
                </c:pt>
                <c:pt idx="1728">
                  <c:v>-4.59999999999999</c:v>
                </c:pt>
                <c:pt idx="1729">
                  <c:v>-4.5</c:v>
                </c:pt>
                <c:pt idx="1730">
                  <c:v>-4.5</c:v>
                </c:pt>
                <c:pt idx="1731">
                  <c:v>-4.40000000000001</c:v>
                </c:pt>
                <c:pt idx="1732">
                  <c:v>-4.40000000000001</c:v>
                </c:pt>
                <c:pt idx="1733">
                  <c:v>-4.30000000000001</c:v>
                </c:pt>
                <c:pt idx="1734">
                  <c:v>-4.19999999999999</c:v>
                </c:pt>
                <c:pt idx="1735">
                  <c:v>-4.19999999999999</c:v>
                </c:pt>
                <c:pt idx="1736">
                  <c:v>-4.09999999999999</c:v>
                </c:pt>
                <c:pt idx="1737">
                  <c:v>-4.09999999999999</c:v>
                </c:pt>
                <c:pt idx="1738">
                  <c:v>-4</c:v>
                </c:pt>
                <c:pt idx="1739">
                  <c:v>-4</c:v>
                </c:pt>
                <c:pt idx="1740">
                  <c:v>-4</c:v>
                </c:pt>
                <c:pt idx="1741">
                  <c:v>-3.59999999999999</c:v>
                </c:pt>
                <c:pt idx="1742">
                  <c:v>-3.40000000000001</c:v>
                </c:pt>
                <c:pt idx="1743">
                  <c:v>-3.30000000000001</c:v>
                </c:pt>
                <c:pt idx="1744">
                  <c:v>-3.30000000000001</c:v>
                </c:pt>
                <c:pt idx="1745">
                  <c:v>-3.30000000000001</c:v>
                </c:pt>
                <c:pt idx="1746">
                  <c:v>-3.30000000000001</c:v>
                </c:pt>
                <c:pt idx="1747">
                  <c:v>-3.30000000000001</c:v>
                </c:pt>
                <c:pt idx="1748">
                  <c:v>-3.40000000000001</c:v>
                </c:pt>
                <c:pt idx="1749">
                  <c:v>-3.40000000000001</c:v>
                </c:pt>
                <c:pt idx="1750">
                  <c:v>-3.5</c:v>
                </c:pt>
                <c:pt idx="1751">
                  <c:v>-3.59999999999999</c:v>
                </c:pt>
                <c:pt idx="1752">
                  <c:v>-3.59999999999999</c:v>
                </c:pt>
                <c:pt idx="1753">
                  <c:v>-3.69999999999999</c:v>
                </c:pt>
                <c:pt idx="1754">
                  <c:v>-3.80000000000001</c:v>
                </c:pt>
                <c:pt idx="1755">
                  <c:v>-3.80000000000001</c:v>
                </c:pt>
                <c:pt idx="1756">
                  <c:v>-3.90000000000001</c:v>
                </c:pt>
                <c:pt idx="1757">
                  <c:v>-4</c:v>
                </c:pt>
                <c:pt idx="1758">
                  <c:v>-4</c:v>
                </c:pt>
                <c:pt idx="1759">
                  <c:v>-4.09999999999999</c:v>
                </c:pt>
                <c:pt idx="1760">
                  <c:v>-4.59999999999999</c:v>
                </c:pt>
                <c:pt idx="1761">
                  <c:v>-4.69999999999999</c:v>
                </c:pt>
                <c:pt idx="1762">
                  <c:v>-4.80000000000001</c:v>
                </c:pt>
                <c:pt idx="1763">
                  <c:v>-4.90000000000001</c:v>
                </c:pt>
                <c:pt idx="1764">
                  <c:v>-4.90000000000001</c:v>
                </c:pt>
                <c:pt idx="1765">
                  <c:v>-4.90000000000001</c:v>
                </c:pt>
                <c:pt idx="1766">
                  <c:v>-4.80000000000001</c:v>
                </c:pt>
                <c:pt idx="1767">
                  <c:v>-4.90000000000001</c:v>
                </c:pt>
                <c:pt idx="1768">
                  <c:v>-4.80000000000001</c:v>
                </c:pt>
                <c:pt idx="1769">
                  <c:v>-4.80000000000001</c:v>
                </c:pt>
                <c:pt idx="1770">
                  <c:v>-4.69999999999999</c:v>
                </c:pt>
                <c:pt idx="1771">
                  <c:v>-4.69999999999999</c:v>
                </c:pt>
                <c:pt idx="1772">
                  <c:v>-4.59999999999999</c:v>
                </c:pt>
                <c:pt idx="1773">
                  <c:v>-4.59999999999999</c:v>
                </c:pt>
                <c:pt idx="1774">
                  <c:v>-4.5</c:v>
                </c:pt>
                <c:pt idx="1775">
                  <c:v>-4.40000000000001</c:v>
                </c:pt>
                <c:pt idx="1776">
                  <c:v>-4.40000000000001</c:v>
                </c:pt>
                <c:pt idx="1777">
                  <c:v>-4.30000000000001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常压_a_20!$K$3</c:f>
              <c:strCache>
                <c:ptCount val="1"/>
                <c:pt idx="0">
                  <c:v>luma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常压_a_20!$I$4:$I$1781</c:f>
              <c:numCache>
                <c:formatCode>General</c:formatCode>
                <c:ptCount val="1778"/>
                <c:pt idx="0">
                  <c:v>0</c:v>
                </c:pt>
                <c:pt idx="1">
                  <c:v>0</c:v>
                </c:pt>
                <c:pt idx="2">
                  <c:v>0.05</c:v>
                </c:pt>
                <c:pt idx="3">
                  <c:v>0.1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0.2</c:v>
                </c:pt>
                <c:pt idx="8">
                  <c:v>0.25</c:v>
                </c:pt>
                <c:pt idx="9">
                  <c:v>0.3</c:v>
                </c:pt>
                <c:pt idx="10">
                  <c:v>0.3</c:v>
                </c:pt>
                <c:pt idx="11">
                  <c:v>0.35</c:v>
                </c:pt>
                <c:pt idx="12">
                  <c:v>0.4</c:v>
                </c:pt>
                <c:pt idx="13">
                  <c:v>0.4</c:v>
                </c:pt>
                <c:pt idx="14">
                  <c:v>0.45</c:v>
                </c:pt>
                <c:pt idx="15">
                  <c:v>0.5</c:v>
                </c:pt>
                <c:pt idx="16">
                  <c:v>0.5</c:v>
                </c:pt>
                <c:pt idx="17">
                  <c:v>0.55</c:v>
                </c:pt>
                <c:pt idx="18">
                  <c:v>0.6</c:v>
                </c:pt>
                <c:pt idx="19">
                  <c:v>0.6</c:v>
                </c:pt>
                <c:pt idx="20">
                  <c:v>0.65</c:v>
                </c:pt>
                <c:pt idx="21">
                  <c:v>0.7</c:v>
                </c:pt>
                <c:pt idx="22">
                  <c:v>0.7</c:v>
                </c:pt>
                <c:pt idx="23">
                  <c:v>0.75</c:v>
                </c:pt>
                <c:pt idx="24">
                  <c:v>0.8</c:v>
                </c:pt>
                <c:pt idx="25">
                  <c:v>0.8</c:v>
                </c:pt>
                <c:pt idx="26">
                  <c:v>0.85</c:v>
                </c:pt>
                <c:pt idx="27">
                  <c:v>0.9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  <c:pt idx="31">
                  <c:v>1</c:v>
                </c:pt>
                <c:pt idx="32">
                  <c:v>1.05</c:v>
                </c:pt>
                <c:pt idx="33">
                  <c:v>1.1</c:v>
                </c:pt>
                <c:pt idx="34">
                  <c:v>1.1</c:v>
                </c:pt>
                <c:pt idx="35">
                  <c:v>1.15</c:v>
                </c:pt>
                <c:pt idx="36">
                  <c:v>1.2</c:v>
                </c:pt>
                <c:pt idx="37">
                  <c:v>1.2</c:v>
                </c:pt>
                <c:pt idx="38">
                  <c:v>1.25</c:v>
                </c:pt>
                <c:pt idx="39">
                  <c:v>1.3</c:v>
                </c:pt>
                <c:pt idx="40">
                  <c:v>1.3</c:v>
                </c:pt>
                <c:pt idx="41">
                  <c:v>1.35</c:v>
                </c:pt>
                <c:pt idx="42">
                  <c:v>1.4</c:v>
                </c:pt>
                <c:pt idx="43">
                  <c:v>1.4</c:v>
                </c:pt>
                <c:pt idx="44">
                  <c:v>1.45</c:v>
                </c:pt>
                <c:pt idx="45">
                  <c:v>1.5</c:v>
                </c:pt>
                <c:pt idx="46">
                  <c:v>1.5</c:v>
                </c:pt>
                <c:pt idx="47">
                  <c:v>1.55</c:v>
                </c:pt>
                <c:pt idx="48">
                  <c:v>1.6</c:v>
                </c:pt>
                <c:pt idx="49">
                  <c:v>1.6</c:v>
                </c:pt>
                <c:pt idx="50">
                  <c:v>1.65</c:v>
                </c:pt>
                <c:pt idx="51">
                  <c:v>1.7</c:v>
                </c:pt>
                <c:pt idx="52">
                  <c:v>1.7</c:v>
                </c:pt>
                <c:pt idx="53">
                  <c:v>1.75</c:v>
                </c:pt>
                <c:pt idx="54">
                  <c:v>1.8</c:v>
                </c:pt>
                <c:pt idx="55">
                  <c:v>1.8</c:v>
                </c:pt>
                <c:pt idx="56">
                  <c:v>1.85</c:v>
                </c:pt>
                <c:pt idx="57">
                  <c:v>1.9</c:v>
                </c:pt>
                <c:pt idx="58">
                  <c:v>1.9</c:v>
                </c:pt>
                <c:pt idx="59">
                  <c:v>1.95</c:v>
                </c:pt>
                <c:pt idx="60">
                  <c:v>2</c:v>
                </c:pt>
                <c:pt idx="61">
                  <c:v>2</c:v>
                </c:pt>
                <c:pt idx="62">
                  <c:v>2.05</c:v>
                </c:pt>
                <c:pt idx="63">
                  <c:v>2.1</c:v>
                </c:pt>
                <c:pt idx="64">
                  <c:v>2.1</c:v>
                </c:pt>
                <c:pt idx="65">
                  <c:v>2.15</c:v>
                </c:pt>
                <c:pt idx="66">
                  <c:v>2.2</c:v>
                </c:pt>
                <c:pt idx="67">
                  <c:v>2.2</c:v>
                </c:pt>
                <c:pt idx="68">
                  <c:v>2.25</c:v>
                </c:pt>
                <c:pt idx="69">
                  <c:v>2.3</c:v>
                </c:pt>
                <c:pt idx="70">
                  <c:v>2.3</c:v>
                </c:pt>
                <c:pt idx="71">
                  <c:v>2.35</c:v>
                </c:pt>
                <c:pt idx="72">
                  <c:v>2.4</c:v>
                </c:pt>
                <c:pt idx="73">
                  <c:v>2.4</c:v>
                </c:pt>
                <c:pt idx="74">
                  <c:v>2.45</c:v>
                </c:pt>
                <c:pt idx="75">
                  <c:v>2.5</c:v>
                </c:pt>
                <c:pt idx="76">
                  <c:v>2.5</c:v>
                </c:pt>
                <c:pt idx="77">
                  <c:v>2.55</c:v>
                </c:pt>
                <c:pt idx="78">
                  <c:v>2.6</c:v>
                </c:pt>
                <c:pt idx="79">
                  <c:v>2.6</c:v>
                </c:pt>
                <c:pt idx="80">
                  <c:v>2.65</c:v>
                </c:pt>
                <c:pt idx="81">
                  <c:v>2.7</c:v>
                </c:pt>
                <c:pt idx="82">
                  <c:v>2.7</c:v>
                </c:pt>
                <c:pt idx="83">
                  <c:v>2.75</c:v>
                </c:pt>
                <c:pt idx="84">
                  <c:v>2.8</c:v>
                </c:pt>
                <c:pt idx="85">
                  <c:v>2.8</c:v>
                </c:pt>
                <c:pt idx="86">
                  <c:v>2.85</c:v>
                </c:pt>
                <c:pt idx="87">
                  <c:v>2.9</c:v>
                </c:pt>
                <c:pt idx="88">
                  <c:v>2.9</c:v>
                </c:pt>
                <c:pt idx="89">
                  <c:v>2.95</c:v>
                </c:pt>
                <c:pt idx="90">
                  <c:v>3</c:v>
                </c:pt>
                <c:pt idx="91">
                  <c:v>3</c:v>
                </c:pt>
                <c:pt idx="92">
                  <c:v>3.05</c:v>
                </c:pt>
                <c:pt idx="93">
                  <c:v>3.1</c:v>
                </c:pt>
                <c:pt idx="94">
                  <c:v>3.1</c:v>
                </c:pt>
                <c:pt idx="95">
                  <c:v>3.15</c:v>
                </c:pt>
                <c:pt idx="96">
                  <c:v>3.2</c:v>
                </c:pt>
                <c:pt idx="97">
                  <c:v>3.2</c:v>
                </c:pt>
                <c:pt idx="98">
                  <c:v>3.25</c:v>
                </c:pt>
                <c:pt idx="99">
                  <c:v>3.3</c:v>
                </c:pt>
                <c:pt idx="100">
                  <c:v>3.3</c:v>
                </c:pt>
                <c:pt idx="101">
                  <c:v>3.35</c:v>
                </c:pt>
                <c:pt idx="102">
                  <c:v>3.4</c:v>
                </c:pt>
                <c:pt idx="103">
                  <c:v>3.4</c:v>
                </c:pt>
                <c:pt idx="104">
                  <c:v>3.45</c:v>
                </c:pt>
                <c:pt idx="105">
                  <c:v>3.5</c:v>
                </c:pt>
                <c:pt idx="106">
                  <c:v>3.5</c:v>
                </c:pt>
                <c:pt idx="107">
                  <c:v>3.55</c:v>
                </c:pt>
                <c:pt idx="108">
                  <c:v>3.6</c:v>
                </c:pt>
                <c:pt idx="109">
                  <c:v>3.6</c:v>
                </c:pt>
                <c:pt idx="110">
                  <c:v>3.65</c:v>
                </c:pt>
                <c:pt idx="111">
                  <c:v>3.7</c:v>
                </c:pt>
                <c:pt idx="112">
                  <c:v>3.7</c:v>
                </c:pt>
                <c:pt idx="113">
                  <c:v>3.75</c:v>
                </c:pt>
                <c:pt idx="114">
                  <c:v>3.8</c:v>
                </c:pt>
                <c:pt idx="115">
                  <c:v>3.8</c:v>
                </c:pt>
                <c:pt idx="116">
                  <c:v>3.85</c:v>
                </c:pt>
                <c:pt idx="117">
                  <c:v>3.9</c:v>
                </c:pt>
                <c:pt idx="118">
                  <c:v>3.9</c:v>
                </c:pt>
                <c:pt idx="119">
                  <c:v>3.95</c:v>
                </c:pt>
                <c:pt idx="120">
                  <c:v>4</c:v>
                </c:pt>
                <c:pt idx="121">
                  <c:v>4</c:v>
                </c:pt>
                <c:pt idx="122">
                  <c:v>4.05</c:v>
                </c:pt>
                <c:pt idx="123">
                  <c:v>4.1</c:v>
                </c:pt>
                <c:pt idx="124">
                  <c:v>4.1</c:v>
                </c:pt>
                <c:pt idx="125">
                  <c:v>4.15</c:v>
                </c:pt>
                <c:pt idx="126">
                  <c:v>4.2</c:v>
                </c:pt>
                <c:pt idx="127">
                  <c:v>4.2</c:v>
                </c:pt>
                <c:pt idx="128">
                  <c:v>4.25</c:v>
                </c:pt>
                <c:pt idx="129">
                  <c:v>4.3</c:v>
                </c:pt>
                <c:pt idx="130">
                  <c:v>4.3</c:v>
                </c:pt>
                <c:pt idx="131">
                  <c:v>4.35</c:v>
                </c:pt>
                <c:pt idx="132">
                  <c:v>4.4</c:v>
                </c:pt>
                <c:pt idx="133">
                  <c:v>4.4</c:v>
                </c:pt>
                <c:pt idx="134">
                  <c:v>4.45</c:v>
                </c:pt>
                <c:pt idx="135">
                  <c:v>4.5</c:v>
                </c:pt>
                <c:pt idx="136">
                  <c:v>4.5</c:v>
                </c:pt>
                <c:pt idx="137">
                  <c:v>4.55</c:v>
                </c:pt>
                <c:pt idx="138">
                  <c:v>4.6</c:v>
                </c:pt>
                <c:pt idx="139">
                  <c:v>4.6</c:v>
                </c:pt>
                <c:pt idx="140">
                  <c:v>4.65</c:v>
                </c:pt>
                <c:pt idx="141">
                  <c:v>4.7</c:v>
                </c:pt>
                <c:pt idx="142">
                  <c:v>4.7</c:v>
                </c:pt>
                <c:pt idx="143">
                  <c:v>4.75</c:v>
                </c:pt>
                <c:pt idx="144">
                  <c:v>4.8</c:v>
                </c:pt>
                <c:pt idx="145">
                  <c:v>4.8</c:v>
                </c:pt>
                <c:pt idx="146">
                  <c:v>4.85</c:v>
                </c:pt>
                <c:pt idx="147">
                  <c:v>4.9</c:v>
                </c:pt>
                <c:pt idx="148">
                  <c:v>4.9</c:v>
                </c:pt>
                <c:pt idx="149">
                  <c:v>4.95</c:v>
                </c:pt>
                <c:pt idx="150">
                  <c:v>5</c:v>
                </c:pt>
                <c:pt idx="151">
                  <c:v>5</c:v>
                </c:pt>
                <c:pt idx="152">
                  <c:v>5.05</c:v>
                </c:pt>
                <c:pt idx="153">
                  <c:v>5.1</c:v>
                </c:pt>
                <c:pt idx="154">
                  <c:v>5.1</c:v>
                </c:pt>
                <c:pt idx="155">
                  <c:v>5.15</c:v>
                </c:pt>
                <c:pt idx="156">
                  <c:v>5.2</c:v>
                </c:pt>
                <c:pt idx="157">
                  <c:v>5.2</c:v>
                </c:pt>
                <c:pt idx="158">
                  <c:v>5.25</c:v>
                </c:pt>
                <c:pt idx="159">
                  <c:v>5.3</c:v>
                </c:pt>
                <c:pt idx="160">
                  <c:v>5.3</c:v>
                </c:pt>
                <c:pt idx="161">
                  <c:v>5.35</c:v>
                </c:pt>
                <c:pt idx="162">
                  <c:v>5.4</c:v>
                </c:pt>
                <c:pt idx="163">
                  <c:v>5.4</c:v>
                </c:pt>
                <c:pt idx="164">
                  <c:v>5.45</c:v>
                </c:pt>
                <c:pt idx="165">
                  <c:v>5.5</c:v>
                </c:pt>
                <c:pt idx="166">
                  <c:v>5.55</c:v>
                </c:pt>
                <c:pt idx="167">
                  <c:v>5.55</c:v>
                </c:pt>
                <c:pt idx="168">
                  <c:v>5.6</c:v>
                </c:pt>
                <c:pt idx="169">
                  <c:v>5.65</c:v>
                </c:pt>
                <c:pt idx="170">
                  <c:v>5.65</c:v>
                </c:pt>
                <c:pt idx="171">
                  <c:v>5.7</c:v>
                </c:pt>
                <c:pt idx="172">
                  <c:v>5.75</c:v>
                </c:pt>
                <c:pt idx="173">
                  <c:v>5.75</c:v>
                </c:pt>
                <c:pt idx="174">
                  <c:v>5.8</c:v>
                </c:pt>
                <c:pt idx="175">
                  <c:v>5.85</c:v>
                </c:pt>
                <c:pt idx="176">
                  <c:v>5.85</c:v>
                </c:pt>
                <c:pt idx="177">
                  <c:v>5.9</c:v>
                </c:pt>
                <c:pt idx="178">
                  <c:v>5.95</c:v>
                </c:pt>
                <c:pt idx="179">
                  <c:v>5.95</c:v>
                </c:pt>
                <c:pt idx="180">
                  <c:v>6</c:v>
                </c:pt>
                <c:pt idx="181">
                  <c:v>6.05</c:v>
                </c:pt>
                <c:pt idx="182">
                  <c:v>6.05</c:v>
                </c:pt>
                <c:pt idx="183">
                  <c:v>6.1</c:v>
                </c:pt>
                <c:pt idx="184">
                  <c:v>6.15</c:v>
                </c:pt>
                <c:pt idx="185">
                  <c:v>6.15</c:v>
                </c:pt>
                <c:pt idx="186">
                  <c:v>6.2</c:v>
                </c:pt>
                <c:pt idx="187">
                  <c:v>6.25</c:v>
                </c:pt>
                <c:pt idx="188">
                  <c:v>6.25</c:v>
                </c:pt>
                <c:pt idx="189">
                  <c:v>6.3</c:v>
                </c:pt>
                <c:pt idx="190">
                  <c:v>6.35</c:v>
                </c:pt>
                <c:pt idx="191">
                  <c:v>6.35</c:v>
                </c:pt>
                <c:pt idx="192">
                  <c:v>6.4</c:v>
                </c:pt>
                <c:pt idx="193">
                  <c:v>6.45</c:v>
                </c:pt>
                <c:pt idx="194">
                  <c:v>6.45</c:v>
                </c:pt>
                <c:pt idx="195">
                  <c:v>6.5</c:v>
                </c:pt>
                <c:pt idx="196">
                  <c:v>6.55</c:v>
                </c:pt>
                <c:pt idx="197">
                  <c:v>6.55</c:v>
                </c:pt>
                <c:pt idx="198">
                  <c:v>6.6</c:v>
                </c:pt>
                <c:pt idx="199">
                  <c:v>6.65</c:v>
                </c:pt>
                <c:pt idx="200">
                  <c:v>6.65</c:v>
                </c:pt>
                <c:pt idx="201">
                  <c:v>6.7</c:v>
                </c:pt>
                <c:pt idx="202">
                  <c:v>6.75</c:v>
                </c:pt>
                <c:pt idx="203">
                  <c:v>6.75</c:v>
                </c:pt>
                <c:pt idx="204">
                  <c:v>6.8</c:v>
                </c:pt>
                <c:pt idx="205">
                  <c:v>6.85</c:v>
                </c:pt>
                <c:pt idx="206">
                  <c:v>6.85</c:v>
                </c:pt>
                <c:pt idx="207">
                  <c:v>6.9</c:v>
                </c:pt>
                <c:pt idx="208">
                  <c:v>6.95</c:v>
                </c:pt>
                <c:pt idx="209">
                  <c:v>6.95</c:v>
                </c:pt>
                <c:pt idx="210">
                  <c:v>7</c:v>
                </c:pt>
                <c:pt idx="211">
                  <c:v>7.05</c:v>
                </c:pt>
                <c:pt idx="212">
                  <c:v>7.05</c:v>
                </c:pt>
                <c:pt idx="213">
                  <c:v>7.1</c:v>
                </c:pt>
                <c:pt idx="214">
                  <c:v>7.15</c:v>
                </c:pt>
                <c:pt idx="215">
                  <c:v>7.15</c:v>
                </c:pt>
                <c:pt idx="216">
                  <c:v>7.2</c:v>
                </c:pt>
                <c:pt idx="217">
                  <c:v>7.25</c:v>
                </c:pt>
                <c:pt idx="218">
                  <c:v>7.25</c:v>
                </c:pt>
                <c:pt idx="219">
                  <c:v>7.3</c:v>
                </c:pt>
                <c:pt idx="220">
                  <c:v>7.35</c:v>
                </c:pt>
                <c:pt idx="221">
                  <c:v>7.35</c:v>
                </c:pt>
                <c:pt idx="222">
                  <c:v>7.4</c:v>
                </c:pt>
                <c:pt idx="223">
                  <c:v>7.45</c:v>
                </c:pt>
                <c:pt idx="224">
                  <c:v>7.45</c:v>
                </c:pt>
                <c:pt idx="225">
                  <c:v>7.5</c:v>
                </c:pt>
                <c:pt idx="226">
                  <c:v>7.55</c:v>
                </c:pt>
                <c:pt idx="227">
                  <c:v>7.55</c:v>
                </c:pt>
                <c:pt idx="228">
                  <c:v>7.6</c:v>
                </c:pt>
                <c:pt idx="229">
                  <c:v>7.65</c:v>
                </c:pt>
                <c:pt idx="230">
                  <c:v>7.65</c:v>
                </c:pt>
                <c:pt idx="231">
                  <c:v>7.7</c:v>
                </c:pt>
                <c:pt idx="232">
                  <c:v>7.75</c:v>
                </c:pt>
                <c:pt idx="233">
                  <c:v>7.75</c:v>
                </c:pt>
                <c:pt idx="234">
                  <c:v>7.8</c:v>
                </c:pt>
                <c:pt idx="235">
                  <c:v>7.85</c:v>
                </c:pt>
                <c:pt idx="236">
                  <c:v>7.85</c:v>
                </c:pt>
                <c:pt idx="237">
                  <c:v>7.9</c:v>
                </c:pt>
                <c:pt idx="238">
                  <c:v>7.95</c:v>
                </c:pt>
                <c:pt idx="239">
                  <c:v>7.95</c:v>
                </c:pt>
                <c:pt idx="240">
                  <c:v>8</c:v>
                </c:pt>
                <c:pt idx="241">
                  <c:v>8.05</c:v>
                </c:pt>
                <c:pt idx="242">
                  <c:v>8.05</c:v>
                </c:pt>
                <c:pt idx="243">
                  <c:v>8.1</c:v>
                </c:pt>
                <c:pt idx="244">
                  <c:v>8.15</c:v>
                </c:pt>
                <c:pt idx="245">
                  <c:v>8.15</c:v>
                </c:pt>
                <c:pt idx="246">
                  <c:v>8.2</c:v>
                </c:pt>
                <c:pt idx="247">
                  <c:v>8.25</c:v>
                </c:pt>
                <c:pt idx="248">
                  <c:v>8.25</c:v>
                </c:pt>
                <c:pt idx="249">
                  <c:v>8.3</c:v>
                </c:pt>
                <c:pt idx="250">
                  <c:v>8.35</c:v>
                </c:pt>
                <c:pt idx="251">
                  <c:v>8.35</c:v>
                </c:pt>
                <c:pt idx="252">
                  <c:v>8.4</c:v>
                </c:pt>
                <c:pt idx="253">
                  <c:v>8.45</c:v>
                </c:pt>
                <c:pt idx="254">
                  <c:v>8.45</c:v>
                </c:pt>
                <c:pt idx="255">
                  <c:v>8.5</c:v>
                </c:pt>
                <c:pt idx="256">
                  <c:v>8.55</c:v>
                </c:pt>
                <c:pt idx="257">
                  <c:v>8.55</c:v>
                </c:pt>
                <c:pt idx="258">
                  <c:v>8.6</c:v>
                </c:pt>
                <c:pt idx="259">
                  <c:v>8.65</c:v>
                </c:pt>
                <c:pt idx="260">
                  <c:v>8.65</c:v>
                </c:pt>
                <c:pt idx="261">
                  <c:v>8.7</c:v>
                </c:pt>
                <c:pt idx="262">
                  <c:v>8.75</c:v>
                </c:pt>
                <c:pt idx="263">
                  <c:v>8.75</c:v>
                </c:pt>
                <c:pt idx="264">
                  <c:v>8.8</c:v>
                </c:pt>
                <c:pt idx="265">
                  <c:v>8.85</c:v>
                </c:pt>
                <c:pt idx="266">
                  <c:v>8.85</c:v>
                </c:pt>
                <c:pt idx="267">
                  <c:v>8.9</c:v>
                </c:pt>
                <c:pt idx="268">
                  <c:v>8.95</c:v>
                </c:pt>
                <c:pt idx="269">
                  <c:v>8.95</c:v>
                </c:pt>
                <c:pt idx="270">
                  <c:v>9</c:v>
                </c:pt>
                <c:pt idx="271">
                  <c:v>9.05</c:v>
                </c:pt>
                <c:pt idx="272">
                  <c:v>9.05</c:v>
                </c:pt>
                <c:pt idx="273">
                  <c:v>9.1</c:v>
                </c:pt>
                <c:pt idx="274">
                  <c:v>9.15</c:v>
                </c:pt>
                <c:pt idx="275">
                  <c:v>9.15</c:v>
                </c:pt>
                <c:pt idx="276">
                  <c:v>9.2</c:v>
                </c:pt>
                <c:pt idx="277">
                  <c:v>9.25</c:v>
                </c:pt>
                <c:pt idx="278">
                  <c:v>9.25</c:v>
                </c:pt>
                <c:pt idx="279">
                  <c:v>9.3</c:v>
                </c:pt>
                <c:pt idx="280">
                  <c:v>9.35</c:v>
                </c:pt>
                <c:pt idx="281">
                  <c:v>9.35</c:v>
                </c:pt>
                <c:pt idx="282">
                  <c:v>9.4</c:v>
                </c:pt>
                <c:pt idx="283">
                  <c:v>9.45</c:v>
                </c:pt>
                <c:pt idx="284">
                  <c:v>9.45</c:v>
                </c:pt>
                <c:pt idx="285">
                  <c:v>9.5</c:v>
                </c:pt>
                <c:pt idx="286">
                  <c:v>9.55</c:v>
                </c:pt>
                <c:pt idx="287">
                  <c:v>9.55</c:v>
                </c:pt>
                <c:pt idx="288">
                  <c:v>9.6</c:v>
                </c:pt>
                <c:pt idx="289">
                  <c:v>9.65</c:v>
                </c:pt>
                <c:pt idx="290">
                  <c:v>9.65</c:v>
                </c:pt>
                <c:pt idx="291">
                  <c:v>9.7</c:v>
                </c:pt>
                <c:pt idx="292">
                  <c:v>9.75</c:v>
                </c:pt>
                <c:pt idx="293">
                  <c:v>9.75</c:v>
                </c:pt>
                <c:pt idx="294">
                  <c:v>9.8</c:v>
                </c:pt>
                <c:pt idx="295">
                  <c:v>9.85</c:v>
                </c:pt>
                <c:pt idx="296">
                  <c:v>9.85</c:v>
                </c:pt>
                <c:pt idx="297">
                  <c:v>9.9</c:v>
                </c:pt>
                <c:pt idx="298">
                  <c:v>9.95</c:v>
                </c:pt>
                <c:pt idx="299">
                  <c:v>9.95</c:v>
                </c:pt>
                <c:pt idx="300">
                  <c:v>10</c:v>
                </c:pt>
                <c:pt idx="301">
                  <c:v>10.05</c:v>
                </c:pt>
                <c:pt idx="302">
                  <c:v>10.05</c:v>
                </c:pt>
                <c:pt idx="303">
                  <c:v>10.1</c:v>
                </c:pt>
                <c:pt idx="304">
                  <c:v>10.15</c:v>
                </c:pt>
                <c:pt idx="305">
                  <c:v>10.15</c:v>
                </c:pt>
                <c:pt idx="306">
                  <c:v>10.2</c:v>
                </c:pt>
                <c:pt idx="307">
                  <c:v>10.25</c:v>
                </c:pt>
                <c:pt idx="308">
                  <c:v>10.25</c:v>
                </c:pt>
                <c:pt idx="309">
                  <c:v>10.3</c:v>
                </c:pt>
                <c:pt idx="310">
                  <c:v>10.35</c:v>
                </c:pt>
                <c:pt idx="311">
                  <c:v>10.35</c:v>
                </c:pt>
                <c:pt idx="312">
                  <c:v>10.4</c:v>
                </c:pt>
                <c:pt idx="313">
                  <c:v>10.45</c:v>
                </c:pt>
                <c:pt idx="314">
                  <c:v>10.45</c:v>
                </c:pt>
                <c:pt idx="315">
                  <c:v>10.5</c:v>
                </c:pt>
                <c:pt idx="316">
                  <c:v>10.55</c:v>
                </c:pt>
                <c:pt idx="317">
                  <c:v>10.55</c:v>
                </c:pt>
                <c:pt idx="318">
                  <c:v>10.6</c:v>
                </c:pt>
                <c:pt idx="319">
                  <c:v>10.65</c:v>
                </c:pt>
                <c:pt idx="320">
                  <c:v>10.65</c:v>
                </c:pt>
                <c:pt idx="321">
                  <c:v>10.7</c:v>
                </c:pt>
                <c:pt idx="322">
                  <c:v>10.75</c:v>
                </c:pt>
                <c:pt idx="323">
                  <c:v>10.75</c:v>
                </c:pt>
                <c:pt idx="324">
                  <c:v>10.8</c:v>
                </c:pt>
                <c:pt idx="325">
                  <c:v>10.85</c:v>
                </c:pt>
                <c:pt idx="326">
                  <c:v>10.85</c:v>
                </c:pt>
                <c:pt idx="327">
                  <c:v>10.9</c:v>
                </c:pt>
                <c:pt idx="328">
                  <c:v>10.95</c:v>
                </c:pt>
                <c:pt idx="329">
                  <c:v>10.95</c:v>
                </c:pt>
                <c:pt idx="330">
                  <c:v>11</c:v>
                </c:pt>
                <c:pt idx="331">
                  <c:v>11.05</c:v>
                </c:pt>
                <c:pt idx="332">
                  <c:v>11.05</c:v>
                </c:pt>
                <c:pt idx="333">
                  <c:v>11.1</c:v>
                </c:pt>
                <c:pt idx="334">
                  <c:v>11.15</c:v>
                </c:pt>
                <c:pt idx="335">
                  <c:v>11.15</c:v>
                </c:pt>
                <c:pt idx="336">
                  <c:v>11.2</c:v>
                </c:pt>
                <c:pt idx="337">
                  <c:v>11.25</c:v>
                </c:pt>
                <c:pt idx="338">
                  <c:v>11.3</c:v>
                </c:pt>
                <c:pt idx="339">
                  <c:v>11.3</c:v>
                </c:pt>
                <c:pt idx="340">
                  <c:v>11.35</c:v>
                </c:pt>
                <c:pt idx="341">
                  <c:v>11.4</c:v>
                </c:pt>
                <c:pt idx="342">
                  <c:v>11.4</c:v>
                </c:pt>
                <c:pt idx="343">
                  <c:v>11.45</c:v>
                </c:pt>
                <c:pt idx="344">
                  <c:v>11.5</c:v>
                </c:pt>
                <c:pt idx="345">
                  <c:v>11.5</c:v>
                </c:pt>
                <c:pt idx="346">
                  <c:v>11.55</c:v>
                </c:pt>
                <c:pt idx="347">
                  <c:v>11.6</c:v>
                </c:pt>
                <c:pt idx="348">
                  <c:v>11.6</c:v>
                </c:pt>
                <c:pt idx="349">
                  <c:v>11.65</c:v>
                </c:pt>
                <c:pt idx="350">
                  <c:v>11.7</c:v>
                </c:pt>
                <c:pt idx="351">
                  <c:v>11.7</c:v>
                </c:pt>
                <c:pt idx="352">
                  <c:v>11.75</c:v>
                </c:pt>
                <c:pt idx="353">
                  <c:v>11.8</c:v>
                </c:pt>
                <c:pt idx="354">
                  <c:v>11.8</c:v>
                </c:pt>
                <c:pt idx="355">
                  <c:v>11.85</c:v>
                </c:pt>
                <c:pt idx="356">
                  <c:v>11.9</c:v>
                </c:pt>
                <c:pt idx="357">
                  <c:v>11.9</c:v>
                </c:pt>
                <c:pt idx="358">
                  <c:v>11.95</c:v>
                </c:pt>
                <c:pt idx="359">
                  <c:v>12</c:v>
                </c:pt>
                <c:pt idx="360">
                  <c:v>12</c:v>
                </c:pt>
                <c:pt idx="361">
                  <c:v>12.05</c:v>
                </c:pt>
                <c:pt idx="362">
                  <c:v>12.1</c:v>
                </c:pt>
                <c:pt idx="363">
                  <c:v>12.1</c:v>
                </c:pt>
                <c:pt idx="364">
                  <c:v>12.15</c:v>
                </c:pt>
                <c:pt idx="365">
                  <c:v>12.2</c:v>
                </c:pt>
                <c:pt idx="366">
                  <c:v>12.2</c:v>
                </c:pt>
                <c:pt idx="367">
                  <c:v>12.25</c:v>
                </c:pt>
                <c:pt idx="368">
                  <c:v>12.3</c:v>
                </c:pt>
                <c:pt idx="369">
                  <c:v>12.3</c:v>
                </c:pt>
                <c:pt idx="370">
                  <c:v>12.35</c:v>
                </c:pt>
                <c:pt idx="371">
                  <c:v>12.4</c:v>
                </c:pt>
                <c:pt idx="372">
                  <c:v>12.4</c:v>
                </c:pt>
                <c:pt idx="373">
                  <c:v>12.45</c:v>
                </c:pt>
                <c:pt idx="374">
                  <c:v>12.5</c:v>
                </c:pt>
                <c:pt idx="375">
                  <c:v>12.5</c:v>
                </c:pt>
                <c:pt idx="376">
                  <c:v>12.55</c:v>
                </c:pt>
                <c:pt idx="377">
                  <c:v>12.6</c:v>
                </c:pt>
                <c:pt idx="378">
                  <c:v>12.6</c:v>
                </c:pt>
                <c:pt idx="379">
                  <c:v>12.65</c:v>
                </c:pt>
                <c:pt idx="380">
                  <c:v>12.7</c:v>
                </c:pt>
                <c:pt idx="381">
                  <c:v>12.7</c:v>
                </c:pt>
                <c:pt idx="382">
                  <c:v>12.75</c:v>
                </c:pt>
                <c:pt idx="383">
                  <c:v>12.8</c:v>
                </c:pt>
                <c:pt idx="384">
                  <c:v>12.8</c:v>
                </c:pt>
                <c:pt idx="385">
                  <c:v>12.85</c:v>
                </c:pt>
                <c:pt idx="386">
                  <c:v>12.9</c:v>
                </c:pt>
                <c:pt idx="387">
                  <c:v>12.9</c:v>
                </c:pt>
                <c:pt idx="388">
                  <c:v>12.95</c:v>
                </c:pt>
                <c:pt idx="389">
                  <c:v>13</c:v>
                </c:pt>
                <c:pt idx="390">
                  <c:v>13</c:v>
                </c:pt>
                <c:pt idx="391">
                  <c:v>13.05</c:v>
                </c:pt>
                <c:pt idx="392">
                  <c:v>13.1</c:v>
                </c:pt>
                <c:pt idx="393">
                  <c:v>13.1</c:v>
                </c:pt>
                <c:pt idx="394">
                  <c:v>13.15</c:v>
                </c:pt>
                <c:pt idx="395">
                  <c:v>13.2</c:v>
                </c:pt>
                <c:pt idx="396">
                  <c:v>13.2</c:v>
                </c:pt>
                <c:pt idx="397">
                  <c:v>13.25</c:v>
                </c:pt>
                <c:pt idx="398">
                  <c:v>13.3</c:v>
                </c:pt>
                <c:pt idx="399">
                  <c:v>13.3</c:v>
                </c:pt>
                <c:pt idx="400">
                  <c:v>13.35</c:v>
                </c:pt>
                <c:pt idx="401">
                  <c:v>13.4</c:v>
                </c:pt>
                <c:pt idx="402">
                  <c:v>13.4</c:v>
                </c:pt>
                <c:pt idx="403">
                  <c:v>13.45</c:v>
                </c:pt>
                <c:pt idx="404">
                  <c:v>13.5</c:v>
                </c:pt>
                <c:pt idx="405">
                  <c:v>13.5</c:v>
                </c:pt>
                <c:pt idx="406">
                  <c:v>13.55</c:v>
                </c:pt>
                <c:pt idx="407">
                  <c:v>13.6</c:v>
                </c:pt>
                <c:pt idx="408">
                  <c:v>13.6</c:v>
                </c:pt>
                <c:pt idx="409">
                  <c:v>13.65</c:v>
                </c:pt>
                <c:pt idx="410">
                  <c:v>13.7</c:v>
                </c:pt>
                <c:pt idx="411">
                  <c:v>13.7</c:v>
                </c:pt>
                <c:pt idx="412">
                  <c:v>13.75</c:v>
                </c:pt>
                <c:pt idx="413">
                  <c:v>13.8</c:v>
                </c:pt>
                <c:pt idx="414">
                  <c:v>13.8</c:v>
                </c:pt>
                <c:pt idx="415">
                  <c:v>13.85</c:v>
                </c:pt>
                <c:pt idx="416">
                  <c:v>13.9</c:v>
                </c:pt>
                <c:pt idx="417">
                  <c:v>13.9</c:v>
                </c:pt>
                <c:pt idx="418">
                  <c:v>13.95</c:v>
                </c:pt>
                <c:pt idx="419">
                  <c:v>14</c:v>
                </c:pt>
                <c:pt idx="420">
                  <c:v>14</c:v>
                </c:pt>
                <c:pt idx="421">
                  <c:v>14.05</c:v>
                </c:pt>
                <c:pt idx="422">
                  <c:v>14.1</c:v>
                </c:pt>
                <c:pt idx="423">
                  <c:v>14.1</c:v>
                </c:pt>
                <c:pt idx="424">
                  <c:v>14.15</c:v>
                </c:pt>
                <c:pt idx="425">
                  <c:v>14.2</c:v>
                </c:pt>
                <c:pt idx="426">
                  <c:v>14.2</c:v>
                </c:pt>
                <c:pt idx="427">
                  <c:v>14.25</c:v>
                </c:pt>
                <c:pt idx="428">
                  <c:v>14.3</c:v>
                </c:pt>
                <c:pt idx="429">
                  <c:v>14.3</c:v>
                </c:pt>
                <c:pt idx="430">
                  <c:v>14.35</c:v>
                </c:pt>
                <c:pt idx="431">
                  <c:v>14.4</c:v>
                </c:pt>
                <c:pt idx="432">
                  <c:v>14.4</c:v>
                </c:pt>
                <c:pt idx="433">
                  <c:v>14.45</c:v>
                </c:pt>
                <c:pt idx="434">
                  <c:v>14.5</c:v>
                </c:pt>
                <c:pt idx="435">
                  <c:v>14.5</c:v>
                </c:pt>
                <c:pt idx="436">
                  <c:v>14.55</c:v>
                </c:pt>
                <c:pt idx="437">
                  <c:v>14.6</c:v>
                </c:pt>
                <c:pt idx="438">
                  <c:v>14.6</c:v>
                </c:pt>
                <c:pt idx="439">
                  <c:v>14.65</c:v>
                </c:pt>
                <c:pt idx="440">
                  <c:v>14.7</c:v>
                </c:pt>
                <c:pt idx="441">
                  <c:v>14.7</c:v>
                </c:pt>
                <c:pt idx="442">
                  <c:v>14.75</c:v>
                </c:pt>
                <c:pt idx="443">
                  <c:v>14.8</c:v>
                </c:pt>
                <c:pt idx="444">
                  <c:v>14.8</c:v>
                </c:pt>
                <c:pt idx="445">
                  <c:v>14.85</c:v>
                </c:pt>
                <c:pt idx="446">
                  <c:v>14.9</c:v>
                </c:pt>
                <c:pt idx="447">
                  <c:v>14.9</c:v>
                </c:pt>
                <c:pt idx="448">
                  <c:v>14.95</c:v>
                </c:pt>
                <c:pt idx="449">
                  <c:v>15</c:v>
                </c:pt>
                <c:pt idx="450">
                  <c:v>15</c:v>
                </c:pt>
                <c:pt idx="451">
                  <c:v>15.05</c:v>
                </c:pt>
                <c:pt idx="452">
                  <c:v>15.1</c:v>
                </c:pt>
                <c:pt idx="453">
                  <c:v>15.1</c:v>
                </c:pt>
                <c:pt idx="454">
                  <c:v>15.15</c:v>
                </c:pt>
                <c:pt idx="455">
                  <c:v>15.2</c:v>
                </c:pt>
                <c:pt idx="456">
                  <c:v>15.2</c:v>
                </c:pt>
                <c:pt idx="457">
                  <c:v>15.25</c:v>
                </c:pt>
                <c:pt idx="458">
                  <c:v>15.3</c:v>
                </c:pt>
                <c:pt idx="459">
                  <c:v>15.3</c:v>
                </c:pt>
                <c:pt idx="460">
                  <c:v>15.35</c:v>
                </c:pt>
                <c:pt idx="461">
                  <c:v>15.4</c:v>
                </c:pt>
                <c:pt idx="462">
                  <c:v>15.4</c:v>
                </c:pt>
                <c:pt idx="463">
                  <c:v>15.45</c:v>
                </c:pt>
                <c:pt idx="464">
                  <c:v>15.5</c:v>
                </c:pt>
                <c:pt idx="465">
                  <c:v>15.5</c:v>
                </c:pt>
                <c:pt idx="466">
                  <c:v>15.55</c:v>
                </c:pt>
                <c:pt idx="467">
                  <c:v>15.6</c:v>
                </c:pt>
                <c:pt idx="468">
                  <c:v>15.6</c:v>
                </c:pt>
                <c:pt idx="469">
                  <c:v>15.65</c:v>
                </c:pt>
                <c:pt idx="470">
                  <c:v>15.7</c:v>
                </c:pt>
                <c:pt idx="471">
                  <c:v>15.7</c:v>
                </c:pt>
                <c:pt idx="472">
                  <c:v>15.75</c:v>
                </c:pt>
                <c:pt idx="473">
                  <c:v>15.8</c:v>
                </c:pt>
                <c:pt idx="474">
                  <c:v>15.8</c:v>
                </c:pt>
                <c:pt idx="475">
                  <c:v>15.85</c:v>
                </c:pt>
                <c:pt idx="476">
                  <c:v>15.9</c:v>
                </c:pt>
                <c:pt idx="477">
                  <c:v>15.9</c:v>
                </c:pt>
                <c:pt idx="478">
                  <c:v>15.95</c:v>
                </c:pt>
                <c:pt idx="479">
                  <c:v>16</c:v>
                </c:pt>
                <c:pt idx="480">
                  <c:v>16</c:v>
                </c:pt>
                <c:pt idx="481">
                  <c:v>16.05</c:v>
                </c:pt>
                <c:pt idx="482">
                  <c:v>16.1</c:v>
                </c:pt>
                <c:pt idx="483">
                  <c:v>16.1</c:v>
                </c:pt>
                <c:pt idx="484">
                  <c:v>16.15</c:v>
                </c:pt>
                <c:pt idx="485">
                  <c:v>16.2</c:v>
                </c:pt>
                <c:pt idx="486">
                  <c:v>16.2</c:v>
                </c:pt>
                <c:pt idx="487">
                  <c:v>16.25</c:v>
                </c:pt>
                <c:pt idx="488">
                  <c:v>16.3</c:v>
                </c:pt>
                <c:pt idx="489">
                  <c:v>16.3</c:v>
                </c:pt>
                <c:pt idx="490">
                  <c:v>16.35</c:v>
                </c:pt>
                <c:pt idx="491">
                  <c:v>16.4</c:v>
                </c:pt>
                <c:pt idx="492">
                  <c:v>16.4</c:v>
                </c:pt>
                <c:pt idx="493">
                  <c:v>16.45</c:v>
                </c:pt>
                <c:pt idx="494">
                  <c:v>16.5</c:v>
                </c:pt>
                <c:pt idx="495">
                  <c:v>16.5</c:v>
                </c:pt>
                <c:pt idx="496">
                  <c:v>16.55</c:v>
                </c:pt>
                <c:pt idx="497">
                  <c:v>16.6</c:v>
                </c:pt>
                <c:pt idx="498">
                  <c:v>16.6</c:v>
                </c:pt>
                <c:pt idx="499">
                  <c:v>16.65</c:v>
                </c:pt>
                <c:pt idx="500">
                  <c:v>16.7</c:v>
                </c:pt>
                <c:pt idx="501">
                  <c:v>16.7</c:v>
                </c:pt>
                <c:pt idx="502">
                  <c:v>16.75</c:v>
                </c:pt>
                <c:pt idx="503">
                  <c:v>16.8</c:v>
                </c:pt>
                <c:pt idx="504">
                  <c:v>16.8</c:v>
                </c:pt>
                <c:pt idx="505">
                  <c:v>16.85</c:v>
                </c:pt>
                <c:pt idx="506">
                  <c:v>16.9</c:v>
                </c:pt>
                <c:pt idx="507">
                  <c:v>16.9</c:v>
                </c:pt>
                <c:pt idx="508">
                  <c:v>16.95</c:v>
                </c:pt>
                <c:pt idx="509">
                  <c:v>17</c:v>
                </c:pt>
                <c:pt idx="510">
                  <c:v>17.05</c:v>
                </c:pt>
                <c:pt idx="511">
                  <c:v>17.05</c:v>
                </c:pt>
                <c:pt idx="512">
                  <c:v>17.1</c:v>
                </c:pt>
                <c:pt idx="513">
                  <c:v>17.15</c:v>
                </c:pt>
                <c:pt idx="514">
                  <c:v>17.15</c:v>
                </c:pt>
                <c:pt idx="515">
                  <c:v>17.2</c:v>
                </c:pt>
                <c:pt idx="516">
                  <c:v>17.25</c:v>
                </c:pt>
                <c:pt idx="517">
                  <c:v>17.25</c:v>
                </c:pt>
                <c:pt idx="518">
                  <c:v>17.3</c:v>
                </c:pt>
                <c:pt idx="519">
                  <c:v>17.35</c:v>
                </c:pt>
                <c:pt idx="520">
                  <c:v>17.35</c:v>
                </c:pt>
                <c:pt idx="521">
                  <c:v>17.4</c:v>
                </c:pt>
                <c:pt idx="522">
                  <c:v>17.45</c:v>
                </c:pt>
                <c:pt idx="523">
                  <c:v>17.45</c:v>
                </c:pt>
                <c:pt idx="524">
                  <c:v>17.5</c:v>
                </c:pt>
                <c:pt idx="525">
                  <c:v>17.55</c:v>
                </c:pt>
                <c:pt idx="526">
                  <c:v>17.55</c:v>
                </c:pt>
                <c:pt idx="527">
                  <c:v>17.6</c:v>
                </c:pt>
                <c:pt idx="528">
                  <c:v>17.65</c:v>
                </c:pt>
                <c:pt idx="529">
                  <c:v>17.65</c:v>
                </c:pt>
                <c:pt idx="530">
                  <c:v>17.7</c:v>
                </c:pt>
                <c:pt idx="531">
                  <c:v>17.75</c:v>
                </c:pt>
                <c:pt idx="532">
                  <c:v>17.75</c:v>
                </c:pt>
                <c:pt idx="533">
                  <c:v>17.8</c:v>
                </c:pt>
                <c:pt idx="534">
                  <c:v>17.85</c:v>
                </c:pt>
                <c:pt idx="535">
                  <c:v>17.85</c:v>
                </c:pt>
                <c:pt idx="536">
                  <c:v>17.9</c:v>
                </c:pt>
                <c:pt idx="537">
                  <c:v>17.95</c:v>
                </c:pt>
                <c:pt idx="538">
                  <c:v>17.95</c:v>
                </c:pt>
                <c:pt idx="539">
                  <c:v>18</c:v>
                </c:pt>
                <c:pt idx="540">
                  <c:v>18.05</c:v>
                </c:pt>
                <c:pt idx="541">
                  <c:v>18.05</c:v>
                </c:pt>
                <c:pt idx="542">
                  <c:v>18.1</c:v>
                </c:pt>
                <c:pt idx="543">
                  <c:v>18.15</c:v>
                </c:pt>
                <c:pt idx="544">
                  <c:v>18.15</c:v>
                </c:pt>
                <c:pt idx="545">
                  <c:v>18.2</c:v>
                </c:pt>
                <c:pt idx="546">
                  <c:v>18.25</c:v>
                </c:pt>
                <c:pt idx="547">
                  <c:v>18.25</c:v>
                </c:pt>
                <c:pt idx="548">
                  <c:v>18.3</c:v>
                </c:pt>
                <c:pt idx="549">
                  <c:v>18.35</c:v>
                </c:pt>
                <c:pt idx="550">
                  <c:v>18.35</c:v>
                </c:pt>
                <c:pt idx="551">
                  <c:v>18.4</c:v>
                </c:pt>
                <c:pt idx="552">
                  <c:v>18.45</c:v>
                </c:pt>
                <c:pt idx="553">
                  <c:v>18.45</c:v>
                </c:pt>
                <c:pt idx="554">
                  <c:v>18.5</c:v>
                </c:pt>
                <c:pt idx="555">
                  <c:v>18.55</c:v>
                </c:pt>
                <c:pt idx="556">
                  <c:v>18.55</c:v>
                </c:pt>
                <c:pt idx="557">
                  <c:v>18.6</c:v>
                </c:pt>
                <c:pt idx="558">
                  <c:v>18.65</c:v>
                </c:pt>
                <c:pt idx="559">
                  <c:v>18.65</c:v>
                </c:pt>
                <c:pt idx="560">
                  <c:v>18.7</c:v>
                </c:pt>
                <c:pt idx="561">
                  <c:v>18.75</c:v>
                </c:pt>
                <c:pt idx="562">
                  <c:v>18.75</c:v>
                </c:pt>
                <c:pt idx="563">
                  <c:v>18.8</c:v>
                </c:pt>
                <c:pt idx="564">
                  <c:v>18.85</c:v>
                </c:pt>
                <c:pt idx="565">
                  <c:v>18.85</c:v>
                </c:pt>
                <c:pt idx="566">
                  <c:v>18.9</c:v>
                </c:pt>
                <c:pt idx="567">
                  <c:v>18.95</c:v>
                </c:pt>
                <c:pt idx="568">
                  <c:v>18.95</c:v>
                </c:pt>
                <c:pt idx="569">
                  <c:v>19</c:v>
                </c:pt>
                <c:pt idx="570">
                  <c:v>19.05</c:v>
                </c:pt>
                <c:pt idx="571">
                  <c:v>19.05</c:v>
                </c:pt>
                <c:pt idx="572">
                  <c:v>19.1</c:v>
                </c:pt>
                <c:pt idx="573">
                  <c:v>19.15</c:v>
                </c:pt>
                <c:pt idx="574">
                  <c:v>19.15</c:v>
                </c:pt>
                <c:pt idx="575">
                  <c:v>19.2</c:v>
                </c:pt>
                <c:pt idx="576">
                  <c:v>19.25</c:v>
                </c:pt>
                <c:pt idx="577">
                  <c:v>19.25</c:v>
                </c:pt>
                <c:pt idx="578">
                  <c:v>19.3</c:v>
                </c:pt>
                <c:pt idx="579">
                  <c:v>19.35</c:v>
                </c:pt>
                <c:pt idx="580">
                  <c:v>19.35</c:v>
                </c:pt>
                <c:pt idx="581">
                  <c:v>19.4</c:v>
                </c:pt>
                <c:pt idx="582">
                  <c:v>19.45</c:v>
                </c:pt>
                <c:pt idx="583">
                  <c:v>19.45</c:v>
                </c:pt>
                <c:pt idx="584">
                  <c:v>19.5</c:v>
                </c:pt>
                <c:pt idx="585">
                  <c:v>19.55</c:v>
                </c:pt>
                <c:pt idx="586">
                  <c:v>19.55</c:v>
                </c:pt>
                <c:pt idx="587">
                  <c:v>19.6</c:v>
                </c:pt>
                <c:pt idx="588">
                  <c:v>19.65</c:v>
                </c:pt>
                <c:pt idx="589">
                  <c:v>19.65</c:v>
                </c:pt>
                <c:pt idx="590">
                  <c:v>19.7</c:v>
                </c:pt>
                <c:pt idx="591">
                  <c:v>19.75</c:v>
                </c:pt>
                <c:pt idx="592">
                  <c:v>19.75</c:v>
                </c:pt>
                <c:pt idx="593">
                  <c:v>19.8</c:v>
                </c:pt>
                <c:pt idx="594">
                  <c:v>19.85</c:v>
                </c:pt>
                <c:pt idx="595">
                  <c:v>19.85</c:v>
                </c:pt>
                <c:pt idx="596">
                  <c:v>19.9</c:v>
                </c:pt>
                <c:pt idx="597">
                  <c:v>19.95</c:v>
                </c:pt>
                <c:pt idx="598">
                  <c:v>19.95</c:v>
                </c:pt>
                <c:pt idx="599">
                  <c:v>20</c:v>
                </c:pt>
                <c:pt idx="600">
                  <c:v>20.05</c:v>
                </c:pt>
                <c:pt idx="601">
                  <c:v>20.05</c:v>
                </c:pt>
                <c:pt idx="602">
                  <c:v>20.1</c:v>
                </c:pt>
                <c:pt idx="603">
                  <c:v>20.15</c:v>
                </c:pt>
                <c:pt idx="604">
                  <c:v>20.15</c:v>
                </c:pt>
                <c:pt idx="605">
                  <c:v>20.2</c:v>
                </c:pt>
                <c:pt idx="606">
                  <c:v>20.25</c:v>
                </c:pt>
                <c:pt idx="607">
                  <c:v>20.25</c:v>
                </c:pt>
                <c:pt idx="608">
                  <c:v>20.3</c:v>
                </c:pt>
                <c:pt idx="609">
                  <c:v>20.35</c:v>
                </c:pt>
                <c:pt idx="610">
                  <c:v>20.35</c:v>
                </c:pt>
                <c:pt idx="611">
                  <c:v>20.4</c:v>
                </c:pt>
                <c:pt idx="612">
                  <c:v>20.45</c:v>
                </c:pt>
                <c:pt idx="613">
                  <c:v>20.45</c:v>
                </c:pt>
                <c:pt idx="614">
                  <c:v>20.5</c:v>
                </c:pt>
                <c:pt idx="615">
                  <c:v>20.55</c:v>
                </c:pt>
                <c:pt idx="616">
                  <c:v>20.55</c:v>
                </c:pt>
                <c:pt idx="617">
                  <c:v>20.6</c:v>
                </c:pt>
                <c:pt idx="618">
                  <c:v>20.65</c:v>
                </c:pt>
                <c:pt idx="619">
                  <c:v>20.65</c:v>
                </c:pt>
                <c:pt idx="620">
                  <c:v>20.7</c:v>
                </c:pt>
                <c:pt idx="621">
                  <c:v>20.75</c:v>
                </c:pt>
                <c:pt idx="622">
                  <c:v>20.75</c:v>
                </c:pt>
                <c:pt idx="623">
                  <c:v>20.8</c:v>
                </c:pt>
                <c:pt idx="624">
                  <c:v>20.85</c:v>
                </c:pt>
                <c:pt idx="625">
                  <c:v>20.85</c:v>
                </c:pt>
                <c:pt idx="626">
                  <c:v>20.9</c:v>
                </c:pt>
                <c:pt idx="627">
                  <c:v>20.95</c:v>
                </c:pt>
                <c:pt idx="628">
                  <c:v>20.95</c:v>
                </c:pt>
                <c:pt idx="629">
                  <c:v>21</c:v>
                </c:pt>
                <c:pt idx="630">
                  <c:v>21.05</c:v>
                </c:pt>
                <c:pt idx="631">
                  <c:v>21.05</c:v>
                </c:pt>
                <c:pt idx="632">
                  <c:v>21.1</c:v>
                </c:pt>
                <c:pt idx="633">
                  <c:v>21.15</c:v>
                </c:pt>
                <c:pt idx="634">
                  <c:v>21.15</c:v>
                </c:pt>
                <c:pt idx="635">
                  <c:v>21.2</c:v>
                </c:pt>
                <c:pt idx="636">
                  <c:v>21.25</c:v>
                </c:pt>
                <c:pt idx="637">
                  <c:v>21.25</c:v>
                </c:pt>
                <c:pt idx="638">
                  <c:v>21.3</c:v>
                </c:pt>
                <c:pt idx="639">
                  <c:v>21.35</c:v>
                </c:pt>
                <c:pt idx="640">
                  <c:v>21.35</c:v>
                </c:pt>
                <c:pt idx="641">
                  <c:v>21.4</c:v>
                </c:pt>
                <c:pt idx="642">
                  <c:v>21.45</c:v>
                </c:pt>
                <c:pt idx="643">
                  <c:v>21.45</c:v>
                </c:pt>
                <c:pt idx="644">
                  <c:v>21.5</c:v>
                </c:pt>
                <c:pt idx="645">
                  <c:v>21.55</c:v>
                </c:pt>
                <c:pt idx="646">
                  <c:v>21.55</c:v>
                </c:pt>
                <c:pt idx="647">
                  <c:v>21.6</c:v>
                </c:pt>
                <c:pt idx="648">
                  <c:v>21.65</c:v>
                </c:pt>
                <c:pt idx="649">
                  <c:v>21.65</c:v>
                </c:pt>
                <c:pt idx="650">
                  <c:v>21.7</c:v>
                </c:pt>
                <c:pt idx="651">
                  <c:v>21.75</c:v>
                </c:pt>
                <c:pt idx="652">
                  <c:v>21.75</c:v>
                </c:pt>
                <c:pt idx="653">
                  <c:v>21.8</c:v>
                </c:pt>
                <c:pt idx="654">
                  <c:v>21.85</c:v>
                </c:pt>
                <c:pt idx="655">
                  <c:v>21.85</c:v>
                </c:pt>
                <c:pt idx="656">
                  <c:v>21.9</c:v>
                </c:pt>
                <c:pt idx="657">
                  <c:v>21.95</c:v>
                </c:pt>
                <c:pt idx="658">
                  <c:v>21.95</c:v>
                </c:pt>
                <c:pt idx="659">
                  <c:v>22</c:v>
                </c:pt>
                <c:pt idx="660">
                  <c:v>22.05</c:v>
                </c:pt>
                <c:pt idx="661">
                  <c:v>22.05</c:v>
                </c:pt>
                <c:pt idx="662">
                  <c:v>22.1</c:v>
                </c:pt>
                <c:pt idx="663">
                  <c:v>22.15</c:v>
                </c:pt>
                <c:pt idx="664">
                  <c:v>22.15</c:v>
                </c:pt>
                <c:pt idx="665">
                  <c:v>22.2</c:v>
                </c:pt>
                <c:pt idx="666">
                  <c:v>22.25</c:v>
                </c:pt>
                <c:pt idx="667">
                  <c:v>22.25</c:v>
                </c:pt>
                <c:pt idx="668">
                  <c:v>22.3</c:v>
                </c:pt>
                <c:pt idx="669">
                  <c:v>22.35</c:v>
                </c:pt>
                <c:pt idx="670">
                  <c:v>22.35</c:v>
                </c:pt>
                <c:pt idx="671">
                  <c:v>22.4</c:v>
                </c:pt>
                <c:pt idx="672">
                  <c:v>22.45</c:v>
                </c:pt>
                <c:pt idx="673">
                  <c:v>22.45</c:v>
                </c:pt>
                <c:pt idx="674">
                  <c:v>22.5</c:v>
                </c:pt>
                <c:pt idx="675">
                  <c:v>22.55</c:v>
                </c:pt>
                <c:pt idx="676">
                  <c:v>22.55</c:v>
                </c:pt>
                <c:pt idx="677">
                  <c:v>22.6</c:v>
                </c:pt>
                <c:pt idx="678">
                  <c:v>22.65</c:v>
                </c:pt>
                <c:pt idx="679">
                  <c:v>22.7</c:v>
                </c:pt>
                <c:pt idx="680">
                  <c:v>22.7</c:v>
                </c:pt>
                <c:pt idx="681">
                  <c:v>22.75</c:v>
                </c:pt>
                <c:pt idx="682">
                  <c:v>22.8</c:v>
                </c:pt>
                <c:pt idx="683">
                  <c:v>22.8</c:v>
                </c:pt>
                <c:pt idx="684">
                  <c:v>22.85</c:v>
                </c:pt>
                <c:pt idx="685">
                  <c:v>22.9</c:v>
                </c:pt>
                <c:pt idx="686">
                  <c:v>22.9</c:v>
                </c:pt>
                <c:pt idx="687">
                  <c:v>22.95</c:v>
                </c:pt>
                <c:pt idx="688">
                  <c:v>23</c:v>
                </c:pt>
                <c:pt idx="689">
                  <c:v>23</c:v>
                </c:pt>
                <c:pt idx="690">
                  <c:v>23.05</c:v>
                </c:pt>
                <c:pt idx="691">
                  <c:v>23.1</c:v>
                </c:pt>
                <c:pt idx="692">
                  <c:v>23.1</c:v>
                </c:pt>
                <c:pt idx="693">
                  <c:v>23.15</c:v>
                </c:pt>
                <c:pt idx="694">
                  <c:v>23.2</c:v>
                </c:pt>
                <c:pt idx="695">
                  <c:v>23.2</c:v>
                </c:pt>
                <c:pt idx="696">
                  <c:v>23.25</c:v>
                </c:pt>
                <c:pt idx="697">
                  <c:v>23.3</c:v>
                </c:pt>
                <c:pt idx="698">
                  <c:v>23.3</c:v>
                </c:pt>
                <c:pt idx="699">
                  <c:v>23.35</c:v>
                </c:pt>
                <c:pt idx="700">
                  <c:v>23.4</c:v>
                </c:pt>
                <c:pt idx="701">
                  <c:v>23.4</c:v>
                </c:pt>
                <c:pt idx="702">
                  <c:v>23.45</c:v>
                </c:pt>
                <c:pt idx="703">
                  <c:v>23.5</c:v>
                </c:pt>
                <c:pt idx="704">
                  <c:v>23.5</c:v>
                </c:pt>
                <c:pt idx="705">
                  <c:v>23.55</c:v>
                </c:pt>
                <c:pt idx="706">
                  <c:v>23.6</c:v>
                </c:pt>
                <c:pt idx="707">
                  <c:v>23.6</c:v>
                </c:pt>
                <c:pt idx="708">
                  <c:v>23.65</c:v>
                </c:pt>
                <c:pt idx="709">
                  <c:v>23.7</c:v>
                </c:pt>
                <c:pt idx="710">
                  <c:v>23.7</c:v>
                </c:pt>
                <c:pt idx="711">
                  <c:v>23.75</c:v>
                </c:pt>
                <c:pt idx="712">
                  <c:v>23.8</c:v>
                </c:pt>
                <c:pt idx="713">
                  <c:v>23.8</c:v>
                </c:pt>
                <c:pt idx="714">
                  <c:v>23.85</c:v>
                </c:pt>
                <c:pt idx="715">
                  <c:v>23.9</c:v>
                </c:pt>
                <c:pt idx="716">
                  <c:v>23.9</c:v>
                </c:pt>
                <c:pt idx="717">
                  <c:v>23.95</c:v>
                </c:pt>
                <c:pt idx="718">
                  <c:v>24</c:v>
                </c:pt>
                <c:pt idx="719">
                  <c:v>24</c:v>
                </c:pt>
                <c:pt idx="720">
                  <c:v>24.05</c:v>
                </c:pt>
                <c:pt idx="721">
                  <c:v>24.1</c:v>
                </c:pt>
                <c:pt idx="722">
                  <c:v>24.1</c:v>
                </c:pt>
                <c:pt idx="723">
                  <c:v>24.15</c:v>
                </c:pt>
                <c:pt idx="724">
                  <c:v>24.2</c:v>
                </c:pt>
                <c:pt idx="725">
                  <c:v>24.2</c:v>
                </c:pt>
                <c:pt idx="726">
                  <c:v>24.25</c:v>
                </c:pt>
                <c:pt idx="727">
                  <c:v>24.3</c:v>
                </c:pt>
                <c:pt idx="728">
                  <c:v>24.3</c:v>
                </c:pt>
                <c:pt idx="729">
                  <c:v>24.35</c:v>
                </c:pt>
                <c:pt idx="730">
                  <c:v>24.4</c:v>
                </c:pt>
                <c:pt idx="731">
                  <c:v>24.4</c:v>
                </c:pt>
                <c:pt idx="732">
                  <c:v>24.45</c:v>
                </c:pt>
                <c:pt idx="733">
                  <c:v>24.5</c:v>
                </c:pt>
                <c:pt idx="734">
                  <c:v>24.5</c:v>
                </c:pt>
                <c:pt idx="735">
                  <c:v>24.55</c:v>
                </c:pt>
                <c:pt idx="736">
                  <c:v>24.6</c:v>
                </c:pt>
                <c:pt idx="737">
                  <c:v>24.6</c:v>
                </c:pt>
                <c:pt idx="738">
                  <c:v>24.65</c:v>
                </c:pt>
                <c:pt idx="739">
                  <c:v>24.7</c:v>
                </c:pt>
                <c:pt idx="740">
                  <c:v>24.7</c:v>
                </c:pt>
                <c:pt idx="741">
                  <c:v>24.75</c:v>
                </c:pt>
                <c:pt idx="742">
                  <c:v>24.8</c:v>
                </c:pt>
                <c:pt idx="743">
                  <c:v>24.8</c:v>
                </c:pt>
                <c:pt idx="744">
                  <c:v>24.85</c:v>
                </c:pt>
                <c:pt idx="745">
                  <c:v>24.9</c:v>
                </c:pt>
                <c:pt idx="746">
                  <c:v>24.9</c:v>
                </c:pt>
                <c:pt idx="747">
                  <c:v>24.95</c:v>
                </c:pt>
                <c:pt idx="748">
                  <c:v>25</c:v>
                </c:pt>
                <c:pt idx="749">
                  <c:v>25</c:v>
                </c:pt>
                <c:pt idx="750">
                  <c:v>25.05</c:v>
                </c:pt>
                <c:pt idx="751">
                  <c:v>25.1</c:v>
                </c:pt>
                <c:pt idx="752">
                  <c:v>25.1</c:v>
                </c:pt>
                <c:pt idx="753">
                  <c:v>25.15</c:v>
                </c:pt>
                <c:pt idx="754">
                  <c:v>25.2</c:v>
                </c:pt>
                <c:pt idx="755">
                  <c:v>25.2</c:v>
                </c:pt>
                <c:pt idx="756">
                  <c:v>25.25</c:v>
                </c:pt>
                <c:pt idx="757">
                  <c:v>25.3</c:v>
                </c:pt>
                <c:pt idx="758">
                  <c:v>25.3</c:v>
                </c:pt>
                <c:pt idx="759">
                  <c:v>25.35</c:v>
                </c:pt>
                <c:pt idx="760">
                  <c:v>25.4</c:v>
                </c:pt>
                <c:pt idx="761">
                  <c:v>25.4</c:v>
                </c:pt>
                <c:pt idx="762">
                  <c:v>25.45</c:v>
                </c:pt>
                <c:pt idx="763">
                  <c:v>25.5</c:v>
                </c:pt>
                <c:pt idx="764">
                  <c:v>25.5</c:v>
                </c:pt>
                <c:pt idx="765">
                  <c:v>25.55</c:v>
                </c:pt>
                <c:pt idx="766">
                  <c:v>25.6</c:v>
                </c:pt>
                <c:pt idx="767">
                  <c:v>25.6</c:v>
                </c:pt>
                <c:pt idx="768">
                  <c:v>25.65</c:v>
                </c:pt>
                <c:pt idx="769">
                  <c:v>25.7</c:v>
                </c:pt>
                <c:pt idx="770">
                  <c:v>25.7</c:v>
                </c:pt>
                <c:pt idx="771">
                  <c:v>25.75</c:v>
                </c:pt>
                <c:pt idx="772">
                  <c:v>25.8</c:v>
                </c:pt>
                <c:pt idx="773">
                  <c:v>25.8</c:v>
                </c:pt>
                <c:pt idx="774">
                  <c:v>25.85</c:v>
                </c:pt>
                <c:pt idx="775">
                  <c:v>25.9</c:v>
                </c:pt>
                <c:pt idx="776">
                  <c:v>25.9</c:v>
                </c:pt>
                <c:pt idx="777">
                  <c:v>25.95</c:v>
                </c:pt>
                <c:pt idx="778">
                  <c:v>26</c:v>
                </c:pt>
                <c:pt idx="779">
                  <c:v>26</c:v>
                </c:pt>
                <c:pt idx="780">
                  <c:v>26.05</c:v>
                </c:pt>
                <c:pt idx="781">
                  <c:v>26.1</c:v>
                </c:pt>
                <c:pt idx="782">
                  <c:v>26.1</c:v>
                </c:pt>
                <c:pt idx="783">
                  <c:v>26.15</c:v>
                </c:pt>
                <c:pt idx="784">
                  <c:v>26.2</c:v>
                </c:pt>
                <c:pt idx="785">
                  <c:v>26.2</c:v>
                </c:pt>
                <c:pt idx="786">
                  <c:v>26.25</c:v>
                </c:pt>
                <c:pt idx="787">
                  <c:v>26.3</c:v>
                </c:pt>
                <c:pt idx="788">
                  <c:v>26.3</c:v>
                </c:pt>
                <c:pt idx="789">
                  <c:v>26.35</c:v>
                </c:pt>
                <c:pt idx="790">
                  <c:v>26.4</c:v>
                </c:pt>
                <c:pt idx="791">
                  <c:v>26.4</c:v>
                </c:pt>
                <c:pt idx="792">
                  <c:v>26.45</c:v>
                </c:pt>
                <c:pt idx="793">
                  <c:v>26.5</c:v>
                </c:pt>
                <c:pt idx="794">
                  <c:v>26.5</c:v>
                </c:pt>
                <c:pt idx="795">
                  <c:v>26.55</c:v>
                </c:pt>
                <c:pt idx="796">
                  <c:v>26.6</c:v>
                </c:pt>
                <c:pt idx="797">
                  <c:v>26.6</c:v>
                </c:pt>
                <c:pt idx="798">
                  <c:v>26.65</c:v>
                </c:pt>
                <c:pt idx="799">
                  <c:v>26.7</c:v>
                </c:pt>
                <c:pt idx="800">
                  <c:v>26.7</c:v>
                </c:pt>
                <c:pt idx="801">
                  <c:v>26.75</c:v>
                </c:pt>
                <c:pt idx="802">
                  <c:v>26.8</c:v>
                </c:pt>
                <c:pt idx="803">
                  <c:v>26.8</c:v>
                </c:pt>
                <c:pt idx="804">
                  <c:v>26.85</c:v>
                </c:pt>
                <c:pt idx="805">
                  <c:v>26.9</c:v>
                </c:pt>
                <c:pt idx="806">
                  <c:v>26.9</c:v>
                </c:pt>
                <c:pt idx="807">
                  <c:v>26.95</c:v>
                </c:pt>
                <c:pt idx="808">
                  <c:v>27</c:v>
                </c:pt>
                <c:pt idx="809">
                  <c:v>27</c:v>
                </c:pt>
                <c:pt idx="810">
                  <c:v>27.05</c:v>
                </c:pt>
                <c:pt idx="811">
                  <c:v>27.1</c:v>
                </c:pt>
                <c:pt idx="812">
                  <c:v>27.1</c:v>
                </c:pt>
                <c:pt idx="813">
                  <c:v>27.15</c:v>
                </c:pt>
                <c:pt idx="814">
                  <c:v>27.2</c:v>
                </c:pt>
                <c:pt idx="815">
                  <c:v>27.2</c:v>
                </c:pt>
                <c:pt idx="816">
                  <c:v>27.25</c:v>
                </c:pt>
                <c:pt idx="817">
                  <c:v>27.3</c:v>
                </c:pt>
                <c:pt idx="818">
                  <c:v>27.3</c:v>
                </c:pt>
                <c:pt idx="819">
                  <c:v>27.35</c:v>
                </c:pt>
                <c:pt idx="820">
                  <c:v>27.4</c:v>
                </c:pt>
                <c:pt idx="821">
                  <c:v>27.4</c:v>
                </c:pt>
                <c:pt idx="822">
                  <c:v>27.45</c:v>
                </c:pt>
                <c:pt idx="823">
                  <c:v>27.5</c:v>
                </c:pt>
                <c:pt idx="824">
                  <c:v>27.5</c:v>
                </c:pt>
                <c:pt idx="825">
                  <c:v>27.55</c:v>
                </c:pt>
                <c:pt idx="826">
                  <c:v>27.6</c:v>
                </c:pt>
                <c:pt idx="827">
                  <c:v>27.6</c:v>
                </c:pt>
                <c:pt idx="828">
                  <c:v>27.65</c:v>
                </c:pt>
                <c:pt idx="829">
                  <c:v>27.7</c:v>
                </c:pt>
                <c:pt idx="830">
                  <c:v>27.7</c:v>
                </c:pt>
                <c:pt idx="831">
                  <c:v>27.75</c:v>
                </c:pt>
                <c:pt idx="832">
                  <c:v>27.8</c:v>
                </c:pt>
                <c:pt idx="833">
                  <c:v>27.8</c:v>
                </c:pt>
                <c:pt idx="834">
                  <c:v>27.85</c:v>
                </c:pt>
                <c:pt idx="835">
                  <c:v>27.9</c:v>
                </c:pt>
                <c:pt idx="836">
                  <c:v>27.9</c:v>
                </c:pt>
                <c:pt idx="837">
                  <c:v>27.95</c:v>
                </c:pt>
                <c:pt idx="838">
                  <c:v>28</c:v>
                </c:pt>
                <c:pt idx="839">
                  <c:v>28</c:v>
                </c:pt>
                <c:pt idx="840">
                  <c:v>28.05</c:v>
                </c:pt>
                <c:pt idx="841">
                  <c:v>28.1</c:v>
                </c:pt>
                <c:pt idx="842">
                  <c:v>28.1</c:v>
                </c:pt>
                <c:pt idx="843">
                  <c:v>28.15</c:v>
                </c:pt>
                <c:pt idx="844">
                  <c:v>28.2</c:v>
                </c:pt>
                <c:pt idx="845">
                  <c:v>28.2</c:v>
                </c:pt>
                <c:pt idx="846">
                  <c:v>28.25</c:v>
                </c:pt>
                <c:pt idx="847">
                  <c:v>28.3</c:v>
                </c:pt>
                <c:pt idx="848">
                  <c:v>28.3</c:v>
                </c:pt>
                <c:pt idx="849">
                  <c:v>28.35</c:v>
                </c:pt>
                <c:pt idx="850">
                  <c:v>28.4</c:v>
                </c:pt>
                <c:pt idx="851">
                  <c:v>28.45</c:v>
                </c:pt>
                <c:pt idx="852">
                  <c:v>28.45</c:v>
                </c:pt>
                <c:pt idx="853">
                  <c:v>28.5</c:v>
                </c:pt>
                <c:pt idx="854">
                  <c:v>28.55</c:v>
                </c:pt>
                <c:pt idx="855">
                  <c:v>28.55</c:v>
                </c:pt>
                <c:pt idx="856">
                  <c:v>28.6</c:v>
                </c:pt>
                <c:pt idx="857">
                  <c:v>28.65</c:v>
                </c:pt>
                <c:pt idx="858">
                  <c:v>28.65</c:v>
                </c:pt>
                <c:pt idx="859">
                  <c:v>28.7</c:v>
                </c:pt>
                <c:pt idx="860">
                  <c:v>28.75</c:v>
                </c:pt>
                <c:pt idx="861">
                  <c:v>28.75</c:v>
                </c:pt>
                <c:pt idx="862">
                  <c:v>28.8</c:v>
                </c:pt>
                <c:pt idx="863">
                  <c:v>28.85</c:v>
                </c:pt>
                <c:pt idx="864">
                  <c:v>28.85</c:v>
                </c:pt>
                <c:pt idx="865">
                  <c:v>28.9</c:v>
                </c:pt>
                <c:pt idx="866">
                  <c:v>28.95</c:v>
                </c:pt>
                <c:pt idx="867">
                  <c:v>28.95</c:v>
                </c:pt>
                <c:pt idx="868">
                  <c:v>29</c:v>
                </c:pt>
                <c:pt idx="869">
                  <c:v>29.05</c:v>
                </c:pt>
                <c:pt idx="870">
                  <c:v>29.05</c:v>
                </c:pt>
                <c:pt idx="871">
                  <c:v>29.1</c:v>
                </c:pt>
                <c:pt idx="872">
                  <c:v>29.15</c:v>
                </c:pt>
                <c:pt idx="873">
                  <c:v>29.15</c:v>
                </c:pt>
                <c:pt idx="874">
                  <c:v>29.2</c:v>
                </c:pt>
                <c:pt idx="875">
                  <c:v>29.25</c:v>
                </c:pt>
                <c:pt idx="876">
                  <c:v>29.25</c:v>
                </c:pt>
                <c:pt idx="877">
                  <c:v>29.3</c:v>
                </c:pt>
                <c:pt idx="878">
                  <c:v>29.35</c:v>
                </c:pt>
                <c:pt idx="879">
                  <c:v>29.35</c:v>
                </c:pt>
                <c:pt idx="880">
                  <c:v>29.4</c:v>
                </c:pt>
                <c:pt idx="881">
                  <c:v>29.45</c:v>
                </c:pt>
                <c:pt idx="882">
                  <c:v>29.45</c:v>
                </c:pt>
                <c:pt idx="883">
                  <c:v>29.5</c:v>
                </c:pt>
                <c:pt idx="884">
                  <c:v>29.55</c:v>
                </c:pt>
                <c:pt idx="885">
                  <c:v>29.55</c:v>
                </c:pt>
                <c:pt idx="886">
                  <c:v>29.6</c:v>
                </c:pt>
                <c:pt idx="887">
                  <c:v>29.65</c:v>
                </c:pt>
                <c:pt idx="888">
                  <c:v>29.65</c:v>
                </c:pt>
                <c:pt idx="889">
                  <c:v>29.7</c:v>
                </c:pt>
                <c:pt idx="890">
                  <c:v>29.75</c:v>
                </c:pt>
                <c:pt idx="891">
                  <c:v>29.75</c:v>
                </c:pt>
                <c:pt idx="892">
                  <c:v>29.8</c:v>
                </c:pt>
                <c:pt idx="893">
                  <c:v>29.85</c:v>
                </c:pt>
                <c:pt idx="894">
                  <c:v>29.85</c:v>
                </c:pt>
                <c:pt idx="895">
                  <c:v>29.9</c:v>
                </c:pt>
                <c:pt idx="896">
                  <c:v>29.95</c:v>
                </c:pt>
                <c:pt idx="897">
                  <c:v>29.95</c:v>
                </c:pt>
                <c:pt idx="898">
                  <c:v>30</c:v>
                </c:pt>
                <c:pt idx="899">
                  <c:v>30.05</c:v>
                </c:pt>
                <c:pt idx="900">
                  <c:v>30.05</c:v>
                </c:pt>
                <c:pt idx="901">
                  <c:v>30.1</c:v>
                </c:pt>
                <c:pt idx="902">
                  <c:v>30.15</c:v>
                </c:pt>
                <c:pt idx="903">
                  <c:v>30.15</c:v>
                </c:pt>
                <c:pt idx="904">
                  <c:v>30.2</c:v>
                </c:pt>
                <c:pt idx="905">
                  <c:v>30.25</c:v>
                </c:pt>
                <c:pt idx="906">
                  <c:v>30.25</c:v>
                </c:pt>
                <c:pt idx="907">
                  <c:v>30.3</c:v>
                </c:pt>
                <c:pt idx="908">
                  <c:v>30.35</c:v>
                </c:pt>
                <c:pt idx="909">
                  <c:v>30.35</c:v>
                </c:pt>
                <c:pt idx="910">
                  <c:v>30.4</c:v>
                </c:pt>
                <c:pt idx="911">
                  <c:v>30.45</c:v>
                </c:pt>
                <c:pt idx="912">
                  <c:v>30.45</c:v>
                </c:pt>
                <c:pt idx="913">
                  <c:v>30.5</c:v>
                </c:pt>
                <c:pt idx="914">
                  <c:v>30.55</c:v>
                </c:pt>
                <c:pt idx="915">
                  <c:v>30.55</c:v>
                </c:pt>
                <c:pt idx="916">
                  <c:v>30.6</c:v>
                </c:pt>
                <c:pt idx="917">
                  <c:v>30.65</c:v>
                </c:pt>
                <c:pt idx="918">
                  <c:v>30.65</c:v>
                </c:pt>
                <c:pt idx="919">
                  <c:v>30.7</c:v>
                </c:pt>
                <c:pt idx="920">
                  <c:v>30.75</c:v>
                </c:pt>
                <c:pt idx="921">
                  <c:v>30.75</c:v>
                </c:pt>
                <c:pt idx="922">
                  <c:v>30.8</c:v>
                </c:pt>
                <c:pt idx="923">
                  <c:v>30.85</c:v>
                </c:pt>
                <c:pt idx="924">
                  <c:v>30.85</c:v>
                </c:pt>
                <c:pt idx="925">
                  <c:v>30.9</c:v>
                </c:pt>
                <c:pt idx="926">
                  <c:v>30.95</c:v>
                </c:pt>
                <c:pt idx="927">
                  <c:v>30.95</c:v>
                </c:pt>
                <c:pt idx="928">
                  <c:v>31</c:v>
                </c:pt>
                <c:pt idx="929">
                  <c:v>31.05</c:v>
                </c:pt>
                <c:pt idx="930">
                  <c:v>31.05</c:v>
                </c:pt>
                <c:pt idx="931">
                  <c:v>31.1</c:v>
                </c:pt>
                <c:pt idx="932">
                  <c:v>31.15</c:v>
                </c:pt>
                <c:pt idx="933">
                  <c:v>31.15</c:v>
                </c:pt>
                <c:pt idx="934">
                  <c:v>31.2</c:v>
                </c:pt>
                <c:pt idx="935">
                  <c:v>31.25</c:v>
                </c:pt>
                <c:pt idx="936">
                  <c:v>31.25</c:v>
                </c:pt>
                <c:pt idx="937">
                  <c:v>31.3</c:v>
                </c:pt>
                <c:pt idx="938">
                  <c:v>31.35</c:v>
                </c:pt>
                <c:pt idx="939">
                  <c:v>31.35</c:v>
                </c:pt>
                <c:pt idx="940">
                  <c:v>31.4</c:v>
                </c:pt>
                <c:pt idx="941">
                  <c:v>31.45</c:v>
                </c:pt>
                <c:pt idx="942">
                  <c:v>31.45</c:v>
                </c:pt>
                <c:pt idx="943">
                  <c:v>31.5</c:v>
                </c:pt>
                <c:pt idx="944">
                  <c:v>31.55</c:v>
                </c:pt>
                <c:pt idx="945">
                  <c:v>31.55</c:v>
                </c:pt>
                <c:pt idx="946">
                  <c:v>31.6</c:v>
                </c:pt>
                <c:pt idx="947">
                  <c:v>31.65</c:v>
                </c:pt>
                <c:pt idx="948">
                  <c:v>31.65</c:v>
                </c:pt>
                <c:pt idx="949">
                  <c:v>31.7</c:v>
                </c:pt>
                <c:pt idx="950">
                  <c:v>31.75</c:v>
                </c:pt>
                <c:pt idx="951">
                  <c:v>31.75</c:v>
                </c:pt>
                <c:pt idx="952">
                  <c:v>31.8</c:v>
                </c:pt>
                <c:pt idx="953">
                  <c:v>31.85</c:v>
                </c:pt>
                <c:pt idx="954">
                  <c:v>31.85</c:v>
                </c:pt>
                <c:pt idx="955">
                  <c:v>31.9</c:v>
                </c:pt>
                <c:pt idx="956">
                  <c:v>31.95</c:v>
                </c:pt>
                <c:pt idx="957">
                  <c:v>31.95</c:v>
                </c:pt>
                <c:pt idx="958">
                  <c:v>32</c:v>
                </c:pt>
                <c:pt idx="959">
                  <c:v>32.05</c:v>
                </c:pt>
                <c:pt idx="960">
                  <c:v>32.05</c:v>
                </c:pt>
                <c:pt idx="961">
                  <c:v>32.1</c:v>
                </c:pt>
                <c:pt idx="962">
                  <c:v>32.15</c:v>
                </c:pt>
                <c:pt idx="963">
                  <c:v>32.15</c:v>
                </c:pt>
                <c:pt idx="964">
                  <c:v>32.2</c:v>
                </c:pt>
                <c:pt idx="965">
                  <c:v>32.25</c:v>
                </c:pt>
                <c:pt idx="966">
                  <c:v>32.25</c:v>
                </c:pt>
                <c:pt idx="967">
                  <c:v>32.3</c:v>
                </c:pt>
                <c:pt idx="968">
                  <c:v>32.35</c:v>
                </c:pt>
                <c:pt idx="969">
                  <c:v>32.35</c:v>
                </c:pt>
                <c:pt idx="970">
                  <c:v>32.4</c:v>
                </c:pt>
                <c:pt idx="971">
                  <c:v>32.45</c:v>
                </c:pt>
                <c:pt idx="972">
                  <c:v>32.45</c:v>
                </c:pt>
                <c:pt idx="973">
                  <c:v>32.5</c:v>
                </c:pt>
                <c:pt idx="974">
                  <c:v>32.55</c:v>
                </c:pt>
                <c:pt idx="975">
                  <c:v>32.55</c:v>
                </c:pt>
                <c:pt idx="976">
                  <c:v>32.6</c:v>
                </c:pt>
                <c:pt idx="977">
                  <c:v>32.65</c:v>
                </c:pt>
                <c:pt idx="978">
                  <c:v>32.65</c:v>
                </c:pt>
                <c:pt idx="979">
                  <c:v>32.7</c:v>
                </c:pt>
                <c:pt idx="980">
                  <c:v>32.75</c:v>
                </c:pt>
                <c:pt idx="981">
                  <c:v>32.75</c:v>
                </c:pt>
                <c:pt idx="982">
                  <c:v>32.8</c:v>
                </c:pt>
                <c:pt idx="983">
                  <c:v>32.85</c:v>
                </c:pt>
                <c:pt idx="984">
                  <c:v>32.85</c:v>
                </c:pt>
                <c:pt idx="985">
                  <c:v>32.9</c:v>
                </c:pt>
                <c:pt idx="986">
                  <c:v>32.95</c:v>
                </c:pt>
                <c:pt idx="987">
                  <c:v>32.95</c:v>
                </c:pt>
                <c:pt idx="988">
                  <c:v>33</c:v>
                </c:pt>
                <c:pt idx="989">
                  <c:v>33.05</c:v>
                </c:pt>
                <c:pt idx="990">
                  <c:v>33.05</c:v>
                </c:pt>
                <c:pt idx="991">
                  <c:v>33.1</c:v>
                </c:pt>
                <c:pt idx="992">
                  <c:v>33.15</c:v>
                </c:pt>
                <c:pt idx="993">
                  <c:v>33.15</c:v>
                </c:pt>
                <c:pt idx="994">
                  <c:v>33.2</c:v>
                </c:pt>
                <c:pt idx="995">
                  <c:v>33.25</c:v>
                </c:pt>
                <c:pt idx="996">
                  <c:v>33.25</c:v>
                </c:pt>
                <c:pt idx="997">
                  <c:v>33.3</c:v>
                </c:pt>
                <c:pt idx="998">
                  <c:v>33.35</c:v>
                </c:pt>
                <c:pt idx="999">
                  <c:v>33.35</c:v>
                </c:pt>
                <c:pt idx="1000">
                  <c:v>33.4</c:v>
                </c:pt>
                <c:pt idx="1001">
                  <c:v>33.45</c:v>
                </c:pt>
                <c:pt idx="1002">
                  <c:v>33.45</c:v>
                </c:pt>
                <c:pt idx="1003">
                  <c:v>33.5</c:v>
                </c:pt>
                <c:pt idx="1004">
                  <c:v>33.55</c:v>
                </c:pt>
                <c:pt idx="1005">
                  <c:v>33.55</c:v>
                </c:pt>
                <c:pt idx="1006">
                  <c:v>33.6</c:v>
                </c:pt>
                <c:pt idx="1007">
                  <c:v>33.65</c:v>
                </c:pt>
                <c:pt idx="1008">
                  <c:v>33.65</c:v>
                </c:pt>
                <c:pt idx="1009">
                  <c:v>33.7</c:v>
                </c:pt>
                <c:pt idx="1010">
                  <c:v>33.75</c:v>
                </c:pt>
                <c:pt idx="1011">
                  <c:v>33.75</c:v>
                </c:pt>
                <c:pt idx="1012">
                  <c:v>33.8</c:v>
                </c:pt>
                <c:pt idx="1013">
                  <c:v>33.85</c:v>
                </c:pt>
                <c:pt idx="1014">
                  <c:v>33.85</c:v>
                </c:pt>
                <c:pt idx="1015">
                  <c:v>33.9</c:v>
                </c:pt>
                <c:pt idx="1016">
                  <c:v>33.95</c:v>
                </c:pt>
                <c:pt idx="1017">
                  <c:v>33.95</c:v>
                </c:pt>
                <c:pt idx="1018">
                  <c:v>34</c:v>
                </c:pt>
                <c:pt idx="1019">
                  <c:v>34.05</c:v>
                </c:pt>
                <c:pt idx="1020">
                  <c:v>34.05</c:v>
                </c:pt>
                <c:pt idx="1021">
                  <c:v>34.1</c:v>
                </c:pt>
                <c:pt idx="1022">
                  <c:v>34.15</c:v>
                </c:pt>
                <c:pt idx="1023">
                  <c:v>34.2</c:v>
                </c:pt>
                <c:pt idx="1024">
                  <c:v>34.2</c:v>
                </c:pt>
                <c:pt idx="1025">
                  <c:v>34.25</c:v>
                </c:pt>
                <c:pt idx="1026">
                  <c:v>34.3</c:v>
                </c:pt>
                <c:pt idx="1027">
                  <c:v>34.3</c:v>
                </c:pt>
                <c:pt idx="1028">
                  <c:v>34.35</c:v>
                </c:pt>
                <c:pt idx="1029">
                  <c:v>34.4</c:v>
                </c:pt>
                <c:pt idx="1030">
                  <c:v>34.4</c:v>
                </c:pt>
                <c:pt idx="1031">
                  <c:v>34.45</c:v>
                </c:pt>
                <c:pt idx="1032">
                  <c:v>34.5</c:v>
                </c:pt>
                <c:pt idx="1033">
                  <c:v>34.5</c:v>
                </c:pt>
                <c:pt idx="1034">
                  <c:v>34.55</c:v>
                </c:pt>
                <c:pt idx="1035">
                  <c:v>34.6</c:v>
                </c:pt>
                <c:pt idx="1036">
                  <c:v>34.6</c:v>
                </c:pt>
                <c:pt idx="1037">
                  <c:v>34.65</c:v>
                </c:pt>
                <c:pt idx="1038">
                  <c:v>34.7</c:v>
                </c:pt>
                <c:pt idx="1039">
                  <c:v>34.7</c:v>
                </c:pt>
                <c:pt idx="1040">
                  <c:v>34.75</c:v>
                </c:pt>
                <c:pt idx="1041">
                  <c:v>34.8</c:v>
                </c:pt>
                <c:pt idx="1042">
                  <c:v>34.8</c:v>
                </c:pt>
                <c:pt idx="1043">
                  <c:v>34.85</c:v>
                </c:pt>
                <c:pt idx="1044">
                  <c:v>34.9</c:v>
                </c:pt>
                <c:pt idx="1045">
                  <c:v>34.9</c:v>
                </c:pt>
                <c:pt idx="1046">
                  <c:v>34.95</c:v>
                </c:pt>
                <c:pt idx="1047">
                  <c:v>35</c:v>
                </c:pt>
                <c:pt idx="1048">
                  <c:v>35</c:v>
                </c:pt>
                <c:pt idx="1049">
                  <c:v>35.05</c:v>
                </c:pt>
                <c:pt idx="1050">
                  <c:v>35.1</c:v>
                </c:pt>
                <c:pt idx="1051">
                  <c:v>35.1</c:v>
                </c:pt>
                <c:pt idx="1052">
                  <c:v>35.15</c:v>
                </c:pt>
                <c:pt idx="1053">
                  <c:v>35.2</c:v>
                </c:pt>
                <c:pt idx="1054">
                  <c:v>35.2</c:v>
                </c:pt>
                <c:pt idx="1055">
                  <c:v>35.25</c:v>
                </c:pt>
                <c:pt idx="1056">
                  <c:v>35.3</c:v>
                </c:pt>
                <c:pt idx="1057">
                  <c:v>35.3</c:v>
                </c:pt>
                <c:pt idx="1058">
                  <c:v>35.35</c:v>
                </c:pt>
                <c:pt idx="1059">
                  <c:v>35.4</c:v>
                </c:pt>
                <c:pt idx="1060">
                  <c:v>35.4</c:v>
                </c:pt>
                <c:pt idx="1061">
                  <c:v>35.45</c:v>
                </c:pt>
                <c:pt idx="1062">
                  <c:v>35.5</c:v>
                </c:pt>
                <c:pt idx="1063">
                  <c:v>35.5</c:v>
                </c:pt>
                <c:pt idx="1064">
                  <c:v>35.55</c:v>
                </c:pt>
                <c:pt idx="1065">
                  <c:v>35.6</c:v>
                </c:pt>
                <c:pt idx="1066">
                  <c:v>35.6</c:v>
                </c:pt>
                <c:pt idx="1067">
                  <c:v>35.65</c:v>
                </c:pt>
                <c:pt idx="1068">
                  <c:v>35.7</c:v>
                </c:pt>
                <c:pt idx="1069">
                  <c:v>35.7</c:v>
                </c:pt>
                <c:pt idx="1070">
                  <c:v>35.75</c:v>
                </c:pt>
                <c:pt idx="1071">
                  <c:v>35.8</c:v>
                </c:pt>
                <c:pt idx="1072">
                  <c:v>35.8</c:v>
                </c:pt>
                <c:pt idx="1073">
                  <c:v>35.85</c:v>
                </c:pt>
                <c:pt idx="1074">
                  <c:v>35.9</c:v>
                </c:pt>
                <c:pt idx="1075">
                  <c:v>35.9</c:v>
                </c:pt>
                <c:pt idx="1076">
                  <c:v>35.95</c:v>
                </c:pt>
                <c:pt idx="1077">
                  <c:v>36</c:v>
                </c:pt>
                <c:pt idx="1078">
                  <c:v>36</c:v>
                </c:pt>
                <c:pt idx="1079">
                  <c:v>36.05</c:v>
                </c:pt>
                <c:pt idx="1080">
                  <c:v>36.1</c:v>
                </c:pt>
                <c:pt idx="1081">
                  <c:v>36.1</c:v>
                </c:pt>
                <c:pt idx="1082">
                  <c:v>36.15</c:v>
                </c:pt>
                <c:pt idx="1083">
                  <c:v>36.2</c:v>
                </c:pt>
                <c:pt idx="1084">
                  <c:v>36.2</c:v>
                </c:pt>
                <c:pt idx="1085">
                  <c:v>36.25</c:v>
                </c:pt>
                <c:pt idx="1086">
                  <c:v>36.3</c:v>
                </c:pt>
                <c:pt idx="1087">
                  <c:v>36.3</c:v>
                </c:pt>
                <c:pt idx="1088">
                  <c:v>36.35</c:v>
                </c:pt>
                <c:pt idx="1089">
                  <c:v>36.4</c:v>
                </c:pt>
                <c:pt idx="1090">
                  <c:v>36.4</c:v>
                </c:pt>
                <c:pt idx="1091">
                  <c:v>36.45</c:v>
                </c:pt>
                <c:pt idx="1092">
                  <c:v>36.5</c:v>
                </c:pt>
                <c:pt idx="1093">
                  <c:v>36.5</c:v>
                </c:pt>
                <c:pt idx="1094">
                  <c:v>36.55</c:v>
                </c:pt>
                <c:pt idx="1095">
                  <c:v>36.6</c:v>
                </c:pt>
                <c:pt idx="1096">
                  <c:v>36.6</c:v>
                </c:pt>
                <c:pt idx="1097">
                  <c:v>36.65</c:v>
                </c:pt>
                <c:pt idx="1098">
                  <c:v>36.7</c:v>
                </c:pt>
                <c:pt idx="1099">
                  <c:v>36.7</c:v>
                </c:pt>
                <c:pt idx="1100">
                  <c:v>36.75</c:v>
                </c:pt>
                <c:pt idx="1101">
                  <c:v>36.8</c:v>
                </c:pt>
                <c:pt idx="1102">
                  <c:v>36.8</c:v>
                </c:pt>
                <c:pt idx="1103">
                  <c:v>36.85</c:v>
                </c:pt>
                <c:pt idx="1104">
                  <c:v>36.9</c:v>
                </c:pt>
                <c:pt idx="1105">
                  <c:v>36.9</c:v>
                </c:pt>
                <c:pt idx="1106">
                  <c:v>36.95</c:v>
                </c:pt>
                <c:pt idx="1107">
                  <c:v>37</c:v>
                </c:pt>
                <c:pt idx="1108">
                  <c:v>37</c:v>
                </c:pt>
                <c:pt idx="1109">
                  <c:v>37.05</c:v>
                </c:pt>
                <c:pt idx="1110">
                  <c:v>37.1</c:v>
                </c:pt>
                <c:pt idx="1111">
                  <c:v>37.1</c:v>
                </c:pt>
                <c:pt idx="1112">
                  <c:v>37.15</c:v>
                </c:pt>
                <c:pt idx="1113">
                  <c:v>37.2</c:v>
                </c:pt>
                <c:pt idx="1114">
                  <c:v>37.2</c:v>
                </c:pt>
                <c:pt idx="1115">
                  <c:v>37.25</c:v>
                </c:pt>
                <c:pt idx="1116">
                  <c:v>37.3</c:v>
                </c:pt>
                <c:pt idx="1117">
                  <c:v>37.3</c:v>
                </c:pt>
                <c:pt idx="1118">
                  <c:v>37.35</c:v>
                </c:pt>
                <c:pt idx="1119">
                  <c:v>37.4</c:v>
                </c:pt>
                <c:pt idx="1120">
                  <c:v>37.4</c:v>
                </c:pt>
                <c:pt idx="1121">
                  <c:v>37.45</c:v>
                </c:pt>
                <c:pt idx="1122">
                  <c:v>37.5</c:v>
                </c:pt>
                <c:pt idx="1123">
                  <c:v>37.5</c:v>
                </c:pt>
                <c:pt idx="1124">
                  <c:v>37.55</c:v>
                </c:pt>
                <c:pt idx="1125">
                  <c:v>37.6</c:v>
                </c:pt>
                <c:pt idx="1126">
                  <c:v>37.6</c:v>
                </c:pt>
                <c:pt idx="1127">
                  <c:v>37.65</c:v>
                </c:pt>
                <c:pt idx="1128">
                  <c:v>37.7</c:v>
                </c:pt>
                <c:pt idx="1129">
                  <c:v>37.7</c:v>
                </c:pt>
                <c:pt idx="1130">
                  <c:v>37.75</c:v>
                </c:pt>
                <c:pt idx="1131">
                  <c:v>37.8</c:v>
                </c:pt>
                <c:pt idx="1132">
                  <c:v>37.8</c:v>
                </c:pt>
                <c:pt idx="1133">
                  <c:v>37.85</c:v>
                </c:pt>
                <c:pt idx="1134">
                  <c:v>37.9</c:v>
                </c:pt>
                <c:pt idx="1135">
                  <c:v>37.9</c:v>
                </c:pt>
                <c:pt idx="1136">
                  <c:v>37.95</c:v>
                </c:pt>
                <c:pt idx="1137">
                  <c:v>38</c:v>
                </c:pt>
                <c:pt idx="1138">
                  <c:v>38</c:v>
                </c:pt>
                <c:pt idx="1139">
                  <c:v>38.05</c:v>
                </c:pt>
                <c:pt idx="1140">
                  <c:v>38.1</c:v>
                </c:pt>
                <c:pt idx="1141">
                  <c:v>38.1</c:v>
                </c:pt>
                <c:pt idx="1142">
                  <c:v>38.15</c:v>
                </c:pt>
                <c:pt idx="1143">
                  <c:v>38.2</c:v>
                </c:pt>
                <c:pt idx="1144">
                  <c:v>38.2</c:v>
                </c:pt>
                <c:pt idx="1145">
                  <c:v>38.25</c:v>
                </c:pt>
                <c:pt idx="1146">
                  <c:v>38.3</c:v>
                </c:pt>
                <c:pt idx="1147">
                  <c:v>38.3</c:v>
                </c:pt>
                <c:pt idx="1148">
                  <c:v>38.35</c:v>
                </c:pt>
                <c:pt idx="1149">
                  <c:v>38.4</c:v>
                </c:pt>
                <c:pt idx="1150">
                  <c:v>38.4</c:v>
                </c:pt>
                <c:pt idx="1151">
                  <c:v>38.45</c:v>
                </c:pt>
                <c:pt idx="1152">
                  <c:v>38.5</c:v>
                </c:pt>
                <c:pt idx="1153">
                  <c:v>38.5</c:v>
                </c:pt>
                <c:pt idx="1154">
                  <c:v>38.55</c:v>
                </c:pt>
                <c:pt idx="1155">
                  <c:v>38.6</c:v>
                </c:pt>
                <c:pt idx="1156">
                  <c:v>38.6</c:v>
                </c:pt>
                <c:pt idx="1157">
                  <c:v>38.65</c:v>
                </c:pt>
                <c:pt idx="1158">
                  <c:v>38.7</c:v>
                </c:pt>
                <c:pt idx="1159">
                  <c:v>38.7</c:v>
                </c:pt>
                <c:pt idx="1160">
                  <c:v>38.75</c:v>
                </c:pt>
                <c:pt idx="1161">
                  <c:v>38.8</c:v>
                </c:pt>
                <c:pt idx="1162">
                  <c:v>38.8</c:v>
                </c:pt>
                <c:pt idx="1163">
                  <c:v>38.85</c:v>
                </c:pt>
                <c:pt idx="1164">
                  <c:v>38.9</c:v>
                </c:pt>
                <c:pt idx="1165">
                  <c:v>38.9</c:v>
                </c:pt>
                <c:pt idx="1166">
                  <c:v>38.95</c:v>
                </c:pt>
                <c:pt idx="1167">
                  <c:v>39</c:v>
                </c:pt>
                <c:pt idx="1168">
                  <c:v>39</c:v>
                </c:pt>
                <c:pt idx="1169">
                  <c:v>39.05</c:v>
                </c:pt>
                <c:pt idx="1170">
                  <c:v>39.1</c:v>
                </c:pt>
                <c:pt idx="1171">
                  <c:v>39.1</c:v>
                </c:pt>
                <c:pt idx="1172">
                  <c:v>39.15</c:v>
                </c:pt>
                <c:pt idx="1173">
                  <c:v>39.2</c:v>
                </c:pt>
                <c:pt idx="1174">
                  <c:v>39.2</c:v>
                </c:pt>
                <c:pt idx="1175">
                  <c:v>39.25</c:v>
                </c:pt>
                <c:pt idx="1176">
                  <c:v>39.3</c:v>
                </c:pt>
                <c:pt idx="1177">
                  <c:v>39.3</c:v>
                </c:pt>
                <c:pt idx="1178">
                  <c:v>39.35</c:v>
                </c:pt>
                <c:pt idx="1179">
                  <c:v>39.4</c:v>
                </c:pt>
                <c:pt idx="1180">
                  <c:v>39.4</c:v>
                </c:pt>
                <c:pt idx="1181">
                  <c:v>39.45</c:v>
                </c:pt>
                <c:pt idx="1182">
                  <c:v>39.5</c:v>
                </c:pt>
                <c:pt idx="1183">
                  <c:v>39.5</c:v>
                </c:pt>
                <c:pt idx="1184">
                  <c:v>39.55</c:v>
                </c:pt>
                <c:pt idx="1185">
                  <c:v>39.6</c:v>
                </c:pt>
                <c:pt idx="1186">
                  <c:v>39.6</c:v>
                </c:pt>
                <c:pt idx="1187">
                  <c:v>39.65</c:v>
                </c:pt>
                <c:pt idx="1188">
                  <c:v>39.7</c:v>
                </c:pt>
                <c:pt idx="1189">
                  <c:v>39.7</c:v>
                </c:pt>
                <c:pt idx="1190">
                  <c:v>39.75</c:v>
                </c:pt>
                <c:pt idx="1191">
                  <c:v>39.8</c:v>
                </c:pt>
                <c:pt idx="1192">
                  <c:v>39.85</c:v>
                </c:pt>
                <c:pt idx="1193">
                  <c:v>39.85</c:v>
                </c:pt>
                <c:pt idx="1194">
                  <c:v>39.9</c:v>
                </c:pt>
                <c:pt idx="1195">
                  <c:v>39.95</c:v>
                </c:pt>
                <c:pt idx="1196">
                  <c:v>39.95</c:v>
                </c:pt>
                <c:pt idx="1197">
                  <c:v>40</c:v>
                </c:pt>
                <c:pt idx="1198">
                  <c:v>40.05</c:v>
                </c:pt>
                <c:pt idx="1199">
                  <c:v>40.05</c:v>
                </c:pt>
                <c:pt idx="1200">
                  <c:v>40.1</c:v>
                </c:pt>
                <c:pt idx="1201">
                  <c:v>40.15</c:v>
                </c:pt>
                <c:pt idx="1202">
                  <c:v>40.15</c:v>
                </c:pt>
                <c:pt idx="1203">
                  <c:v>40.2</c:v>
                </c:pt>
                <c:pt idx="1204">
                  <c:v>40.25</c:v>
                </c:pt>
                <c:pt idx="1205">
                  <c:v>40.25</c:v>
                </c:pt>
                <c:pt idx="1206">
                  <c:v>40.3</c:v>
                </c:pt>
                <c:pt idx="1207">
                  <c:v>40.35</c:v>
                </c:pt>
                <c:pt idx="1208">
                  <c:v>40.35</c:v>
                </c:pt>
                <c:pt idx="1209">
                  <c:v>40.4</c:v>
                </c:pt>
                <c:pt idx="1210">
                  <c:v>40.45</c:v>
                </c:pt>
                <c:pt idx="1211">
                  <c:v>40.45</c:v>
                </c:pt>
                <c:pt idx="1212">
                  <c:v>40.5</c:v>
                </c:pt>
                <c:pt idx="1213">
                  <c:v>40.55</c:v>
                </c:pt>
                <c:pt idx="1214">
                  <c:v>40.55</c:v>
                </c:pt>
                <c:pt idx="1215">
                  <c:v>40.6</c:v>
                </c:pt>
                <c:pt idx="1216">
                  <c:v>40.65</c:v>
                </c:pt>
                <c:pt idx="1217">
                  <c:v>40.65</c:v>
                </c:pt>
                <c:pt idx="1218">
                  <c:v>40.7</c:v>
                </c:pt>
                <c:pt idx="1219">
                  <c:v>40.75</c:v>
                </c:pt>
                <c:pt idx="1220">
                  <c:v>40.75</c:v>
                </c:pt>
                <c:pt idx="1221">
                  <c:v>40.8</c:v>
                </c:pt>
                <c:pt idx="1222">
                  <c:v>40.85</c:v>
                </c:pt>
                <c:pt idx="1223">
                  <c:v>40.85</c:v>
                </c:pt>
                <c:pt idx="1224">
                  <c:v>40.9</c:v>
                </c:pt>
                <c:pt idx="1225">
                  <c:v>40.95</c:v>
                </c:pt>
                <c:pt idx="1226">
                  <c:v>40.95</c:v>
                </c:pt>
                <c:pt idx="1227">
                  <c:v>41</c:v>
                </c:pt>
                <c:pt idx="1228">
                  <c:v>41.05</c:v>
                </c:pt>
                <c:pt idx="1229">
                  <c:v>41.05</c:v>
                </c:pt>
                <c:pt idx="1230">
                  <c:v>41.1</c:v>
                </c:pt>
                <c:pt idx="1231">
                  <c:v>41.15</c:v>
                </c:pt>
                <c:pt idx="1232">
                  <c:v>41.15</c:v>
                </c:pt>
                <c:pt idx="1233">
                  <c:v>41.2</c:v>
                </c:pt>
                <c:pt idx="1234">
                  <c:v>41.25</c:v>
                </c:pt>
                <c:pt idx="1235">
                  <c:v>41.25</c:v>
                </c:pt>
                <c:pt idx="1236">
                  <c:v>41.3</c:v>
                </c:pt>
                <c:pt idx="1237">
                  <c:v>41.35</c:v>
                </c:pt>
                <c:pt idx="1238">
                  <c:v>41.35</c:v>
                </c:pt>
                <c:pt idx="1239">
                  <c:v>41.4</c:v>
                </c:pt>
                <c:pt idx="1240">
                  <c:v>41.45</c:v>
                </c:pt>
                <c:pt idx="1241">
                  <c:v>41.45</c:v>
                </c:pt>
                <c:pt idx="1242">
                  <c:v>41.5</c:v>
                </c:pt>
                <c:pt idx="1243">
                  <c:v>41.55</c:v>
                </c:pt>
                <c:pt idx="1244">
                  <c:v>41.55</c:v>
                </c:pt>
                <c:pt idx="1245">
                  <c:v>41.6</c:v>
                </c:pt>
                <c:pt idx="1246">
                  <c:v>41.65</c:v>
                </c:pt>
                <c:pt idx="1247">
                  <c:v>41.65</c:v>
                </c:pt>
                <c:pt idx="1248">
                  <c:v>41.7</c:v>
                </c:pt>
                <c:pt idx="1249">
                  <c:v>41.75</c:v>
                </c:pt>
                <c:pt idx="1250">
                  <c:v>41.75</c:v>
                </c:pt>
                <c:pt idx="1251">
                  <c:v>41.8</c:v>
                </c:pt>
                <c:pt idx="1252">
                  <c:v>41.85</c:v>
                </c:pt>
                <c:pt idx="1253">
                  <c:v>41.85</c:v>
                </c:pt>
                <c:pt idx="1254">
                  <c:v>41.9</c:v>
                </c:pt>
                <c:pt idx="1255">
                  <c:v>41.95</c:v>
                </c:pt>
                <c:pt idx="1256">
                  <c:v>41.95</c:v>
                </c:pt>
                <c:pt idx="1257">
                  <c:v>42</c:v>
                </c:pt>
                <c:pt idx="1258">
                  <c:v>42.05</c:v>
                </c:pt>
                <c:pt idx="1259">
                  <c:v>42.05</c:v>
                </c:pt>
                <c:pt idx="1260">
                  <c:v>42.1</c:v>
                </c:pt>
                <c:pt idx="1261">
                  <c:v>42.15</c:v>
                </c:pt>
                <c:pt idx="1262">
                  <c:v>42.15</c:v>
                </c:pt>
                <c:pt idx="1263">
                  <c:v>42.2</c:v>
                </c:pt>
                <c:pt idx="1264">
                  <c:v>42.25</c:v>
                </c:pt>
                <c:pt idx="1265">
                  <c:v>42.25</c:v>
                </c:pt>
                <c:pt idx="1266">
                  <c:v>42.3</c:v>
                </c:pt>
                <c:pt idx="1267">
                  <c:v>42.35</c:v>
                </c:pt>
                <c:pt idx="1268">
                  <c:v>42.35</c:v>
                </c:pt>
                <c:pt idx="1269">
                  <c:v>42.4</c:v>
                </c:pt>
                <c:pt idx="1270">
                  <c:v>42.45</c:v>
                </c:pt>
                <c:pt idx="1271">
                  <c:v>42.45</c:v>
                </c:pt>
                <c:pt idx="1272">
                  <c:v>42.5</c:v>
                </c:pt>
                <c:pt idx="1273">
                  <c:v>42.55</c:v>
                </c:pt>
                <c:pt idx="1274">
                  <c:v>42.55</c:v>
                </c:pt>
                <c:pt idx="1275">
                  <c:v>42.6</c:v>
                </c:pt>
                <c:pt idx="1276">
                  <c:v>42.65</c:v>
                </c:pt>
                <c:pt idx="1277">
                  <c:v>42.65</c:v>
                </c:pt>
                <c:pt idx="1278">
                  <c:v>42.7</c:v>
                </c:pt>
                <c:pt idx="1279">
                  <c:v>42.75</c:v>
                </c:pt>
                <c:pt idx="1280">
                  <c:v>42.75</c:v>
                </c:pt>
                <c:pt idx="1281">
                  <c:v>42.8</c:v>
                </c:pt>
                <c:pt idx="1282">
                  <c:v>42.85</c:v>
                </c:pt>
                <c:pt idx="1283">
                  <c:v>42.85</c:v>
                </c:pt>
                <c:pt idx="1284">
                  <c:v>42.9</c:v>
                </c:pt>
                <c:pt idx="1285">
                  <c:v>42.95</c:v>
                </c:pt>
                <c:pt idx="1286">
                  <c:v>42.95</c:v>
                </c:pt>
                <c:pt idx="1287">
                  <c:v>43</c:v>
                </c:pt>
                <c:pt idx="1288">
                  <c:v>43.05</c:v>
                </c:pt>
                <c:pt idx="1289">
                  <c:v>43.05</c:v>
                </c:pt>
                <c:pt idx="1290">
                  <c:v>43.1</c:v>
                </c:pt>
                <c:pt idx="1291">
                  <c:v>43.15</c:v>
                </c:pt>
                <c:pt idx="1292">
                  <c:v>43.15</c:v>
                </c:pt>
                <c:pt idx="1293">
                  <c:v>43.2</c:v>
                </c:pt>
                <c:pt idx="1294">
                  <c:v>43.25</c:v>
                </c:pt>
                <c:pt idx="1295">
                  <c:v>43.25</c:v>
                </c:pt>
                <c:pt idx="1296">
                  <c:v>43.3</c:v>
                </c:pt>
                <c:pt idx="1297">
                  <c:v>43.35</c:v>
                </c:pt>
                <c:pt idx="1298">
                  <c:v>43.35</c:v>
                </c:pt>
                <c:pt idx="1299">
                  <c:v>43.4</c:v>
                </c:pt>
                <c:pt idx="1300">
                  <c:v>43.45</c:v>
                </c:pt>
                <c:pt idx="1301">
                  <c:v>43.45</c:v>
                </c:pt>
                <c:pt idx="1302">
                  <c:v>43.5</c:v>
                </c:pt>
                <c:pt idx="1303">
                  <c:v>43.55</c:v>
                </c:pt>
                <c:pt idx="1304">
                  <c:v>43.55</c:v>
                </c:pt>
                <c:pt idx="1305">
                  <c:v>43.6</c:v>
                </c:pt>
                <c:pt idx="1306">
                  <c:v>43.65</c:v>
                </c:pt>
                <c:pt idx="1307">
                  <c:v>43.65</c:v>
                </c:pt>
                <c:pt idx="1308">
                  <c:v>43.7</c:v>
                </c:pt>
                <c:pt idx="1309">
                  <c:v>43.75</c:v>
                </c:pt>
                <c:pt idx="1310">
                  <c:v>43.75</c:v>
                </c:pt>
                <c:pt idx="1311">
                  <c:v>43.8</c:v>
                </c:pt>
                <c:pt idx="1312">
                  <c:v>43.85</c:v>
                </c:pt>
                <c:pt idx="1313">
                  <c:v>43.85</c:v>
                </c:pt>
                <c:pt idx="1314">
                  <c:v>43.9</c:v>
                </c:pt>
                <c:pt idx="1315">
                  <c:v>43.95</c:v>
                </c:pt>
                <c:pt idx="1316">
                  <c:v>43.95</c:v>
                </c:pt>
                <c:pt idx="1317">
                  <c:v>44</c:v>
                </c:pt>
                <c:pt idx="1318">
                  <c:v>44.05</c:v>
                </c:pt>
                <c:pt idx="1319">
                  <c:v>44.05</c:v>
                </c:pt>
                <c:pt idx="1320">
                  <c:v>44.1</c:v>
                </c:pt>
                <c:pt idx="1321">
                  <c:v>44.15</c:v>
                </c:pt>
                <c:pt idx="1322">
                  <c:v>44.15</c:v>
                </c:pt>
                <c:pt idx="1323">
                  <c:v>44.2</c:v>
                </c:pt>
                <c:pt idx="1324">
                  <c:v>44.25</c:v>
                </c:pt>
                <c:pt idx="1325">
                  <c:v>44.25</c:v>
                </c:pt>
                <c:pt idx="1326">
                  <c:v>44.3</c:v>
                </c:pt>
                <c:pt idx="1327">
                  <c:v>44.35</c:v>
                </c:pt>
                <c:pt idx="1328">
                  <c:v>44.35</c:v>
                </c:pt>
                <c:pt idx="1329">
                  <c:v>44.4</c:v>
                </c:pt>
                <c:pt idx="1330">
                  <c:v>44.45</c:v>
                </c:pt>
                <c:pt idx="1331">
                  <c:v>44.45</c:v>
                </c:pt>
                <c:pt idx="1332">
                  <c:v>44.5</c:v>
                </c:pt>
                <c:pt idx="1333">
                  <c:v>44.55</c:v>
                </c:pt>
                <c:pt idx="1334">
                  <c:v>44.55</c:v>
                </c:pt>
                <c:pt idx="1335">
                  <c:v>44.6</c:v>
                </c:pt>
                <c:pt idx="1336">
                  <c:v>44.65</c:v>
                </c:pt>
                <c:pt idx="1337">
                  <c:v>44.65</c:v>
                </c:pt>
                <c:pt idx="1338">
                  <c:v>44.7</c:v>
                </c:pt>
                <c:pt idx="1339">
                  <c:v>44.75</c:v>
                </c:pt>
                <c:pt idx="1340">
                  <c:v>44.75</c:v>
                </c:pt>
                <c:pt idx="1341">
                  <c:v>44.8</c:v>
                </c:pt>
                <c:pt idx="1342">
                  <c:v>44.85</c:v>
                </c:pt>
                <c:pt idx="1343">
                  <c:v>44.85</c:v>
                </c:pt>
                <c:pt idx="1344">
                  <c:v>44.9</c:v>
                </c:pt>
                <c:pt idx="1345">
                  <c:v>44.95</c:v>
                </c:pt>
                <c:pt idx="1346">
                  <c:v>44.95</c:v>
                </c:pt>
                <c:pt idx="1347">
                  <c:v>45</c:v>
                </c:pt>
                <c:pt idx="1348">
                  <c:v>45.05</c:v>
                </c:pt>
                <c:pt idx="1349">
                  <c:v>45.05</c:v>
                </c:pt>
                <c:pt idx="1350">
                  <c:v>45.1</c:v>
                </c:pt>
                <c:pt idx="1351">
                  <c:v>45.15</c:v>
                </c:pt>
                <c:pt idx="1352">
                  <c:v>45.15</c:v>
                </c:pt>
                <c:pt idx="1353">
                  <c:v>45.2</c:v>
                </c:pt>
                <c:pt idx="1354">
                  <c:v>45.25</c:v>
                </c:pt>
                <c:pt idx="1355">
                  <c:v>45.25</c:v>
                </c:pt>
                <c:pt idx="1356">
                  <c:v>45.3</c:v>
                </c:pt>
                <c:pt idx="1357">
                  <c:v>45.35</c:v>
                </c:pt>
                <c:pt idx="1358">
                  <c:v>45.35</c:v>
                </c:pt>
                <c:pt idx="1359">
                  <c:v>45.4</c:v>
                </c:pt>
                <c:pt idx="1360">
                  <c:v>45.45</c:v>
                </c:pt>
                <c:pt idx="1361">
                  <c:v>45.45</c:v>
                </c:pt>
                <c:pt idx="1362">
                  <c:v>45.5</c:v>
                </c:pt>
                <c:pt idx="1363">
                  <c:v>45.55</c:v>
                </c:pt>
                <c:pt idx="1364">
                  <c:v>45.6</c:v>
                </c:pt>
                <c:pt idx="1365">
                  <c:v>45.6</c:v>
                </c:pt>
                <c:pt idx="1366">
                  <c:v>45.65</c:v>
                </c:pt>
                <c:pt idx="1367">
                  <c:v>45.7</c:v>
                </c:pt>
                <c:pt idx="1368">
                  <c:v>45.7</c:v>
                </c:pt>
                <c:pt idx="1369">
                  <c:v>45.75</c:v>
                </c:pt>
                <c:pt idx="1370">
                  <c:v>45.8</c:v>
                </c:pt>
                <c:pt idx="1371">
                  <c:v>45.8</c:v>
                </c:pt>
                <c:pt idx="1372">
                  <c:v>45.85</c:v>
                </c:pt>
                <c:pt idx="1373">
                  <c:v>45.9</c:v>
                </c:pt>
                <c:pt idx="1374">
                  <c:v>45.9</c:v>
                </c:pt>
                <c:pt idx="1375">
                  <c:v>45.95</c:v>
                </c:pt>
                <c:pt idx="1376">
                  <c:v>46</c:v>
                </c:pt>
                <c:pt idx="1377">
                  <c:v>46</c:v>
                </c:pt>
                <c:pt idx="1378">
                  <c:v>46.05</c:v>
                </c:pt>
                <c:pt idx="1379">
                  <c:v>46.1</c:v>
                </c:pt>
                <c:pt idx="1380">
                  <c:v>46.1</c:v>
                </c:pt>
                <c:pt idx="1381">
                  <c:v>46.15</c:v>
                </c:pt>
                <c:pt idx="1382">
                  <c:v>46.2</c:v>
                </c:pt>
                <c:pt idx="1383">
                  <c:v>46.2</c:v>
                </c:pt>
                <c:pt idx="1384">
                  <c:v>46.25</c:v>
                </c:pt>
                <c:pt idx="1385">
                  <c:v>46.3</c:v>
                </c:pt>
                <c:pt idx="1386">
                  <c:v>46.3</c:v>
                </c:pt>
                <c:pt idx="1387">
                  <c:v>46.35</c:v>
                </c:pt>
                <c:pt idx="1388">
                  <c:v>46.4</c:v>
                </c:pt>
                <c:pt idx="1389">
                  <c:v>46.4</c:v>
                </c:pt>
                <c:pt idx="1390">
                  <c:v>46.45</c:v>
                </c:pt>
                <c:pt idx="1391">
                  <c:v>46.5</c:v>
                </c:pt>
                <c:pt idx="1392">
                  <c:v>46.5</c:v>
                </c:pt>
                <c:pt idx="1393">
                  <c:v>46.55</c:v>
                </c:pt>
                <c:pt idx="1394">
                  <c:v>46.6</c:v>
                </c:pt>
                <c:pt idx="1395">
                  <c:v>46.6</c:v>
                </c:pt>
                <c:pt idx="1396">
                  <c:v>46.65</c:v>
                </c:pt>
                <c:pt idx="1397">
                  <c:v>46.7</c:v>
                </c:pt>
                <c:pt idx="1398">
                  <c:v>46.7</c:v>
                </c:pt>
                <c:pt idx="1399">
                  <c:v>46.75</c:v>
                </c:pt>
                <c:pt idx="1400">
                  <c:v>46.8</c:v>
                </c:pt>
                <c:pt idx="1401">
                  <c:v>46.8</c:v>
                </c:pt>
                <c:pt idx="1402">
                  <c:v>46.85</c:v>
                </c:pt>
                <c:pt idx="1403">
                  <c:v>46.9</c:v>
                </c:pt>
                <c:pt idx="1404">
                  <c:v>46.9</c:v>
                </c:pt>
                <c:pt idx="1405">
                  <c:v>46.95</c:v>
                </c:pt>
                <c:pt idx="1406">
                  <c:v>47</c:v>
                </c:pt>
                <c:pt idx="1407">
                  <c:v>47</c:v>
                </c:pt>
                <c:pt idx="1408">
                  <c:v>47.05</c:v>
                </c:pt>
                <c:pt idx="1409">
                  <c:v>47.1</c:v>
                </c:pt>
                <c:pt idx="1410">
                  <c:v>47.1</c:v>
                </c:pt>
                <c:pt idx="1411">
                  <c:v>47.15</c:v>
                </c:pt>
                <c:pt idx="1412">
                  <c:v>47.2</c:v>
                </c:pt>
                <c:pt idx="1413">
                  <c:v>47.2</c:v>
                </c:pt>
                <c:pt idx="1414">
                  <c:v>47.25</c:v>
                </c:pt>
                <c:pt idx="1415">
                  <c:v>47.3</c:v>
                </c:pt>
                <c:pt idx="1416">
                  <c:v>47.3</c:v>
                </c:pt>
                <c:pt idx="1417">
                  <c:v>47.35</c:v>
                </c:pt>
                <c:pt idx="1418">
                  <c:v>47.4</c:v>
                </c:pt>
                <c:pt idx="1419">
                  <c:v>47.4</c:v>
                </c:pt>
                <c:pt idx="1420">
                  <c:v>47.45</c:v>
                </c:pt>
                <c:pt idx="1421">
                  <c:v>47.5</c:v>
                </c:pt>
                <c:pt idx="1422">
                  <c:v>47.5</c:v>
                </c:pt>
                <c:pt idx="1423">
                  <c:v>47.55</c:v>
                </c:pt>
                <c:pt idx="1424">
                  <c:v>47.6</c:v>
                </c:pt>
                <c:pt idx="1425">
                  <c:v>47.6</c:v>
                </c:pt>
                <c:pt idx="1426">
                  <c:v>47.65</c:v>
                </c:pt>
                <c:pt idx="1427">
                  <c:v>47.7</c:v>
                </c:pt>
                <c:pt idx="1428">
                  <c:v>47.7</c:v>
                </c:pt>
                <c:pt idx="1429">
                  <c:v>47.75</c:v>
                </c:pt>
                <c:pt idx="1430">
                  <c:v>47.8</c:v>
                </c:pt>
                <c:pt idx="1431">
                  <c:v>47.8</c:v>
                </c:pt>
                <c:pt idx="1432">
                  <c:v>47.85</c:v>
                </c:pt>
                <c:pt idx="1433">
                  <c:v>47.9</c:v>
                </c:pt>
                <c:pt idx="1434">
                  <c:v>47.9</c:v>
                </c:pt>
                <c:pt idx="1435">
                  <c:v>47.95</c:v>
                </c:pt>
                <c:pt idx="1436">
                  <c:v>48</c:v>
                </c:pt>
                <c:pt idx="1437">
                  <c:v>48</c:v>
                </c:pt>
                <c:pt idx="1438">
                  <c:v>48.05</c:v>
                </c:pt>
                <c:pt idx="1439">
                  <c:v>48.1</c:v>
                </c:pt>
                <c:pt idx="1440">
                  <c:v>48.1</c:v>
                </c:pt>
                <c:pt idx="1441">
                  <c:v>48.15</c:v>
                </c:pt>
                <c:pt idx="1442">
                  <c:v>48.2</c:v>
                </c:pt>
                <c:pt idx="1443">
                  <c:v>48.2</c:v>
                </c:pt>
                <c:pt idx="1444">
                  <c:v>48.25</c:v>
                </c:pt>
                <c:pt idx="1445">
                  <c:v>48.3</c:v>
                </c:pt>
                <c:pt idx="1446">
                  <c:v>48.3</c:v>
                </c:pt>
                <c:pt idx="1447">
                  <c:v>48.35</c:v>
                </c:pt>
                <c:pt idx="1448">
                  <c:v>48.4</c:v>
                </c:pt>
                <c:pt idx="1449">
                  <c:v>48.4</c:v>
                </c:pt>
                <c:pt idx="1450">
                  <c:v>48.45</c:v>
                </c:pt>
                <c:pt idx="1451">
                  <c:v>48.5</c:v>
                </c:pt>
                <c:pt idx="1452">
                  <c:v>48.5</c:v>
                </c:pt>
                <c:pt idx="1453">
                  <c:v>48.55</c:v>
                </c:pt>
                <c:pt idx="1454">
                  <c:v>48.6</c:v>
                </c:pt>
                <c:pt idx="1455">
                  <c:v>48.6</c:v>
                </c:pt>
                <c:pt idx="1456">
                  <c:v>48.65</c:v>
                </c:pt>
                <c:pt idx="1457">
                  <c:v>48.7</c:v>
                </c:pt>
                <c:pt idx="1458">
                  <c:v>48.7</c:v>
                </c:pt>
                <c:pt idx="1459">
                  <c:v>48.75</c:v>
                </c:pt>
                <c:pt idx="1460">
                  <c:v>48.8</c:v>
                </c:pt>
                <c:pt idx="1461">
                  <c:v>48.8</c:v>
                </c:pt>
                <c:pt idx="1462">
                  <c:v>48.85</c:v>
                </c:pt>
                <c:pt idx="1463">
                  <c:v>48.9</c:v>
                </c:pt>
                <c:pt idx="1464">
                  <c:v>48.9</c:v>
                </c:pt>
                <c:pt idx="1465">
                  <c:v>48.95</c:v>
                </c:pt>
                <c:pt idx="1466">
                  <c:v>49</c:v>
                </c:pt>
                <c:pt idx="1467">
                  <c:v>49</c:v>
                </c:pt>
                <c:pt idx="1468">
                  <c:v>49.05</c:v>
                </c:pt>
                <c:pt idx="1469">
                  <c:v>49.1</c:v>
                </c:pt>
                <c:pt idx="1470">
                  <c:v>49.1</c:v>
                </c:pt>
                <c:pt idx="1471">
                  <c:v>49.15</c:v>
                </c:pt>
                <c:pt idx="1472">
                  <c:v>49.2</c:v>
                </c:pt>
                <c:pt idx="1473">
                  <c:v>49.2</c:v>
                </c:pt>
                <c:pt idx="1474">
                  <c:v>49.25</c:v>
                </c:pt>
                <c:pt idx="1475">
                  <c:v>49.3</c:v>
                </c:pt>
                <c:pt idx="1476">
                  <c:v>49.3</c:v>
                </c:pt>
                <c:pt idx="1477">
                  <c:v>49.35</c:v>
                </c:pt>
                <c:pt idx="1478">
                  <c:v>49.4</c:v>
                </c:pt>
                <c:pt idx="1479">
                  <c:v>49.4</c:v>
                </c:pt>
                <c:pt idx="1480">
                  <c:v>49.45</c:v>
                </c:pt>
                <c:pt idx="1481">
                  <c:v>49.5</c:v>
                </c:pt>
                <c:pt idx="1482">
                  <c:v>49.5</c:v>
                </c:pt>
                <c:pt idx="1483">
                  <c:v>49.55</c:v>
                </c:pt>
                <c:pt idx="1484">
                  <c:v>49.6</c:v>
                </c:pt>
                <c:pt idx="1485">
                  <c:v>49.6</c:v>
                </c:pt>
                <c:pt idx="1486">
                  <c:v>49.65</c:v>
                </c:pt>
                <c:pt idx="1487">
                  <c:v>49.7</c:v>
                </c:pt>
                <c:pt idx="1488">
                  <c:v>49.7</c:v>
                </c:pt>
                <c:pt idx="1489">
                  <c:v>49.75</c:v>
                </c:pt>
                <c:pt idx="1490">
                  <c:v>49.8</c:v>
                </c:pt>
                <c:pt idx="1491">
                  <c:v>49.8</c:v>
                </c:pt>
                <c:pt idx="1492">
                  <c:v>49.85</c:v>
                </c:pt>
                <c:pt idx="1493">
                  <c:v>49.9</c:v>
                </c:pt>
                <c:pt idx="1494">
                  <c:v>49.9</c:v>
                </c:pt>
                <c:pt idx="1495">
                  <c:v>49.95</c:v>
                </c:pt>
                <c:pt idx="1496">
                  <c:v>50</c:v>
                </c:pt>
                <c:pt idx="1497">
                  <c:v>50</c:v>
                </c:pt>
                <c:pt idx="1498">
                  <c:v>50.05</c:v>
                </c:pt>
                <c:pt idx="1499">
                  <c:v>50.1</c:v>
                </c:pt>
                <c:pt idx="1500">
                  <c:v>50.1</c:v>
                </c:pt>
                <c:pt idx="1501">
                  <c:v>50.15</c:v>
                </c:pt>
                <c:pt idx="1502">
                  <c:v>50.2</c:v>
                </c:pt>
                <c:pt idx="1503">
                  <c:v>50.2</c:v>
                </c:pt>
                <c:pt idx="1504">
                  <c:v>50.25</c:v>
                </c:pt>
                <c:pt idx="1505">
                  <c:v>50.3</c:v>
                </c:pt>
                <c:pt idx="1506">
                  <c:v>50.3</c:v>
                </c:pt>
                <c:pt idx="1507">
                  <c:v>50.35</c:v>
                </c:pt>
                <c:pt idx="1508">
                  <c:v>50.4</c:v>
                </c:pt>
                <c:pt idx="1509">
                  <c:v>50.4</c:v>
                </c:pt>
                <c:pt idx="1510">
                  <c:v>50.45</c:v>
                </c:pt>
                <c:pt idx="1511">
                  <c:v>50.5</c:v>
                </c:pt>
                <c:pt idx="1512">
                  <c:v>50.5</c:v>
                </c:pt>
                <c:pt idx="1513">
                  <c:v>50.55</c:v>
                </c:pt>
                <c:pt idx="1514">
                  <c:v>50.6</c:v>
                </c:pt>
                <c:pt idx="1515">
                  <c:v>50.6</c:v>
                </c:pt>
                <c:pt idx="1516">
                  <c:v>50.65</c:v>
                </c:pt>
                <c:pt idx="1517">
                  <c:v>50.7</c:v>
                </c:pt>
                <c:pt idx="1518">
                  <c:v>50.7</c:v>
                </c:pt>
                <c:pt idx="1519">
                  <c:v>50.75</c:v>
                </c:pt>
                <c:pt idx="1520">
                  <c:v>50.8</c:v>
                </c:pt>
                <c:pt idx="1521">
                  <c:v>50.8</c:v>
                </c:pt>
                <c:pt idx="1522">
                  <c:v>50.85</c:v>
                </c:pt>
                <c:pt idx="1523">
                  <c:v>50.9</c:v>
                </c:pt>
                <c:pt idx="1524">
                  <c:v>50.9</c:v>
                </c:pt>
                <c:pt idx="1525">
                  <c:v>50.95</c:v>
                </c:pt>
                <c:pt idx="1526">
                  <c:v>51</c:v>
                </c:pt>
                <c:pt idx="1527">
                  <c:v>51</c:v>
                </c:pt>
                <c:pt idx="1528">
                  <c:v>51.05</c:v>
                </c:pt>
                <c:pt idx="1529">
                  <c:v>51.1</c:v>
                </c:pt>
                <c:pt idx="1530">
                  <c:v>51.1</c:v>
                </c:pt>
                <c:pt idx="1531">
                  <c:v>51.15</c:v>
                </c:pt>
                <c:pt idx="1532">
                  <c:v>51.2</c:v>
                </c:pt>
                <c:pt idx="1533">
                  <c:v>51.25</c:v>
                </c:pt>
                <c:pt idx="1534">
                  <c:v>51.25</c:v>
                </c:pt>
                <c:pt idx="1535">
                  <c:v>51.3</c:v>
                </c:pt>
                <c:pt idx="1536">
                  <c:v>51.35</c:v>
                </c:pt>
                <c:pt idx="1537">
                  <c:v>51.35</c:v>
                </c:pt>
                <c:pt idx="1538">
                  <c:v>51.4</c:v>
                </c:pt>
                <c:pt idx="1539">
                  <c:v>51.45</c:v>
                </c:pt>
                <c:pt idx="1540">
                  <c:v>51.45</c:v>
                </c:pt>
                <c:pt idx="1541">
                  <c:v>51.5</c:v>
                </c:pt>
                <c:pt idx="1542">
                  <c:v>51.55</c:v>
                </c:pt>
                <c:pt idx="1543">
                  <c:v>51.55</c:v>
                </c:pt>
                <c:pt idx="1544">
                  <c:v>51.6</c:v>
                </c:pt>
                <c:pt idx="1545">
                  <c:v>51.65</c:v>
                </c:pt>
                <c:pt idx="1546">
                  <c:v>51.65</c:v>
                </c:pt>
                <c:pt idx="1547">
                  <c:v>51.7</c:v>
                </c:pt>
                <c:pt idx="1548">
                  <c:v>51.75</c:v>
                </c:pt>
                <c:pt idx="1549">
                  <c:v>51.75</c:v>
                </c:pt>
                <c:pt idx="1550">
                  <c:v>51.8</c:v>
                </c:pt>
                <c:pt idx="1551">
                  <c:v>51.85</c:v>
                </c:pt>
                <c:pt idx="1552">
                  <c:v>51.85</c:v>
                </c:pt>
                <c:pt idx="1553">
                  <c:v>51.9</c:v>
                </c:pt>
                <c:pt idx="1554">
                  <c:v>51.95</c:v>
                </c:pt>
                <c:pt idx="1555">
                  <c:v>51.95</c:v>
                </c:pt>
                <c:pt idx="1556">
                  <c:v>52</c:v>
                </c:pt>
                <c:pt idx="1557">
                  <c:v>52.05</c:v>
                </c:pt>
                <c:pt idx="1558">
                  <c:v>52.05</c:v>
                </c:pt>
                <c:pt idx="1559">
                  <c:v>52.1</c:v>
                </c:pt>
                <c:pt idx="1560">
                  <c:v>52.15</c:v>
                </c:pt>
                <c:pt idx="1561">
                  <c:v>52.15</c:v>
                </c:pt>
                <c:pt idx="1562">
                  <c:v>52.2</c:v>
                </c:pt>
                <c:pt idx="1563">
                  <c:v>52.25</c:v>
                </c:pt>
                <c:pt idx="1564">
                  <c:v>52.25</c:v>
                </c:pt>
                <c:pt idx="1565">
                  <c:v>52.3</c:v>
                </c:pt>
                <c:pt idx="1566">
                  <c:v>52.35</c:v>
                </c:pt>
                <c:pt idx="1567">
                  <c:v>52.35</c:v>
                </c:pt>
                <c:pt idx="1568">
                  <c:v>52.4</c:v>
                </c:pt>
                <c:pt idx="1569">
                  <c:v>52.45</c:v>
                </c:pt>
                <c:pt idx="1570">
                  <c:v>52.45</c:v>
                </c:pt>
                <c:pt idx="1571">
                  <c:v>52.5</c:v>
                </c:pt>
                <c:pt idx="1572">
                  <c:v>52.55</c:v>
                </c:pt>
                <c:pt idx="1573">
                  <c:v>52.55</c:v>
                </c:pt>
                <c:pt idx="1574">
                  <c:v>52.6</c:v>
                </c:pt>
                <c:pt idx="1575">
                  <c:v>52.65</c:v>
                </c:pt>
                <c:pt idx="1576">
                  <c:v>52.65</c:v>
                </c:pt>
                <c:pt idx="1577">
                  <c:v>52.7</c:v>
                </c:pt>
                <c:pt idx="1578">
                  <c:v>52.75</c:v>
                </c:pt>
                <c:pt idx="1579">
                  <c:v>52.75</c:v>
                </c:pt>
                <c:pt idx="1580">
                  <c:v>52.8</c:v>
                </c:pt>
                <c:pt idx="1581">
                  <c:v>52.85</c:v>
                </c:pt>
                <c:pt idx="1582">
                  <c:v>52.85</c:v>
                </c:pt>
                <c:pt idx="1583">
                  <c:v>52.9</c:v>
                </c:pt>
                <c:pt idx="1584">
                  <c:v>52.95</c:v>
                </c:pt>
                <c:pt idx="1585">
                  <c:v>52.95</c:v>
                </c:pt>
                <c:pt idx="1586">
                  <c:v>53</c:v>
                </c:pt>
                <c:pt idx="1587">
                  <c:v>53.05</c:v>
                </c:pt>
                <c:pt idx="1588">
                  <c:v>53.05</c:v>
                </c:pt>
                <c:pt idx="1589">
                  <c:v>53.1</c:v>
                </c:pt>
                <c:pt idx="1590">
                  <c:v>53.15</c:v>
                </c:pt>
                <c:pt idx="1591">
                  <c:v>53.15</c:v>
                </c:pt>
                <c:pt idx="1592">
                  <c:v>53.2</c:v>
                </c:pt>
                <c:pt idx="1593">
                  <c:v>53.25</c:v>
                </c:pt>
                <c:pt idx="1594">
                  <c:v>53.25</c:v>
                </c:pt>
                <c:pt idx="1595">
                  <c:v>53.3</c:v>
                </c:pt>
                <c:pt idx="1596">
                  <c:v>53.35</c:v>
                </c:pt>
                <c:pt idx="1597">
                  <c:v>53.35</c:v>
                </c:pt>
                <c:pt idx="1598">
                  <c:v>53.4</c:v>
                </c:pt>
                <c:pt idx="1599">
                  <c:v>53.45</c:v>
                </c:pt>
                <c:pt idx="1600">
                  <c:v>53.45</c:v>
                </c:pt>
                <c:pt idx="1601">
                  <c:v>53.5</c:v>
                </c:pt>
                <c:pt idx="1602">
                  <c:v>53.55</c:v>
                </c:pt>
                <c:pt idx="1603">
                  <c:v>53.55</c:v>
                </c:pt>
                <c:pt idx="1604">
                  <c:v>53.6</c:v>
                </c:pt>
                <c:pt idx="1605">
                  <c:v>53.65</c:v>
                </c:pt>
                <c:pt idx="1606">
                  <c:v>53.65</c:v>
                </c:pt>
                <c:pt idx="1607">
                  <c:v>53.7</c:v>
                </c:pt>
                <c:pt idx="1608">
                  <c:v>53.75</c:v>
                </c:pt>
                <c:pt idx="1609">
                  <c:v>53.75</c:v>
                </c:pt>
                <c:pt idx="1610">
                  <c:v>53.8</c:v>
                </c:pt>
                <c:pt idx="1611">
                  <c:v>53.85</c:v>
                </c:pt>
                <c:pt idx="1612">
                  <c:v>53.85</c:v>
                </c:pt>
                <c:pt idx="1613">
                  <c:v>53.9</c:v>
                </c:pt>
                <c:pt idx="1614">
                  <c:v>53.95</c:v>
                </c:pt>
                <c:pt idx="1615">
                  <c:v>53.95</c:v>
                </c:pt>
                <c:pt idx="1616">
                  <c:v>54</c:v>
                </c:pt>
                <c:pt idx="1617">
                  <c:v>54.05</c:v>
                </c:pt>
                <c:pt idx="1618">
                  <c:v>54.05</c:v>
                </c:pt>
                <c:pt idx="1619">
                  <c:v>54.1</c:v>
                </c:pt>
                <c:pt idx="1620">
                  <c:v>54.15</c:v>
                </c:pt>
                <c:pt idx="1621">
                  <c:v>54.15</c:v>
                </c:pt>
                <c:pt idx="1622">
                  <c:v>54.2</c:v>
                </c:pt>
                <c:pt idx="1623">
                  <c:v>54.25</c:v>
                </c:pt>
                <c:pt idx="1624">
                  <c:v>54.25</c:v>
                </c:pt>
                <c:pt idx="1625">
                  <c:v>54.3</c:v>
                </c:pt>
                <c:pt idx="1626">
                  <c:v>54.35</c:v>
                </c:pt>
                <c:pt idx="1627">
                  <c:v>54.35</c:v>
                </c:pt>
                <c:pt idx="1628">
                  <c:v>54.4</c:v>
                </c:pt>
                <c:pt idx="1629">
                  <c:v>54.45</c:v>
                </c:pt>
                <c:pt idx="1630">
                  <c:v>54.45</c:v>
                </c:pt>
                <c:pt idx="1631">
                  <c:v>54.5</c:v>
                </c:pt>
                <c:pt idx="1632">
                  <c:v>54.55</c:v>
                </c:pt>
                <c:pt idx="1633">
                  <c:v>54.55</c:v>
                </c:pt>
                <c:pt idx="1634">
                  <c:v>54.6</c:v>
                </c:pt>
                <c:pt idx="1635">
                  <c:v>54.65</c:v>
                </c:pt>
                <c:pt idx="1636">
                  <c:v>54.65</c:v>
                </c:pt>
                <c:pt idx="1637">
                  <c:v>54.7</c:v>
                </c:pt>
                <c:pt idx="1638">
                  <c:v>54.75</c:v>
                </c:pt>
                <c:pt idx="1639">
                  <c:v>54.75</c:v>
                </c:pt>
                <c:pt idx="1640">
                  <c:v>54.8</c:v>
                </c:pt>
                <c:pt idx="1641">
                  <c:v>54.85</c:v>
                </c:pt>
                <c:pt idx="1642">
                  <c:v>54.85</c:v>
                </c:pt>
                <c:pt idx="1643">
                  <c:v>54.9</c:v>
                </c:pt>
                <c:pt idx="1644">
                  <c:v>54.95</c:v>
                </c:pt>
                <c:pt idx="1645">
                  <c:v>54.95</c:v>
                </c:pt>
                <c:pt idx="1646">
                  <c:v>55</c:v>
                </c:pt>
                <c:pt idx="1647">
                  <c:v>55.05</c:v>
                </c:pt>
                <c:pt idx="1648">
                  <c:v>55.05</c:v>
                </c:pt>
                <c:pt idx="1649">
                  <c:v>55.1</c:v>
                </c:pt>
                <c:pt idx="1650">
                  <c:v>55.15</c:v>
                </c:pt>
                <c:pt idx="1651">
                  <c:v>55.15</c:v>
                </c:pt>
                <c:pt idx="1652">
                  <c:v>55.2</c:v>
                </c:pt>
                <c:pt idx="1653">
                  <c:v>55.25</c:v>
                </c:pt>
                <c:pt idx="1654">
                  <c:v>55.25</c:v>
                </c:pt>
                <c:pt idx="1655">
                  <c:v>55.3</c:v>
                </c:pt>
                <c:pt idx="1656">
                  <c:v>55.35</c:v>
                </c:pt>
                <c:pt idx="1657">
                  <c:v>55.35</c:v>
                </c:pt>
                <c:pt idx="1658">
                  <c:v>55.4</c:v>
                </c:pt>
                <c:pt idx="1659">
                  <c:v>55.45</c:v>
                </c:pt>
                <c:pt idx="1660">
                  <c:v>55.45</c:v>
                </c:pt>
                <c:pt idx="1661">
                  <c:v>55.5</c:v>
                </c:pt>
                <c:pt idx="1662">
                  <c:v>55.55</c:v>
                </c:pt>
                <c:pt idx="1663">
                  <c:v>55.55</c:v>
                </c:pt>
                <c:pt idx="1664">
                  <c:v>55.6</c:v>
                </c:pt>
                <c:pt idx="1665">
                  <c:v>55.65</c:v>
                </c:pt>
                <c:pt idx="1666">
                  <c:v>55.65</c:v>
                </c:pt>
                <c:pt idx="1667">
                  <c:v>55.7</c:v>
                </c:pt>
                <c:pt idx="1668">
                  <c:v>55.75</c:v>
                </c:pt>
                <c:pt idx="1669">
                  <c:v>55.75</c:v>
                </c:pt>
                <c:pt idx="1670">
                  <c:v>55.8</c:v>
                </c:pt>
                <c:pt idx="1671">
                  <c:v>55.85</c:v>
                </c:pt>
                <c:pt idx="1672">
                  <c:v>55.85</c:v>
                </c:pt>
                <c:pt idx="1673">
                  <c:v>55.9</c:v>
                </c:pt>
                <c:pt idx="1674">
                  <c:v>55.95</c:v>
                </c:pt>
                <c:pt idx="1675">
                  <c:v>55.95</c:v>
                </c:pt>
                <c:pt idx="1676">
                  <c:v>56</c:v>
                </c:pt>
                <c:pt idx="1677">
                  <c:v>56.05</c:v>
                </c:pt>
                <c:pt idx="1678">
                  <c:v>56.05</c:v>
                </c:pt>
                <c:pt idx="1679">
                  <c:v>56.1</c:v>
                </c:pt>
                <c:pt idx="1680">
                  <c:v>56.15</c:v>
                </c:pt>
                <c:pt idx="1681">
                  <c:v>56.15</c:v>
                </c:pt>
                <c:pt idx="1682">
                  <c:v>56.2</c:v>
                </c:pt>
                <c:pt idx="1683">
                  <c:v>56.25</c:v>
                </c:pt>
                <c:pt idx="1684">
                  <c:v>56.25</c:v>
                </c:pt>
                <c:pt idx="1685">
                  <c:v>56.3</c:v>
                </c:pt>
                <c:pt idx="1686">
                  <c:v>56.35</c:v>
                </c:pt>
                <c:pt idx="1687">
                  <c:v>56.35</c:v>
                </c:pt>
                <c:pt idx="1688">
                  <c:v>56.4</c:v>
                </c:pt>
                <c:pt idx="1689">
                  <c:v>56.45</c:v>
                </c:pt>
                <c:pt idx="1690">
                  <c:v>56.45</c:v>
                </c:pt>
                <c:pt idx="1691">
                  <c:v>56.5</c:v>
                </c:pt>
                <c:pt idx="1692">
                  <c:v>56.55</c:v>
                </c:pt>
                <c:pt idx="1693">
                  <c:v>56.55</c:v>
                </c:pt>
                <c:pt idx="1694">
                  <c:v>56.6</c:v>
                </c:pt>
                <c:pt idx="1695">
                  <c:v>56.65</c:v>
                </c:pt>
                <c:pt idx="1696">
                  <c:v>56.65</c:v>
                </c:pt>
                <c:pt idx="1697">
                  <c:v>56.7</c:v>
                </c:pt>
                <c:pt idx="1698">
                  <c:v>56.75</c:v>
                </c:pt>
                <c:pt idx="1699">
                  <c:v>56.75</c:v>
                </c:pt>
                <c:pt idx="1700">
                  <c:v>56.8</c:v>
                </c:pt>
                <c:pt idx="1701">
                  <c:v>56.85</c:v>
                </c:pt>
                <c:pt idx="1702">
                  <c:v>56.85</c:v>
                </c:pt>
                <c:pt idx="1703">
                  <c:v>56.9</c:v>
                </c:pt>
                <c:pt idx="1704">
                  <c:v>56.95</c:v>
                </c:pt>
                <c:pt idx="1705">
                  <c:v>57</c:v>
                </c:pt>
                <c:pt idx="1706">
                  <c:v>57</c:v>
                </c:pt>
                <c:pt idx="1707">
                  <c:v>57.05</c:v>
                </c:pt>
                <c:pt idx="1708">
                  <c:v>57.1</c:v>
                </c:pt>
                <c:pt idx="1709">
                  <c:v>57.1</c:v>
                </c:pt>
                <c:pt idx="1710">
                  <c:v>57.15</c:v>
                </c:pt>
                <c:pt idx="1711">
                  <c:v>57.2</c:v>
                </c:pt>
                <c:pt idx="1712">
                  <c:v>57.2</c:v>
                </c:pt>
                <c:pt idx="1713">
                  <c:v>57.25</c:v>
                </c:pt>
                <c:pt idx="1714">
                  <c:v>57.3</c:v>
                </c:pt>
                <c:pt idx="1715">
                  <c:v>57.3</c:v>
                </c:pt>
                <c:pt idx="1716">
                  <c:v>57.35</c:v>
                </c:pt>
                <c:pt idx="1717">
                  <c:v>57.4</c:v>
                </c:pt>
                <c:pt idx="1718">
                  <c:v>57.4</c:v>
                </c:pt>
                <c:pt idx="1719">
                  <c:v>57.45</c:v>
                </c:pt>
                <c:pt idx="1720">
                  <c:v>57.5</c:v>
                </c:pt>
                <c:pt idx="1721">
                  <c:v>57.5</c:v>
                </c:pt>
                <c:pt idx="1722">
                  <c:v>57.55</c:v>
                </c:pt>
                <c:pt idx="1723">
                  <c:v>57.6</c:v>
                </c:pt>
                <c:pt idx="1724">
                  <c:v>57.6</c:v>
                </c:pt>
                <c:pt idx="1725">
                  <c:v>57.65</c:v>
                </c:pt>
                <c:pt idx="1726">
                  <c:v>57.7</c:v>
                </c:pt>
                <c:pt idx="1727">
                  <c:v>57.7</c:v>
                </c:pt>
                <c:pt idx="1728">
                  <c:v>57.75</c:v>
                </c:pt>
                <c:pt idx="1729">
                  <c:v>57.8</c:v>
                </c:pt>
                <c:pt idx="1730">
                  <c:v>57.8</c:v>
                </c:pt>
                <c:pt idx="1731">
                  <c:v>57.85</c:v>
                </c:pt>
                <c:pt idx="1732">
                  <c:v>57.9</c:v>
                </c:pt>
                <c:pt idx="1733">
                  <c:v>57.9</c:v>
                </c:pt>
                <c:pt idx="1734">
                  <c:v>57.95</c:v>
                </c:pt>
                <c:pt idx="1735">
                  <c:v>58</c:v>
                </c:pt>
                <c:pt idx="1736">
                  <c:v>58</c:v>
                </c:pt>
                <c:pt idx="1737">
                  <c:v>58.05</c:v>
                </c:pt>
                <c:pt idx="1738">
                  <c:v>58.1</c:v>
                </c:pt>
                <c:pt idx="1739">
                  <c:v>58.1</c:v>
                </c:pt>
                <c:pt idx="1740">
                  <c:v>58.15</c:v>
                </c:pt>
                <c:pt idx="1741">
                  <c:v>58.2</c:v>
                </c:pt>
                <c:pt idx="1742">
                  <c:v>58.2</c:v>
                </c:pt>
                <c:pt idx="1743">
                  <c:v>58.25</c:v>
                </c:pt>
                <c:pt idx="1744">
                  <c:v>58.3</c:v>
                </c:pt>
                <c:pt idx="1745">
                  <c:v>58.3</c:v>
                </c:pt>
                <c:pt idx="1746">
                  <c:v>58.35</c:v>
                </c:pt>
                <c:pt idx="1747">
                  <c:v>58.4</c:v>
                </c:pt>
                <c:pt idx="1748">
                  <c:v>58.4</c:v>
                </c:pt>
                <c:pt idx="1749">
                  <c:v>58.45</c:v>
                </c:pt>
                <c:pt idx="1750">
                  <c:v>58.5</c:v>
                </c:pt>
                <c:pt idx="1751">
                  <c:v>58.5</c:v>
                </c:pt>
                <c:pt idx="1752">
                  <c:v>58.55</c:v>
                </c:pt>
                <c:pt idx="1753">
                  <c:v>58.6</c:v>
                </c:pt>
                <c:pt idx="1754">
                  <c:v>58.6</c:v>
                </c:pt>
                <c:pt idx="1755">
                  <c:v>58.65</c:v>
                </c:pt>
                <c:pt idx="1756">
                  <c:v>58.7</c:v>
                </c:pt>
                <c:pt idx="1757">
                  <c:v>58.7</c:v>
                </c:pt>
                <c:pt idx="1758">
                  <c:v>58.75</c:v>
                </c:pt>
                <c:pt idx="1759">
                  <c:v>58.8</c:v>
                </c:pt>
                <c:pt idx="1760">
                  <c:v>58.8</c:v>
                </c:pt>
                <c:pt idx="1761">
                  <c:v>58.85</c:v>
                </c:pt>
                <c:pt idx="1762">
                  <c:v>58.9</c:v>
                </c:pt>
                <c:pt idx="1763">
                  <c:v>58.9</c:v>
                </c:pt>
                <c:pt idx="1764">
                  <c:v>58.95</c:v>
                </c:pt>
                <c:pt idx="1765">
                  <c:v>59</c:v>
                </c:pt>
                <c:pt idx="1766">
                  <c:v>59</c:v>
                </c:pt>
                <c:pt idx="1767">
                  <c:v>59.05</c:v>
                </c:pt>
                <c:pt idx="1768">
                  <c:v>59.1</c:v>
                </c:pt>
                <c:pt idx="1769">
                  <c:v>59.1</c:v>
                </c:pt>
                <c:pt idx="1770">
                  <c:v>59.15</c:v>
                </c:pt>
                <c:pt idx="1771">
                  <c:v>59.2</c:v>
                </c:pt>
                <c:pt idx="1772">
                  <c:v>59.2</c:v>
                </c:pt>
                <c:pt idx="1773">
                  <c:v>59.25</c:v>
                </c:pt>
                <c:pt idx="1774">
                  <c:v>59.3</c:v>
                </c:pt>
                <c:pt idx="1775">
                  <c:v>59.3</c:v>
                </c:pt>
                <c:pt idx="1776">
                  <c:v>59.35</c:v>
                </c:pt>
                <c:pt idx="1777">
                  <c:v>59.4</c:v>
                </c:pt>
              </c:numCache>
            </c:numRef>
          </c:cat>
          <c:val>
            <c:numRef>
              <c:f>常压_a_20!$K$4:$K$1781</c:f>
              <c:numCache>
                <c:formatCode>General</c:formatCode>
                <c:ptCount val="1778"/>
                <c:pt idx="0">
                  <c:v>-5.5</c:v>
                </c:pt>
                <c:pt idx="1">
                  <c:v>-5.5</c:v>
                </c:pt>
                <c:pt idx="2">
                  <c:v>-5.5</c:v>
                </c:pt>
                <c:pt idx="3">
                  <c:v>-5.5</c:v>
                </c:pt>
                <c:pt idx="4">
                  <c:v>-5.5</c:v>
                </c:pt>
                <c:pt idx="5">
                  <c:v>-5.5</c:v>
                </c:pt>
                <c:pt idx="6">
                  <c:v>-5.5</c:v>
                </c:pt>
                <c:pt idx="7">
                  <c:v>-5.5</c:v>
                </c:pt>
                <c:pt idx="8">
                  <c:v>-5.5</c:v>
                </c:pt>
                <c:pt idx="9">
                  <c:v>-5.5</c:v>
                </c:pt>
                <c:pt idx="10">
                  <c:v>-5.5</c:v>
                </c:pt>
                <c:pt idx="11">
                  <c:v>-5.5</c:v>
                </c:pt>
                <c:pt idx="12">
                  <c:v>-5.5</c:v>
                </c:pt>
                <c:pt idx="13">
                  <c:v>-5.5</c:v>
                </c:pt>
                <c:pt idx="14">
                  <c:v>-5.5</c:v>
                </c:pt>
                <c:pt idx="15">
                  <c:v>-5.5</c:v>
                </c:pt>
                <c:pt idx="16">
                  <c:v>-5.5</c:v>
                </c:pt>
                <c:pt idx="17">
                  <c:v>-5.5</c:v>
                </c:pt>
                <c:pt idx="18">
                  <c:v>-5.5</c:v>
                </c:pt>
                <c:pt idx="19">
                  <c:v>-5.5</c:v>
                </c:pt>
                <c:pt idx="20">
                  <c:v>-5.5</c:v>
                </c:pt>
                <c:pt idx="21">
                  <c:v>-5.5</c:v>
                </c:pt>
                <c:pt idx="22">
                  <c:v>-5.5</c:v>
                </c:pt>
                <c:pt idx="23">
                  <c:v>-5.5</c:v>
                </c:pt>
                <c:pt idx="24">
                  <c:v>-5.5</c:v>
                </c:pt>
                <c:pt idx="25">
                  <c:v>-5.5</c:v>
                </c:pt>
                <c:pt idx="26">
                  <c:v>-5.5</c:v>
                </c:pt>
                <c:pt idx="27">
                  <c:v>-5.5</c:v>
                </c:pt>
                <c:pt idx="28">
                  <c:v>-5.5</c:v>
                </c:pt>
                <c:pt idx="29">
                  <c:v>-5.5</c:v>
                </c:pt>
                <c:pt idx="30">
                  <c:v>-5.5</c:v>
                </c:pt>
                <c:pt idx="31">
                  <c:v>-5.5</c:v>
                </c:pt>
                <c:pt idx="32">
                  <c:v>-5.5</c:v>
                </c:pt>
                <c:pt idx="33">
                  <c:v>-5.5</c:v>
                </c:pt>
                <c:pt idx="34">
                  <c:v>-5.5</c:v>
                </c:pt>
                <c:pt idx="35">
                  <c:v>-5.5</c:v>
                </c:pt>
                <c:pt idx="36">
                  <c:v>-5.5</c:v>
                </c:pt>
                <c:pt idx="37">
                  <c:v>-5.5</c:v>
                </c:pt>
                <c:pt idx="38">
                  <c:v>-5.5</c:v>
                </c:pt>
                <c:pt idx="39">
                  <c:v>-5.5</c:v>
                </c:pt>
                <c:pt idx="40">
                  <c:v>-5.5</c:v>
                </c:pt>
                <c:pt idx="41">
                  <c:v>-5.5</c:v>
                </c:pt>
                <c:pt idx="42">
                  <c:v>-5.5</c:v>
                </c:pt>
                <c:pt idx="43">
                  <c:v>-5.5</c:v>
                </c:pt>
                <c:pt idx="44">
                  <c:v>-5.5</c:v>
                </c:pt>
                <c:pt idx="45">
                  <c:v>-5.5</c:v>
                </c:pt>
                <c:pt idx="46">
                  <c:v>-5.5</c:v>
                </c:pt>
                <c:pt idx="47">
                  <c:v>-5.5</c:v>
                </c:pt>
                <c:pt idx="48">
                  <c:v>-5.5</c:v>
                </c:pt>
                <c:pt idx="49">
                  <c:v>-5.5</c:v>
                </c:pt>
                <c:pt idx="50">
                  <c:v>-5.5</c:v>
                </c:pt>
                <c:pt idx="51">
                  <c:v>-5.5</c:v>
                </c:pt>
                <c:pt idx="52">
                  <c:v>-5.5</c:v>
                </c:pt>
                <c:pt idx="53">
                  <c:v>-5.5</c:v>
                </c:pt>
                <c:pt idx="54">
                  <c:v>-5.5</c:v>
                </c:pt>
                <c:pt idx="55">
                  <c:v>-5.5</c:v>
                </c:pt>
                <c:pt idx="56">
                  <c:v>-5.5</c:v>
                </c:pt>
                <c:pt idx="57">
                  <c:v>-5.5</c:v>
                </c:pt>
                <c:pt idx="58">
                  <c:v>-5.5</c:v>
                </c:pt>
                <c:pt idx="59">
                  <c:v>-5.5</c:v>
                </c:pt>
                <c:pt idx="60">
                  <c:v>-5.5</c:v>
                </c:pt>
                <c:pt idx="61">
                  <c:v>-5.5</c:v>
                </c:pt>
                <c:pt idx="62">
                  <c:v>-5.5</c:v>
                </c:pt>
                <c:pt idx="63">
                  <c:v>-5.5</c:v>
                </c:pt>
                <c:pt idx="64">
                  <c:v>-5.5</c:v>
                </c:pt>
                <c:pt idx="65">
                  <c:v>-5.5</c:v>
                </c:pt>
                <c:pt idx="66">
                  <c:v>-5.5</c:v>
                </c:pt>
                <c:pt idx="67">
                  <c:v>-5.5</c:v>
                </c:pt>
                <c:pt idx="68">
                  <c:v>-5.5</c:v>
                </c:pt>
                <c:pt idx="69">
                  <c:v>-5.5</c:v>
                </c:pt>
                <c:pt idx="70">
                  <c:v>-5.5</c:v>
                </c:pt>
                <c:pt idx="71">
                  <c:v>-5.5</c:v>
                </c:pt>
                <c:pt idx="72">
                  <c:v>-5.5</c:v>
                </c:pt>
                <c:pt idx="73">
                  <c:v>-5.5</c:v>
                </c:pt>
                <c:pt idx="74">
                  <c:v>-5.5</c:v>
                </c:pt>
                <c:pt idx="75">
                  <c:v>-5.5</c:v>
                </c:pt>
                <c:pt idx="76">
                  <c:v>-5.5</c:v>
                </c:pt>
                <c:pt idx="77">
                  <c:v>-5.5</c:v>
                </c:pt>
                <c:pt idx="78">
                  <c:v>-5.5</c:v>
                </c:pt>
                <c:pt idx="79">
                  <c:v>-5.5</c:v>
                </c:pt>
                <c:pt idx="80">
                  <c:v>-5.5</c:v>
                </c:pt>
                <c:pt idx="81">
                  <c:v>-5.5</c:v>
                </c:pt>
                <c:pt idx="82">
                  <c:v>-5.5</c:v>
                </c:pt>
                <c:pt idx="83">
                  <c:v>-5.5</c:v>
                </c:pt>
                <c:pt idx="84">
                  <c:v>-5.5</c:v>
                </c:pt>
                <c:pt idx="85">
                  <c:v>-5.5</c:v>
                </c:pt>
                <c:pt idx="86">
                  <c:v>-5.5</c:v>
                </c:pt>
                <c:pt idx="87">
                  <c:v>-5.5</c:v>
                </c:pt>
                <c:pt idx="88">
                  <c:v>-5.5</c:v>
                </c:pt>
                <c:pt idx="89">
                  <c:v>-5.5</c:v>
                </c:pt>
                <c:pt idx="90">
                  <c:v>-5.5</c:v>
                </c:pt>
                <c:pt idx="91">
                  <c:v>-5.5</c:v>
                </c:pt>
                <c:pt idx="92">
                  <c:v>-5.5</c:v>
                </c:pt>
                <c:pt idx="93">
                  <c:v>-5.5</c:v>
                </c:pt>
                <c:pt idx="94">
                  <c:v>-5.5</c:v>
                </c:pt>
                <c:pt idx="95">
                  <c:v>-5.5</c:v>
                </c:pt>
                <c:pt idx="96">
                  <c:v>-5.5</c:v>
                </c:pt>
                <c:pt idx="97">
                  <c:v>-5.5</c:v>
                </c:pt>
                <c:pt idx="98">
                  <c:v>-5.5</c:v>
                </c:pt>
                <c:pt idx="99">
                  <c:v>-5.5</c:v>
                </c:pt>
                <c:pt idx="100">
                  <c:v>-5.5</c:v>
                </c:pt>
                <c:pt idx="101">
                  <c:v>-5.5</c:v>
                </c:pt>
                <c:pt idx="102">
                  <c:v>-5.5</c:v>
                </c:pt>
                <c:pt idx="103">
                  <c:v>-5.5</c:v>
                </c:pt>
                <c:pt idx="104">
                  <c:v>-5.5</c:v>
                </c:pt>
                <c:pt idx="105">
                  <c:v>-5.5</c:v>
                </c:pt>
                <c:pt idx="106">
                  <c:v>-5.5</c:v>
                </c:pt>
                <c:pt idx="107">
                  <c:v>-5.5</c:v>
                </c:pt>
                <c:pt idx="108">
                  <c:v>-5.5</c:v>
                </c:pt>
                <c:pt idx="109">
                  <c:v>-5.5</c:v>
                </c:pt>
                <c:pt idx="110">
                  <c:v>-5.5</c:v>
                </c:pt>
                <c:pt idx="111">
                  <c:v>-5.5</c:v>
                </c:pt>
                <c:pt idx="112">
                  <c:v>-5.5</c:v>
                </c:pt>
                <c:pt idx="113">
                  <c:v>-5.5</c:v>
                </c:pt>
                <c:pt idx="114">
                  <c:v>-5.5</c:v>
                </c:pt>
                <c:pt idx="115">
                  <c:v>-5.5</c:v>
                </c:pt>
                <c:pt idx="116">
                  <c:v>-5.5</c:v>
                </c:pt>
                <c:pt idx="117">
                  <c:v>-5.5</c:v>
                </c:pt>
                <c:pt idx="118">
                  <c:v>-5.5</c:v>
                </c:pt>
                <c:pt idx="119">
                  <c:v>-5.5</c:v>
                </c:pt>
                <c:pt idx="120">
                  <c:v>-5.5</c:v>
                </c:pt>
                <c:pt idx="121">
                  <c:v>-5.5</c:v>
                </c:pt>
                <c:pt idx="122">
                  <c:v>-5.5</c:v>
                </c:pt>
                <c:pt idx="123">
                  <c:v>-5.5</c:v>
                </c:pt>
                <c:pt idx="124">
                  <c:v>-5.5</c:v>
                </c:pt>
                <c:pt idx="125">
                  <c:v>-5.5</c:v>
                </c:pt>
                <c:pt idx="126">
                  <c:v>-5.5</c:v>
                </c:pt>
                <c:pt idx="127">
                  <c:v>-5.5</c:v>
                </c:pt>
                <c:pt idx="128">
                  <c:v>-5.5</c:v>
                </c:pt>
                <c:pt idx="129">
                  <c:v>-5.5</c:v>
                </c:pt>
                <c:pt idx="130">
                  <c:v>-5.5</c:v>
                </c:pt>
                <c:pt idx="131">
                  <c:v>-5.5</c:v>
                </c:pt>
                <c:pt idx="132">
                  <c:v>-5.5</c:v>
                </c:pt>
                <c:pt idx="133">
                  <c:v>-5.5</c:v>
                </c:pt>
                <c:pt idx="134">
                  <c:v>-5.5</c:v>
                </c:pt>
                <c:pt idx="135">
                  <c:v>-5.5</c:v>
                </c:pt>
                <c:pt idx="136">
                  <c:v>-5.5</c:v>
                </c:pt>
                <c:pt idx="137">
                  <c:v>-5.5</c:v>
                </c:pt>
                <c:pt idx="138">
                  <c:v>-5.5</c:v>
                </c:pt>
                <c:pt idx="139">
                  <c:v>-5.5</c:v>
                </c:pt>
                <c:pt idx="140">
                  <c:v>-5.5</c:v>
                </c:pt>
                <c:pt idx="141">
                  <c:v>-5.5</c:v>
                </c:pt>
                <c:pt idx="142">
                  <c:v>-5.5</c:v>
                </c:pt>
                <c:pt idx="143">
                  <c:v>-5.5</c:v>
                </c:pt>
                <c:pt idx="144">
                  <c:v>-5.5</c:v>
                </c:pt>
                <c:pt idx="145">
                  <c:v>-5.5</c:v>
                </c:pt>
                <c:pt idx="146">
                  <c:v>-5.5</c:v>
                </c:pt>
                <c:pt idx="147">
                  <c:v>-5.5</c:v>
                </c:pt>
                <c:pt idx="148">
                  <c:v>-5.5</c:v>
                </c:pt>
                <c:pt idx="149">
                  <c:v>-5.5</c:v>
                </c:pt>
                <c:pt idx="150">
                  <c:v>-5.5</c:v>
                </c:pt>
                <c:pt idx="151">
                  <c:v>-5.5</c:v>
                </c:pt>
                <c:pt idx="152">
                  <c:v>-5.5</c:v>
                </c:pt>
                <c:pt idx="153">
                  <c:v>-5.5</c:v>
                </c:pt>
                <c:pt idx="154">
                  <c:v>-5.5</c:v>
                </c:pt>
                <c:pt idx="155">
                  <c:v>-5.5</c:v>
                </c:pt>
                <c:pt idx="156">
                  <c:v>-5.5</c:v>
                </c:pt>
                <c:pt idx="157">
                  <c:v>-5.5</c:v>
                </c:pt>
                <c:pt idx="158">
                  <c:v>-5.5</c:v>
                </c:pt>
                <c:pt idx="159">
                  <c:v>-5.5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-5.5</c:v>
                </c:pt>
                <c:pt idx="186">
                  <c:v>-5.5</c:v>
                </c:pt>
                <c:pt idx="187">
                  <c:v>-5.5</c:v>
                </c:pt>
                <c:pt idx="188">
                  <c:v>-5.5</c:v>
                </c:pt>
                <c:pt idx="189">
                  <c:v>-5.5</c:v>
                </c:pt>
                <c:pt idx="190">
                  <c:v>-5.5</c:v>
                </c:pt>
                <c:pt idx="191">
                  <c:v>-5.5</c:v>
                </c:pt>
                <c:pt idx="192">
                  <c:v>-5.5</c:v>
                </c:pt>
                <c:pt idx="193">
                  <c:v>-5.5</c:v>
                </c:pt>
                <c:pt idx="194">
                  <c:v>-5.5</c:v>
                </c:pt>
                <c:pt idx="195">
                  <c:v>-5.5</c:v>
                </c:pt>
                <c:pt idx="196">
                  <c:v>-5.5</c:v>
                </c:pt>
                <c:pt idx="197">
                  <c:v>-5.5</c:v>
                </c:pt>
                <c:pt idx="198">
                  <c:v>-5.5</c:v>
                </c:pt>
                <c:pt idx="199">
                  <c:v>-5.5</c:v>
                </c:pt>
                <c:pt idx="200">
                  <c:v>-5.5</c:v>
                </c:pt>
                <c:pt idx="201">
                  <c:v>-5.5</c:v>
                </c:pt>
                <c:pt idx="202">
                  <c:v>-5.5</c:v>
                </c:pt>
                <c:pt idx="203">
                  <c:v>-5.5</c:v>
                </c:pt>
                <c:pt idx="204">
                  <c:v>-5.5</c:v>
                </c:pt>
                <c:pt idx="205">
                  <c:v>-5.5</c:v>
                </c:pt>
                <c:pt idx="206">
                  <c:v>-5.5</c:v>
                </c:pt>
                <c:pt idx="207">
                  <c:v>-5.5</c:v>
                </c:pt>
                <c:pt idx="208">
                  <c:v>-5.5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-5.5</c:v>
                </c:pt>
                <c:pt idx="235">
                  <c:v>-5.5</c:v>
                </c:pt>
                <c:pt idx="236">
                  <c:v>-5.5</c:v>
                </c:pt>
                <c:pt idx="237">
                  <c:v>-5.5</c:v>
                </c:pt>
                <c:pt idx="238">
                  <c:v>-5.5</c:v>
                </c:pt>
                <c:pt idx="239">
                  <c:v>-5.5</c:v>
                </c:pt>
                <c:pt idx="240">
                  <c:v>-5.5</c:v>
                </c:pt>
                <c:pt idx="241">
                  <c:v>-5.5</c:v>
                </c:pt>
                <c:pt idx="242">
                  <c:v>-5.5</c:v>
                </c:pt>
                <c:pt idx="243">
                  <c:v>-5.5</c:v>
                </c:pt>
                <c:pt idx="244">
                  <c:v>-5.5</c:v>
                </c:pt>
                <c:pt idx="245">
                  <c:v>-5.5</c:v>
                </c:pt>
                <c:pt idx="246">
                  <c:v>-5.5</c:v>
                </c:pt>
                <c:pt idx="247">
                  <c:v>-5.5</c:v>
                </c:pt>
                <c:pt idx="248">
                  <c:v>-5.5</c:v>
                </c:pt>
                <c:pt idx="249">
                  <c:v>-5.5</c:v>
                </c:pt>
                <c:pt idx="250">
                  <c:v>-5.5</c:v>
                </c:pt>
                <c:pt idx="251">
                  <c:v>-5.5</c:v>
                </c:pt>
                <c:pt idx="252">
                  <c:v>-5.5</c:v>
                </c:pt>
                <c:pt idx="253">
                  <c:v>-5.5</c:v>
                </c:pt>
                <c:pt idx="254">
                  <c:v>-5.5</c:v>
                </c:pt>
                <c:pt idx="255">
                  <c:v>-5.5</c:v>
                </c:pt>
                <c:pt idx="256">
                  <c:v>-5.5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-5.5</c:v>
                </c:pt>
                <c:pt idx="283">
                  <c:v>-5.5</c:v>
                </c:pt>
                <c:pt idx="284">
                  <c:v>-5.5</c:v>
                </c:pt>
                <c:pt idx="285">
                  <c:v>-5.5</c:v>
                </c:pt>
                <c:pt idx="286">
                  <c:v>-5.5</c:v>
                </c:pt>
                <c:pt idx="287">
                  <c:v>-5.5</c:v>
                </c:pt>
                <c:pt idx="288">
                  <c:v>-5.5</c:v>
                </c:pt>
                <c:pt idx="289">
                  <c:v>-5.5</c:v>
                </c:pt>
                <c:pt idx="290">
                  <c:v>-5.5</c:v>
                </c:pt>
                <c:pt idx="291">
                  <c:v>-5.5</c:v>
                </c:pt>
                <c:pt idx="292">
                  <c:v>-5.5</c:v>
                </c:pt>
                <c:pt idx="293">
                  <c:v>-5.5</c:v>
                </c:pt>
                <c:pt idx="294">
                  <c:v>-5.5</c:v>
                </c:pt>
                <c:pt idx="295">
                  <c:v>-5.5</c:v>
                </c:pt>
                <c:pt idx="296">
                  <c:v>-5.5</c:v>
                </c:pt>
                <c:pt idx="297">
                  <c:v>-5.5</c:v>
                </c:pt>
                <c:pt idx="298">
                  <c:v>-5.5</c:v>
                </c:pt>
                <c:pt idx="299">
                  <c:v>-5.5</c:v>
                </c:pt>
                <c:pt idx="300">
                  <c:v>-5.5</c:v>
                </c:pt>
                <c:pt idx="301">
                  <c:v>-5.5</c:v>
                </c:pt>
                <c:pt idx="302">
                  <c:v>-5.5</c:v>
                </c:pt>
                <c:pt idx="303">
                  <c:v>-5.5</c:v>
                </c:pt>
                <c:pt idx="304">
                  <c:v>-5.5</c:v>
                </c:pt>
                <c:pt idx="305">
                  <c:v>-5.5</c:v>
                </c:pt>
                <c:pt idx="306">
                  <c:v>5</c:v>
                </c:pt>
                <c:pt idx="307">
                  <c:v>5</c:v>
                </c:pt>
                <c:pt idx="308">
                  <c:v>5</c:v>
                </c:pt>
                <c:pt idx="309">
                  <c:v>5</c:v>
                </c:pt>
                <c:pt idx="310">
                  <c:v>5</c:v>
                </c:pt>
                <c:pt idx="311">
                  <c:v>5</c:v>
                </c:pt>
                <c:pt idx="312">
                  <c:v>5</c:v>
                </c:pt>
                <c:pt idx="313">
                  <c:v>5</c:v>
                </c:pt>
                <c:pt idx="314">
                  <c:v>5</c:v>
                </c:pt>
                <c:pt idx="315">
                  <c:v>5</c:v>
                </c:pt>
                <c:pt idx="316">
                  <c:v>5</c:v>
                </c:pt>
                <c:pt idx="317">
                  <c:v>5</c:v>
                </c:pt>
                <c:pt idx="318">
                  <c:v>5</c:v>
                </c:pt>
                <c:pt idx="319">
                  <c:v>5</c:v>
                </c:pt>
                <c:pt idx="320">
                  <c:v>5</c:v>
                </c:pt>
                <c:pt idx="321">
                  <c:v>5</c:v>
                </c:pt>
                <c:pt idx="322">
                  <c:v>5</c:v>
                </c:pt>
                <c:pt idx="323">
                  <c:v>5</c:v>
                </c:pt>
                <c:pt idx="324">
                  <c:v>5</c:v>
                </c:pt>
                <c:pt idx="325">
                  <c:v>5</c:v>
                </c:pt>
                <c:pt idx="326">
                  <c:v>5</c:v>
                </c:pt>
                <c:pt idx="327">
                  <c:v>5</c:v>
                </c:pt>
                <c:pt idx="328">
                  <c:v>5</c:v>
                </c:pt>
                <c:pt idx="329">
                  <c:v>5</c:v>
                </c:pt>
                <c:pt idx="330">
                  <c:v>5</c:v>
                </c:pt>
                <c:pt idx="331">
                  <c:v>-5.5</c:v>
                </c:pt>
                <c:pt idx="332">
                  <c:v>-5.5</c:v>
                </c:pt>
                <c:pt idx="333">
                  <c:v>-5.5</c:v>
                </c:pt>
                <c:pt idx="334">
                  <c:v>-5.5</c:v>
                </c:pt>
                <c:pt idx="335">
                  <c:v>-5.5</c:v>
                </c:pt>
                <c:pt idx="336">
                  <c:v>-5.5</c:v>
                </c:pt>
                <c:pt idx="337">
                  <c:v>-5.5</c:v>
                </c:pt>
                <c:pt idx="338">
                  <c:v>-5.5</c:v>
                </c:pt>
                <c:pt idx="339">
                  <c:v>-5.5</c:v>
                </c:pt>
                <c:pt idx="340">
                  <c:v>-5.5</c:v>
                </c:pt>
                <c:pt idx="341">
                  <c:v>-5.5</c:v>
                </c:pt>
                <c:pt idx="342">
                  <c:v>-5.5</c:v>
                </c:pt>
                <c:pt idx="343">
                  <c:v>-5.5</c:v>
                </c:pt>
                <c:pt idx="344">
                  <c:v>-5.5</c:v>
                </c:pt>
                <c:pt idx="345">
                  <c:v>-5.5</c:v>
                </c:pt>
                <c:pt idx="346">
                  <c:v>-5.5</c:v>
                </c:pt>
                <c:pt idx="347">
                  <c:v>-5.5</c:v>
                </c:pt>
                <c:pt idx="348">
                  <c:v>-5.5</c:v>
                </c:pt>
                <c:pt idx="349">
                  <c:v>-5.5</c:v>
                </c:pt>
                <c:pt idx="350">
                  <c:v>-5.5</c:v>
                </c:pt>
                <c:pt idx="351">
                  <c:v>-5.5</c:v>
                </c:pt>
                <c:pt idx="352">
                  <c:v>-5.5</c:v>
                </c:pt>
                <c:pt idx="353">
                  <c:v>-5.5</c:v>
                </c:pt>
                <c:pt idx="354">
                  <c:v>5</c:v>
                </c:pt>
                <c:pt idx="355">
                  <c:v>5</c:v>
                </c:pt>
                <c:pt idx="356">
                  <c:v>5</c:v>
                </c:pt>
                <c:pt idx="357">
                  <c:v>5</c:v>
                </c:pt>
                <c:pt idx="358">
                  <c:v>5</c:v>
                </c:pt>
                <c:pt idx="359">
                  <c:v>5</c:v>
                </c:pt>
                <c:pt idx="360">
                  <c:v>5</c:v>
                </c:pt>
                <c:pt idx="361">
                  <c:v>5</c:v>
                </c:pt>
                <c:pt idx="362">
                  <c:v>5</c:v>
                </c:pt>
                <c:pt idx="363">
                  <c:v>5</c:v>
                </c:pt>
                <c:pt idx="364">
                  <c:v>5</c:v>
                </c:pt>
                <c:pt idx="365">
                  <c:v>5</c:v>
                </c:pt>
                <c:pt idx="366">
                  <c:v>5</c:v>
                </c:pt>
                <c:pt idx="367">
                  <c:v>5</c:v>
                </c:pt>
                <c:pt idx="368">
                  <c:v>5</c:v>
                </c:pt>
                <c:pt idx="369">
                  <c:v>5</c:v>
                </c:pt>
                <c:pt idx="370">
                  <c:v>5</c:v>
                </c:pt>
                <c:pt idx="371">
                  <c:v>5</c:v>
                </c:pt>
                <c:pt idx="372">
                  <c:v>5</c:v>
                </c:pt>
                <c:pt idx="373">
                  <c:v>5</c:v>
                </c:pt>
                <c:pt idx="374">
                  <c:v>5</c:v>
                </c:pt>
                <c:pt idx="375">
                  <c:v>5</c:v>
                </c:pt>
                <c:pt idx="376">
                  <c:v>5</c:v>
                </c:pt>
                <c:pt idx="377">
                  <c:v>5</c:v>
                </c:pt>
                <c:pt idx="378">
                  <c:v>5</c:v>
                </c:pt>
                <c:pt idx="379">
                  <c:v>-5.5</c:v>
                </c:pt>
                <c:pt idx="380">
                  <c:v>-5.5</c:v>
                </c:pt>
                <c:pt idx="381">
                  <c:v>-5.5</c:v>
                </c:pt>
                <c:pt idx="382">
                  <c:v>-5.5</c:v>
                </c:pt>
                <c:pt idx="383">
                  <c:v>-5.5</c:v>
                </c:pt>
                <c:pt idx="384">
                  <c:v>-5.5</c:v>
                </c:pt>
                <c:pt idx="385">
                  <c:v>-5.5</c:v>
                </c:pt>
                <c:pt idx="386">
                  <c:v>-5.5</c:v>
                </c:pt>
                <c:pt idx="387">
                  <c:v>-5.5</c:v>
                </c:pt>
                <c:pt idx="388">
                  <c:v>-5.5</c:v>
                </c:pt>
                <c:pt idx="389">
                  <c:v>-5.5</c:v>
                </c:pt>
                <c:pt idx="390">
                  <c:v>-5.5</c:v>
                </c:pt>
                <c:pt idx="391">
                  <c:v>-5.5</c:v>
                </c:pt>
                <c:pt idx="392">
                  <c:v>-5.5</c:v>
                </c:pt>
                <c:pt idx="393">
                  <c:v>-5.5</c:v>
                </c:pt>
                <c:pt idx="394">
                  <c:v>-5.5</c:v>
                </c:pt>
                <c:pt idx="395">
                  <c:v>-5.5</c:v>
                </c:pt>
                <c:pt idx="396">
                  <c:v>-5.5</c:v>
                </c:pt>
                <c:pt idx="397">
                  <c:v>-5.5</c:v>
                </c:pt>
                <c:pt idx="398">
                  <c:v>-5.5</c:v>
                </c:pt>
                <c:pt idx="399">
                  <c:v>-5.5</c:v>
                </c:pt>
                <c:pt idx="400">
                  <c:v>-5.5</c:v>
                </c:pt>
                <c:pt idx="401">
                  <c:v>-5.5</c:v>
                </c:pt>
                <c:pt idx="402">
                  <c:v>5</c:v>
                </c:pt>
                <c:pt idx="403">
                  <c:v>5</c:v>
                </c:pt>
                <c:pt idx="404">
                  <c:v>5</c:v>
                </c:pt>
                <c:pt idx="405">
                  <c:v>5</c:v>
                </c:pt>
                <c:pt idx="406">
                  <c:v>5</c:v>
                </c:pt>
                <c:pt idx="407">
                  <c:v>5</c:v>
                </c:pt>
                <c:pt idx="408">
                  <c:v>5</c:v>
                </c:pt>
                <c:pt idx="409">
                  <c:v>5</c:v>
                </c:pt>
                <c:pt idx="410">
                  <c:v>5</c:v>
                </c:pt>
                <c:pt idx="411">
                  <c:v>5</c:v>
                </c:pt>
                <c:pt idx="412">
                  <c:v>5</c:v>
                </c:pt>
                <c:pt idx="413">
                  <c:v>5</c:v>
                </c:pt>
                <c:pt idx="414">
                  <c:v>5</c:v>
                </c:pt>
                <c:pt idx="415">
                  <c:v>5</c:v>
                </c:pt>
                <c:pt idx="416">
                  <c:v>5</c:v>
                </c:pt>
                <c:pt idx="417">
                  <c:v>5</c:v>
                </c:pt>
                <c:pt idx="418">
                  <c:v>5</c:v>
                </c:pt>
                <c:pt idx="419">
                  <c:v>5</c:v>
                </c:pt>
                <c:pt idx="420">
                  <c:v>5</c:v>
                </c:pt>
                <c:pt idx="421">
                  <c:v>5</c:v>
                </c:pt>
                <c:pt idx="422">
                  <c:v>5</c:v>
                </c:pt>
                <c:pt idx="423">
                  <c:v>5</c:v>
                </c:pt>
                <c:pt idx="424">
                  <c:v>5</c:v>
                </c:pt>
                <c:pt idx="425">
                  <c:v>5</c:v>
                </c:pt>
                <c:pt idx="426">
                  <c:v>5</c:v>
                </c:pt>
                <c:pt idx="427">
                  <c:v>5</c:v>
                </c:pt>
                <c:pt idx="428">
                  <c:v>-5.5</c:v>
                </c:pt>
                <c:pt idx="429">
                  <c:v>-5.5</c:v>
                </c:pt>
                <c:pt idx="430">
                  <c:v>-5.5</c:v>
                </c:pt>
                <c:pt idx="431">
                  <c:v>-5.5</c:v>
                </c:pt>
                <c:pt idx="432">
                  <c:v>-5.5</c:v>
                </c:pt>
                <c:pt idx="433">
                  <c:v>-5.5</c:v>
                </c:pt>
                <c:pt idx="434">
                  <c:v>-5.5</c:v>
                </c:pt>
                <c:pt idx="435">
                  <c:v>-5.5</c:v>
                </c:pt>
                <c:pt idx="436">
                  <c:v>-5.5</c:v>
                </c:pt>
                <c:pt idx="437">
                  <c:v>-5.5</c:v>
                </c:pt>
                <c:pt idx="438">
                  <c:v>-5.5</c:v>
                </c:pt>
                <c:pt idx="439">
                  <c:v>-5.5</c:v>
                </c:pt>
                <c:pt idx="440">
                  <c:v>-5.5</c:v>
                </c:pt>
                <c:pt idx="441">
                  <c:v>-5.5</c:v>
                </c:pt>
                <c:pt idx="442">
                  <c:v>-5.5</c:v>
                </c:pt>
                <c:pt idx="443">
                  <c:v>-5.5</c:v>
                </c:pt>
                <c:pt idx="444">
                  <c:v>-5.5</c:v>
                </c:pt>
                <c:pt idx="445">
                  <c:v>-5.5</c:v>
                </c:pt>
                <c:pt idx="446">
                  <c:v>-5.5</c:v>
                </c:pt>
                <c:pt idx="447">
                  <c:v>-5.5</c:v>
                </c:pt>
                <c:pt idx="448">
                  <c:v>-5.5</c:v>
                </c:pt>
                <c:pt idx="449">
                  <c:v>-5.5</c:v>
                </c:pt>
                <c:pt idx="450">
                  <c:v>-5.5</c:v>
                </c:pt>
                <c:pt idx="451">
                  <c:v>5</c:v>
                </c:pt>
                <c:pt idx="452">
                  <c:v>5</c:v>
                </c:pt>
                <c:pt idx="453">
                  <c:v>5</c:v>
                </c:pt>
                <c:pt idx="454">
                  <c:v>5</c:v>
                </c:pt>
                <c:pt idx="455">
                  <c:v>5</c:v>
                </c:pt>
                <c:pt idx="456">
                  <c:v>5</c:v>
                </c:pt>
                <c:pt idx="457">
                  <c:v>5</c:v>
                </c:pt>
                <c:pt idx="458">
                  <c:v>5</c:v>
                </c:pt>
                <c:pt idx="459">
                  <c:v>5</c:v>
                </c:pt>
                <c:pt idx="460">
                  <c:v>5</c:v>
                </c:pt>
                <c:pt idx="461">
                  <c:v>5</c:v>
                </c:pt>
                <c:pt idx="462">
                  <c:v>5</c:v>
                </c:pt>
                <c:pt idx="463">
                  <c:v>5</c:v>
                </c:pt>
                <c:pt idx="464">
                  <c:v>5</c:v>
                </c:pt>
                <c:pt idx="465">
                  <c:v>5</c:v>
                </c:pt>
                <c:pt idx="466">
                  <c:v>5</c:v>
                </c:pt>
                <c:pt idx="467">
                  <c:v>5</c:v>
                </c:pt>
                <c:pt idx="468">
                  <c:v>5</c:v>
                </c:pt>
                <c:pt idx="469">
                  <c:v>5</c:v>
                </c:pt>
                <c:pt idx="470">
                  <c:v>5</c:v>
                </c:pt>
                <c:pt idx="471">
                  <c:v>5</c:v>
                </c:pt>
                <c:pt idx="472">
                  <c:v>5</c:v>
                </c:pt>
                <c:pt idx="473">
                  <c:v>5</c:v>
                </c:pt>
                <c:pt idx="474">
                  <c:v>5</c:v>
                </c:pt>
                <c:pt idx="475">
                  <c:v>5</c:v>
                </c:pt>
                <c:pt idx="476">
                  <c:v>-5.5</c:v>
                </c:pt>
                <c:pt idx="477">
                  <c:v>-5.5</c:v>
                </c:pt>
                <c:pt idx="478">
                  <c:v>-5.5</c:v>
                </c:pt>
                <c:pt idx="479">
                  <c:v>-5.5</c:v>
                </c:pt>
                <c:pt idx="480">
                  <c:v>-5.5</c:v>
                </c:pt>
                <c:pt idx="481">
                  <c:v>-5.5</c:v>
                </c:pt>
                <c:pt idx="482">
                  <c:v>-5.5</c:v>
                </c:pt>
                <c:pt idx="483">
                  <c:v>-5.5</c:v>
                </c:pt>
                <c:pt idx="484">
                  <c:v>-5.5</c:v>
                </c:pt>
                <c:pt idx="485">
                  <c:v>-5.5</c:v>
                </c:pt>
                <c:pt idx="486">
                  <c:v>-5.5</c:v>
                </c:pt>
                <c:pt idx="487">
                  <c:v>-5.5</c:v>
                </c:pt>
                <c:pt idx="488">
                  <c:v>-5.5</c:v>
                </c:pt>
                <c:pt idx="489">
                  <c:v>-5.5</c:v>
                </c:pt>
                <c:pt idx="490">
                  <c:v>-5.5</c:v>
                </c:pt>
                <c:pt idx="491">
                  <c:v>-5.5</c:v>
                </c:pt>
                <c:pt idx="492">
                  <c:v>-5.5</c:v>
                </c:pt>
                <c:pt idx="493">
                  <c:v>-5.5</c:v>
                </c:pt>
                <c:pt idx="494">
                  <c:v>-5.5</c:v>
                </c:pt>
                <c:pt idx="495">
                  <c:v>-5.5</c:v>
                </c:pt>
                <c:pt idx="496">
                  <c:v>-5.5</c:v>
                </c:pt>
                <c:pt idx="497">
                  <c:v>-5.5</c:v>
                </c:pt>
                <c:pt idx="498">
                  <c:v>-5.5</c:v>
                </c:pt>
                <c:pt idx="499">
                  <c:v>-5.5</c:v>
                </c:pt>
                <c:pt idx="500">
                  <c:v>5</c:v>
                </c:pt>
                <c:pt idx="501">
                  <c:v>5</c:v>
                </c:pt>
                <c:pt idx="502">
                  <c:v>5</c:v>
                </c:pt>
                <c:pt idx="503">
                  <c:v>5</c:v>
                </c:pt>
                <c:pt idx="504">
                  <c:v>5</c:v>
                </c:pt>
                <c:pt idx="505">
                  <c:v>5</c:v>
                </c:pt>
                <c:pt idx="506">
                  <c:v>5</c:v>
                </c:pt>
                <c:pt idx="507">
                  <c:v>5</c:v>
                </c:pt>
                <c:pt idx="508">
                  <c:v>5</c:v>
                </c:pt>
                <c:pt idx="509">
                  <c:v>5</c:v>
                </c:pt>
                <c:pt idx="510">
                  <c:v>5</c:v>
                </c:pt>
                <c:pt idx="511">
                  <c:v>5</c:v>
                </c:pt>
                <c:pt idx="512">
                  <c:v>5</c:v>
                </c:pt>
                <c:pt idx="513">
                  <c:v>5</c:v>
                </c:pt>
                <c:pt idx="514">
                  <c:v>5</c:v>
                </c:pt>
                <c:pt idx="515">
                  <c:v>5</c:v>
                </c:pt>
                <c:pt idx="516">
                  <c:v>5</c:v>
                </c:pt>
                <c:pt idx="517">
                  <c:v>5</c:v>
                </c:pt>
                <c:pt idx="518">
                  <c:v>5</c:v>
                </c:pt>
                <c:pt idx="519">
                  <c:v>5</c:v>
                </c:pt>
                <c:pt idx="520">
                  <c:v>5</c:v>
                </c:pt>
                <c:pt idx="521">
                  <c:v>5</c:v>
                </c:pt>
                <c:pt idx="522">
                  <c:v>5</c:v>
                </c:pt>
                <c:pt idx="523">
                  <c:v>5</c:v>
                </c:pt>
                <c:pt idx="524">
                  <c:v>5</c:v>
                </c:pt>
                <c:pt idx="525">
                  <c:v>-5.5</c:v>
                </c:pt>
                <c:pt idx="526">
                  <c:v>-5.5</c:v>
                </c:pt>
                <c:pt idx="527">
                  <c:v>-5.5</c:v>
                </c:pt>
                <c:pt idx="528">
                  <c:v>-5.5</c:v>
                </c:pt>
                <c:pt idx="529">
                  <c:v>-5.5</c:v>
                </c:pt>
                <c:pt idx="530">
                  <c:v>-5.5</c:v>
                </c:pt>
                <c:pt idx="531">
                  <c:v>-5.5</c:v>
                </c:pt>
                <c:pt idx="532">
                  <c:v>-5.5</c:v>
                </c:pt>
                <c:pt idx="533">
                  <c:v>-5.5</c:v>
                </c:pt>
                <c:pt idx="534">
                  <c:v>-5.5</c:v>
                </c:pt>
                <c:pt idx="535">
                  <c:v>-5.5</c:v>
                </c:pt>
                <c:pt idx="536">
                  <c:v>-5.5</c:v>
                </c:pt>
                <c:pt idx="537">
                  <c:v>-5.5</c:v>
                </c:pt>
                <c:pt idx="538">
                  <c:v>-5.5</c:v>
                </c:pt>
                <c:pt idx="539">
                  <c:v>-5.5</c:v>
                </c:pt>
                <c:pt idx="540">
                  <c:v>-5.5</c:v>
                </c:pt>
                <c:pt idx="541">
                  <c:v>-5.5</c:v>
                </c:pt>
                <c:pt idx="542">
                  <c:v>-5.5</c:v>
                </c:pt>
                <c:pt idx="543">
                  <c:v>-5.5</c:v>
                </c:pt>
                <c:pt idx="544">
                  <c:v>-5.5</c:v>
                </c:pt>
                <c:pt idx="545">
                  <c:v>-5.5</c:v>
                </c:pt>
                <c:pt idx="546">
                  <c:v>-5.5</c:v>
                </c:pt>
                <c:pt idx="547">
                  <c:v>-5.5</c:v>
                </c:pt>
                <c:pt idx="548">
                  <c:v>5</c:v>
                </c:pt>
                <c:pt idx="549">
                  <c:v>5</c:v>
                </c:pt>
                <c:pt idx="550">
                  <c:v>5</c:v>
                </c:pt>
                <c:pt idx="551">
                  <c:v>5</c:v>
                </c:pt>
                <c:pt idx="552">
                  <c:v>5</c:v>
                </c:pt>
                <c:pt idx="553">
                  <c:v>5</c:v>
                </c:pt>
                <c:pt idx="554">
                  <c:v>5</c:v>
                </c:pt>
                <c:pt idx="555">
                  <c:v>5</c:v>
                </c:pt>
                <c:pt idx="556">
                  <c:v>5</c:v>
                </c:pt>
                <c:pt idx="557">
                  <c:v>5</c:v>
                </c:pt>
                <c:pt idx="558">
                  <c:v>5</c:v>
                </c:pt>
                <c:pt idx="559">
                  <c:v>5</c:v>
                </c:pt>
                <c:pt idx="560">
                  <c:v>5</c:v>
                </c:pt>
                <c:pt idx="561">
                  <c:v>5</c:v>
                </c:pt>
                <c:pt idx="562">
                  <c:v>5</c:v>
                </c:pt>
                <c:pt idx="563">
                  <c:v>5</c:v>
                </c:pt>
                <c:pt idx="564">
                  <c:v>5</c:v>
                </c:pt>
                <c:pt idx="565">
                  <c:v>5</c:v>
                </c:pt>
                <c:pt idx="566">
                  <c:v>5</c:v>
                </c:pt>
                <c:pt idx="567">
                  <c:v>5</c:v>
                </c:pt>
                <c:pt idx="568">
                  <c:v>5</c:v>
                </c:pt>
                <c:pt idx="569">
                  <c:v>5</c:v>
                </c:pt>
                <c:pt idx="570">
                  <c:v>5</c:v>
                </c:pt>
                <c:pt idx="571">
                  <c:v>5</c:v>
                </c:pt>
                <c:pt idx="572">
                  <c:v>5</c:v>
                </c:pt>
                <c:pt idx="573">
                  <c:v>-5.5</c:v>
                </c:pt>
                <c:pt idx="574">
                  <c:v>-5.5</c:v>
                </c:pt>
                <c:pt idx="575">
                  <c:v>-5.5</c:v>
                </c:pt>
                <c:pt idx="576">
                  <c:v>-5.5</c:v>
                </c:pt>
                <c:pt idx="577">
                  <c:v>-5.5</c:v>
                </c:pt>
                <c:pt idx="578">
                  <c:v>-5.5</c:v>
                </c:pt>
                <c:pt idx="579">
                  <c:v>-5.5</c:v>
                </c:pt>
                <c:pt idx="580">
                  <c:v>-5.5</c:v>
                </c:pt>
                <c:pt idx="581">
                  <c:v>-5.5</c:v>
                </c:pt>
                <c:pt idx="582">
                  <c:v>-5.5</c:v>
                </c:pt>
                <c:pt idx="583">
                  <c:v>-5.5</c:v>
                </c:pt>
                <c:pt idx="584">
                  <c:v>-5.5</c:v>
                </c:pt>
                <c:pt idx="585">
                  <c:v>-5.5</c:v>
                </c:pt>
                <c:pt idx="586">
                  <c:v>-5.5</c:v>
                </c:pt>
                <c:pt idx="587">
                  <c:v>-5.5</c:v>
                </c:pt>
                <c:pt idx="588">
                  <c:v>-5.5</c:v>
                </c:pt>
                <c:pt idx="589">
                  <c:v>-5.5</c:v>
                </c:pt>
                <c:pt idx="590">
                  <c:v>-5.5</c:v>
                </c:pt>
                <c:pt idx="591">
                  <c:v>-5.5</c:v>
                </c:pt>
                <c:pt idx="592">
                  <c:v>-5.5</c:v>
                </c:pt>
                <c:pt idx="593">
                  <c:v>-5.5</c:v>
                </c:pt>
                <c:pt idx="594">
                  <c:v>-5.5</c:v>
                </c:pt>
                <c:pt idx="595">
                  <c:v>-5.5</c:v>
                </c:pt>
                <c:pt idx="596">
                  <c:v>-5.5</c:v>
                </c:pt>
                <c:pt idx="597">
                  <c:v>5</c:v>
                </c:pt>
                <c:pt idx="598">
                  <c:v>5</c:v>
                </c:pt>
                <c:pt idx="599">
                  <c:v>5</c:v>
                </c:pt>
                <c:pt idx="600">
                  <c:v>5</c:v>
                </c:pt>
                <c:pt idx="601">
                  <c:v>5</c:v>
                </c:pt>
                <c:pt idx="602">
                  <c:v>5</c:v>
                </c:pt>
                <c:pt idx="603">
                  <c:v>5</c:v>
                </c:pt>
                <c:pt idx="604">
                  <c:v>5</c:v>
                </c:pt>
                <c:pt idx="605">
                  <c:v>5</c:v>
                </c:pt>
                <c:pt idx="606">
                  <c:v>5</c:v>
                </c:pt>
                <c:pt idx="607">
                  <c:v>5</c:v>
                </c:pt>
                <c:pt idx="608">
                  <c:v>5</c:v>
                </c:pt>
                <c:pt idx="609">
                  <c:v>5</c:v>
                </c:pt>
                <c:pt idx="610">
                  <c:v>5</c:v>
                </c:pt>
                <c:pt idx="611">
                  <c:v>5</c:v>
                </c:pt>
                <c:pt idx="612">
                  <c:v>5</c:v>
                </c:pt>
                <c:pt idx="613">
                  <c:v>5</c:v>
                </c:pt>
                <c:pt idx="614">
                  <c:v>5</c:v>
                </c:pt>
                <c:pt idx="615">
                  <c:v>5</c:v>
                </c:pt>
                <c:pt idx="616">
                  <c:v>5</c:v>
                </c:pt>
                <c:pt idx="617">
                  <c:v>5</c:v>
                </c:pt>
                <c:pt idx="618">
                  <c:v>5</c:v>
                </c:pt>
                <c:pt idx="619">
                  <c:v>5</c:v>
                </c:pt>
                <c:pt idx="620">
                  <c:v>5</c:v>
                </c:pt>
                <c:pt idx="621">
                  <c:v>5</c:v>
                </c:pt>
                <c:pt idx="622">
                  <c:v>-5.5</c:v>
                </c:pt>
                <c:pt idx="623">
                  <c:v>-5.5</c:v>
                </c:pt>
                <c:pt idx="624">
                  <c:v>-5.5</c:v>
                </c:pt>
                <c:pt idx="625">
                  <c:v>-5.5</c:v>
                </c:pt>
                <c:pt idx="626">
                  <c:v>-5.5</c:v>
                </c:pt>
                <c:pt idx="627">
                  <c:v>-5.5</c:v>
                </c:pt>
                <c:pt idx="628">
                  <c:v>-5.5</c:v>
                </c:pt>
                <c:pt idx="629">
                  <c:v>-5.5</c:v>
                </c:pt>
                <c:pt idx="630">
                  <c:v>-5.5</c:v>
                </c:pt>
                <c:pt idx="631">
                  <c:v>-5.5</c:v>
                </c:pt>
                <c:pt idx="632">
                  <c:v>-5.5</c:v>
                </c:pt>
                <c:pt idx="633">
                  <c:v>-5.5</c:v>
                </c:pt>
                <c:pt idx="634">
                  <c:v>-5.5</c:v>
                </c:pt>
                <c:pt idx="635">
                  <c:v>-5.5</c:v>
                </c:pt>
                <c:pt idx="636">
                  <c:v>-5.5</c:v>
                </c:pt>
                <c:pt idx="637">
                  <c:v>-5.5</c:v>
                </c:pt>
                <c:pt idx="638">
                  <c:v>-5.5</c:v>
                </c:pt>
                <c:pt idx="639">
                  <c:v>-5.5</c:v>
                </c:pt>
                <c:pt idx="640">
                  <c:v>-5.5</c:v>
                </c:pt>
                <c:pt idx="641">
                  <c:v>-5.5</c:v>
                </c:pt>
                <c:pt idx="642">
                  <c:v>-5.5</c:v>
                </c:pt>
                <c:pt idx="643">
                  <c:v>-5.5</c:v>
                </c:pt>
                <c:pt idx="644">
                  <c:v>-5.5</c:v>
                </c:pt>
                <c:pt idx="645">
                  <c:v>5</c:v>
                </c:pt>
                <c:pt idx="646">
                  <c:v>5</c:v>
                </c:pt>
                <c:pt idx="647">
                  <c:v>5</c:v>
                </c:pt>
                <c:pt idx="648">
                  <c:v>5</c:v>
                </c:pt>
                <c:pt idx="649">
                  <c:v>5</c:v>
                </c:pt>
                <c:pt idx="650">
                  <c:v>5</c:v>
                </c:pt>
                <c:pt idx="651">
                  <c:v>5</c:v>
                </c:pt>
                <c:pt idx="652">
                  <c:v>5</c:v>
                </c:pt>
                <c:pt idx="653">
                  <c:v>5</c:v>
                </c:pt>
                <c:pt idx="654">
                  <c:v>5</c:v>
                </c:pt>
                <c:pt idx="655">
                  <c:v>5</c:v>
                </c:pt>
                <c:pt idx="656">
                  <c:v>5</c:v>
                </c:pt>
                <c:pt idx="657">
                  <c:v>5</c:v>
                </c:pt>
                <c:pt idx="658">
                  <c:v>5</c:v>
                </c:pt>
                <c:pt idx="659">
                  <c:v>5</c:v>
                </c:pt>
                <c:pt idx="660">
                  <c:v>5</c:v>
                </c:pt>
                <c:pt idx="661">
                  <c:v>5</c:v>
                </c:pt>
                <c:pt idx="662">
                  <c:v>5</c:v>
                </c:pt>
                <c:pt idx="663">
                  <c:v>5</c:v>
                </c:pt>
                <c:pt idx="664">
                  <c:v>5</c:v>
                </c:pt>
                <c:pt idx="665">
                  <c:v>5</c:v>
                </c:pt>
                <c:pt idx="666">
                  <c:v>5</c:v>
                </c:pt>
                <c:pt idx="667">
                  <c:v>5</c:v>
                </c:pt>
                <c:pt idx="668">
                  <c:v>5</c:v>
                </c:pt>
                <c:pt idx="669">
                  <c:v>5</c:v>
                </c:pt>
                <c:pt idx="670">
                  <c:v>5</c:v>
                </c:pt>
                <c:pt idx="671">
                  <c:v>-5.5</c:v>
                </c:pt>
                <c:pt idx="672">
                  <c:v>-5.5</c:v>
                </c:pt>
                <c:pt idx="673">
                  <c:v>-5.5</c:v>
                </c:pt>
                <c:pt idx="674">
                  <c:v>-5.5</c:v>
                </c:pt>
                <c:pt idx="675">
                  <c:v>-5.5</c:v>
                </c:pt>
                <c:pt idx="676">
                  <c:v>-5.5</c:v>
                </c:pt>
                <c:pt idx="677">
                  <c:v>-5.5</c:v>
                </c:pt>
                <c:pt idx="678">
                  <c:v>-5.5</c:v>
                </c:pt>
                <c:pt idx="679">
                  <c:v>-5.5</c:v>
                </c:pt>
                <c:pt idx="680">
                  <c:v>-5.5</c:v>
                </c:pt>
                <c:pt idx="681">
                  <c:v>-5.5</c:v>
                </c:pt>
                <c:pt idx="682">
                  <c:v>-5.5</c:v>
                </c:pt>
                <c:pt idx="683">
                  <c:v>-5.5</c:v>
                </c:pt>
                <c:pt idx="684">
                  <c:v>-5.5</c:v>
                </c:pt>
                <c:pt idx="685">
                  <c:v>-5.5</c:v>
                </c:pt>
                <c:pt idx="686">
                  <c:v>-5.5</c:v>
                </c:pt>
                <c:pt idx="687">
                  <c:v>-5.5</c:v>
                </c:pt>
                <c:pt idx="688">
                  <c:v>-5.5</c:v>
                </c:pt>
                <c:pt idx="689">
                  <c:v>-5.5</c:v>
                </c:pt>
                <c:pt idx="690">
                  <c:v>-5.5</c:v>
                </c:pt>
                <c:pt idx="691">
                  <c:v>-5.5</c:v>
                </c:pt>
                <c:pt idx="692">
                  <c:v>-5.5</c:v>
                </c:pt>
                <c:pt idx="693">
                  <c:v>-5.5</c:v>
                </c:pt>
                <c:pt idx="694">
                  <c:v>5</c:v>
                </c:pt>
                <c:pt idx="695">
                  <c:v>5</c:v>
                </c:pt>
                <c:pt idx="696">
                  <c:v>5</c:v>
                </c:pt>
                <c:pt idx="697">
                  <c:v>5</c:v>
                </c:pt>
                <c:pt idx="698">
                  <c:v>5</c:v>
                </c:pt>
                <c:pt idx="699">
                  <c:v>5</c:v>
                </c:pt>
                <c:pt idx="700">
                  <c:v>5</c:v>
                </c:pt>
                <c:pt idx="701">
                  <c:v>5</c:v>
                </c:pt>
                <c:pt idx="702">
                  <c:v>5</c:v>
                </c:pt>
                <c:pt idx="703">
                  <c:v>5</c:v>
                </c:pt>
                <c:pt idx="704">
                  <c:v>5</c:v>
                </c:pt>
                <c:pt idx="705">
                  <c:v>5</c:v>
                </c:pt>
                <c:pt idx="706">
                  <c:v>5</c:v>
                </c:pt>
                <c:pt idx="707">
                  <c:v>5</c:v>
                </c:pt>
                <c:pt idx="708">
                  <c:v>5</c:v>
                </c:pt>
                <c:pt idx="709">
                  <c:v>5</c:v>
                </c:pt>
                <c:pt idx="710">
                  <c:v>5</c:v>
                </c:pt>
                <c:pt idx="711">
                  <c:v>5</c:v>
                </c:pt>
                <c:pt idx="712">
                  <c:v>5</c:v>
                </c:pt>
                <c:pt idx="713">
                  <c:v>5</c:v>
                </c:pt>
                <c:pt idx="714">
                  <c:v>5</c:v>
                </c:pt>
                <c:pt idx="715">
                  <c:v>5</c:v>
                </c:pt>
                <c:pt idx="716">
                  <c:v>5</c:v>
                </c:pt>
                <c:pt idx="717">
                  <c:v>5</c:v>
                </c:pt>
                <c:pt idx="718">
                  <c:v>5</c:v>
                </c:pt>
                <c:pt idx="719">
                  <c:v>-5.5</c:v>
                </c:pt>
                <c:pt idx="720">
                  <c:v>-5.5</c:v>
                </c:pt>
                <c:pt idx="721">
                  <c:v>-5.5</c:v>
                </c:pt>
                <c:pt idx="722">
                  <c:v>-5.5</c:v>
                </c:pt>
                <c:pt idx="723">
                  <c:v>-5.5</c:v>
                </c:pt>
                <c:pt idx="724">
                  <c:v>-5.5</c:v>
                </c:pt>
                <c:pt idx="725">
                  <c:v>-5.5</c:v>
                </c:pt>
                <c:pt idx="726">
                  <c:v>-5.5</c:v>
                </c:pt>
                <c:pt idx="727">
                  <c:v>-5.5</c:v>
                </c:pt>
                <c:pt idx="728">
                  <c:v>-5.5</c:v>
                </c:pt>
                <c:pt idx="729">
                  <c:v>-5.5</c:v>
                </c:pt>
                <c:pt idx="730">
                  <c:v>-5.5</c:v>
                </c:pt>
                <c:pt idx="731">
                  <c:v>-5.5</c:v>
                </c:pt>
                <c:pt idx="732">
                  <c:v>-5.5</c:v>
                </c:pt>
                <c:pt idx="733">
                  <c:v>-5.5</c:v>
                </c:pt>
                <c:pt idx="734">
                  <c:v>-5.5</c:v>
                </c:pt>
                <c:pt idx="735">
                  <c:v>-5.5</c:v>
                </c:pt>
                <c:pt idx="736">
                  <c:v>-5.5</c:v>
                </c:pt>
                <c:pt idx="737">
                  <c:v>-5.5</c:v>
                </c:pt>
                <c:pt idx="738">
                  <c:v>-5.5</c:v>
                </c:pt>
                <c:pt idx="739">
                  <c:v>-5.5</c:v>
                </c:pt>
                <c:pt idx="740">
                  <c:v>-5.5</c:v>
                </c:pt>
                <c:pt idx="741">
                  <c:v>-5.5</c:v>
                </c:pt>
                <c:pt idx="742">
                  <c:v>5</c:v>
                </c:pt>
                <c:pt idx="743">
                  <c:v>5</c:v>
                </c:pt>
                <c:pt idx="744">
                  <c:v>5</c:v>
                </c:pt>
                <c:pt idx="745">
                  <c:v>5</c:v>
                </c:pt>
                <c:pt idx="746">
                  <c:v>5</c:v>
                </c:pt>
                <c:pt idx="747">
                  <c:v>5</c:v>
                </c:pt>
                <c:pt idx="748">
                  <c:v>5</c:v>
                </c:pt>
                <c:pt idx="749">
                  <c:v>5</c:v>
                </c:pt>
                <c:pt idx="750">
                  <c:v>5</c:v>
                </c:pt>
                <c:pt idx="751">
                  <c:v>5</c:v>
                </c:pt>
                <c:pt idx="752">
                  <c:v>5</c:v>
                </c:pt>
                <c:pt idx="753">
                  <c:v>5</c:v>
                </c:pt>
                <c:pt idx="754">
                  <c:v>5</c:v>
                </c:pt>
                <c:pt idx="755">
                  <c:v>5</c:v>
                </c:pt>
                <c:pt idx="756">
                  <c:v>5</c:v>
                </c:pt>
                <c:pt idx="757">
                  <c:v>5</c:v>
                </c:pt>
                <c:pt idx="758">
                  <c:v>5</c:v>
                </c:pt>
                <c:pt idx="759">
                  <c:v>5</c:v>
                </c:pt>
                <c:pt idx="760">
                  <c:v>5</c:v>
                </c:pt>
                <c:pt idx="761">
                  <c:v>5</c:v>
                </c:pt>
                <c:pt idx="762">
                  <c:v>5</c:v>
                </c:pt>
                <c:pt idx="763">
                  <c:v>5</c:v>
                </c:pt>
                <c:pt idx="764">
                  <c:v>5</c:v>
                </c:pt>
                <c:pt idx="765">
                  <c:v>5</c:v>
                </c:pt>
                <c:pt idx="766">
                  <c:v>5</c:v>
                </c:pt>
                <c:pt idx="767">
                  <c:v>5</c:v>
                </c:pt>
                <c:pt idx="768">
                  <c:v>-5.5</c:v>
                </c:pt>
                <c:pt idx="769">
                  <c:v>-5.5</c:v>
                </c:pt>
                <c:pt idx="770">
                  <c:v>-5.5</c:v>
                </c:pt>
                <c:pt idx="771">
                  <c:v>-5.5</c:v>
                </c:pt>
                <c:pt idx="772">
                  <c:v>-5.5</c:v>
                </c:pt>
                <c:pt idx="773">
                  <c:v>-5.5</c:v>
                </c:pt>
                <c:pt idx="774">
                  <c:v>-5.5</c:v>
                </c:pt>
                <c:pt idx="775">
                  <c:v>-5.5</c:v>
                </c:pt>
                <c:pt idx="776">
                  <c:v>-5.5</c:v>
                </c:pt>
                <c:pt idx="777">
                  <c:v>-5.5</c:v>
                </c:pt>
                <c:pt idx="778">
                  <c:v>-5.5</c:v>
                </c:pt>
                <c:pt idx="779">
                  <c:v>-5.5</c:v>
                </c:pt>
                <c:pt idx="780">
                  <c:v>-5.5</c:v>
                </c:pt>
                <c:pt idx="781">
                  <c:v>-5.5</c:v>
                </c:pt>
                <c:pt idx="782">
                  <c:v>-5.5</c:v>
                </c:pt>
                <c:pt idx="783">
                  <c:v>-5.5</c:v>
                </c:pt>
                <c:pt idx="784">
                  <c:v>-5.5</c:v>
                </c:pt>
                <c:pt idx="785">
                  <c:v>-5.5</c:v>
                </c:pt>
                <c:pt idx="786">
                  <c:v>-5.5</c:v>
                </c:pt>
                <c:pt idx="787">
                  <c:v>-5.5</c:v>
                </c:pt>
                <c:pt idx="788">
                  <c:v>-5.5</c:v>
                </c:pt>
                <c:pt idx="789">
                  <c:v>-5.5</c:v>
                </c:pt>
                <c:pt idx="790">
                  <c:v>-5.5</c:v>
                </c:pt>
                <c:pt idx="791">
                  <c:v>5</c:v>
                </c:pt>
                <c:pt idx="792">
                  <c:v>5</c:v>
                </c:pt>
                <c:pt idx="793">
                  <c:v>5</c:v>
                </c:pt>
                <c:pt idx="794">
                  <c:v>5</c:v>
                </c:pt>
                <c:pt idx="795">
                  <c:v>5</c:v>
                </c:pt>
                <c:pt idx="796">
                  <c:v>5</c:v>
                </c:pt>
                <c:pt idx="797">
                  <c:v>5</c:v>
                </c:pt>
                <c:pt idx="798">
                  <c:v>5</c:v>
                </c:pt>
                <c:pt idx="799">
                  <c:v>5</c:v>
                </c:pt>
                <c:pt idx="800">
                  <c:v>5</c:v>
                </c:pt>
                <c:pt idx="801">
                  <c:v>5</c:v>
                </c:pt>
                <c:pt idx="802">
                  <c:v>5</c:v>
                </c:pt>
                <c:pt idx="803">
                  <c:v>5</c:v>
                </c:pt>
                <c:pt idx="804">
                  <c:v>5</c:v>
                </c:pt>
                <c:pt idx="805">
                  <c:v>5</c:v>
                </c:pt>
                <c:pt idx="806">
                  <c:v>5</c:v>
                </c:pt>
                <c:pt idx="807">
                  <c:v>5</c:v>
                </c:pt>
                <c:pt idx="808">
                  <c:v>5</c:v>
                </c:pt>
                <c:pt idx="809">
                  <c:v>5</c:v>
                </c:pt>
                <c:pt idx="810">
                  <c:v>5</c:v>
                </c:pt>
                <c:pt idx="811">
                  <c:v>5</c:v>
                </c:pt>
                <c:pt idx="812">
                  <c:v>5</c:v>
                </c:pt>
                <c:pt idx="813">
                  <c:v>5</c:v>
                </c:pt>
                <c:pt idx="814">
                  <c:v>5</c:v>
                </c:pt>
                <c:pt idx="815">
                  <c:v>5</c:v>
                </c:pt>
                <c:pt idx="816">
                  <c:v>-5.5</c:v>
                </c:pt>
                <c:pt idx="817">
                  <c:v>-5.5</c:v>
                </c:pt>
                <c:pt idx="818">
                  <c:v>-5.5</c:v>
                </c:pt>
                <c:pt idx="819">
                  <c:v>-5.5</c:v>
                </c:pt>
                <c:pt idx="820">
                  <c:v>-5.5</c:v>
                </c:pt>
                <c:pt idx="821">
                  <c:v>-5.5</c:v>
                </c:pt>
                <c:pt idx="822">
                  <c:v>-5.5</c:v>
                </c:pt>
                <c:pt idx="823">
                  <c:v>-5.5</c:v>
                </c:pt>
                <c:pt idx="824">
                  <c:v>-5.5</c:v>
                </c:pt>
                <c:pt idx="825">
                  <c:v>-5.5</c:v>
                </c:pt>
                <c:pt idx="826">
                  <c:v>-5.5</c:v>
                </c:pt>
                <c:pt idx="827">
                  <c:v>-5.5</c:v>
                </c:pt>
                <c:pt idx="828">
                  <c:v>-5.5</c:v>
                </c:pt>
                <c:pt idx="829">
                  <c:v>-5.5</c:v>
                </c:pt>
                <c:pt idx="830">
                  <c:v>-5.5</c:v>
                </c:pt>
                <c:pt idx="831">
                  <c:v>-5.5</c:v>
                </c:pt>
                <c:pt idx="832">
                  <c:v>-5.5</c:v>
                </c:pt>
                <c:pt idx="833">
                  <c:v>-5.5</c:v>
                </c:pt>
                <c:pt idx="834">
                  <c:v>-5.5</c:v>
                </c:pt>
                <c:pt idx="835">
                  <c:v>-5.5</c:v>
                </c:pt>
                <c:pt idx="836">
                  <c:v>-5.5</c:v>
                </c:pt>
                <c:pt idx="837">
                  <c:v>-5.5</c:v>
                </c:pt>
                <c:pt idx="838">
                  <c:v>-5.5</c:v>
                </c:pt>
                <c:pt idx="839">
                  <c:v>-5.5</c:v>
                </c:pt>
                <c:pt idx="840">
                  <c:v>5</c:v>
                </c:pt>
                <c:pt idx="841">
                  <c:v>5</c:v>
                </c:pt>
                <c:pt idx="842">
                  <c:v>5</c:v>
                </c:pt>
                <c:pt idx="843">
                  <c:v>5</c:v>
                </c:pt>
                <c:pt idx="844">
                  <c:v>5</c:v>
                </c:pt>
                <c:pt idx="845">
                  <c:v>5</c:v>
                </c:pt>
                <c:pt idx="846">
                  <c:v>5</c:v>
                </c:pt>
                <c:pt idx="847">
                  <c:v>5</c:v>
                </c:pt>
                <c:pt idx="848">
                  <c:v>5</c:v>
                </c:pt>
                <c:pt idx="849">
                  <c:v>5</c:v>
                </c:pt>
                <c:pt idx="850">
                  <c:v>5</c:v>
                </c:pt>
                <c:pt idx="851">
                  <c:v>5</c:v>
                </c:pt>
                <c:pt idx="852">
                  <c:v>5</c:v>
                </c:pt>
                <c:pt idx="853">
                  <c:v>5</c:v>
                </c:pt>
                <c:pt idx="854">
                  <c:v>5</c:v>
                </c:pt>
                <c:pt idx="855">
                  <c:v>5</c:v>
                </c:pt>
                <c:pt idx="856">
                  <c:v>5</c:v>
                </c:pt>
                <c:pt idx="857">
                  <c:v>5</c:v>
                </c:pt>
                <c:pt idx="858">
                  <c:v>5</c:v>
                </c:pt>
                <c:pt idx="859">
                  <c:v>5</c:v>
                </c:pt>
                <c:pt idx="860">
                  <c:v>5</c:v>
                </c:pt>
                <c:pt idx="861">
                  <c:v>5</c:v>
                </c:pt>
                <c:pt idx="862">
                  <c:v>5</c:v>
                </c:pt>
                <c:pt idx="863">
                  <c:v>5</c:v>
                </c:pt>
                <c:pt idx="864">
                  <c:v>5</c:v>
                </c:pt>
                <c:pt idx="865">
                  <c:v>-5.5</c:v>
                </c:pt>
                <c:pt idx="866">
                  <c:v>-5.5</c:v>
                </c:pt>
                <c:pt idx="867">
                  <c:v>-5.5</c:v>
                </c:pt>
                <c:pt idx="868">
                  <c:v>-5.5</c:v>
                </c:pt>
                <c:pt idx="869">
                  <c:v>-5.5</c:v>
                </c:pt>
                <c:pt idx="870">
                  <c:v>-5.5</c:v>
                </c:pt>
                <c:pt idx="871">
                  <c:v>-5.5</c:v>
                </c:pt>
                <c:pt idx="872">
                  <c:v>-5.5</c:v>
                </c:pt>
                <c:pt idx="873">
                  <c:v>-5.5</c:v>
                </c:pt>
                <c:pt idx="874">
                  <c:v>-5.5</c:v>
                </c:pt>
                <c:pt idx="875">
                  <c:v>-5.5</c:v>
                </c:pt>
                <c:pt idx="876">
                  <c:v>-5.5</c:v>
                </c:pt>
                <c:pt idx="877">
                  <c:v>-5.5</c:v>
                </c:pt>
                <c:pt idx="878">
                  <c:v>-5.5</c:v>
                </c:pt>
                <c:pt idx="879">
                  <c:v>-5.5</c:v>
                </c:pt>
                <c:pt idx="880">
                  <c:v>-5.5</c:v>
                </c:pt>
                <c:pt idx="881">
                  <c:v>-5.5</c:v>
                </c:pt>
                <c:pt idx="882">
                  <c:v>-5.5</c:v>
                </c:pt>
                <c:pt idx="883">
                  <c:v>-5.5</c:v>
                </c:pt>
                <c:pt idx="884">
                  <c:v>-5.5</c:v>
                </c:pt>
                <c:pt idx="885">
                  <c:v>-5.5</c:v>
                </c:pt>
                <c:pt idx="886">
                  <c:v>-5.5</c:v>
                </c:pt>
                <c:pt idx="887">
                  <c:v>-5.5</c:v>
                </c:pt>
                <c:pt idx="888">
                  <c:v>5</c:v>
                </c:pt>
                <c:pt idx="889">
                  <c:v>5</c:v>
                </c:pt>
                <c:pt idx="890">
                  <c:v>5</c:v>
                </c:pt>
                <c:pt idx="891">
                  <c:v>5</c:v>
                </c:pt>
                <c:pt idx="892">
                  <c:v>5</c:v>
                </c:pt>
                <c:pt idx="893">
                  <c:v>5</c:v>
                </c:pt>
                <c:pt idx="894">
                  <c:v>5</c:v>
                </c:pt>
                <c:pt idx="895">
                  <c:v>5</c:v>
                </c:pt>
                <c:pt idx="896">
                  <c:v>5</c:v>
                </c:pt>
                <c:pt idx="897">
                  <c:v>5</c:v>
                </c:pt>
                <c:pt idx="898">
                  <c:v>5</c:v>
                </c:pt>
                <c:pt idx="899">
                  <c:v>5</c:v>
                </c:pt>
                <c:pt idx="900">
                  <c:v>5</c:v>
                </c:pt>
                <c:pt idx="901">
                  <c:v>5</c:v>
                </c:pt>
                <c:pt idx="902">
                  <c:v>5</c:v>
                </c:pt>
                <c:pt idx="903">
                  <c:v>5</c:v>
                </c:pt>
                <c:pt idx="904">
                  <c:v>5</c:v>
                </c:pt>
                <c:pt idx="905">
                  <c:v>5</c:v>
                </c:pt>
                <c:pt idx="906">
                  <c:v>5</c:v>
                </c:pt>
                <c:pt idx="907">
                  <c:v>5</c:v>
                </c:pt>
                <c:pt idx="908">
                  <c:v>5</c:v>
                </c:pt>
                <c:pt idx="909">
                  <c:v>5</c:v>
                </c:pt>
                <c:pt idx="910">
                  <c:v>5</c:v>
                </c:pt>
                <c:pt idx="911">
                  <c:v>5</c:v>
                </c:pt>
                <c:pt idx="912">
                  <c:v>5</c:v>
                </c:pt>
                <c:pt idx="913">
                  <c:v>-5.5</c:v>
                </c:pt>
                <c:pt idx="914">
                  <c:v>-5.5</c:v>
                </c:pt>
                <c:pt idx="915">
                  <c:v>-5.5</c:v>
                </c:pt>
                <c:pt idx="916">
                  <c:v>-5.5</c:v>
                </c:pt>
                <c:pt idx="917">
                  <c:v>-5.5</c:v>
                </c:pt>
                <c:pt idx="918">
                  <c:v>-5.5</c:v>
                </c:pt>
                <c:pt idx="919">
                  <c:v>-5.5</c:v>
                </c:pt>
                <c:pt idx="920">
                  <c:v>-5.5</c:v>
                </c:pt>
                <c:pt idx="921">
                  <c:v>-5.5</c:v>
                </c:pt>
                <c:pt idx="922">
                  <c:v>-5.5</c:v>
                </c:pt>
                <c:pt idx="923">
                  <c:v>-5.5</c:v>
                </c:pt>
                <c:pt idx="924">
                  <c:v>-5.5</c:v>
                </c:pt>
                <c:pt idx="925">
                  <c:v>-5.5</c:v>
                </c:pt>
                <c:pt idx="926">
                  <c:v>-5.5</c:v>
                </c:pt>
                <c:pt idx="927">
                  <c:v>-5.5</c:v>
                </c:pt>
                <c:pt idx="928">
                  <c:v>-5.5</c:v>
                </c:pt>
                <c:pt idx="929">
                  <c:v>-5.5</c:v>
                </c:pt>
                <c:pt idx="930">
                  <c:v>-5.5</c:v>
                </c:pt>
                <c:pt idx="931">
                  <c:v>-5.5</c:v>
                </c:pt>
                <c:pt idx="932">
                  <c:v>-5.5</c:v>
                </c:pt>
                <c:pt idx="933">
                  <c:v>-5.5</c:v>
                </c:pt>
                <c:pt idx="934">
                  <c:v>-5.5</c:v>
                </c:pt>
                <c:pt idx="935">
                  <c:v>-5.5</c:v>
                </c:pt>
                <c:pt idx="936">
                  <c:v>-5.5</c:v>
                </c:pt>
                <c:pt idx="937">
                  <c:v>5</c:v>
                </c:pt>
                <c:pt idx="938">
                  <c:v>5</c:v>
                </c:pt>
                <c:pt idx="939">
                  <c:v>5</c:v>
                </c:pt>
                <c:pt idx="940">
                  <c:v>5</c:v>
                </c:pt>
                <c:pt idx="941">
                  <c:v>5</c:v>
                </c:pt>
                <c:pt idx="942">
                  <c:v>5</c:v>
                </c:pt>
                <c:pt idx="943">
                  <c:v>5</c:v>
                </c:pt>
                <c:pt idx="944">
                  <c:v>5</c:v>
                </c:pt>
                <c:pt idx="945">
                  <c:v>5</c:v>
                </c:pt>
                <c:pt idx="946">
                  <c:v>5</c:v>
                </c:pt>
                <c:pt idx="947">
                  <c:v>5</c:v>
                </c:pt>
                <c:pt idx="948">
                  <c:v>5</c:v>
                </c:pt>
                <c:pt idx="949">
                  <c:v>5</c:v>
                </c:pt>
                <c:pt idx="950">
                  <c:v>5</c:v>
                </c:pt>
                <c:pt idx="951">
                  <c:v>5</c:v>
                </c:pt>
                <c:pt idx="952">
                  <c:v>5</c:v>
                </c:pt>
                <c:pt idx="953">
                  <c:v>5</c:v>
                </c:pt>
                <c:pt idx="954">
                  <c:v>5</c:v>
                </c:pt>
                <c:pt idx="955">
                  <c:v>5</c:v>
                </c:pt>
                <c:pt idx="956">
                  <c:v>5</c:v>
                </c:pt>
                <c:pt idx="957">
                  <c:v>5</c:v>
                </c:pt>
                <c:pt idx="958">
                  <c:v>5</c:v>
                </c:pt>
                <c:pt idx="959">
                  <c:v>5</c:v>
                </c:pt>
                <c:pt idx="960">
                  <c:v>5</c:v>
                </c:pt>
                <c:pt idx="961">
                  <c:v>5</c:v>
                </c:pt>
                <c:pt idx="962">
                  <c:v>-5.5</c:v>
                </c:pt>
                <c:pt idx="963">
                  <c:v>-5.5</c:v>
                </c:pt>
                <c:pt idx="964">
                  <c:v>-5.5</c:v>
                </c:pt>
                <c:pt idx="965">
                  <c:v>-5.5</c:v>
                </c:pt>
                <c:pt idx="966">
                  <c:v>-5.5</c:v>
                </c:pt>
                <c:pt idx="967">
                  <c:v>-5.5</c:v>
                </c:pt>
                <c:pt idx="968">
                  <c:v>-5.5</c:v>
                </c:pt>
                <c:pt idx="969">
                  <c:v>-5.5</c:v>
                </c:pt>
                <c:pt idx="970">
                  <c:v>-5.5</c:v>
                </c:pt>
                <c:pt idx="971">
                  <c:v>-5.5</c:v>
                </c:pt>
                <c:pt idx="972">
                  <c:v>-5.5</c:v>
                </c:pt>
                <c:pt idx="973">
                  <c:v>-5.5</c:v>
                </c:pt>
                <c:pt idx="974">
                  <c:v>-5.5</c:v>
                </c:pt>
                <c:pt idx="975">
                  <c:v>-5.5</c:v>
                </c:pt>
                <c:pt idx="976">
                  <c:v>-5.5</c:v>
                </c:pt>
                <c:pt idx="977">
                  <c:v>-5.5</c:v>
                </c:pt>
                <c:pt idx="978">
                  <c:v>-5.5</c:v>
                </c:pt>
                <c:pt idx="979">
                  <c:v>-5.5</c:v>
                </c:pt>
                <c:pt idx="980">
                  <c:v>-5.5</c:v>
                </c:pt>
                <c:pt idx="981">
                  <c:v>-5.5</c:v>
                </c:pt>
                <c:pt idx="982">
                  <c:v>-5.5</c:v>
                </c:pt>
                <c:pt idx="983">
                  <c:v>-5.5</c:v>
                </c:pt>
                <c:pt idx="984">
                  <c:v>-5.5</c:v>
                </c:pt>
                <c:pt idx="985">
                  <c:v>5</c:v>
                </c:pt>
                <c:pt idx="986">
                  <c:v>5</c:v>
                </c:pt>
                <c:pt idx="987">
                  <c:v>5</c:v>
                </c:pt>
                <c:pt idx="988">
                  <c:v>5</c:v>
                </c:pt>
                <c:pt idx="989">
                  <c:v>5</c:v>
                </c:pt>
                <c:pt idx="990">
                  <c:v>5</c:v>
                </c:pt>
                <c:pt idx="991">
                  <c:v>5</c:v>
                </c:pt>
                <c:pt idx="992">
                  <c:v>5</c:v>
                </c:pt>
                <c:pt idx="993">
                  <c:v>5</c:v>
                </c:pt>
                <c:pt idx="994">
                  <c:v>5</c:v>
                </c:pt>
                <c:pt idx="995">
                  <c:v>5</c:v>
                </c:pt>
                <c:pt idx="996">
                  <c:v>5</c:v>
                </c:pt>
                <c:pt idx="997">
                  <c:v>5</c:v>
                </c:pt>
                <c:pt idx="998">
                  <c:v>5</c:v>
                </c:pt>
                <c:pt idx="999">
                  <c:v>5</c:v>
                </c:pt>
                <c:pt idx="1000">
                  <c:v>5</c:v>
                </c:pt>
                <c:pt idx="1001">
                  <c:v>5</c:v>
                </c:pt>
                <c:pt idx="1002">
                  <c:v>5</c:v>
                </c:pt>
                <c:pt idx="1003">
                  <c:v>5</c:v>
                </c:pt>
                <c:pt idx="1004">
                  <c:v>5</c:v>
                </c:pt>
                <c:pt idx="1005">
                  <c:v>5</c:v>
                </c:pt>
                <c:pt idx="1006">
                  <c:v>5</c:v>
                </c:pt>
                <c:pt idx="1007">
                  <c:v>5</c:v>
                </c:pt>
                <c:pt idx="1008">
                  <c:v>5</c:v>
                </c:pt>
                <c:pt idx="1009">
                  <c:v>5</c:v>
                </c:pt>
                <c:pt idx="1010">
                  <c:v>5</c:v>
                </c:pt>
                <c:pt idx="1011">
                  <c:v>-5.5</c:v>
                </c:pt>
                <c:pt idx="1012">
                  <c:v>-5.5</c:v>
                </c:pt>
                <c:pt idx="1013">
                  <c:v>-5.5</c:v>
                </c:pt>
                <c:pt idx="1014">
                  <c:v>-5.5</c:v>
                </c:pt>
                <c:pt idx="1015">
                  <c:v>-5.5</c:v>
                </c:pt>
                <c:pt idx="1016">
                  <c:v>-5.5</c:v>
                </c:pt>
                <c:pt idx="1017">
                  <c:v>-5.5</c:v>
                </c:pt>
                <c:pt idx="1018">
                  <c:v>-5.5</c:v>
                </c:pt>
                <c:pt idx="1019">
                  <c:v>-5.5</c:v>
                </c:pt>
                <c:pt idx="1020">
                  <c:v>-5.5</c:v>
                </c:pt>
                <c:pt idx="1021">
                  <c:v>-5.5</c:v>
                </c:pt>
                <c:pt idx="1022">
                  <c:v>-5.5</c:v>
                </c:pt>
                <c:pt idx="1023">
                  <c:v>-5.5</c:v>
                </c:pt>
                <c:pt idx="1024">
                  <c:v>-5.5</c:v>
                </c:pt>
                <c:pt idx="1025">
                  <c:v>-5.5</c:v>
                </c:pt>
                <c:pt idx="1026">
                  <c:v>-5.5</c:v>
                </c:pt>
                <c:pt idx="1027">
                  <c:v>-5.5</c:v>
                </c:pt>
                <c:pt idx="1028">
                  <c:v>-5.5</c:v>
                </c:pt>
                <c:pt idx="1029">
                  <c:v>-5.5</c:v>
                </c:pt>
                <c:pt idx="1030">
                  <c:v>-5.5</c:v>
                </c:pt>
                <c:pt idx="1031">
                  <c:v>-5.5</c:v>
                </c:pt>
                <c:pt idx="1032">
                  <c:v>-5.5</c:v>
                </c:pt>
                <c:pt idx="1033">
                  <c:v>-5.5</c:v>
                </c:pt>
                <c:pt idx="1034">
                  <c:v>5</c:v>
                </c:pt>
                <c:pt idx="1035">
                  <c:v>5</c:v>
                </c:pt>
                <c:pt idx="1036">
                  <c:v>5</c:v>
                </c:pt>
                <c:pt idx="1037">
                  <c:v>5</c:v>
                </c:pt>
                <c:pt idx="1038">
                  <c:v>5</c:v>
                </c:pt>
                <c:pt idx="1039">
                  <c:v>5</c:v>
                </c:pt>
                <c:pt idx="1040">
                  <c:v>5</c:v>
                </c:pt>
                <c:pt idx="1041">
                  <c:v>5</c:v>
                </c:pt>
                <c:pt idx="1042">
                  <c:v>5</c:v>
                </c:pt>
                <c:pt idx="1043">
                  <c:v>5</c:v>
                </c:pt>
                <c:pt idx="1044">
                  <c:v>5</c:v>
                </c:pt>
                <c:pt idx="1045">
                  <c:v>5</c:v>
                </c:pt>
                <c:pt idx="1046">
                  <c:v>5</c:v>
                </c:pt>
                <c:pt idx="1047">
                  <c:v>5</c:v>
                </c:pt>
                <c:pt idx="1048">
                  <c:v>5</c:v>
                </c:pt>
                <c:pt idx="1049">
                  <c:v>5</c:v>
                </c:pt>
                <c:pt idx="1050">
                  <c:v>5</c:v>
                </c:pt>
                <c:pt idx="1051">
                  <c:v>5</c:v>
                </c:pt>
                <c:pt idx="1052">
                  <c:v>5</c:v>
                </c:pt>
                <c:pt idx="1053">
                  <c:v>5</c:v>
                </c:pt>
                <c:pt idx="1054">
                  <c:v>5</c:v>
                </c:pt>
                <c:pt idx="1055">
                  <c:v>5</c:v>
                </c:pt>
                <c:pt idx="1056">
                  <c:v>5</c:v>
                </c:pt>
                <c:pt idx="1057">
                  <c:v>5</c:v>
                </c:pt>
                <c:pt idx="1058">
                  <c:v>5</c:v>
                </c:pt>
                <c:pt idx="1059">
                  <c:v>-5.5</c:v>
                </c:pt>
                <c:pt idx="1060">
                  <c:v>-5.5</c:v>
                </c:pt>
                <c:pt idx="1061">
                  <c:v>-5.5</c:v>
                </c:pt>
                <c:pt idx="1062">
                  <c:v>-5.5</c:v>
                </c:pt>
                <c:pt idx="1063">
                  <c:v>-5.5</c:v>
                </c:pt>
                <c:pt idx="1064">
                  <c:v>-5.5</c:v>
                </c:pt>
                <c:pt idx="1065">
                  <c:v>-5.5</c:v>
                </c:pt>
                <c:pt idx="1066">
                  <c:v>-5.5</c:v>
                </c:pt>
                <c:pt idx="1067">
                  <c:v>-5.5</c:v>
                </c:pt>
                <c:pt idx="1068">
                  <c:v>-5.5</c:v>
                </c:pt>
                <c:pt idx="1069">
                  <c:v>-5.5</c:v>
                </c:pt>
                <c:pt idx="1070">
                  <c:v>-5.5</c:v>
                </c:pt>
                <c:pt idx="1071">
                  <c:v>-5.5</c:v>
                </c:pt>
                <c:pt idx="1072">
                  <c:v>-5.5</c:v>
                </c:pt>
                <c:pt idx="1073">
                  <c:v>-5.5</c:v>
                </c:pt>
                <c:pt idx="1074">
                  <c:v>-5.5</c:v>
                </c:pt>
                <c:pt idx="1075">
                  <c:v>-5.5</c:v>
                </c:pt>
                <c:pt idx="1076">
                  <c:v>-5.5</c:v>
                </c:pt>
                <c:pt idx="1077">
                  <c:v>-5.5</c:v>
                </c:pt>
                <c:pt idx="1078">
                  <c:v>-5.5</c:v>
                </c:pt>
                <c:pt idx="1079">
                  <c:v>-5.5</c:v>
                </c:pt>
                <c:pt idx="1080">
                  <c:v>-5.5</c:v>
                </c:pt>
                <c:pt idx="1081">
                  <c:v>-5.5</c:v>
                </c:pt>
                <c:pt idx="1082">
                  <c:v>5</c:v>
                </c:pt>
                <c:pt idx="1083">
                  <c:v>5</c:v>
                </c:pt>
                <c:pt idx="1084">
                  <c:v>5</c:v>
                </c:pt>
                <c:pt idx="1085">
                  <c:v>5</c:v>
                </c:pt>
                <c:pt idx="1086">
                  <c:v>5</c:v>
                </c:pt>
                <c:pt idx="1087">
                  <c:v>5</c:v>
                </c:pt>
                <c:pt idx="1088">
                  <c:v>5</c:v>
                </c:pt>
                <c:pt idx="1089">
                  <c:v>5</c:v>
                </c:pt>
                <c:pt idx="1090">
                  <c:v>5</c:v>
                </c:pt>
                <c:pt idx="1091">
                  <c:v>5</c:v>
                </c:pt>
                <c:pt idx="1092">
                  <c:v>5</c:v>
                </c:pt>
                <c:pt idx="1093">
                  <c:v>5</c:v>
                </c:pt>
                <c:pt idx="1094">
                  <c:v>5</c:v>
                </c:pt>
                <c:pt idx="1095">
                  <c:v>5</c:v>
                </c:pt>
                <c:pt idx="1096">
                  <c:v>5</c:v>
                </c:pt>
                <c:pt idx="1097">
                  <c:v>5</c:v>
                </c:pt>
                <c:pt idx="1098">
                  <c:v>5</c:v>
                </c:pt>
                <c:pt idx="1099">
                  <c:v>5</c:v>
                </c:pt>
                <c:pt idx="1100">
                  <c:v>5</c:v>
                </c:pt>
                <c:pt idx="1101">
                  <c:v>5</c:v>
                </c:pt>
                <c:pt idx="1102">
                  <c:v>5</c:v>
                </c:pt>
                <c:pt idx="1103">
                  <c:v>5</c:v>
                </c:pt>
                <c:pt idx="1104">
                  <c:v>5</c:v>
                </c:pt>
                <c:pt idx="1105">
                  <c:v>5</c:v>
                </c:pt>
                <c:pt idx="1106">
                  <c:v>5</c:v>
                </c:pt>
                <c:pt idx="1107">
                  <c:v>5</c:v>
                </c:pt>
                <c:pt idx="1108">
                  <c:v>-5.5</c:v>
                </c:pt>
                <c:pt idx="1109">
                  <c:v>-5.5</c:v>
                </c:pt>
                <c:pt idx="1110">
                  <c:v>-5.5</c:v>
                </c:pt>
                <c:pt idx="1111">
                  <c:v>-5.5</c:v>
                </c:pt>
                <c:pt idx="1112">
                  <c:v>-5.5</c:v>
                </c:pt>
                <c:pt idx="1113">
                  <c:v>-5.5</c:v>
                </c:pt>
                <c:pt idx="1114">
                  <c:v>-5.5</c:v>
                </c:pt>
                <c:pt idx="1115">
                  <c:v>-5.5</c:v>
                </c:pt>
                <c:pt idx="1116">
                  <c:v>-5.5</c:v>
                </c:pt>
                <c:pt idx="1117">
                  <c:v>-5.5</c:v>
                </c:pt>
                <c:pt idx="1118">
                  <c:v>-5.5</c:v>
                </c:pt>
                <c:pt idx="1119">
                  <c:v>-5.5</c:v>
                </c:pt>
                <c:pt idx="1120">
                  <c:v>-5.5</c:v>
                </c:pt>
                <c:pt idx="1121">
                  <c:v>-5.5</c:v>
                </c:pt>
                <c:pt idx="1122">
                  <c:v>-5.5</c:v>
                </c:pt>
                <c:pt idx="1123">
                  <c:v>-5.5</c:v>
                </c:pt>
                <c:pt idx="1124">
                  <c:v>-5.5</c:v>
                </c:pt>
                <c:pt idx="1125">
                  <c:v>-5.5</c:v>
                </c:pt>
                <c:pt idx="1126">
                  <c:v>-5.5</c:v>
                </c:pt>
                <c:pt idx="1127">
                  <c:v>-5.5</c:v>
                </c:pt>
                <c:pt idx="1128">
                  <c:v>-5.5</c:v>
                </c:pt>
                <c:pt idx="1129">
                  <c:v>-5.5</c:v>
                </c:pt>
                <c:pt idx="1130">
                  <c:v>-5.5</c:v>
                </c:pt>
                <c:pt idx="1131">
                  <c:v>-5.5</c:v>
                </c:pt>
                <c:pt idx="1132">
                  <c:v>-5.5</c:v>
                </c:pt>
                <c:pt idx="1133">
                  <c:v>-5.5</c:v>
                </c:pt>
                <c:pt idx="1134">
                  <c:v>-5.5</c:v>
                </c:pt>
                <c:pt idx="1135">
                  <c:v>-5.5</c:v>
                </c:pt>
                <c:pt idx="1136">
                  <c:v>-5.5</c:v>
                </c:pt>
                <c:pt idx="1137">
                  <c:v>-5.5</c:v>
                </c:pt>
                <c:pt idx="1138">
                  <c:v>-5.5</c:v>
                </c:pt>
                <c:pt idx="1139">
                  <c:v>-5.5</c:v>
                </c:pt>
                <c:pt idx="1140">
                  <c:v>-5.5</c:v>
                </c:pt>
                <c:pt idx="1141">
                  <c:v>-5.5</c:v>
                </c:pt>
                <c:pt idx="1142">
                  <c:v>-5.5</c:v>
                </c:pt>
                <c:pt idx="1143">
                  <c:v>-5.5</c:v>
                </c:pt>
                <c:pt idx="1144">
                  <c:v>-5.5</c:v>
                </c:pt>
                <c:pt idx="1145">
                  <c:v>-5.5</c:v>
                </c:pt>
                <c:pt idx="1146">
                  <c:v>-5.5</c:v>
                </c:pt>
                <c:pt idx="1147">
                  <c:v>-5.5</c:v>
                </c:pt>
                <c:pt idx="1148">
                  <c:v>-5.5</c:v>
                </c:pt>
                <c:pt idx="1149">
                  <c:v>-5.5</c:v>
                </c:pt>
                <c:pt idx="1150">
                  <c:v>-5.5</c:v>
                </c:pt>
                <c:pt idx="1151">
                  <c:v>-5.5</c:v>
                </c:pt>
                <c:pt idx="1152">
                  <c:v>-5.5</c:v>
                </c:pt>
                <c:pt idx="1153">
                  <c:v>-5.5</c:v>
                </c:pt>
                <c:pt idx="1154">
                  <c:v>-5.5</c:v>
                </c:pt>
                <c:pt idx="1155">
                  <c:v>-5.5</c:v>
                </c:pt>
                <c:pt idx="1156">
                  <c:v>-5.5</c:v>
                </c:pt>
                <c:pt idx="1157">
                  <c:v>-5.5</c:v>
                </c:pt>
                <c:pt idx="1158">
                  <c:v>-5.5</c:v>
                </c:pt>
                <c:pt idx="1159">
                  <c:v>-5.5</c:v>
                </c:pt>
                <c:pt idx="1160">
                  <c:v>-5.5</c:v>
                </c:pt>
                <c:pt idx="1161">
                  <c:v>-5.5</c:v>
                </c:pt>
                <c:pt idx="1162">
                  <c:v>-5.5</c:v>
                </c:pt>
                <c:pt idx="1163">
                  <c:v>-5.5</c:v>
                </c:pt>
                <c:pt idx="1164">
                  <c:v>-5.5</c:v>
                </c:pt>
                <c:pt idx="1165">
                  <c:v>-5.5</c:v>
                </c:pt>
                <c:pt idx="1166">
                  <c:v>-5.5</c:v>
                </c:pt>
                <c:pt idx="1167">
                  <c:v>-5.5</c:v>
                </c:pt>
                <c:pt idx="1168">
                  <c:v>-5.5</c:v>
                </c:pt>
                <c:pt idx="1169">
                  <c:v>-5.5</c:v>
                </c:pt>
                <c:pt idx="1170">
                  <c:v>-5.5</c:v>
                </c:pt>
                <c:pt idx="1171">
                  <c:v>-5.5</c:v>
                </c:pt>
                <c:pt idx="1172">
                  <c:v>-5.5</c:v>
                </c:pt>
                <c:pt idx="1173">
                  <c:v>-5.5</c:v>
                </c:pt>
                <c:pt idx="1174">
                  <c:v>-5.5</c:v>
                </c:pt>
                <c:pt idx="1175">
                  <c:v>-5.5</c:v>
                </c:pt>
                <c:pt idx="1176">
                  <c:v>-5.5</c:v>
                </c:pt>
                <c:pt idx="1177">
                  <c:v>-5.5</c:v>
                </c:pt>
                <c:pt idx="1178">
                  <c:v>-5.5</c:v>
                </c:pt>
                <c:pt idx="1179">
                  <c:v>-5.5</c:v>
                </c:pt>
                <c:pt idx="1180">
                  <c:v>-5.5</c:v>
                </c:pt>
                <c:pt idx="1181">
                  <c:v>-5.5</c:v>
                </c:pt>
                <c:pt idx="1182">
                  <c:v>-5.5</c:v>
                </c:pt>
                <c:pt idx="1183">
                  <c:v>-5.5</c:v>
                </c:pt>
                <c:pt idx="1184">
                  <c:v>-5.5</c:v>
                </c:pt>
                <c:pt idx="1185">
                  <c:v>-5.5</c:v>
                </c:pt>
                <c:pt idx="1186">
                  <c:v>-5.5</c:v>
                </c:pt>
                <c:pt idx="1187">
                  <c:v>-5.5</c:v>
                </c:pt>
                <c:pt idx="1188">
                  <c:v>-5.5</c:v>
                </c:pt>
                <c:pt idx="1189">
                  <c:v>-5.5</c:v>
                </c:pt>
                <c:pt idx="1190">
                  <c:v>-5.5</c:v>
                </c:pt>
                <c:pt idx="1191">
                  <c:v>-5.5</c:v>
                </c:pt>
                <c:pt idx="1192">
                  <c:v>-5.5</c:v>
                </c:pt>
                <c:pt idx="1193">
                  <c:v>-5.5</c:v>
                </c:pt>
                <c:pt idx="1194">
                  <c:v>-5.5</c:v>
                </c:pt>
                <c:pt idx="1195">
                  <c:v>-5.5</c:v>
                </c:pt>
                <c:pt idx="1196">
                  <c:v>-5.5</c:v>
                </c:pt>
                <c:pt idx="1197">
                  <c:v>-5.5</c:v>
                </c:pt>
                <c:pt idx="1198">
                  <c:v>-5.5</c:v>
                </c:pt>
                <c:pt idx="1199">
                  <c:v>-5.5</c:v>
                </c:pt>
                <c:pt idx="1200">
                  <c:v>-5.5</c:v>
                </c:pt>
                <c:pt idx="1201">
                  <c:v>-5.5</c:v>
                </c:pt>
                <c:pt idx="1202">
                  <c:v>-5.5</c:v>
                </c:pt>
                <c:pt idx="1203">
                  <c:v>-5.5</c:v>
                </c:pt>
                <c:pt idx="1204">
                  <c:v>-5.5</c:v>
                </c:pt>
                <c:pt idx="1205">
                  <c:v>-5.5</c:v>
                </c:pt>
                <c:pt idx="1206">
                  <c:v>-5.5</c:v>
                </c:pt>
                <c:pt idx="1207">
                  <c:v>-5.5</c:v>
                </c:pt>
                <c:pt idx="1208">
                  <c:v>-5.5</c:v>
                </c:pt>
                <c:pt idx="1209">
                  <c:v>-5.5</c:v>
                </c:pt>
                <c:pt idx="1210">
                  <c:v>-5.5</c:v>
                </c:pt>
                <c:pt idx="1211">
                  <c:v>-5.5</c:v>
                </c:pt>
                <c:pt idx="1212">
                  <c:v>-5.5</c:v>
                </c:pt>
                <c:pt idx="1213">
                  <c:v>-5.5</c:v>
                </c:pt>
                <c:pt idx="1214">
                  <c:v>-5.5</c:v>
                </c:pt>
                <c:pt idx="1215">
                  <c:v>-5.5</c:v>
                </c:pt>
                <c:pt idx="1216">
                  <c:v>-5.5</c:v>
                </c:pt>
                <c:pt idx="1217">
                  <c:v>-5.5</c:v>
                </c:pt>
                <c:pt idx="1218">
                  <c:v>-5.5</c:v>
                </c:pt>
                <c:pt idx="1219">
                  <c:v>-5.5</c:v>
                </c:pt>
                <c:pt idx="1220">
                  <c:v>-5.5</c:v>
                </c:pt>
                <c:pt idx="1221">
                  <c:v>-5.5</c:v>
                </c:pt>
                <c:pt idx="1222">
                  <c:v>-5.5</c:v>
                </c:pt>
                <c:pt idx="1223">
                  <c:v>-5.5</c:v>
                </c:pt>
                <c:pt idx="1224">
                  <c:v>-5.5</c:v>
                </c:pt>
                <c:pt idx="1225">
                  <c:v>-5.5</c:v>
                </c:pt>
                <c:pt idx="1226">
                  <c:v>-5.5</c:v>
                </c:pt>
                <c:pt idx="1227">
                  <c:v>-5.5</c:v>
                </c:pt>
                <c:pt idx="1228">
                  <c:v>-5.5</c:v>
                </c:pt>
                <c:pt idx="1229">
                  <c:v>-5.5</c:v>
                </c:pt>
                <c:pt idx="1230">
                  <c:v>-5.5</c:v>
                </c:pt>
                <c:pt idx="1231">
                  <c:v>-5.5</c:v>
                </c:pt>
                <c:pt idx="1232">
                  <c:v>-5.5</c:v>
                </c:pt>
                <c:pt idx="1233">
                  <c:v>-5.5</c:v>
                </c:pt>
                <c:pt idx="1234">
                  <c:v>-5.5</c:v>
                </c:pt>
                <c:pt idx="1235">
                  <c:v>-5.5</c:v>
                </c:pt>
                <c:pt idx="1236">
                  <c:v>-5.5</c:v>
                </c:pt>
                <c:pt idx="1237">
                  <c:v>-5.5</c:v>
                </c:pt>
                <c:pt idx="1238">
                  <c:v>-5.5</c:v>
                </c:pt>
                <c:pt idx="1239">
                  <c:v>-5.5</c:v>
                </c:pt>
                <c:pt idx="1240">
                  <c:v>-5.5</c:v>
                </c:pt>
                <c:pt idx="1241">
                  <c:v>-5.5</c:v>
                </c:pt>
                <c:pt idx="1242">
                  <c:v>-5.5</c:v>
                </c:pt>
                <c:pt idx="1243">
                  <c:v>-5.5</c:v>
                </c:pt>
                <c:pt idx="1244">
                  <c:v>-5.5</c:v>
                </c:pt>
                <c:pt idx="1245">
                  <c:v>-5.5</c:v>
                </c:pt>
                <c:pt idx="1246">
                  <c:v>-5.5</c:v>
                </c:pt>
                <c:pt idx="1247">
                  <c:v>-5.5</c:v>
                </c:pt>
                <c:pt idx="1248">
                  <c:v>-5.5</c:v>
                </c:pt>
                <c:pt idx="1249">
                  <c:v>-5.5</c:v>
                </c:pt>
                <c:pt idx="1250">
                  <c:v>-5.5</c:v>
                </c:pt>
                <c:pt idx="1251">
                  <c:v>-5.5</c:v>
                </c:pt>
                <c:pt idx="1252">
                  <c:v>-5.5</c:v>
                </c:pt>
                <c:pt idx="1253">
                  <c:v>-5.5</c:v>
                </c:pt>
                <c:pt idx="1254">
                  <c:v>-5.5</c:v>
                </c:pt>
                <c:pt idx="1255">
                  <c:v>-5.5</c:v>
                </c:pt>
                <c:pt idx="1256">
                  <c:v>-5.5</c:v>
                </c:pt>
                <c:pt idx="1257">
                  <c:v>-5.5</c:v>
                </c:pt>
                <c:pt idx="1258">
                  <c:v>-5.5</c:v>
                </c:pt>
                <c:pt idx="1259">
                  <c:v>-5.5</c:v>
                </c:pt>
                <c:pt idx="1260">
                  <c:v>-5.5</c:v>
                </c:pt>
                <c:pt idx="1261">
                  <c:v>-5.5</c:v>
                </c:pt>
                <c:pt idx="1262">
                  <c:v>-5.5</c:v>
                </c:pt>
                <c:pt idx="1263">
                  <c:v>-5.5</c:v>
                </c:pt>
                <c:pt idx="1264">
                  <c:v>-5.5</c:v>
                </c:pt>
                <c:pt idx="1265">
                  <c:v>-5.5</c:v>
                </c:pt>
                <c:pt idx="1266">
                  <c:v>-5.5</c:v>
                </c:pt>
                <c:pt idx="1267">
                  <c:v>-5.5</c:v>
                </c:pt>
                <c:pt idx="1268">
                  <c:v>-5.5</c:v>
                </c:pt>
                <c:pt idx="1269">
                  <c:v>-5.5</c:v>
                </c:pt>
                <c:pt idx="1270">
                  <c:v>-5.5</c:v>
                </c:pt>
                <c:pt idx="1271">
                  <c:v>-5.5</c:v>
                </c:pt>
                <c:pt idx="1272">
                  <c:v>-5.5</c:v>
                </c:pt>
                <c:pt idx="1273">
                  <c:v>-5.5</c:v>
                </c:pt>
                <c:pt idx="1274">
                  <c:v>-5.5</c:v>
                </c:pt>
                <c:pt idx="1275">
                  <c:v>-5.5</c:v>
                </c:pt>
                <c:pt idx="1276">
                  <c:v>-5.5</c:v>
                </c:pt>
                <c:pt idx="1277">
                  <c:v>-5.5</c:v>
                </c:pt>
                <c:pt idx="1278">
                  <c:v>-5.5</c:v>
                </c:pt>
                <c:pt idx="1279">
                  <c:v>-5.5</c:v>
                </c:pt>
                <c:pt idx="1280">
                  <c:v>-5.5</c:v>
                </c:pt>
                <c:pt idx="1281">
                  <c:v>-5.5</c:v>
                </c:pt>
                <c:pt idx="1282">
                  <c:v>-5.5</c:v>
                </c:pt>
                <c:pt idx="1283">
                  <c:v>-5.5</c:v>
                </c:pt>
                <c:pt idx="1284">
                  <c:v>-5.5</c:v>
                </c:pt>
                <c:pt idx="1285">
                  <c:v>-5.5</c:v>
                </c:pt>
                <c:pt idx="1286">
                  <c:v>-5.5</c:v>
                </c:pt>
                <c:pt idx="1287">
                  <c:v>-5.5</c:v>
                </c:pt>
                <c:pt idx="1288">
                  <c:v>-5.5</c:v>
                </c:pt>
                <c:pt idx="1289">
                  <c:v>-5.5</c:v>
                </c:pt>
                <c:pt idx="1290">
                  <c:v>-5.5</c:v>
                </c:pt>
                <c:pt idx="1291">
                  <c:v>-5.5</c:v>
                </c:pt>
                <c:pt idx="1292">
                  <c:v>-5.5</c:v>
                </c:pt>
                <c:pt idx="1293">
                  <c:v>-5.5</c:v>
                </c:pt>
                <c:pt idx="1294">
                  <c:v>-5.5</c:v>
                </c:pt>
                <c:pt idx="1295">
                  <c:v>-5.5</c:v>
                </c:pt>
                <c:pt idx="1296">
                  <c:v>-5.5</c:v>
                </c:pt>
                <c:pt idx="1297">
                  <c:v>-5.5</c:v>
                </c:pt>
                <c:pt idx="1298">
                  <c:v>-5.5</c:v>
                </c:pt>
                <c:pt idx="1299">
                  <c:v>-5.5</c:v>
                </c:pt>
                <c:pt idx="1300">
                  <c:v>-5.5</c:v>
                </c:pt>
                <c:pt idx="1301">
                  <c:v>-5.5</c:v>
                </c:pt>
                <c:pt idx="1302">
                  <c:v>-5.5</c:v>
                </c:pt>
                <c:pt idx="1303">
                  <c:v>-5.5</c:v>
                </c:pt>
                <c:pt idx="1304">
                  <c:v>-5.5</c:v>
                </c:pt>
                <c:pt idx="1305">
                  <c:v>-5.5</c:v>
                </c:pt>
                <c:pt idx="1306">
                  <c:v>-5.5</c:v>
                </c:pt>
                <c:pt idx="1307">
                  <c:v>-5.5</c:v>
                </c:pt>
                <c:pt idx="1308">
                  <c:v>-5.5</c:v>
                </c:pt>
                <c:pt idx="1309">
                  <c:v>-5.5</c:v>
                </c:pt>
                <c:pt idx="1310">
                  <c:v>-5.5</c:v>
                </c:pt>
                <c:pt idx="1311">
                  <c:v>-5.5</c:v>
                </c:pt>
                <c:pt idx="1312">
                  <c:v>-5.5</c:v>
                </c:pt>
                <c:pt idx="1313">
                  <c:v>-5.5</c:v>
                </c:pt>
                <c:pt idx="1314">
                  <c:v>-5.5</c:v>
                </c:pt>
                <c:pt idx="1315">
                  <c:v>-5.5</c:v>
                </c:pt>
                <c:pt idx="1316">
                  <c:v>-5.5</c:v>
                </c:pt>
                <c:pt idx="1317">
                  <c:v>-5.5</c:v>
                </c:pt>
                <c:pt idx="1318">
                  <c:v>-5.5</c:v>
                </c:pt>
                <c:pt idx="1319">
                  <c:v>-5.5</c:v>
                </c:pt>
                <c:pt idx="1320">
                  <c:v>-5.5</c:v>
                </c:pt>
                <c:pt idx="1321">
                  <c:v>-5.5</c:v>
                </c:pt>
                <c:pt idx="1322">
                  <c:v>-5.5</c:v>
                </c:pt>
                <c:pt idx="1323">
                  <c:v>-5.5</c:v>
                </c:pt>
                <c:pt idx="1324">
                  <c:v>-5.5</c:v>
                </c:pt>
                <c:pt idx="1325">
                  <c:v>-5.5</c:v>
                </c:pt>
                <c:pt idx="1326">
                  <c:v>-5.5</c:v>
                </c:pt>
                <c:pt idx="1327">
                  <c:v>-5.5</c:v>
                </c:pt>
                <c:pt idx="1328">
                  <c:v>-5.5</c:v>
                </c:pt>
                <c:pt idx="1329">
                  <c:v>-5.5</c:v>
                </c:pt>
                <c:pt idx="1330">
                  <c:v>-5.5</c:v>
                </c:pt>
                <c:pt idx="1331">
                  <c:v>-5.5</c:v>
                </c:pt>
                <c:pt idx="1332">
                  <c:v>-5.5</c:v>
                </c:pt>
                <c:pt idx="1333">
                  <c:v>-5.5</c:v>
                </c:pt>
                <c:pt idx="1334">
                  <c:v>-5.5</c:v>
                </c:pt>
                <c:pt idx="1335">
                  <c:v>-5.5</c:v>
                </c:pt>
                <c:pt idx="1336">
                  <c:v>-5.5</c:v>
                </c:pt>
                <c:pt idx="1337">
                  <c:v>-5.5</c:v>
                </c:pt>
                <c:pt idx="1338">
                  <c:v>-5.5</c:v>
                </c:pt>
                <c:pt idx="1339">
                  <c:v>-5.5</c:v>
                </c:pt>
                <c:pt idx="1340">
                  <c:v>-5.5</c:v>
                </c:pt>
                <c:pt idx="1341">
                  <c:v>-5.5</c:v>
                </c:pt>
                <c:pt idx="1342">
                  <c:v>-5.5</c:v>
                </c:pt>
                <c:pt idx="1343">
                  <c:v>-5.5</c:v>
                </c:pt>
                <c:pt idx="1344">
                  <c:v>-5.5</c:v>
                </c:pt>
                <c:pt idx="1345">
                  <c:v>-5.5</c:v>
                </c:pt>
                <c:pt idx="1346">
                  <c:v>-5.5</c:v>
                </c:pt>
                <c:pt idx="1347">
                  <c:v>-5.5</c:v>
                </c:pt>
                <c:pt idx="1348">
                  <c:v>-5.5</c:v>
                </c:pt>
                <c:pt idx="1349">
                  <c:v>-5.5</c:v>
                </c:pt>
                <c:pt idx="1350">
                  <c:v>-5.5</c:v>
                </c:pt>
                <c:pt idx="1351">
                  <c:v>-5.5</c:v>
                </c:pt>
                <c:pt idx="1352">
                  <c:v>-5.5</c:v>
                </c:pt>
                <c:pt idx="1353">
                  <c:v>-5.5</c:v>
                </c:pt>
                <c:pt idx="1354">
                  <c:v>-5.5</c:v>
                </c:pt>
                <c:pt idx="1355">
                  <c:v>-5.5</c:v>
                </c:pt>
                <c:pt idx="1356">
                  <c:v>-5.5</c:v>
                </c:pt>
                <c:pt idx="1357">
                  <c:v>-5.5</c:v>
                </c:pt>
                <c:pt idx="1358">
                  <c:v>-5.5</c:v>
                </c:pt>
                <c:pt idx="1359">
                  <c:v>-5.5</c:v>
                </c:pt>
                <c:pt idx="1360">
                  <c:v>-5.5</c:v>
                </c:pt>
                <c:pt idx="1361">
                  <c:v>-5.5</c:v>
                </c:pt>
                <c:pt idx="1362">
                  <c:v>-5.5</c:v>
                </c:pt>
                <c:pt idx="1363">
                  <c:v>-5.5</c:v>
                </c:pt>
                <c:pt idx="1364">
                  <c:v>-5.5</c:v>
                </c:pt>
                <c:pt idx="1365">
                  <c:v>-5.5</c:v>
                </c:pt>
                <c:pt idx="1366">
                  <c:v>-5.5</c:v>
                </c:pt>
                <c:pt idx="1367">
                  <c:v>-5.5</c:v>
                </c:pt>
                <c:pt idx="1368">
                  <c:v>-5.5</c:v>
                </c:pt>
                <c:pt idx="1369">
                  <c:v>-5.5</c:v>
                </c:pt>
                <c:pt idx="1370">
                  <c:v>-5.5</c:v>
                </c:pt>
                <c:pt idx="1371">
                  <c:v>-5.5</c:v>
                </c:pt>
                <c:pt idx="1372">
                  <c:v>-5.5</c:v>
                </c:pt>
                <c:pt idx="1373">
                  <c:v>-5.5</c:v>
                </c:pt>
                <c:pt idx="1374">
                  <c:v>-5.5</c:v>
                </c:pt>
                <c:pt idx="1375">
                  <c:v>-5.5</c:v>
                </c:pt>
                <c:pt idx="1376">
                  <c:v>-5.5</c:v>
                </c:pt>
                <c:pt idx="1377">
                  <c:v>-5.5</c:v>
                </c:pt>
                <c:pt idx="1378">
                  <c:v>-5.5</c:v>
                </c:pt>
                <c:pt idx="1379">
                  <c:v>-5.5</c:v>
                </c:pt>
                <c:pt idx="1380">
                  <c:v>-5.5</c:v>
                </c:pt>
                <c:pt idx="1381">
                  <c:v>-5.5</c:v>
                </c:pt>
                <c:pt idx="1382">
                  <c:v>-5.5</c:v>
                </c:pt>
                <c:pt idx="1383">
                  <c:v>-5.5</c:v>
                </c:pt>
                <c:pt idx="1384">
                  <c:v>-5.5</c:v>
                </c:pt>
                <c:pt idx="1385">
                  <c:v>-5.5</c:v>
                </c:pt>
                <c:pt idx="1386">
                  <c:v>-5.5</c:v>
                </c:pt>
                <c:pt idx="1387">
                  <c:v>-5.5</c:v>
                </c:pt>
                <c:pt idx="1388">
                  <c:v>-5.5</c:v>
                </c:pt>
                <c:pt idx="1389">
                  <c:v>-5.5</c:v>
                </c:pt>
                <c:pt idx="1390">
                  <c:v>-5.5</c:v>
                </c:pt>
                <c:pt idx="1391">
                  <c:v>-5.5</c:v>
                </c:pt>
                <c:pt idx="1392">
                  <c:v>-5.5</c:v>
                </c:pt>
                <c:pt idx="1393">
                  <c:v>-5.5</c:v>
                </c:pt>
                <c:pt idx="1394">
                  <c:v>-5.5</c:v>
                </c:pt>
                <c:pt idx="1395">
                  <c:v>-5.5</c:v>
                </c:pt>
                <c:pt idx="1396">
                  <c:v>-5.5</c:v>
                </c:pt>
                <c:pt idx="1397">
                  <c:v>-5.5</c:v>
                </c:pt>
                <c:pt idx="1398">
                  <c:v>-5.5</c:v>
                </c:pt>
                <c:pt idx="1399">
                  <c:v>-5.5</c:v>
                </c:pt>
                <c:pt idx="1400">
                  <c:v>-5.5</c:v>
                </c:pt>
                <c:pt idx="1401">
                  <c:v>-5.5</c:v>
                </c:pt>
                <c:pt idx="1402">
                  <c:v>-5.5</c:v>
                </c:pt>
                <c:pt idx="1403">
                  <c:v>-5.5</c:v>
                </c:pt>
                <c:pt idx="1404">
                  <c:v>-5.5</c:v>
                </c:pt>
                <c:pt idx="1405">
                  <c:v>-5.5</c:v>
                </c:pt>
                <c:pt idx="1406">
                  <c:v>-5.5</c:v>
                </c:pt>
                <c:pt idx="1407">
                  <c:v>-5.5</c:v>
                </c:pt>
                <c:pt idx="1408">
                  <c:v>-5.5</c:v>
                </c:pt>
                <c:pt idx="1409">
                  <c:v>-5.5</c:v>
                </c:pt>
                <c:pt idx="1410">
                  <c:v>-5.5</c:v>
                </c:pt>
                <c:pt idx="1411">
                  <c:v>-5.5</c:v>
                </c:pt>
                <c:pt idx="1412">
                  <c:v>-5.5</c:v>
                </c:pt>
                <c:pt idx="1413">
                  <c:v>-5.5</c:v>
                </c:pt>
                <c:pt idx="1414">
                  <c:v>-5.5</c:v>
                </c:pt>
                <c:pt idx="1415">
                  <c:v>-5.5</c:v>
                </c:pt>
                <c:pt idx="1416">
                  <c:v>-5.5</c:v>
                </c:pt>
                <c:pt idx="1417">
                  <c:v>-5.5</c:v>
                </c:pt>
                <c:pt idx="1418">
                  <c:v>-5.5</c:v>
                </c:pt>
                <c:pt idx="1419">
                  <c:v>-5.5</c:v>
                </c:pt>
                <c:pt idx="1420">
                  <c:v>-5.5</c:v>
                </c:pt>
                <c:pt idx="1421">
                  <c:v>-5.5</c:v>
                </c:pt>
                <c:pt idx="1422">
                  <c:v>-5.5</c:v>
                </c:pt>
                <c:pt idx="1423">
                  <c:v>-5.5</c:v>
                </c:pt>
                <c:pt idx="1424">
                  <c:v>-5.5</c:v>
                </c:pt>
                <c:pt idx="1425">
                  <c:v>-5.5</c:v>
                </c:pt>
                <c:pt idx="1426">
                  <c:v>-5.5</c:v>
                </c:pt>
                <c:pt idx="1427">
                  <c:v>-5.5</c:v>
                </c:pt>
                <c:pt idx="1428">
                  <c:v>-5.5</c:v>
                </c:pt>
                <c:pt idx="1429">
                  <c:v>-5.5</c:v>
                </c:pt>
                <c:pt idx="1430">
                  <c:v>-5.5</c:v>
                </c:pt>
                <c:pt idx="1431">
                  <c:v>-5.5</c:v>
                </c:pt>
                <c:pt idx="1432">
                  <c:v>-5.5</c:v>
                </c:pt>
                <c:pt idx="1433">
                  <c:v>-5.5</c:v>
                </c:pt>
                <c:pt idx="1434">
                  <c:v>-5.5</c:v>
                </c:pt>
                <c:pt idx="1435">
                  <c:v>-5.5</c:v>
                </c:pt>
                <c:pt idx="1436">
                  <c:v>-5.5</c:v>
                </c:pt>
                <c:pt idx="1437">
                  <c:v>-5.5</c:v>
                </c:pt>
                <c:pt idx="1438">
                  <c:v>-5.5</c:v>
                </c:pt>
                <c:pt idx="1439">
                  <c:v>-5.5</c:v>
                </c:pt>
                <c:pt idx="1440">
                  <c:v>-5.5</c:v>
                </c:pt>
                <c:pt idx="1441">
                  <c:v>-5.5</c:v>
                </c:pt>
                <c:pt idx="1442">
                  <c:v>-5.5</c:v>
                </c:pt>
                <c:pt idx="1443">
                  <c:v>-5.5</c:v>
                </c:pt>
                <c:pt idx="1444">
                  <c:v>-5.5</c:v>
                </c:pt>
                <c:pt idx="1445">
                  <c:v>-5.5</c:v>
                </c:pt>
                <c:pt idx="1446">
                  <c:v>-5.5</c:v>
                </c:pt>
                <c:pt idx="1447">
                  <c:v>-5.5</c:v>
                </c:pt>
                <c:pt idx="1448">
                  <c:v>-5.5</c:v>
                </c:pt>
                <c:pt idx="1449">
                  <c:v>-5.5</c:v>
                </c:pt>
                <c:pt idx="1450">
                  <c:v>-5.5</c:v>
                </c:pt>
                <c:pt idx="1451">
                  <c:v>-5.5</c:v>
                </c:pt>
                <c:pt idx="1452">
                  <c:v>-5.5</c:v>
                </c:pt>
                <c:pt idx="1453">
                  <c:v>-5.5</c:v>
                </c:pt>
                <c:pt idx="1454">
                  <c:v>-5.5</c:v>
                </c:pt>
                <c:pt idx="1455">
                  <c:v>-5.5</c:v>
                </c:pt>
                <c:pt idx="1456">
                  <c:v>-5.5</c:v>
                </c:pt>
                <c:pt idx="1457">
                  <c:v>-5.5</c:v>
                </c:pt>
                <c:pt idx="1458">
                  <c:v>-5.5</c:v>
                </c:pt>
                <c:pt idx="1459">
                  <c:v>-5.5</c:v>
                </c:pt>
                <c:pt idx="1460">
                  <c:v>-5.5</c:v>
                </c:pt>
                <c:pt idx="1461">
                  <c:v>-5.5</c:v>
                </c:pt>
                <c:pt idx="1462">
                  <c:v>-5.5</c:v>
                </c:pt>
                <c:pt idx="1463">
                  <c:v>-5.5</c:v>
                </c:pt>
                <c:pt idx="1464">
                  <c:v>-5.5</c:v>
                </c:pt>
                <c:pt idx="1465">
                  <c:v>-5.5</c:v>
                </c:pt>
                <c:pt idx="1466">
                  <c:v>-5.5</c:v>
                </c:pt>
                <c:pt idx="1467">
                  <c:v>-5.5</c:v>
                </c:pt>
                <c:pt idx="1468">
                  <c:v>-5.5</c:v>
                </c:pt>
                <c:pt idx="1469">
                  <c:v>-5.5</c:v>
                </c:pt>
                <c:pt idx="1470">
                  <c:v>-5.5</c:v>
                </c:pt>
                <c:pt idx="1471">
                  <c:v>-5.5</c:v>
                </c:pt>
                <c:pt idx="1472">
                  <c:v>-5.5</c:v>
                </c:pt>
                <c:pt idx="1473">
                  <c:v>-5.5</c:v>
                </c:pt>
                <c:pt idx="1474">
                  <c:v>-5.5</c:v>
                </c:pt>
                <c:pt idx="1475">
                  <c:v>-5.5</c:v>
                </c:pt>
                <c:pt idx="1476">
                  <c:v>-5.5</c:v>
                </c:pt>
                <c:pt idx="1477">
                  <c:v>-5.5</c:v>
                </c:pt>
                <c:pt idx="1478">
                  <c:v>-5.5</c:v>
                </c:pt>
                <c:pt idx="1479">
                  <c:v>-5.5</c:v>
                </c:pt>
                <c:pt idx="1480">
                  <c:v>-5.5</c:v>
                </c:pt>
                <c:pt idx="1481">
                  <c:v>-5.5</c:v>
                </c:pt>
                <c:pt idx="1482">
                  <c:v>-5.5</c:v>
                </c:pt>
                <c:pt idx="1483">
                  <c:v>-5.5</c:v>
                </c:pt>
                <c:pt idx="1484">
                  <c:v>-5.5</c:v>
                </c:pt>
                <c:pt idx="1485">
                  <c:v>-5.5</c:v>
                </c:pt>
                <c:pt idx="1486">
                  <c:v>-5.5</c:v>
                </c:pt>
                <c:pt idx="1487">
                  <c:v>-5.5</c:v>
                </c:pt>
                <c:pt idx="1488">
                  <c:v>-5.5</c:v>
                </c:pt>
                <c:pt idx="1489">
                  <c:v>-5.5</c:v>
                </c:pt>
                <c:pt idx="1490">
                  <c:v>-5.5</c:v>
                </c:pt>
                <c:pt idx="1491">
                  <c:v>-5.5</c:v>
                </c:pt>
                <c:pt idx="1492">
                  <c:v>-5.5</c:v>
                </c:pt>
                <c:pt idx="1493">
                  <c:v>-5.5</c:v>
                </c:pt>
                <c:pt idx="1494">
                  <c:v>-5.5</c:v>
                </c:pt>
                <c:pt idx="1495">
                  <c:v>-5.5</c:v>
                </c:pt>
                <c:pt idx="1496">
                  <c:v>-5.5</c:v>
                </c:pt>
                <c:pt idx="1497">
                  <c:v>-5.5</c:v>
                </c:pt>
                <c:pt idx="1498">
                  <c:v>-5.5</c:v>
                </c:pt>
                <c:pt idx="1499">
                  <c:v>-5.5</c:v>
                </c:pt>
                <c:pt idx="1500">
                  <c:v>-5.5</c:v>
                </c:pt>
                <c:pt idx="1501">
                  <c:v>-5.5</c:v>
                </c:pt>
                <c:pt idx="1502">
                  <c:v>-5.5</c:v>
                </c:pt>
                <c:pt idx="1503">
                  <c:v>-5.5</c:v>
                </c:pt>
                <c:pt idx="1504">
                  <c:v>-5.5</c:v>
                </c:pt>
                <c:pt idx="1505">
                  <c:v>-5.5</c:v>
                </c:pt>
                <c:pt idx="1506">
                  <c:v>-5.5</c:v>
                </c:pt>
                <c:pt idx="1507">
                  <c:v>-5.5</c:v>
                </c:pt>
                <c:pt idx="1508">
                  <c:v>-5.5</c:v>
                </c:pt>
                <c:pt idx="1509">
                  <c:v>-5.5</c:v>
                </c:pt>
                <c:pt idx="1510">
                  <c:v>-5.5</c:v>
                </c:pt>
                <c:pt idx="1511">
                  <c:v>-5.5</c:v>
                </c:pt>
                <c:pt idx="1512">
                  <c:v>-5.5</c:v>
                </c:pt>
                <c:pt idx="1513">
                  <c:v>-5.5</c:v>
                </c:pt>
                <c:pt idx="1514">
                  <c:v>-5.5</c:v>
                </c:pt>
                <c:pt idx="1515">
                  <c:v>-5.5</c:v>
                </c:pt>
                <c:pt idx="1516">
                  <c:v>-5.5</c:v>
                </c:pt>
                <c:pt idx="1517">
                  <c:v>-5.5</c:v>
                </c:pt>
                <c:pt idx="1518">
                  <c:v>-5.5</c:v>
                </c:pt>
                <c:pt idx="1519">
                  <c:v>-5.5</c:v>
                </c:pt>
                <c:pt idx="1520">
                  <c:v>-5.5</c:v>
                </c:pt>
                <c:pt idx="1521">
                  <c:v>-5.5</c:v>
                </c:pt>
                <c:pt idx="1522">
                  <c:v>-5.5</c:v>
                </c:pt>
                <c:pt idx="1523">
                  <c:v>-5.5</c:v>
                </c:pt>
                <c:pt idx="1524">
                  <c:v>-5.5</c:v>
                </c:pt>
                <c:pt idx="1525">
                  <c:v>-5.5</c:v>
                </c:pt>
                <c:pt idx="1526">
                  <c:v>-5.5</c:v>
                </c:pt>
                <c:pt idx="1527">
                  <c:v>-5.5</c:v>
                </c:pt>
                <c:pt idx="1528">
                  <c:v>-5.5</c:v>
                </c:pt>
                <c:pt idx="1529">
                  <c:v>-5.5</c:v>
                </c:pt>
                <c:pt idx="1530">
                  <c:v>-5.5</c:v>
                </c:pt>
                <c:pt idx="1531">
                  <c:v>-5.5</c:v>
                </c:pt>
                <c:pt idx="1532">
                  <c:v>-5.5</c:v>
                </c:pt>
                <c:pt idx="1533">
                  <c:v>-5.5</c:v>
                </c:pt>
                <c:pt idx="1534">
                  <c:v>-5.5</c:v>
                </c:pt>
                <c:pt idx="1535">
                  <c:v>-5.5</c:v>
                </c:pt>
                <c:pt idx="1536">
                  <c:v>-5.5</c:v>
                </c:pt>
                <c:pt idx="1537">
                  <c:v>-5.5</c:v>
                </c:pt>
                <c:pt idx="1538">
                  <c:v>-5.5</c:v>
                </c:pt>
                <c:pt idx="1539">
                  <c:v>-5.5</c:v>
                </c:pt>
                <c:pt idx="1540">
                  <c:v>-5.5</c:v>
                </c:pt>
                <c:pt idx="1541">
                  <c:v>-5.5</c:v>
                </c:pt>
                <c:pt idx="1542">
                  <c:v>-5.5</c:v>
                </c:pt>
                <c:pt idx="1543">
                  <c:v>-5.5</c:v>
                </c:pt>
                <c:pt idx="1544">
                  <c:v>-5.5</c:v>
                </c:pt>
                <c:pt idx="1545">
                  <c:v>-5.5</c:v>
                </c:pt>
                <c:pt idx="1546">
                  <c:v>-5.5</c:v>
                </c:pt>
                <c:pt idx="1547">
                  <c:v>-5.5</c:v>
                </c:pt>
                <c:pt idx="1548">
                  <c:v>-5.5</c:v>
                </c:pt>
                <c:pt idx="1549">
                  <c:v>-5.5</c:v>
                </c:pt>
                <c:pt idx="1550">
                  <c:v>-5.5</c:v>
                </c:pt>
                <c:pt idx="1551">
                  <c:v>-5.5</c:v>
                </c:pt>
                <c:pt idx="1552">
                  <c:v>-5.5</c:v>
                </c:pt>
                <c:pt idx="1553">
                  <c:v>-5.5</c:v>
                </c:pt>
                <c:pt idx="1554">
                  <c:v>-5.5</c:v>
                </c:pt>
                <c:pt idx="1555">
                  <c:v>-5.5</c:v>
                </c:pt>
                <c:pt idx="1556">
                  <c:v>-5.5</c:v>
                </c:pt>
                <c:pt idx="1557">
                  <c:v>-5.5</c:v>
                </c:pt>
                <c:pt idx="1558">
                  <c:v>-5.5</c:v>
                </c:pt>
                <c:pt idx="1559">
                  <c:v>-5.5</c:v>
                </c:pt>
                <c:pt idx="1560">
                  <c:v>-5.5</c:v>
                </c:pt>
                <c:pt idx="1561">
                  <c:v>-5.5</c:v>
                </c:pt>
                <c:pt idx="1562">
                  <c:v>-5.5</c:v>
                </c:pt>
                <c:pt idx="1563">
                  <c:v>-5.5</c:v>
                </c:pt>
                <c:pt idx="1564">
                  <c:v>-5.5</c:v>
                </c:pt>
                <c:pt idx="1565">
                  <c:v>-5.5</c:v>
                </c:pt>
                <c:pt idx="1566">
                  <c:v>-5.5</c:v>
                </c:pt>
                <c:pt idx="1567">
                  <c:v>-5.5</c:v>
                </c:pt>
                <c:pt idx="1568">
                  <c:v>-5.5</c:v>
                </c:pt>
                <c:pt idx="1569">
                  <c:v>-5.5</c:v>
                </c:pt>
                <c:pt idx="1570">
                  <c:v>-5.5</c:v>
                </c:pt>
                <c:pt idx="1571">
                  <c:v>-5.5</c:v>
                </c:pt>
                <c:pt idx="1572">
                  <c:v>-5.5</c:v>
                </c:pt>
                <c:pt idx="1573">
                  <c:v>-5.5</c:v>
                </c:pt>
                <c:pt idx="1574">
                  <c:v>-5.5</c:v>
                </c:pt>
                <c:pt idx="1575">
                  <c:v>-5.5</c:v>
                </c:pt>
                <c:pt idx="1576">
                  <c:v>-5.5</c:v>
                </c:pt>
                <c:pt idx="1577">
                  <c:v>-5.5</c:v>
                </c:pt>
                <c:pt idx="1578">
                  <c:v>-5.5</c:v>
                </c:pt>
                <c:pt idx="1579">
                  <c:v>-5.5</c:v>
                </c:pt>
                <c:pt idx="1580">
                  <c:v>-5.5</c:v>
                </c:pt>
                <c:pt idx="1581">
                  <c:v>-5.5</c:v>
                </c:pt>
                <c:pt idx="1582">
                  <c:v>-5.5</c:v>
                </c:pt>
                <c:pt idx="1583">
                  <c:v>-5.5</c:v>
                </c:pt>
                <c:pt idx="1584">
                  <c:v>-5.5</c:v>
                </c:pt>
                <c:pt idx="1585">
                  <c:v>-5.5</c:v>
                </c:pt>
                <c:pt idx="1586">
                  <c:v>-5.5</c:v>
                </c:pt>
                <c:pt idx="1587">
                  <c:v>-5.5</c:v>
                </c:pt>
                <c:pt idx="1588">
                  <c:v>-5.5</c:v>
                </c:pt>
                <c:pt idx="1589">
                  <c:v>-5.5</c:v>
                </c:pt>
                <c:pt idx="1590">
                  <c:v>-5.5</c:v>
                </c:pt>
                <c:pt idx="1591">
                  <c:v>-5.5</c:v>
                </c:pt>
                <c:pt idx="1592">
                  <c:v>-5.5</c:v>
                </c:pt>
                <c:pt idx="1593">
                  <c:v>-5.5</c:v>
                </c:pt>
                <c:pt idx="1594">
                  <c:v>-5.5</c:v>
                </c:pt>
                <c:pt idx="1595">
                  <c:v>-5.5</c:v>
                </c:pt>
                <c:pt idx="1596">
                  <c:v>-5.5</c:v>
                </c:pt>
                <c:pt idx="1597">
                  <c:v>-5.5</c:v>
                </c:pt>
                <c:pt idx="1598">
                  <c:v>-5.5</c:v>
                </c:pt>
                <c:pt idx="1599">
                  <c:v>-5.5</c:v>
                </c:pt>
                <c:pt idx="1600">
                  <c:v>-5.5</c:v>
                </c:pt>
                <c:pt idx="1601">
                  <c:v>-5.5</c:v>
                </c:pt>
                <c:pt idx="1602">
                  <c:v>-5.5</c:v>
                </c:pt>
                <c:pt idx="1603">
                  <c:v>-5.5</c:v>
                </c:pt>
                <c:pt idx="1604">
                  <c:v>-5.5</c:v>
                </c:pt>
                <c:pt idx="1605">
                  <c:v>-5.5</c:v>
                </c:pt>
                <c:pt idx="1606">
                  <c:v>-5.5</c:v>
                </c:pt>
                <c:pt idx="1607">
                  <c:v>-5.5</c:v>
                </c:pt>
                <c:pt idx="1608">
                  <c:v>-5.5</c:v>
                </c:pt>
                <c:pt idx="1609">
                  <c:v>-5.5</c:v>
                </c:pt>
                <c:pt idx="1610">
                  <c:v>-5.5</c:v>
                </c:pt>
                <c:pt idx="1611">
                  <c:v>-5.5</c:v>
                </c:pt>
                <c:pt idx="1612">
                  <c:v>-5.5</c:v>
                </c:pt>
                <c:pt idx="1613">
                  <c:v>-5.5</c:v>
                </c:pt>
                <c:pt idx="1614">
                  <c:v>-5.5</c:v>
                </c:pt>
                <c:pt idx="1615">
                  <c:v>-5.5</c:v>
                </c:pt>
                <c:pt idx="1616">
                  <c:v>-5.5</c:v>
                </c:pt>
                <c:pt idx="1617">
                  <c:v>-5.5</c:v>
                </c:pt>
                <c:pt idx="1618">
                  <c:v>-5.5</c:v>
                </c:pt>
                <c:pt idx="1619">
                  <c:v>-5.5</c:v>
                </c:pt>
                <c:pt idx="1620">
                  <c:v>-5.5</c:v>
                </c:pt>
                <c:pt idx="1621">
                  <c:v>-5.5</c:v>
                </c:pt>
                <c:pt idx="1622">
                  <c:v>-5.5</c:v>
                </c:pt>
                <c:pt idx="1623">
                  <c:v>-5.5</c:v>
                </c:pt>
                <c:pt idx="1624">
                  <c:v>-5.5</c:v>
                </c:pt>
                <c:pt idx="1625">
                  <c:v>-5.5</c:v>
                </c:pt>
                <c:pt idx="1626">
                  <c:v>-5.5</c:v>
                </c:pt>
                <c:pt idx="1627">
                  <c:v>-5.5</c:v>
                </c:pt>
                <c:pt idx="1628">
                  <c:v>-5.5</c:v>
                </c:pt>
                <c:pt idx="1629">
                  <c:v>-5.5</c:v>
                </c:pt>
                <c:pt idx="1630">
                  <c:v>-5.5</c:v>
                </c:pt>
                <c:pt idx="1631">
                  <c:v>-5.5</c:v>
                </c:pt>
                <c:pt idx="1632">
                  <c:v>-5.5</c:v>
                </c:pt>
                <c:pt idx="1633">
                  <c:v>-5.5</c:v>
                </c:pt>
                <c:pt idx="1634">
                  <c:v>-5.5</c:v>
                </c:pt>
                <c:pt idx="1635">
                  <c:v>-5.5</c:v>
                </c:pt>
                <c:pt idx="1636">
                  <c:v>-5.5</c:v>
                </c:pt>
                <c:pt idx="1637">
                  <c:v>-5.5</c:v>
                </c:pt>
                <c:pt idx="1638">
                  <c:v>-5.5</c:v>
                </c:pt>
                <c:pt idx="1639">
                  <c:v>-5.5</c:v>
                </c:pt>
                <c:pt idx="1640">
                  <c:v>-5.5</c:v>
                </c:pt>
                <c:pt idx="1641">
                  <c:v>-5.5</c:v>
                </c:pt>
                <c:pt idx="1642">
                  <c:v>-5.5</c:v>
                </c:pt>
                <c:pt idx="1643">
                  <c:v>-5.5</c:v>
                </c:pt>
                <c:pt idx="1644">
                  <c:v>-5.5</c:v>
                </c:pt>
                <c:pt idx="1645">
                  <c:v>-5.5</c:v>
                </c:pt>
                <c:pt idx="1646">
                  <c:v>-5.5</c:v>
                </c:pt>
                <c:pt idx="1647">
                  <c:v>-5.5</c:v>
                </c:pt>
                <c:pt idx="1648">
                  <c:v>-5.5</c:v>
                </c:pt>
                <c:pt idx="1649">
                  <c:v>-5.5</c:v>
                </c:pt>
                <c:pt idx="1650">
                  <c:v>-5.5</c:v>
                </c:pt>
                <c:pt idx="1651">
                  <c:v>-5.5</c:v>
                </c:pt>
                <c:pt idx="1652">
                  <c:v>-5.5</c:v>
                </c:pt>
                <c:pt idx="1653">
                  <c:v>-5.5</c:v>
                </c:pt>
                <c:pt idx="1654">
                  <c:v>-5.5</c:v>
                </c:pt>
                <c:pt idx="1655">
                  <c:v>-5.5</c:v>
                </c:pt>
                <c:pt idx="1656">
                  <c:v>-5.5</c:v>
                </c:pt>
                <c:pt idx="1657">
                  <c:v>-5.5</c:v>
                </c:pt>
                <c:pt idx="1658">
                  <c:v>-5.5</c:v>
                </c:pt>
                <c:pt idx="1659">
                  <c:v>-5.5</c:v>
                </c:pt>
                <c:pt idx="1660">
                  <c:v>-5.5</c:v>
                </c:pt>
                <c:pt idx="1661">
                  <c:v>-5.5</c:v>
                </c:pt>
                <c:pt idx="1662">
                  <c:v>-5.5</c:v>
                </c:pt>
                <c:pt idx="1663">
                  <c:v>-5.5</c:v>
                </c:pt>
                <c:pt idx="1664">
                  <c:v>-5.5</c:v>
                </c:pt>
                <c:pt idx="1665">
                  <c:v>-5.5</c:v>
                </c:pt>
                <c:pt idx="1666">
                  <c:v>-5.5</c:v>
                </c:pt>
                <c:pt idx="1667">
                  <c:v>-5.5</c:v>
                </c:pt>
                <c:pt idx="1668">
                  <c:v>-5.5</c:v>
                </c:pt>
                <c:pt idx="1669">
                  <c:v>-5.5</c:v>
                </c:pt>
                <c:pt idx="1670">
                  <c:v>-5.5</c:v>
                </c:pt>
                <c:pt idx="1671">
                  <c:v>-5.5</c:v>
                </c:pt>
                <c:pt idx="1672">
                  <c:v>-5.5</c:v>
                </c:pt>
                <c:pt idx="1673">
                  <c:v>-5.5</c:v>
                </c:pt>
                <c:pt idx="1674">
                  <c:v>-5.5</c:v>
                </c:pt>
                <c:pt idx="1675">
                  <c:v>-5.5</c:v>
                </c:pt>
                <c:pt idx="1676">
                  <c:v>-5.5</c:v>
                </c:pt>
                <c:pt idx="1677">
                  <c:v>-5.5</c:v>
                </c:pt>
                <c:pt idx="1678">
                  <c:v>-5.5</c:v>
                </c:pt>
                <c:pt idx="1679">
                  <c:v>-5.5</c:v>
                </c:pt>
                <c:pt idx="1680">
                  <c:v>-5.5</c:v>
                </c:pt>
                <c:pt idx="1681">
                  <c:v>-5.5</c:v>
                </c:pt>
                <c:pt idx="1682">
                  <c:v>-5.5</c:v>
                </c:pt>
                <c:pt idx="1683">
                  <c:v>-5.5</c:v>
                </c:pt>
                <c:pt idx="1684">
                  <c:v>-5.5</c:v>
                </c:pt>
                <c:pt idx="1685">
                  <c:v>-5.5</c:v>
                </c:pt>
                <c:pt idx="1686">
                  <c:v>-5.5</c:v>
                </c:pt>
                <c:pt idx="1687">
                  <c:v>-5.5</c:v>
                </c:pt>
                <c:pt idx="1688">
                  <c:v>-5.5</c:v>
                </c:pt>
                <c:pt idx="1689">
                  <c:v>-5.5</c:v>
                </c:pt>
                <c:pt idx="1690">
                  <c:v>-5.5</c:v>
                </c:pt>
                <c:pt idx="1691">
                  <c:v>-5.5</c:v>
                </c:pt>
                <c:pt idx="1692">
                  <c:v>-5.5</c:v>
                </c:pt>
                <c:pt idx="1693">
                  <c:v>-5.5</c:v>
                </c:pt>
                <c:pt idx="1694">
                  <c:v>-5.5</c:v>
                </c:pt>
                <c:pt idx="1695">
                  <c:v>-5.5</c:v>
                </c:pt>
                <c:pt idx="1696">
                  <c:v>-5.5</c:v>
                </c:pt>
                <c:pt idx="1697">
                  <c:v>-5.5</c:v>
                </c:pt>
                <c:pt idx="1698">
                  <c:v>-5.5</c:v>
                </c:pt>
                <c:pt idx="1699">
                  <c:v>-5.5</c:v>
                </c:pt>
                <c:pt idx="1700">
                  <c:v>-5.5</c:v>
                </c:pt>
                <c:pt idx="1701">
                  <c:v>-5.5</c:v>
                </c:pt>
                <c:pt idx="1702">
                  <c:v>-5.5</c:v>
                </c:pt>
                <c:pt idx="1703">
                  <c:v>-5.5</c:v>
                </c:pt>
                <c:pt idx="1704">
                  <c:v>-5.5</c:v>
                </c:pt>
                <c:pt idx="1705">
                  <c:v>-5.5</c:v>
                </c:pt>
                <c:pt idx="1706">
                  <c:v>-5.5</c:v>
                </c:pt>
                <c:pt idx="1707">
                  <c:v>-5.5</c:v>
                </c:pt>
                <c:pt idx="1708">
                  <c:v>-5.5</c:v>
                </c:pt>
                <c:pt idx="1709">
                  <c:v>-5.5</c:v>
                </c:pt>
                <c:pt idx="1710">
                  <c:v>-5.5</c:v>
                </c:pt>
                <c:pt idx="1711">
                  <c:v>-5.5</c:v>
                </c:pt>
                <c:pt idx="1712">
                  <c:v>-5.5</c:v>
                </c:pt>
                <c:pt idx="1713">
                  <c:v>-5.5</c:v>
                </c:pt>
                <c:pt idx="1714">
                  <c:v>-5.5</c:v>
                </c:pt>
                <c:pt idx="1715">
                  <c:v>-5.5</c:v>
                </c:pt>
                <c:pt idx="1716">
                  <c:v>-5.5</c:v>
                </c:pt>
                <c:pt idx="1717">
                  <c:v>-5.5</c:v>
                </c:pt>
                <c:pt idx="1718">
                  <c:v>-5.5</c:v>
                </c:pt>
                <c:pt idx="1719">
                  <c:v>-5.5</c:v>
                </c:pt>
                <c:pt idx="1720">
                  <c:v>-5.5</c:v>
                </c:pt>
                <c:pt idx="1721">
                  <c:v>-5.5</c:v>
                </c:pt>
                <c:pt idx="1722">
                  <c:v>-5.5</c:v>
                </c:pt>
                <c:pt idx="1723">
                  <c:v>-5.5</c:v>
                </c:pt>
                <c:pt idx="1724">
                  <c:v>-5.5</c:v>
                </c:pt>
                <c:pt idx="1725">
                  <c:v>-5.5</c:v>
                </c:pt>
                <c:pt idx="1726">
                  <c:v>-5.5</c:v>
                </c:pt>
                <c:pt idx="1727">
                  <c:v>-5.5</c:v>
                </c:pt>
                <c:pt idx="1728">
                  <c:v>-5.5</c:v>
                </c:pt>
                <c:pt idx="1729">
                  <c:v>-5.5</c:v>
                </c:pt>
                <c:pt idx="1730">
                  <c:v>-5.5</c:v>
                </c:pt>
                <c:pt idx="1731">
                  <c:v>-5.5</c:v>
                </c:pt>
                <c:pt idx="1732">
                  <c:v>-5.5</c:v>
                </c:pt>
                <c:pt idx="1733">
                  <c:v>-5.5</c:v>
                </c:pt>
                <c:pt idx="1734">
                  <c:v>-5.5</c:v>
                </c:pt>
                <c:pt idx="1735">
                  <c:v>-5.5</c:v>
                </c:pt>
                <c:pt idx="1736">
                  <c:v>-5.5</c:v>
                </c:pt>
                <c:pt idx="1737">
                  <c:v>-5.5</c:v>
                </c:pt>
                <c:pt idx="1738">
                  <c:v>-5.5</c:v>
                </c:pt>
                <c:pt idx="1739">
                  <c:v>-5.5</c:v>
                </c:pt>
                <c:pt idx="1740">
                  <c:v>-5.5</c:v>
                </c:pt>
                <c:pt idx="1741">
                  <c:v>-5.5</c:v>
                </c:pt>
                <c:pt idx="1742">
                  <c:v>-5.5</c:v>
                </c:pt>
                <c:pt idx="1743">
                  <c:v>-5.5</c:v>
                </c:pt>
                <c:pt idx="1744">
                  <c:v>-5.5</c:v>
                </c:pt>
                <c:pt idx="1745">
                  <c:v>-5.5</c:v>
                </c:pt>
                <c:pt idx="1746">
                  <c:v>-5.5</c:v>
                </c:pt>
                <c:pt idx="1747">
                  <c:v>-5.5</c:v>
                </c:pt>
                <c:pt idx="1748">
                  <c:v>-5.5</c:v>
                </c:pt>
                <c:pt idx="1749">
                  <c:v>-5.5</c:v>
                </c:pt>
                <c:pt idx="1750">
                  <c:v>-5.5</c:v>
                </c:pt>
                <c:pt idx="1751">
                  <c:v>-5.5</c:v>
                </c:pt>
                <c:pt idx="1752">
                  <c:v>-5.5</c:v>
                </c:pt>
                <c:pt idx="1753">
                  <c:v>-5.5</c:v>
                </c:pt>
                <c:pt idx="1754">
                  <c:v>-5.5</c:v>
                </c:pt>
                <c:pt idx="1755">
                  <c:v>-5.5</c:v>
                </c:pt>
                <c:pt idx="1756">
                  <c:v>-5.5</c:v>
                </c:pt>
                <c:pt idx="1757">
                  <c:v>-5.5</c:v>
                </c:pt>
                <c:pt idx="1758">
                  <c:v>-5.5</c:v>
                </c:pt>
                <c:pt idx="1759">
                  <c:v>-5.5</c:v>
                </c:pt>
                <c:pt idx="1760">
                  <c:v>-5.5</c:v>
                </c:pt>
                <c:pt idx="1761">
                  <c:v>-5.5</c:v>
                </c:pt>
                <c:pt idx="1762">
                  <c:v>-5.5</c:v>
                </c:pt>
                <c:pt idx="1763">
                  <c:v>-5.5</c:v>
                </c:pt>
                <c:pt idx="1764">
                  <c:v>-5.5</c:v>
                </c:pt>
                <c:pt idx="1765">
                  <c:v>-5.5</c:v>
                </c:pt>
                <c:pt idx="1766">
                  <c:v>-5.5</c:v>
                </c:pt>
                <c:pt idx="1767">
                  <c:v>-5.5</c:v>
                </c:pt>
                <c:pt idx="1768">
                  <c:v>-5.5</c:v>
                </c:pt>
                <c:pt idx="1769">
                  <c:v>-5.5</c:v>
                </c:pt>
                <c:pt idx="1770">
                  <c:v>-5.5</c:v>
                </c:pt>
                <c:pt idx="1771">
                  <c:v>-5.5</c:v>
                </c:pt>
                <c:pt idx="1772">
                  <c:v>-5.5</c:v>
                </c:pt>
                <c:pt idx="1773">
                  <c:v>-5.5</c:v>
                </c:pt>
                <c:pt idx="1774">
                  <c:v>-5.5</c:v>
                </c:pt>
                <c:pt idx="1775">
                  <c:v>-5.5</c:v>
                </c:pt>
                <c:pt idx="1776">
                  <c:v>-5.5</c:v>
                </c:pt>
                <c:pt idx="1777">
                  <c:v>-5.5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12443789"/>
        <c:axId val="429841730"/>
      </c:lineChart>
      <c:catAx>
        <c:axId val="61244378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9841730"/>
        <c:crosses val="autoZero"/>
        <c:auto val="1"/>
        <c:lblAlgn val="ctr"/>
        <c:lblOffset val="100"/>
        <c:noMultiLvlLbl val="0"/>
      </c:catAx>
      <c:valAx>
        <c:axId val="4298417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244378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09e7e1f-1b65-48be-bc96-99e7591aa3e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'常压_a_20 (2)'!$L$3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'常压_a_20 (2)'!$K$4:$K$1312</c:f>
              <c:numCache>
                <c:formatCode>General</c:formatCode>
                <c:ptCount val="1309"/>
                <c:pt idx="0">
                  <c:v>0</c:v>
                </c:pt>
                <c:pt idx="1">
                  <c:v>0</c:v>
                </c:pt>
                <c:pt idx="2">
                  <c:v>0.05</c:v>
                </c:pt>
                <c:pt idx="3">
                  <c:v>0.1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0.2</c:v>
                </c:pt>
                <c:pt idx="8">
                  <c:v>0.25</c:v>
                </c:pt>
                <c:pt idx="9">
                  <c:v>0.3</c:v>
                </c:pt>
                <c:pt idx="10">
                  <c:v>0.3</c:v>
                </c:pt>
                <c:pt idx="11">
                  <c:v>0.35</c:v>
                </c:pt>
                <c:pt idx="12">
                  <c:v>0.4</c:v>
                </c:pt>
                <c:pt idx="13">
                  <c:v>0.4</c:v>
                </c:pt>
                <c:pt idx="14">
                  <c:v>0.45</c:v>
                </c:pt>
                <c:pt idx="15">
                  <c:v>0.5</c:v>
                </c:pt>
                <c:pt idx="16">
                  <c:v>0.5</c:v>
                </c:pt>
                <c:pt idx="17">
                  <c:v>0.55</c:v>
                </c:pt>
                <c:pt idx="18">
                  <c:v>0.6</c:v>
                </c:pt>
                <c:pt idx="19">
                  <c:v>0.6</c:v>
                </c:pt>
                <c:pt idx="20">
                  <c:v>0.65</c:v>
                </c:pt>
                <c:pt idx="21">
                  <c:v>0.7</c:v>
                </c:pt>
                <c:pt idx="22">
                  <c:v>0.7</c:v>
                </c:pt>
                <c:pt idx="23">
                  <c:v>0.75</c:v>
                </c:pt>
                <c:pt idx="24">
                  <c:v>0.8</c:v>
                </c:pt>
                <c:pt idx="25">
                  <c:v>0.8</c:v>
                </c:pt>
                <c:pt idx="26">
                  <c:v>0.85</c:v>
                </c:pt>
                <c:pt idx="27">
                  <c:v>0.9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  <c:pt idx="31">
                  <c:v>1</c:v>
                </c:pt>
                <c:pt idx="32">
                  <c:v>1.05</c:v>
                </c:pt>
                <c:pt idx="33">
                  <c:v>1.1</c:v>
                </c:pt>
                <c:pt idx="34">
                  <c:v>1.1</c:v>
                </c:pt>
                <c:pt idx="35">
                  <c:v>1.15</c:v>
                </c:pt>
                <c:pt idx="36">
                  <c:v>1.2</c:v>
                </c:pt>
                <c:pt idx="37">
                  <c:v>1.2</c:v>
                </c:pt>
                <c:pt idx="38">
                  <c:v>1.25</c:v>
                </c:pt>
                <c:pt idx="39">
                  <c:v>1.3</c:v>
                </c:pt>
                <c:pt idx="40">
                  <c:v>1.3</c:v>
                </c:pt>
                <c:pt idx="41">
                  <c:v>1.35</c:v>
                </c:pt>
                <c:pt idx="42">
                  <c:v>1.4</c:v>
                </c:pt>
                <c:pt idx="43">
                  <c:v>1.4</c:v>
                </c:pt>
                <c:pt idx="44">
                  <c:v>1.45</c:v>
                </c:pt>
                <c:pt idx="45">
                  <c:v>1.5</c:v>
                </c:pt>
                <c:pt idx="46">
                  <c:v>1.5</c:v>
                </c:pt>
                <c:pt idx="47">
                  <c:v>1.55</c:v>
                </c:pt>
                <c:pt idx="48">
                  <c:v>1.6</c:v>
                </c:pt>
                <c:pt idx="49">
                  <c:v>1.6</c:v>
                </c:pt>
                <c:pt idx="50">
                  <c:v>1.65</c:v>
                </c:pt>
                <c:pt idx="51">
                  <c:v>1.7</c:v>
                </c:pt>
                <c:pt idx="52">
                  <c:v>1.7</c:v>
                </c:pt>
                <c:pt idx="53">
                  <c:v>1.75</c:v>
                </c:pt>
                <c:pt idx="54">
                  <c:v>1.8</c:v>
                </c:pt>
                <c:pt idx="55">
                  <c:v>1.8</c:v>
                </c:pt>
                <c:pt idx="56">
                  <c:v>1.85</c:v>
                </c:pt>
                <c:pt idx="57">
                  <c:v>1.9</c:v>
                </c:pt>
                <c:pt idx="58">
                  <c:v>1.9</c:v>
                </c:pt>
                <c:pt idx="59">
                  <c:v>1.95</c:v>
                </c:pt>
                <c:pt idx="60">
                  <c:v>2</c:v>
                </c:pt>
                <c:pt idx="61">
                  <c:v>2</c:v>
                </c:pt>
                <c:pt idx="62">
                  <c:v>2.05</c:v>
                </c:pt>
                <c:pt idx="63">
                  <c:v>2.1</c:v>
                </c:pt>
                <c:pt idx="64">
                  <c:v>2.1</c:v>
                </c:pt>
                <c:pt idx="65">
                  <c:v>2.15</c:v>
                </c:pt>
                <c:pt idx="66">
                  <c:v>2.2</c:v>
                </c:pt>
                <c:pt idx="67">
                  <c:v>2.2</c:v>
                </c:pt>
                <c:pt idx="68">
                  <c:v>2.25</c:v>
                </c:pt>
                <c:pt idx="69">
                  <c:v>2.3</c:v>
                </c:pt>
                <c:pt idx="70">
                  <c:v>2.3</c:v>
                </c:pt>
                <c:pt idx="71">
                  <c:v>2.35</c:v>
                </c:pt>
                <c:pt idx="72">
                  <c:v>2.4</c:v>
                </c:pt>
                <c:pt idx="73">
                  <c:v>2.4</c:v>
                </c:pt>
                <c:pt idx="74">
                  <c:v>2.45</c:v>
                </c:pt>
                <c:pt idx="75">
                  <c:v>2.5</c:v>
                </c:pt>
                <c:pt idx="76">
                  <c:v>2.5</c:v>
                </c:pt>
                <c:pt idx="77">
                  <c:v>2.55</c:v>
                </c:pt>
                <c:pt idx="78">
                  <c:v>2.6</c:v>
                </c:pt>
                <c:pt idx="79">
                  <c:v>2.6</c:v>
                </c:pt>
                <c:pt idx="80">
                  <c:v>2.65</c:v>
                </c:pt>
                <c:pt idx="81">
                  <c:v>2.7</c:v>
                </c:pt>
                <c:pt idx="82">
                  <c:v>2.7</c:v>
                </c:pt>
                <c:pt idx="83">
                  <c:v>2.75</c:v>
                </c:pt>
                <c:pt idx="84">
                  <c:v>2.8</c:v>
                </c:pt>
                <c:pt idx="85">
                  <c:v>2.8</c:v>
                </c:pt>
                <c:pt idx="86">
                  <c:v>2.85</c:v>
                </c:pt>
                <c:pt idx="87">
                  <c:v>2.9</c:v>
                </c:pt>
                <c:pt idx="88">
                  <c:v>2.9</c:v>
                </c:pt>
                <c:pt idx="89">
                  <c:v>2.95</c:v>
                </c:pt>
                <c:pt idx="90">
                  <c:v>3</c:v>
                </c:pt>
                <c:pt idx="91">
                  <c:v>3</c:v>
                </c:pt>
                <c:pt idx="92">
                  <c:v>3.05</c:v>
                </c:pt>
                <c:pt idx="93">
                  <c:v>3.1</c:v>
                </c:pt>
                <c:pt idx="94">
                  <c:v>3.1</c:v>
                </c:pt>
                <c:pt idx="95">
                  <c:v>3.15</c:v>
                </c:pt>
                <c:pt idx="96">
                  <c:v>3.2</c:v>
                </c:pt>
                <c:pt idx="97">
                  <c:v>3.2</c:v>
                </c:pt>
                <c:pt idx="98">
                  <c:v>3.25</c:v>
                </c:pt>
                <c:pt idx="99">
                  <c:v>3.3</c:v>
                </c:pt>
                <c:pt idx="100">
                  <c:v>3.3</c:v>
                </c:pt>
                <c:pt idx="101">
                  <c:v>3.35</c:v>
                </c:pt>
                <c:pt idx="102">
                  <c:v>3.4</c:v>
                </c:pt>
                <c:pt idx="103">
                  <c:v>3.4</c:v>
                </c:pt>
                <c:pt idx="104">
                  <c:v>3.45</c:v>
                </c:pt>
                <c:pt idx="105">
                  <c:v>3.5</c:v>
                </c:pt>
                <c:pt idx="106">
                  <c:v>3.5</c:v>
                </c:pt>
                <c:pt idx="107">
                  <c:v>3.55</c:v>
                </c:pt>
                <c:pt idx="108">
                  <c:v>3.6</c:v>
                </c:pt>
                <c:pt idx="109">
                  <c:v>3.6</c:v>
                </c:pt>
                <c:pt idx="110">
                  <c:v>3.65</c:v>
                </c:pt>
                <c:pt idx="111">
                  <c:v>3.7</c:v>
                </c:pt>
                <c:pt idx="112">
                  <c:v>3.7</c:v>
                </c:pt>
                <c:pt idx="113">
                  <c:v>3.75</c:v>
                </c:pt>
                <c:pt idx="114">
                  <c:v>3.8</c:v>
                </c:pt>
                <c:pt idx="115">
                  <c:v>3.8</c:v>
                </c:pt>
                <c:pt idx="116">
                  <c:v>3.85</c:v>
                </c:pt>
                <c:pt idx="117">
                  <c:v>3.9</c:v>
                </c:pt>
                <c:pt idx="118">
                  <c:v>3.9</c:v>
                </c:pt>
                <c:pt idx="119">
                  <c:v>3.95</c:v>
                </c:pt>
                <c:pt idx="120">
                  <c:v>4</c:v>
                </c:pt>
                <c:pt idx="121">
                  <c:v>4</c:v>
                </c:pt>
                <c:pt idx="122">
                  <c:v>4.05</c:v>
                </c:pt>
                <c:pt idx="123">
                  <c:v>4.1</c:v>
                </c:pt>
                <c:pt idx="124">
                  <c:v>4.1</c:v>
                </c:pt>
                <c:pt idx="125">
                  <c:v>4.15</c:v>
                </c:pt>
                <c:pt idx="126">
                  <c:v>4.2</c:v>
                </c:pt>
                <c:pt idx="127">
                  <c:v>4.2</c:v>
                </c:pt>
                <c:pt idx="128">
                  <c:v>4.25</c:v>
                </c:pt>
                <c:pt idx="129">
                  <c:v>4.3</c:v>
                </c:pt>
                <c:pt idx="130">
                  <c:v>4.3</c:v>
                </c:pt>
                <c:pt idx="131">
                  <c:v>4.35</c:v>
                </c:pt>
                <c:pt idx="132">
                  <c:v>4.4</c:v>
                </c:pt>
                <c:pt idx="133">
                  <c:v>4.4</c:v>
                </c:pt>
                <c:pt idx="134">
                  <c:v>4.45</c:v>
                </c:pt>
                <c:pt idx="135">
                  <c:v>4.5</c:v>
                </c:pt>
                <c:pt idx="136">
                  <c:v>4.5</c:v>
                </c:pt>
                <c:pt idx="137">
                  <c:v>4.55</c:v>
                </c:pt>
                <c:pt idx="138">
                  <c:v>4.6</c:v>
                </c:pt>
                <c:pt idx="139">
                  <c:v>4.6</c:v>
                </c:pt>
                <c:pt idx="140">
                  <c:v>4.65</c:v>
                </c:pt>
                <c:pt idx="141">
                  <c:v>4.7</c:v>
                </c:pt>
                <c:pt idx="142">
                  <c:v>4.7</c:v>
                </c:pt>
                <c:pt idx="143">
                  <c:v>4.75</c:v>
                </c:pt>
                <c:pt idx="144">
                  <c:v>4.8</c:v>
                </c:pt>
                <c:pt idx="145">
                  <c:v>4.8</c:v>
                </c:pt>
                <c:pt idx="146">
                  <c:v>4.85</c:v>
                </c:pt>
                <c:pt idx="147">
                  <c:v>4.9</c:v>
                </c:pt>
                <c:pt idx="148">
                  <c:v>4.9</c:v>
                </c:pt>
                <c:pt idx="149">
                  <c:v>4.95</c:v>
                </c:pt>
                <c:pt idx="150">
                  <c:v>5</c:v>
                </c:pt>
                <c:pt idx="151">
                  <c:v>5</c:v>
                </c:pt>
                <c:pt idx="152">
                  <c:v>5.05</c:v>
                </c:pt>
                <c:pt idx="153">
                  <c:v>5.1</c:v>
                </c:pt>
                <c:pt idx="154">
                  <c:v>5.1</c:v>
                </c:pt>
                <c:pt idx="155">
                  <c:v>5.15</c:v>
                </c:pt>
                <c:pt idx="156">
                  <c:v>5.2</c:v>
                </c:pt>
                <c:pt idx="157">
                  <c:v>5.2</c:v>
                </c:pt>
                <c:pt idx="158">
                  <c:v>5.25</c:v>
                </c:pt>
                <c:pt idx="159">
                  <c:v>5.3</c:v>
                </c:pt>
                <c:pt idx="160">
                  <c:v>5.3</c:v>
                </c:pt>
                <c:pt idx="161">
                  <c:v>5.35</c:v>
                </c:pt>
                <c:pt idx="162">
                  <c:v>5.4</c:v>
                </c:pt>
                <c:pt idx="163">
                  <c:v>5.4</c:v>
                </c:pt>
                <c:pt idx="164">
                  <c:v>5.45</c:v>
                </c:pt>
                <c:pt idx="165">
                  <c:v>5.5</c:v>
                </c:pt>
                <c:pt idx="166">
                  <c:v>5.5</c:v>
                </c:pt>
                <c:pt idx="167">
                  <c:v>5.55</c:v>
                </c:pt>
                <c:pt idx="168">
                  <c:v>5.6</c:v>
                </c:pt>
                <c:pt idx="169">
                  <c:v>5.6</c:v>
                </c:pt>
                <c:pt idx="170">
                  <c:v>5.65</c:v>
                </c:pt>
                <c:pt idx="171">
                  <c:v>5.7</c:v>
                </c:pt>
                <c:pt idx="172">
                  <c:v>5.7</c:v>
                </c:pt>
                <c:pt idx="173">
                  <c:v>5.75</c:v>
                </c:pt>
                <c:pt idx="174">
                  <c:v>5.8</c:v>
                </c:pt>
                <c:pt idx="175">
                  <c:v>5.8</c:v>
                </c:pt>
                <c:pt idx="176">
                  <c:v>5.85</c:v>
                </c:pt>
                <c:pt idx="177">
                  <c:v>5.9</c:v>
                </c:pt>
                <c:pt idx="178">
                  <c:v>5.9</c:v>
                </c:pt>
                <c:pt idx="179">
                  <c:v>5.95</c:v>
                </c:pt>
                <c:pt idx="180">
                  <c:v>6</c:v>
                </c:pt>
                <c:pt idx="181">
                  <c:v>6</c:v>
                </c:pt>
                <c:pt idx="182">
                  <c:v>6.05</c:v>
                </c:pt>
                <c:pt idx="183">
                  <c:v>6.1</c:v>
                </c:pt>
                <c:pt idx="184">
                  <c:v>6.1</c:v>
                </c:pt>
                <c:pt idx="185">
                  <c:v>6.15</c:v>
                </c:pt>
                <c:pt idx="186">
                  <c:v>6.2</c:v>
                </c:pt>
                <c:pt idx="187">
                  <c:v>6.25</c:v>
                </c:pt>
                <c:pt idx="188">
                  <c:v>6.25</c:v>
                </c:pt>
                <c:pt idx="189">
                  <c:v>6.3</c:v>
                </c:pt>
                <c:pt idx="190">
                  <c:v>6.35</c:v>
                </c:pt>
                <c:pt idx="191">
                  <c:v>6.35</c:v>
                </c:pt>
                <c:pt idx="192">
                  <c:v>6.4</c:v>
                </c:pt>
                <c:pt idx="193">
                  <c:v>6.45</c:v>
                </c:pt>
                <c:pt idx="194">
                  <c:v>6.45</c:v>
                </c:pt>
                <c:pt idx="195">
                  <c:v>6.5</c:v>
                </c:pt>
                <c:pt idx="196">
                  <c:v>6.55</c:v>
                </c:pt>
                <c:pt idx="197">
                  <c:v>6.55</c:v>
                </c:pt>
                <c:pt idx="198">
                  <c:v>6.6</c:v>
                </c:pt>
                <c:pt idx="199">
                  <c:v>6.65</c:v>
                </c:pt>
                <c:pt idx="200">
                  <c:v>6.65</c:v>
                </c:pt>
                <c:pt idx="201">
                  <c:v>6.7</c:v>
                </c:pt>
                <c:pt idx="202">
                  <c:v>6.75</c:v>
                </c:pt>
                <c:pt idx="203">
                  <c:v>6.75</c:v>
                </c:pt>
                <c:pt idx="204">
                  <c:v>6.8</c:v>
                </c:pt>
                <c:pt idx="205">
                  <c:v>6.85</c:v>
                </c:pt>
                <c:pt idx="206">
                  <c:v>6.85</c:v>
                </c:pt>
                <c:pt idx="207">
                  <c:v>6.9</c:v>
                </c:pt>
                <c:pt idx="208">
                  <c:v>6.95</c:v>
                </c:pt>
                <c:pt idx="209">
                  <c:v>6.95</c:v>
                </c:pt>
                <c:pt idx="210">
                  <c:v>7</c:v>
                </c:pt>
                <c:pt idx="211">
                  <c:v>7.05</c:v>
                </c:pt>
                <c:pt idx="212">
                  <c:v>7.05</c:v>
                </c:pt>
                <c:pt idx="213">
                  <c:v>7.1</c:v>
                </c:pt>
                <c:pt idx="214">
                  <c:v>7.15</c:v>
                </c:pt>
                <c:pt idx="215">
                  <c:v>7.15</c:v>
                </c:pt>
                <c:pt idx="216">
                  <c:v>7.2</c:v>
                </c:pt>
                <c:pt idx="217">
                  <c:v>7.25</c:v>
                </c:pt>
                <c:pt idx="218">
                  <c:v>7.25</c:v>
                </c:pt>
                <c:pt idx="219">
                  <c:v>7.3</c:v>
                </c:pt>
                <c:pt idx="220">
                  <c:v>7.35</c:v>
                </c:pt>
                <c:pt idx="221">
                  <c:v>7.35</c:v>
                </c:pt>
                <c:pt idx="222">
                  <c:v>7.4</c:v>
                </c:pt>
                <c:pt idx="223">
                  <c:v>7.45</c:v>
                </c:pt>
                <c:pt idx="224">
                  <c:v>7.45</c:v>
                </c:pt>
                <c:pt idx="225">
                  <c:v>7.5</c:v>
                </c:pt>
                <c:pt idx="226">
                  <c:v>7.55</c:v>
                </c:pt>
                <c:pt idx="227">
                  <c:v>7.55</c:v>
                </c:pt>
                <c:pt idx="228">
                  <c:v>7.6</c:v>
                </c:pt>
                <c:pt idx="229">
                  <c:v>7.65</c:v>
                </c:pt>
                <c:pt idx="230">
                  <c:v>7.65</c:v>
                </c:pt>
                <c:pt idx="231">
                  <c:v>7.7</c:v>
                </c:pt>
                <c:pt idx="232">
                  <c:v>7.75</c:v>
                </c:pt>
                <c:pt idx="233">
                  <c:v>7.75</c:v>
                </c:pt>
                <c:pt idx="234">
                  <c:v>7.8</c:v>
                </c:pt>
                <c:pt idx="235">
                  <c:v>7.85</c:v>
                </c:pt>
                <c:pt idx="236">
                  <c:v>7.85</c:v>
                </c:pt>
                <c:pt idx="237">
                  <c:v>7.9</c:v>
                </c:pt>
                <c:pt idx="238">
                  <c:v>7.95</c:v>
                </c:pt>
                <c:pt idx="239">
                  <c:v>7.95</c:v>
                </c:pt>
                <c:pt idx="240">
                  <c:v>8</c:v>
                </c:pt>
                <c:pt idx="241">
                  <c:v>8.05</c:v>
                </c:pt>
                <c:pt idx="242">
                  <c:v>8.05</c:v>
                </c:pt>
                <c:pt idx="243">
                  <c:v>8.1</c:v>
                </c:pt>
                <c:pt idx="244">
                  <c:v>8.15</c:v>
                </c:pt>
                <c:pt idx="245">
                  <c:v>8.15</c:v>
                </c:pt>
                <c:pt idx="246">
                  <c:v>8.2</c:v>
                </c:pt>
                <c:pt idx="247">
                  <c:v>8.25</c:v>
                </c:pt>
                <c:pt idx="248">
                  <c:v>8.25</c:v>
                </c:pt>
                <c:pt idx="249">
                  <c:v>8.3</c:v>
                </c:pt>
                <c:pt idx="250">
                  <c:v>8.35</c:v>
                </c:pt>
                <c:pt idx="251">
                  <c:v>8.35</c:v>
                </c:pt>
                <c:pt idx="252">
                  <c:v>8.4</c:v>
                </c:pt>
                <c:pt idx="253">
                  <c:v>8.45</c:v>
                </c:pt>
                <c:pt idx="254">
                  <c:v>8.45</c:v>
                </c:pt>
                <c:pt idx="255">
                  <c:v>8.5</c:v>
                </c:pt>
                <c:pt idx="256">
                  <c:v>8.55</c:v>
                </c:pt>
                <c:pt idx="257">
                  <c:v>8.55</c:v>
                </c:pt>
                <c:pt idx="258">
                  <c:v>8.6</c:v>
                </c:pt>
                <c:pt idx="259">
                  <c:v>8.65</c:v>
                </c:pt>
                <c:pt idx="260">
                  <c:v>8.65</c:v>
                </c:pt>
                <c:pt idx="261">
                  <c:v>8.7</c:v>
                </c:pt>
                <c:pt idx="262">
                  <c:v>8.75</c:v>
                </c:pt>
                <c:pt idx="263">
                  <c:v>8.75</c:v>
                </c:pt>
                <c:pt idx="264">
                  <c:v>8.8</c:v>
                </c:pt>
                <c:pt idx="265">
                  <c:v>8.85</c:v>
                </c:pt>
                <c:pt idx="266">
                  <c:v>8.85</c:v>
                </c:pt>
                <c:pt idx="267">
                  <c:v>8.9</c:v>
                </c:pt>
                <c:pt idx="268">
                  <c:v>8.95</c:v>
                </c:pt>
                <c:pt idx="269">
                  <c:v>8.95</c:v>
                </c:pt>
                <c:pt idx="270">
                  <c:v>9</c:v>
                </c:pt>
                <c:pt idx="271">
                  <c:v>9.05</c:v>
                </c:pt>
                <c:pt idx="272">
                  <c:v>9.05</c:v>
                </c:pt>
                <c:pt idx="273">
                  <c:v>9.1</c:v>
                </c:pt>
                <c:pt idx="274">
                  <c:v>9.15</c:v>
                </c:pt>
                <c:pt idx="275">
                  <c:v>9.15</c:v>
                </c:pt>
                <c:pt idx="276">
                  <c:v>9.2</c:v>
                </c:pt>
                <c:pt idx="277">
                  <c:v>9.25</c:v>
                </c:pt>
                <c:pt idx="278">
                  <c:v>9.25</c:v>
                </c:pt>
                <c:pt idx="279">
                  <c:v>9.3</c:v>
                </c:pt>
                <c:pt idx="280">
                  <c:v>9.35</c:v>
                </c:pt>
                <c:pt idx="281">
                  <c:v>9.35</c:v>
                </c:pt>
                <c:pt idx="282">
                  <c:v>9.4</c:v>
                </c:pt>
                <c:pt idx="283">
                  <c:v>9.45</c:v>
                </c:pt>
                <c:pt idx="284">
                  <c:v>9.45</c:v>
                </c:pt>
                <c:pt idx="285">
                  <c:v>9.5</c:v>
                </c:pt>
                <c:pt idx="286">
                  <c:v>9.55</c:v>
                </c:pt>
                <c:pt idx="287">
                  <c:v>9.55</c:v>
                </c:pt>
                <c:pt idx="288">
                  <c:v>9.6</c:v>
                </c:pt>
                <c:pt idx="289">
                  <c:v>9.65</c:v>
                </c:pt>
                <c:pt idx="290">
                  <c:v>9.65</c:v>
                </c:pt>
                <c:pt idx="291">
                  <c:v>9.7</c:v>
                </c:pt>
                <c:pt idx="292">
                  <c:v>9.75</c:v>
                </c:pt>
                <c:pt idx="293">
                  <c:v>9.75</c:v>
                </c:pt>
                <c:pt idx="294">
                  <c:v>9.8</c:v>
                </c:pt>
                <c:pt idx="295">
                  <c:v>9.85</c:v>
                </c:pt>
                <c:pt idx="296">
                  <c:v>9.85</c:v>
                </c:pt>
                <c:pt idx="297">
                  <c:v>9.9</c:v>
                </c:pt>
                <c:pt idx="298">
                  <c:v>9.95</c:v>
                </c:pt>
                <c:pt idx="299">
                  <c:v>9.95</c:v>
                </c:pt>
                <c:pt idx="300">
                  <c:v>10</c:v>
                </c:pt>
                <c:pt idx="301">
                  <c:v>10.05</c:v>
                </c:pt>
                <c:pt idx="302">
                  <c:v>10.05</c:v>
                </c:pt>
                <c:pt idx="303">
                  <c:v>10.1</c:v>
                </c:pt>
                <c:pt idx="304">
                  <c:v>10.15</c:v>
                </c:pt>
                <c:pt idx="305">
                  <c:v>10.15</c:v>
                </c:pt>
                <c:pt idx="306">
                  <c:v>10.2</c:v>
                </c:pt>
                <c:pt idx="307">
                  <c:v>10.25</c:v>
                </c:pt>
                <c:pt idx="308">
                  <c:v>10.25</c:v>
                </c:pt>
                <c:pt idx="309">
                  <c:v>10.3</c:v>
                </c:pt>
                <c:pt idx="310">
                  <c:v>10.35</c:v>
                </c:pt>
                <c:pt idx="311">
                  <c:v>10.35</c:v>
                </c:pt>
                <c:pt idx="312">
                  <c:v>10.4</c:v>
                </c:pt>
                <c:pt idx="313">
                  <c:v>10.45</c:v>
                </c:pt>
                <c:pt idx="314">
                  <c:v>10.45</c:v>
                </c:pt>
                <c:pt idx="315">
                  <c:v>10.5</c:v>
                </c:pt>
                <c:pt idx="316">
                  <c:v>10.55</c:v>
                </c:pt>
                <c:pt idx="317">
                  <c:v>10.55</c:v>
                </c:pt>
                <c:pt idx="318">
                  <c:v>10.6</c:v>
                </c:pt>
                <c:pt idx="319">
                  <c:v>10.65</c:v>
                </c:pt>
                <c:pt idx="320">
                  <c:v>10.65</c:v>
                </c:pt>
                <c:pt idx="321">
                  <c:v>10.7</c:v>
                </c:pt>
                <c:pt idx="322">
                  <c:v>10.75</c:v>
                </c:pt>
                <c:pt idx="323">
                  <c:v>10.75</c:v>
                </c:pt>
                <c:pt idx="324">
                  <c:v>10.8</c:v>
                </c:pt>
                <c:pt idx="325">
                  <c:v>10.85</c:v>
                </c:pt>
                <c:pt idx="326">
                  <c:v>10.85</c:v>
                </c:pt>
                <c:pt idx="327">
                  <c:v>10.9</c:v>
                </c:pt>
                <c:pt idx="328">
                  <c:v>10.95</c:v>
                </c:pt>
                <c:pt idx="329">
                  <c:v>10.95</c:v>
                </c:pt>
                <c:pt idx="330">
                  <c:v>11</c:v>
                </c:pt>
                <c:pt idx="331">
                  <c:v>11.05</c:v>
                </c:pt>
                <c:pt idx="332">
                  <c:v>11.05</c:v>
                </c:pt>
                <c:pt idx="333">
                  <c:v>11.1</c:v>
                </c:pt>
                <c:pt idx="334">
                  <c:v>11.15</c:v>
                </c:pt>
                <c:pt idx="335">
                  <c:v>11.15</c:v>
                </c:pt>
                <c:pt idx="336">
                  <c:v>11.2</c:v>
                </c:pt>
                <c:pt idx="337">
                  <c:v>11.25</c:v>
                </c:pt>
                <c:pt idx="338">
                  <c:v>11.25</c:v>
                </c:pt>
                <c:pt idx="339">
                  <c:v>11.3</c:v>
                </c:pt>
                <c:pt idx="340">
                  <c:v>11.35</c:v>
                </c:pt>
                <c:pt idx="341">
                  <c:v>11.35</c:v>
                </c:pt>
                <c:pt idx="342">
                  <c:v>11.4</c:v>
                </c:pt>
                <c:pt idx="343">
                  <c:v>11.45</c:v>
                </c:pt>
                <c:pt idx="344">
                  <c:v>11.45</c:v>
                </c:pt>
                <c:pt idx="345">
                  <c:v>11.5</c:v>
                </c:pt>
                <c:pt idx="346">
                  <c:v>11.55</c:v>
                </c:pt>
                <c:pt idx="347">
                  <c:v>11.55</c:v>
                </c:pt>
                <c:pt idx="348">
                  <c:v>11.6</c:v>
                </c:pt>
                <c:pt idx="349">
                  <c:v>11.65</c:v>
                </c:pt>
                <c:pt idx="350">
                  <c:v>11.65</c:v>
                </c:pt>
                <c:pt idx="351">
                  <c:v>11.7</c:v>
                </c:pt>
                <c:pt idx="352">
                  <c:v>11.75</c:v>
                </c:pt>
                <c:pt idx="353">
                  <c:v>11.75</c:v>
                </c:pt>
                <c:pt idx="354">
                  <c:v>11.8</c:v>
                </c:pt>
                <c:pt idx="355">
                  <c:v>11.85</c:v>
                </c:pt>
                <c:pt idx="356">
                  <c:v>11.85</c:v>
                </c:pt>
                <c:pt idx="357">
                  <c:v>11.9</c:v>
                </c:pt>
                <c:pt idx="358">
                  <c:v>11.95</c:v>
                </c:pt>
                <c:pt idx="359">
                  <c:v>11.95</c:v>
                </c:pt>
                <c:pt idx="360">
                  <c:v>12</c:v>
                </c:pt>
                <c:pt idx="361">
                  <c:v>12.05</c:v>
                </c:pt>
                <c:pt idx="362">
                  <c:v>12.05</c:v>
                </c:pt>
                <c:pt idx="363">
                  <c:v>12.1</c:v>
                </c:pt>
                <c:pt idx="364">
                  <c:v>12.15</c:v>
                </c:pt>
                <c:pt idx="365">
                  <c:v>12.15</c:v>
                </c:pt>
                <c:pt idx="366">
                  <c:v>12.2</c:v>
                </c:pt>
                <c:pt idx="367">
                  <c:v>12.25</c:v>
                </c:pt>
                <c:pt idx="368">
                  <c:v>12.25</c:v>
                </c:pt>
                <c:pt idx="369">
                  <c:v>12.3</c:v>
                </c:pt>
                <c:pt idx="370">
                  <c:v>12.35</c:v>
                </c:pt>
                <c:pt idx="371">
                  <c:v>12.35</c:v>
                </c:pt>
                <c:pt idx="372">
                  <c:v>12.4</c:v>
                </c:pt>
                <c:pt idx="373">
                  <c:v>12.45</c:v>
                </c:pt>
                <c:pt idx="374">
                  <c:v>12.45</c:v>
                </c:pt>
                <c:pt idx="375">
                  <c:v>12.5</c:v>
                </c:pt>
                <c:pt idx="376">
                  <c:v>12.55</c:v>
                </c:pt>
                <c:pt idx="377">
                  <c:v>12.55</c:v>
                </c:pt>
                <c:pt idx="378">
                  <c:v>12.6</c:v>
                </c:pt>
                <c:pt idx="379">
                  <c:v>12.65</c:v>
                </c:pt>
                <c:pt idx="380">
                  <c:v>12.7</c:v>
                </c:pt>
                <c:pt idx="381">
                  <c:v>12.7</c:v>
                </c:pt>
                <c:pt idx="382">
                  <c:v>12.75</c:v>
                </c:pt>
                <c:pt idx="383">
                  <c:v>12.8</c:v>
                </c:pt>
                <c:pt idx="384">
                  <c:v>12.8</c:v>
                </c:pt>
                <c:pt idx="385">
                  <c:v>12.85</c:v>
                </c:pt>
                <c:pt idx="386">
                  <c:v>12.9</c:v>
                </c:pt>
                <c:pt idx="387">
                  <c:v>12.9</c:v>
                </c:pt>
                <c:pt idx="388">
                  <c:v>12.95</c:v>
                </c:pt>
                <c:pt idx="389">
                  <c:v>13</c:v>
                </c:pt>
                <c:pt idx="390">
                  <c:v>13</c:v>
                </c:pt>
                <c:pt idx="391">
                  <c:v>13.05</c:v>
                </c:pt>
                <c:pt idx="392">
                  <c:v>13.1</c:v>
                </c:pt>
                <c:pt idx="393">
                  <c:v>13.1</c:v>
                </c:pt>
                <c:pt idx="394">
                  <c:v>13.15</c:v>
                </c:pt>
                <c:pt idx="395">
                  <c:v>13.2</c:v>
                </c:pt>
                <c:pt idx="396">
                  <c:v>13.2</c:v>
                </c:pt>
                <c:pt idx="397">
                  <c:v>13.25</c:v>
                </c:pt>
                <c:pt idx="398">
                  <c:v>13.3</c:v>
                </c:pt>
                <c:pt idx="399">
                  <c:v>13.3</c:v>
                </c:pt>
                <c:pt idx="400">
                  <c:v>13.35</c:v>
                </c:pt>
                <c:pt idx="401">
                  <c:v>13.4</c:v>
                </c:pt>
                <c:pt idx="402">
                  <c:v>13.4</c:v>
                </c:pt>
                <c:pt idx="403">
                  <c:v>13.45</c:v>
                </c:pt>
                <c:pt idx="404">
                  <c:v>13.5</c:v>
                </c:pt>
                <c:pt idx="405">
                  <c:v>13.5</c:v>
                </c:pt>
                <c:pt idx="406">
                  <c:v>13.55</c:v>
                </c:pt>
                <c:pt idx="407">
                  <c:v>13.6</c:v>
                </c:pt>
                <c:pt idx="408">
                  <c:v>13.6</c:v>
                </c:pt>
                <c:pt idx="409">
                  <c:v>13.65</c:v>
                </c:pt>
                <c:pt idx="410">
                  <c:v>13.7</c:v>
                </c:pt>
                <c:pt idx="411">
                  <c:v>13.7</c:v>
                </c:pt>
                <c:pt idx="412">
                  <c:v>13.75</c:v>
                </c:pt>
                <c:pt idx="413">
                  <c:v>13.8</c:v>
                </c:pt>
                <c:pt idx="414">
                  <c:v>13.8</c:v>
                </c:pt>
                <c:pt idx="415">
                  <c:v>13.85</c:v>
                </c:pt>
                <c:pt idx="416">
                  <c:v>13.9</c:v>
                </c:pt>
                <c:pt idx="417">
                  <c:v>13.9</c:v>
                </c:pt>
                <c:pt idx="418">
                  <c:v>13.95</c:v>
                </c:pt>
                <c:pt idx="419">
                  <c:v>14</c:v>
                </c:pt>
                <c:pt idx="420">
                  <c:v>14</c:v>
                </c:pt>
                <c:pt idx="421">
                  <c:v>14.05</c:v>
                </c:pt>
                <c:pt idx="422">
                  <c:v>14.1</c:v>
                </c:pt>
                <c:pt idx="423">
                  <c:v>14.1</c:v>
                </c:pt>
                <c:pt idx="424">
                  <c:v>14.15</c:v>
                </c:pt>
                <c:pt idx="425">
                  <c:v>14.2</c:v>
                </c:pt>
                <c:pt idx="426">
                  <c:v>14.2</c:v>
                </c:pt>
                <c:pt idx="427">
                  <c:v>14.25</c:v>
                </c:pt>
                <c:pt idx="428">
                  <c:v>14.3</c:v>
                </c:pt>
                <c:pt idx="429">
                  <c:v>14.3</c:v>
                </c:pt>
                <c:pt idx="430">
                  <c:v>14.35</c:v>
                </c:pt>
                <c:pt idx="431">
                  <c:v>14.4</c:v>
                </c:pt>
                <c:pt idx="432">
                  <c:v>14.4</c:v>
                </c:pt>
                <c:pt idx="433">
                  <c:v>14.45</c:v>
                </c:pt>
                <c:pt idx="434">
                  <c:v>14.5</c:v>
                </c:pt>
                <c:pt idx="435">
                  <c:v>14.5</c:v>
                </c:pt>
                <c:pt idx="436">
                  <c:v>14.55</c:v>
                </c:pt>
                <c:pt idx="437">
                  <c:v>14.6</c:v>
                </c:pt>
                <c:pt idx="438">
                  <c:v>14.6</c:v>
                </c:pt>
                <c:pt idx="439">
                  <c:v>14.65</c:v>
                </c:pt>
                <c:pt idx="440">
                  <c:v>14.7</c:v>
                </c:pt>
                <c:pt idx="441">
                  <c:v>14.7</c:v>
                </c:pt>
                <c:pt idx="442">
                  <c:v>14.75</c:v>
                </c:pt>
                <c:pt idx="443">
                  <c:v>14.8</c:v>
                </c:pt>
                <c:pt idx="444">
                  <c:v>14.8</c:v>
                </c:pt>
                <c:pt idx="445">
                  <c:v>14.85</c:v>
                </c:pt>
                <c:pt idx="446">
                  <c:v>14.9</c:v>
                </c:pt>
                <c:pt idx="447">
                  <c:v>14.9</c:v>
                </c:pt>
                <c:pt idx="448">
                  <c:v>14.95</c:v>
                </c:pt>
                <c:pt idx="449">
                  <c:v>15</c:v>
                </c:pt>
                <c:pt idx="450">
                  <c:v>15</c:v>
                </c:pt>
                <c:pt idx="451">
                  <c:v>15.05</c:v>
                </c:pt>
                <c:pt idx="452">
                  <c:v>15.1</c:v>
                </c:pt>
                <c:pt idx="453">
                  <c:v>15.1</c:v>
                </c:pt>
                <c:pt idx="454">
                  <c:v>15.15</c:v>
                </c:pt>
                <c:pt idx="455">
                  <c:v>15.2</c:v>
                </c:pt>
                <c:pt idx="456">
                  <c:v>15.2</c:v>
                </c:pt>
                <c:pt idx="457">
                  <c:v>15.25</c:v>
                </c:pt>
                <c:pt idx="458">
                  <c:v>15.3</c:v>
                </c:pt>
                <c:pt idx="459">
                  <c:v>15.3</c:v>
                </c:pt>
                <c:pt idx="460">
                  <c:v>15.35</c:v>
                </c:pt>
                <c:pt idx="461">
                  <c:v>15.4</c:v>
                </c:pt>
                <c:pt idx="462">
                  <c:v>15.4</c:v>
                </c:pt>
                <c:pt idx="463">
                  <c:v>15.45</c:v>
                </c:pt>
                <c:pt idx="464">
                  <c:v>15.5</c:v>
                </c:pt>
                <c:pt idx="465">
                  <c:v>15.5</c:v>
                </c:pt>
                <c:pt idx="466">
                  <c:v>15.55</c:v>
                </c:pt>
                <c:pt idx="467">
                  <c:v>15.6</c:v>
                </c:pt>
                <c:pt idx="468">
                  <c:v>15.6</c:v>
                </c:pt>
                <c:pt idx="469">
                  <c:v>15.65</c:v>
                </c:pt>
                <c:pt idx="470">
                  <c:v>15.7</c:v>
                </c:pt>
                <c:pt idx="471">
                  <c:v>15.7</c:v>
                </c:pt>
                <c:pt idx="472">
                  <c:v>15.75</c:v>
                </c:pt>
                <c:pt idx="473">
                  <c:v>15.8</c:v>
                </c:pt>
                <c:pt idx="474">
                  <c:v>15.8</c:v>
                </c:pt>
                <c:pt idx="475">
                  <c:v>15.85</c:v>
                </c:pt>
                <c:pt idx="476">
                  <c:v>15.9</c:v>
                </c:pt>
                <c:pt idx="477">
                  <c:v>15.9</c:v>
                </c:pt>
                <c:pt idx="478">
                  <c:v>15.95</c:v>
                </c:pt>
                <c:pt idx="479">
                  <c:v>16</c:v>
                </c:pt>
                <c:pt idx="480">
                  <c:v>16</c:v>
                </c:pt>
                <c:pt idx="481">
                  <c:v>16.05</c:v>
                </c:pt>
                <c:pt idx="482">
                  <c:v>16.1</c:v>
                </c:pt>
                <c:pt idx="483">
                  <c:v>16.1</c:v>
                </c:pt>
                <c:pt idx="484">
                  <c:v>16.15</c:v>
                </c:pt>
                <c:pt idx="485">
                  <c:v>16.2</c:v>
                </c:pt>
                <c:pt idx="486">
                  <c:v>16.2</c:v>
                </c:pt>
                <c:pt idx="487">
                  <c:v>16.25</c:v>
                </c:pt>
                <c:pt idx="488">
                  <c:v>16.3</c:v>
                </c:pt>
                <c:pt idx="489">
                  <c:v>16.3</c:v>
                </c:pt>
                <c:pt idx="490">
                  <c:v>16.35</c:v>
                </c:pt>
                <c:pt idx="491">
                  <c:v>16.4</c:v>
                </c:pt>
                <c:pt idx="492">
                  <c:v>16.4</c:v>
                </c:pt>
                <c:pt idx="493">
                  <c:v>16.45</c:v>
                </c:pt>
                <c:pt idx="494">
                  <c:v>16.5</c:v>
                </c:pt>
                <c:pt idx="495">
                  <c:v>16.5</c:v>
                </c:pt>
                <c:pt idx="496">
                  <c:v>16.55</c:v>
                </c:pt>
                <c:pt idx="497">
                  <c:v>16.6</c:v>
                </c:pt>
                <c:pt idx="498">
                  <c:v>16.6</c:v>
                </c:pt>
                <c:pt idx="499">
                  <c:v>16.65</c:v>
                </c:pt>
                <c:pt idx="500">
                  <c:v>16.7</c:v>
                </c:pt>
                <c:pt idx="501">
                  <c:v>16.7</c:v>
                </c:pt>
                <c:pt idx="502">
                  <c:v>16.75</c:v>
                </c:pt>
                <c:pt idx="503">
                  <c:v>16.8</c:v>
                </c:pt>
                <c:pt idx="504">
                  <c:v>16.8</c:v>
                </c:pt>
                <c:pt idx="505">
                  <c:v>16.85</c:v>
                </c:pt>
                <c:pt idx="506">
                  <c:v>16.9</c:v>
                </c:pt>
                <c:pt idx="507">
                  <c:v>16.9</c:v>
                </c:pt>
                <c:pt idx="508">
                  <c:v>16.95</c:v>
                </c:pt>
                <c:pt idx="509">
                  <c:v>17</c:v>
                </c:pt>
                <c:pt idx="510">
                  <c:v>17</c:v>
                </c:pt>
                <c:pt idx="511">
                  <c:v>17.05</c:v>
                </c:pt>
                <c:pt idx="512">
                  <c:v>17.1</c:v>
                </c:pt>
                <c:pt idx="513">
                  <c:v>17.1</c:v>
                </c:pt>
                <c:pt idx="514">
                  <c:v>17.15</c:v>
                </c:pt>
                <c:pt idx="515">
                  <c:v>17.2</c:v>
                </c:pt>
                <c:pt idx="516">
                  <c:v>17.2</c:v>
                </c:pt>
                <c:pt idx="517">
                  <c:v>17.25</c:v>
                </c:pt>
                <c:pt idx="518">
                  <c:v>17.3</c:v>
                </c:pt>
                <c:pt idx="519">
                  <c:v>17.3</c:v>
                </c:pt>
                <c:pt idx="520">
                  <c:v>17.35</c:v>
                </c:pt>
                <c:pt idx="521">
                  <c:v>17.4</c:v>
                </c:pt>
                <c:pt idx="522">
                  <c:v>17.4</c:v>
                </c:pt>
                <c:pt idx="523">
                  <c:v>17.45</c:v>
                </c:pt>
                <c:pt idx="524">
                  <c:v>17.5</c:v>
                </c:pt>
                <c:pt idx="525">
                  <c:v>17.5</c:v>
                </c:pt>
                <c:pt idx="526">
                  <c:v>17.55</c:v>
                </c:pt>
                <c:pt idx="527">
                  <c:v>17.6</c:v>
                </c:pt>
                <c:pt idx="528">
                  <c:v>17.6</c:v>
                </c:pt>
                <c:pt idx="529">
                  <c:v>17.65</c:v>
                </c:pt>
                <c:pt idx="530">
                  <c:v>17.7</c:v>
                </c:pt>
                <c:pt idx="531">
                  <c:v>17.7</c:v>
                </c:pt>
                <c:pt idx="532">
                  <c:v>17.75</c:v>
                </c:pt>
                <c:pt idx="533">
                  <c:v>17.8</c:v>
                </c:pt>
                <c:pt idx="534">
                  <c:v>17.8</c:v>
                </c:pt>
                <c:pt idx="535">
                  <c:v>17.85</c:v>
                </c:pt>
                <c:pt idx="536">
                  <c:v>17.9</c:v>
                </c:pt>
                <c:pt idx="537">
                  <c:v>17.9</c:v>
                </c:pt>
                <c:pt idx="538">
                  <c:v>17.95</c:v>
                </c:pt>
                <c:pt idx="539">
                  <c:v>18</c:v>
                </c:pt>
                <c:pt idx="540">
                  <c:v>18</c:v>
                </c:pt>
                <c:pt idx="541">
                  <c:v>18.05</c:v>
                </c:pt>
                <c:pt idx="542">
                  <c:v>18.1</c:v>
                </c:pt>
                <c:pt idx="543">
                  <c:v>18.1</c:v>
                </c:pt>
                <c:pt idx="544">
                  <c:v>18.15</c:v>
                </c:pt>
                <c:pt idx="545">
                  <c:v>18.2</c:v>
                </c:pt>
                <c:pt idx="546">
                  <c:v>18.2</c:v>
                </c:pt>
                <c:pt idx="547">
                  <c:v>18.25</c:v>
                </c:pt>
                <c:pt idx="548">
                  <c:v>18.3</c:v>
                </c:pt>
                <c:pt idx="549">
                  <c:v>18.3</c:v>
                </c:pt>
                <c:pt idx="550">
                  <c:v>18.35</c:v>
                </c:pt>
                <c:pt idx="551">
                  <c:v>18.4</c:v>
                </c:pt>
                <c:pt idx="552">
                  <c:v>18.4</c:v>
                </c:pt>
                <c:pt idx="553">
                  <c:v>18.45</c:v>
                </c:pt>
                <c:pt idx="554">
                  <c:v>18.5</c:v>
                </c:pt>
                <c:pt idx="555">
                  <c:v>18.5</c:v>
                </c:pt>
                <c:pt idx="556">
                  <c:v>18.55</c:v>
                </c:pt>
                <c:pt idx="557">
                  <c:v>18.6</c:v>
                </c:pt>
                <c:pt idx="558">
                  <c:v>18.6</c:v>
                </c:pt>
                <c:pt idx="559">
                  <c:v>18.65</c:v>
                </c:pt>
                <c:pt idx="560">
                  <c:v>18.7</c:v>
                </c:pt>
                <c:pt idx="561">
                  <c:v>18.7</c:v>
                </c:pt>
                <c:pt idx="562">
                  <c:v>18.75</c:v>
                </c:pt>
                <c:pt idx="563">
                  <c:v>18.8</c:v>
                </c:pt>
                <c:pt idx="564">
                  <c:v>18.8</c:v>
                </c:pt>
                <c:pt idx="565">
                  <c:v>18.85</c:v>
                </c:pt>
                <c:pt idx="566">
                  <c:v>18.9</c:v>
                </c:pt>
                <c:pt idx="567">
                  <c:v>18.9</c:v>
                </c:pt>
                <c:pt idx="568">
                  <c:v>18.95</c:v>
                </c:pt>
                <c:pt idx="569">
                  <c:v>19</c:v>
                </c:pt>
                <c:pt idx="570">
                  <c:v>19.05</c:v>
                </c:pt>
                <c:pt idx="571">
                  <c:v>19.05</c:v>
                </c:pt>
                <c:pt idx="572">
                  <c:v>19.1</c:v>
                </c:pt>
                <c:pt idx="573">
                  <c:v>19.15</c:v>
                </c:pt>
                <c:pt idx="574">
                  <c:v>19.15</c:v>
                </c:pt>
                <c:pt idx="575">
                  <c:v>19.2</c:v>
                </c:pt>
                <c:pt idx="576">
                  <c:v>19.25</c:v>
                </c:pt>
                <c:pt idx="577">
                  <c:v>19.25</c:v>
                </c:pt>
                <c:pt idx="578">
                  <c:v>19.3</c:v>
                </c:pt>
                <c:pt idx="579">
                  <c:v>19.35</c:v>
                </c:pt>
                <c:pt idx="580">
                  <c:v>19.35</c:v>
                </c:pt>
                <c:pt idx="581">
                  <c:v>19.4</c:v>
                </c:pt>
                <c:pt idx="582">
                  <c:v>19.45</c:v>
                </c:pt>
                <c:pt idx="583">
                  <c:v>19.45</c:v>
                </c:pt>
                <c:pt idx="584">
                  <c:v>19.5</c:v>
                </c:pt>
                <c:pt idx="585">
                  <c:v>19.55</c:v>
                </c:pt>
                <c:pt idx="586">
                  <c:v>19.55</c:v>
                </c:pt>
                <c:pt idx="587">
                  <c:v>19.6</c:v>
                </c:pt>
                <c:pt idx="588">
                  <c:v>19.65</c:v>
                </c:pt>
                <c:pt idx="589">
                  <c:v>19.65</c:v>
                </c:pt>
                <c:pt idx="590">
                  <c:v>19.7</c:v>
                </c:pt>
                <c:pt idx="591">
                  <c:v>19.75</c:v>
                </c:pt>
                <c:pt idx="592">
                  <c:v>19.75</c:v>
                </c:pt>
                <c:pt idx="593">
                  <c:v>19.8</c:v>
                </c:pt>
                <c:pt idx="594">
                  <c:v>19.85</c:v>
                </c:pt>
                <c:pt idx="595">
                  <c:v>19.85</c:v>
                </c:pt>
                <c:pt idx="596">
                  <c:v>19.9</c:v>
                </c:pt>
                <c:pt idx="597">
                  <c:v>19.95</c:v>
                </c:pt>
                <c:pt idx="598">
                  <c:v>19.95</c:v>
                </c:pt>
                <c:pt idx="599">
                  <c:v>20</c:v>
                </c:pt>
                <c:pt idx="600">
                  <c:v>20.05</c:v>
                </c:pt>
                <c:pt idx="601">
                  <c:v>20.05</c:v>
                </c:pt>
                <c:pt idx="602">
                  <c:v>20.1</c:v>
                </c:pt>
                <c:pt idx="603">
                  <c:v>20.15</c:v>
                </c:pt>
                <c:pt idx="604">
                  <c:v>20.15</c:v>
                </c:pt>
                <c:pt idx="605">
                  <c:v>20.2</c:v>
                </c:pt>
                <c:pt idx="606">
                  <c:v>20.25</c:v>
                </c:pt>
                <c:pt idx="607">
                  <c:v>20.25</c:v>
                </c:pt>
                <c:pt idx="608">
                  <c:v>20.3</c:v>
                </c:pt>
                <c:pt idx="609">
                  <c:v>20.35</c:v>
                </c:pt>
                <c:pt idx="610">
                  <c:v>20.35</c:v>
                </c:pt>
                <c:pt idx="611">
                  <c:v>20.4</c:v>
                </c:pt>
                <c:pt idx="612">
                  <c:v>20.45</c:v>
                </c:pt>
                <c:pt idx="613">
                  <c:v>20.45</c:v>
                </c:pt>
                <c:pt idx="614">
                  <c:v>20.5</c:v>
                </c:pt>
                <c:pt idx="615">
                  <c:v>20.55</c:v>
                </c:pt>
                <c:pt idx="616">
                  <c:v>20.55</c:v>
                </c:pt>
                <c:pt idx="617">
                  <c:v>20.6</c:v>
                </c:pt>
                <c:pt idx="618">
                  <c:v>20.65</c:v>
                </c:pt>
                <c:pt idx="619">
                  <c:v>20.65</c:v>
                </c:pt>
                <c:pt idx="620">
                  <c:v>20.7</c:v>
                </c:pt>
                <c:pt idx="621">
                  <c:v>20.75</c:v>
                </c:pt>
                <c:pt idx="622">
                  <c:v>20.75</c:v>
                </c:pt>
                <c:pt idx="623">
                  <c:v>20.8</c:v>
                </c:pt>
                <c:pt idx="624">
                  <c:v>20.85</c:v>
                </c:pt>
                <c:pt idx="625">
                  <c:v>20.85</c:v>
                </c:pt>
                <c:pt idx="626">
                  <c:v>20.9</c:v>
                </c:pt>
                <c:pt idx="627">
                  <c:v>20.95</c:v>
                </c:pt>
                <c:pt idx="628">
                  <c:v>20.95</c:v>
                </c:pt>
                <c:pt idx="629">
                  <c:v>21</c:v>
                </c:pt>
                <c:pt idx="630">
                  <c:v>21.05</c:v>
                </c:pt>
                <c:pt idx="631">
                  <c:v>21.05</c:v>
                </c:pt>
                <c:pt idx="632">
                  <c:v>21.1</c:v>
                </c:pt>
                <c:pt idx="633">
                  <c:v>21.15</c:v>
                </c:pt>
                <c:pt idx="634">
                  <c:v>21.15</c:v>
                </c:pt>
                <c:pt idx="635">
                  <c:v>21.2</c:v>
                </c:pt>
                <c:pt idx="636">
                  <c:v>21.25</c:v>
                </c:pt>
                <c:pt idx="637">
                  <c:v>21.25</c:v>
                </c:pt>
                <c:pt idx="638">
                  <c:v>21.3</c:v>
                </c:pt>
                <c:pt idx="639">
                  <c:v>21.35</c:v>
                </c:pt>
                <c:pt idx="640">
                  <c:v>21.35</c:v>
                </c:pt>
                <c:pt idx="641">
                  <c:v>21.4</c:v>
                </c:pt>
                <c:pt idx="642">
                  <c:v>21.45</c:v>
                </c:pt>
                <c:pt idx="643">
                  <c:v>21.45</c:v>
                </c:pt>
                <c:pt idx="644">
                  <c:v>21.5</c:v>
                </c:pt>
                <c:pt idx="645">
                  <c:v>21.55</c:v>
                </c:pt>
                <c:pt idx="646">
                  <c:v>21.55</c:v>
                </c:pt>
                <c:pt idx="647">
                  <c:v>21.6</c:v>
                </c:pt>
                <c:pt idx="648">
                  <c:v>21.65</c:v>
                </c:pt>
                <c:pt idx="649">
                  <c:v>21.65</c:v>
                </c:pt>
                <c:pt idx="650">
                  <c:v>21.7</c:v>
                </c:pt>
                <c:pt idx="651">
                  <c:v>21.75</c:v>
                </c:pt>
                <c:pt idx="652">
                  <c:v>21.75</c:v>
                </c:pt>
                <c:pt idx="653">
                  <c:v>21.8</c:v>
                </c:pt>
                <c:pt idx="654">
                  <c:v>21.85</c:v>
                </c:pt>
                <c:pt idx="655">
                  <c:v>21.85</c:v>
                </c:pt>
                <c:pt idx="656">
                  <c:v>21.9</c:v>
                </c:pt>
                <c:pt idx="657">
                  <c:v>21.95</c:v>
                </c:pt>
                <c:pt idx="658">
                  <c:v>21.95</c:v>
                </c:pt>
                <c:pt idx="659">
                  <c:v>22</c:v>
                </c:pt>
                <c:pt idx="660">
                  <c:v>22.05</c:v>
                </c:pt>
                <c:pt idx="661">
                  <c:v>22.05</c:v>
                </c:pt>
                <c:pt idx="662">
                  <c:v>22.1</c:v>
                </c:pt>
                <c:pt idx="663">
                  <c:v>22.15</c:v>
                </c:pt>
                <c:pt idx="664">
                  <c:v>22.15</c:v>
                </c:pt>
                <c:pt idx="665">
                  <c:v>22.2</c:v>
                </c:pt>
                <c:pt idx="666">
                  <c:v>22.25</c:v>
                </c:pt>
                <c:pt idx="667">
                  <c:v>22.25</c:v>
                </c:pt>
                <c:pt idx="668">
                  <c:v>22.3</c:v>
                </c:pt>
                <c:pt idx="669">
                  <c:v>22.35</c:v>
                </c:pt>
                <c:pt idx="670">
                  <c:v>22.35</c:v>
                </c:pt>
                <c:pt idx="671">
                  <c:v>22.4</c:v>
                </c:pt>
                <c:pt idx="672">
                  <c:v>22.45</c:v>
                </c:pt>
                <c:pt idx="673">
                  <c:v>22.45</c:v>
                </c:pt>
                <c:pt idx="674">
                  <c:v>22.5</c:v>
                </c:pt>
                <c:pt idx="675">
                  <c:v>22.55</c:v>
                </c:pt>
                <c:pt idx="676">
                  <c:v>22.55</c:v>
                </c:pt>
                <c:pt idx="677">
                  <c:v>22.6</c:v>
                </c:pt>
                <c:pt idx="678">
                  <c:v>22.65</c:v>
                </c:pt>
                <c:pt idx="679">
                  <c:v>22.65</c:v>
                </c:pt>
                <c:pt idx="680">
                  <c:v>22.7</c:v>
                </c:pt>
                <c:pt idx="681">
                  <c:v>22.75</c:v>
                </c:pt>
                <c:pt idx="682">
                  <c:v>22.75</c:v>
                </c:pt>
                <c:pt idx="683">
                  <c:v>22.8</c:v>
                </c:pt>
                <c:pt idx="684">
                  <c:v>22.85</c:v>
                </c:pt>
                <c:pt idx="685">
                  <c:v>22.85</c:v>
                </c:pt>
                <c:pt idx="686">
                  <c:v>22.9</c:v>
                </c:pt>
                <c:pt idx="687">
                  <c:v>22.95</c:v>
                </c:pt>
                <c:pt idx="688">
                  <c:v>22.95</c:v>
                </c:pt>
                <c:pt idx="689">
                  <c:v>23</c:v>
                </c:pt>
                <c:pt idx="690">
                  <c:v>23.05</c:v>
                </c:pt>
                <c:pt idx="691">
                  <c:v>23.05</c:v>
                </c:pt>
                <c:pt idx="692">
                  <c:v>23.1</c:v>
                </c:pt>
                <c:pt idx="693">
                  <c:v>23.15</c:v>
                </c:pt>
                <c:pt idx="694">
                  <c:v>23.15</c:v>
                </c:pt>
                <c:pt idx="695">
                  <c:v>23.2</c:v>
                </c:pt>
                <c:pt idx="696">
                  <c:v>23.25</c:v>
                </c:pt>
                <c:pt idx="697">
                  <c:v>23.25</c:v>
                </c:pt>
                <c:pt idx="698">
                  <c:v>23.3</c:v>
                </c:pt>
                <c:pt idx="699">
                  <c:v>23.35</c:v>
                </c:pt>
                <c:pt idx="700">
                  <c:v>23.35</c:v>
                </c:pt>
                <c:pt idx="701">
                  <c:v>23.4</c:v>
                </c:pt>
                <c:pt idx="702">
                  <c:v>23.45</c:v>
                </c:pt>
                <c:pt idx="703">
                  <c:v>23.45</c:v>
                </c:pt>
                <c:pt idx="704">
                  <c:v>23.5</c:v>
                </c:pt>
                <c:pt idx="705">
                  <c:v>23.55</c:v>
                </c:pt>
                <c:pt idx="706">
                  <c:v>23.55</c:v>
                </c:pt>
                <c:pt idx="707">
                  <c:v>23.6</c:v>
                </c:pt>
                <c:pt idx="708">
                  <c:v>23.65</c:v>
                </c:pt>
                <c:pt idx="709">
                  <c:v>23.65</c:v>
                </c:pt>
                <c:pt idx="710">
                  <c:v>23.7</c:v>
                </c:pt>
                <c:pt idx="711">
                  <c:v>23.75</c:v>
                </c:pt>
                <c:pt idx="712">
                  <c:v>23.75</c:v>
                </c:pt>
                <c:pt idx="713">
                  <c:v>23.8</c:v>
                </c:pt>
                <c:pt idx="714">
                  <c:v>23.85</c:v>
                </c:pt>
                <c:pt idx="715">
                  <c:v>23.85</c:v>
                </c:pt>
                <c:pt idx="716">
                  <c:v>23.9</c:v>
                </c:pt>
                <c:pt idx="717">
                  <c:v>23.95</c:v>
                </c:pt>
                <c:pt idx="718">
                  <c:v>23.95</c:v>
                </c:pt>
                <c:pt idx="719">
                  <c:v>24</c:v>
                </c:pt>
                <c:pt idx="720">
                  <c:v>24.05</c:v>
                </c:pt>
                <c:pt idx="721">
                  <c:v>24.05</c:v>
                </c:pt>
                <c:pt idx="722">
                  <c:v>24.1</c:v>
                </c:pt>
                <c:pt idx="723">
                  <c:v>24.15</c:v>
                </c:pt>
                <c:pt idx="724">
                  <c:v>24.15</c:v>
                </c:pt>
                <c:pt idx="725">
                  <c:v>24.2</c:v>
                </c:pt>
                <c:pt idx="726">
                  <c:v>24.25</c:v>
                </c:pt>
                <c:pt idx="727">
                  <c:v>24.25</c:v>
                </c:pt>
                <c:pt idx="728">
                  <c:v>24.3</c:v>
                </c:pt>
                <c:pt idx="729">
                  <c:v>24.35</c:v>
                </c:pt>
                <c:pt idx="730">
                  <c:v>24.35</c:v>
                </c:pt>
                <c:pt idx="731">
                  <c:v>24.4</c:v>
                </c:pt>
                <c:pt idx="732">
                  <c:v>24.45</c:v>
                </c:pt>
                <c:pt idx="733">
                  <c:v>24.45</c:v>
                </c:pt>
                <c:pt idx="734">
                  <c:v>24.5</c:v>
                </c:pt>
                <c:pt idx="735">
                  <c:v>24.55</c:v>
                </c:pt>
                <c:pt idx="736">
                  <c:v>24.55</c:v>
                </c:pt>
                <c:pt idx="737">
                  <c:v>24.6</c:v>
                </c:pt>
                <c:pt idx="738">
                  <c:v>24.65</c:v>
                </c:pt>
                <c:pt idx="739">
                  <c:v>24.65</c:v>
                </c:pt>
                <c:pt idx="740">
                  <c:v>24.7</c:v>
                </c:pt>
                <c:pt idx="741">
                  <c:v>24.75</c:v>
                </c:pt>
                <c:pt idx="742">
                  <c:v>24.75</c:v>
                </c:pt>
                <c:pt idx="743">
                  <c:v>24.8</c:v>
                </c:pt>
                <c:pt idx="744">
                  <c:v>24.85</c:v>
                </c:pt>
                <c:pt idx="745">
                  <c:v>24.85</c:v>
                </c:pt>
                <c:pt idx="746">
                  <c:v>24.9</c:v>
                </c:pt>
                <c:pt idx="747">
                  <c:v>24.95</c:v>
                </c:pt>
                <c:pt idx="748">
                  <c:v>24.95</c:v>
                </c:pt>
                <c:pt idx="749">
                  <c:v>25</c:v>
                </c:pt>
                <c:pt idx="750">
                  <c:v>25.05</c:v>
                </c:pt>
                <c:pt idx="751">
                  <c:v>25.05</c:v>
                </c:pt>
                <c:pt idx="752">
                  <c:v>25.1</c:v>
                </c:pt>
                <c:pt idx="753">
                  <c:v>25.15</c:v>
                </c:pt>
                <c:pt idx="754">
                  <c:v>25.15</c:v>
                </c:pt>
                <c:pt idx="755">
                  <c:v>25.2</c:v>
                </c:pt>
                <c:pt idx="756">
                  <c:v>25.25</c:v>
                </c:pt>
                <c:pt idx="757">
                  <c:v>25.25</c:v>
                </c:pt>
                <c:pt idx="758">
                  <c:v>25.3</c:v>
                </c:pt>
                <c:pt idx="759">
                  <c:v>25.35</c:v>
                </c:pt>
                <c:pt idx="760">
                  <c:v>25.35</c:v>
                </c:pt>
                <c:pt idx="761">
                  <c:v>25.4</c:v>
                </c:pt>
                <c:pt idx="762">
                  <c:v>25.45</c:v>
                </c:pt>
                <c:pt idx="763">
                  <c:v>25.5</c:v>
                </c:pt>
                <c:pt idx="764">
                  <c:v>25.5</c:v>
                </c:pt>
                <c:pt idx="765">
                  <c:v>25.55</c:v>
                </c:pt>
                <c:pt idx="766">
                  <c:v>25.6</c:v>
                </c:pt>
                <c:pt idx="767">
                  <c:v>25.6</c:v>
                </c:pt>
                <c:pt idx="768">
                  <c:v>25.65</c:v>
                </c:pt>
                <c:pt idx="769">
                  <c:v>25.7</c:v>
                </c:pt>
                <c:pt idx="770">
                  <c:v>25.7</c:v>
                </c:pt>
                <c:pt idx="771">
                  <c:v>25.75</c:v>
                </c:pt>
                <c:pt idx="772">
                  <c:v>25.8</c:v>
                </c:pt>
                <c:pt idx="773">
                  <c:v>25.8</c:v>
                </c:pt>
                <c:pt idx="774">
                  <c:v>25.85</c:v>
                </c:pt>
                <c:pt idx="775">
                  <c:v>25.9</c:v>
                </c:pt>
                <c:pt idx="776">
                  <c:v>25.9</c:v>
                </c:pt>
                <c:pt idx="777">
                  <c:v>25.95</c:v>
                </c:pt>
                <c:pt idx="778">
                  <c:v>26</c:v>
                </c:pt>
                <c:pt idx="779">
                  <c:v>26</c:v>
                </c:pt>
                <c:pt idx="780">
                  <c:v>26.05</c:v>
                </c:pt>
                <c:pt idx="781">
                  <c:v>26.1</c:v>
                </c:pt>
                <c:pt idx="782">
                  <c:v>26.1</c:v>
                </c:pt>
                <c:pt idx="783">
                  <c:v>26.15</c:v>
                </c:pt>
                <c:pt idx="784">
                  <c:v>26.2</c:v>
                </c:pt>
                <c:pt idx="785">
                  <c:v>26.2</c:v>
                </c:pt>
                <c:pt idx="786">
                  <c:v>26.25</c:v>
                </c:pt>
                <c:pt idx="787">
                  <c:v>26.3</c:v>
                </c:pt>
                <c:pt idx="788">
                  <c:v>26.3</c:v>
                </c:pt>
                <c:pt idx="789">
                  <c:v>26.35</c:v>
                </c:pt>
                <c:pt idx="790">
                  <c:v>26.4</c:v>
                </c:pt>
                <c:pt idx="791">
                  <c:v>26.4</c:v>
                </c:pt>
                <c:pt idx="792">
                  <c:v>26.45</c:v>
                </c:pt>
                <c:pt idx="793">
                  <c:v>26.5</c:v>
                </c:pt>
                <c:pt idx="794">
                  <c:v>26.5</c:v>
                </c:pt>
                <c:pt idx="795">
                  <c:v>26.55</c:v>
                </c:pt>
                <c:pt idx="796">
                  <c:v>26.6</c:v>
                </c:pt>
                <c:pt idx="797">
                  <c:v>26.6</c:v>
                </c:pt>
                <c:pt idx="798">
                  <c:v>26.65</c:v>
                </c:pt>
                <c:pt idx="799">
                  <c:v>26.7</c:v>
                </c:pt>
                <c:pt idx="800">
                  <c:v>26.7</c:v>
                </c:pt>
                <c:pt idx="801">
                  <c:v>26.75</c:v>
                </c:pt>
                <c:pt idx="802">
                  <c:v>26.8</c:v>
                </c:pt>
                <c:pt idx="803">
                  <c:v>26.8</c:v>
                </c:pt>
                <c:pt idx="804">
                  <c:v>26.85</c:v>
                </c:pt>
                <c:pt idx="805">
                  <c:v>26.9</c:v>
                </c:pt>
                <c:pt idx="806">
                  <c:v>26.9</c:v>
                </c:pt>
                <c:pt idx="807">
                  <c:v>26.95</c:v>
                </c:pt>
                <c:pt idx="808">
                  <c:v>27</c:v>
                </c:pt>
                <c:pt idx="809">
                  <c:v>27</c:v>
                </c:pt>
                <c:pt idx="810">
                  <c:v>27.05</c:v>
                </c:pt>
                <c:pt idx="811">
                  <c:v>27.1</c:v>
                </c:pt>
                <c:pt idx="812">
                  <c:v>27.1</c:v>
                </c:pt>
                <c:pt idx="813">
                  <c:v>27.15</c:v>
                </c:pt>
                <c:pt idx="814">
                  <c:v>27.2</c:v>
                </c:pt>
                <c:pt idx="815">
                  <c:v>27.2</c:v>
                </c:pt>
                <c:pt idx="816">
                  <c:v>27.25</c:v>
                </c:pt>
                <c:pt idx="817">
                  <c:v>27.3</c:v>
                </c:pt>
                <c:pt idx="818">
                  <c:v>27.3</c:v>
                </c:pt>
                <c:pt idx="819">
                  <c:v>27.35</c:v>
                </c:pt>
                <c:pt idx="820">
                  <c:v>27.4</c:v>
                </c:pt>
                <c:pt idx="821">
                  <c:v>27.4</c:v>
                </c:pt>
                <c:pt idx="822">
                  <c:v>27.45</c:v>
                </c:pt>
                <c:pt idx="823">
                  <c:v>27.5</c:v>
                </c:pt>
                <c:pt idx="824">
                  <c:v>27.5</c:v>
                </c:pt>
                <c:pt idx="825">
                  <c:v>27.55</c:v>
                </c:pt>
                <c:pt idx="826">
                  <c:v>27.6</c:v>
                </c:pt>
                <c:pt idx="827">
                  <c:v>27.6</c:v>
                </c:pt>
                <c:pt idx="828">
                  <c:v>27.65</c:v>
                </c:pt>
                <c:pt idx="829">
                  <c:v>27.7</c:v>
                </c:pt>
                <c:pt idx="830">
                  <c:v>27.7</c:v>
                </c:pt>
                <c:pt idx="831">
                  <c:v>27.75</c:v>
                </c:pt>
                <c:pt idx="832">
                  <c:v>27.8</c:v>
                </c:pt>
                <c:pt idx="833">
                  <c:v>27.8</c:v>
                </c:pt>
                <c:pt idx="834">
                  <c:v>27.85</c:v>
                </c:pt>
                <c:pt idx="835">
                  <c:v>27.9</c:v>
                </c:pt>
                <c:pt idx="836">
                  <c:v>27.9</c:v>
                </c:pt>
                <c:pt idx="837">
                  <c:v>27.95</c:v>
                </c:pt>
                <c:pt idx="838">
                  <c:v>28</c:v>
                </c:pt>
                <c:pt idx="839">
                  <c:v>28</c:v>
                </c:pt>
                <c:pt idx="840">
                  <c:v>28.05</c:v>
                </c:pt>
                <c:pt idx="841">
                  <c:v>28.1</c:v>
                </c:pt>
                <c:pt idx="842">
                  <c:v>28.1</c:v>
                </c:pt>
                <c:pt idx="843">
                  <c:v>28.15</c:v>
                </c:pt>
                <c:pt idx="844">
                  <c:v>28.2</c:v>
                </c:pt>
                <c:pt idx="845">
                  <c:v>28.2</c:v>
                </c:pt>
                <c:pt idx="846">
                  <c:v>28.25</c:v>
                </c:pt>
                <c:pt idx="847">
                  <c:v>28.3</c:v>
                </c:pt>
                <c:pt idx="848">
                  <c:v>28.3</c:v>
                </c:pt>
                <c:pt idx="849">
                  <c:v>28.35</c:v>
                </c:pt>
                <c:pt idx="850">
                  <c:v>28.4</c:v>
                </c:pt>
                <c:pt idx="851">
                  <c:v>28.4</c:v>
                </c:pt>
                <c:pt idx="852">
                  <c:v>28.45</c:v>
                </c:pt>
                <c:pt idx="853">
                  <c:v>28.5</c:v>
                </c:pt>
                <c:pt idx="854">
                  <c:v>28.5</c:v>
                </c:pt>
                <c:pt idx="855">
                  <c:v>28.55</c:v>
                </c:pt>
                <c:pt idx="856">
                  <c:v>28.6</c:v>
                </c:pt>
                <c:pt idx="857">
                  <c:v>28.6</c:v>
                </c:pt>
                <c:pt idx="858">
                  <c:v>28.65</c:v>
                </c:pt>
                <c:pt idx="859">
                  <c:v>28.7</c:v>
                </c:pt>
                <c:pt idx="860">
                  <c:v>28.7</c:v>
                </c:pt>
                <c:pt idx="861">
                  <c:v>28.75</c:v>
                </c:pt>
                <c:pt idx="862">
                  <c:v>28.8</c:v>
                </c:pt>
                <c:pt idx="863">
                  <c:v>28.8</c:v>
                </c:pt>
                <c:pt idx="864">
                  <c:v>28.85</c:v>
                </c:pt>
                <c:pt idx="865">
                  <c:v>28.9</c:v>
                </c:pt>
                <c:pt idx="866">
                  <c:v>28.9</c:v>
                </c:pt>
                <c:pt idx="867">
                  <c:v>28.95</c:v>
                </c:pt>
                <c:pt idx="868">
                  <c:v>29</c:v>
                </c:pt>
                <c:pt idx="869">
                  <c:v>29</c:v>
                </c:pt>
                <c:pt idx="870">
                  <c:v>29.05</c:v>
                </c:pt>
                <c:pt idx="871">
                  <c:v>29.1</c:v>
                </c:pt>
                <c:pt idx="872">
                  <c:v>29.1</c:v>
                </c:pt>
                <c:pt idx="873">
                  <c:v>29.15</c:v>
                </c:pt>
                <c:pt idx="874">
                  <c:v>29.2</c:v>
                </c:pt>
                <c:pt idx="875">
                  <c:v>29.2</c:v>
                </c:pt>
                <c:pt idx="876">
                  <c:v>29.25</c:v>
                </c:pt>
                <c:pt idx="877">
                  <c:v>29.3</c:v>
                </c:pt>
                <c:pt idx="878">
                  <c:v>29.3</c:v>
                </c:pt>
                <c:pt idx="879">
                  <c:v>29.35</c:v>
                </c:pt>
                <c:pt idx="880">
                  <c:v>29.4</c:v>
                </c:pt>
                <c:pt idx="881">
                  <c:v>29.4</c:v>
                </c:pt>
                <c:pt idx="882">
                  <c:v>29.45</c:v>
                </c:pt>
                <c:pt idx="883">
                  <c:v>29.5</c:v>
                </c:pt>
                <c:pt idx="884">
                  <c:v>29.5</c:v>
                </c:pt>
                <c:pt idx="885">
                  <c:v>29.55</c:v>
                </c:pt>
                <c:pt idx="886">
                  <c:v>29.6</c:v>
                </c:pt>
                <c:pt idx="887">
                  <c:v>29.6</c:v>
                </c:pt>
                <c:pt idx="888">
                  <c:v>29.65</c:v>
                </c:pt>
                <c:pt idx="889">
                  <c:v>29.7</c:v>
                </c:pt>
                <c:pt idx="890">
                  <c:v>29.7</c:v>
                </c:pt>
                <c:pt idx="891">
                  <c:v>29.75</c:v>
                </c:pt>
                <c:pt idx="892">
                  <c:v>29.8</c:v>
                </c:pt>
                <c:pt idx="893">
                  <c:v>29.8</c:v>
                </c:pt>
                <c:pt idx="894">
                  <c:v>29.85</c:v>
                </c:pt>
                <c:pt idx="895">
                  <c:v>29.9</c:v>
                </c:pt>
                <c:pt idx="896">
                  <c:v>29.9</c:v>
                </c:pt>
                <c:pt idx="897">
                  <c:v>29.95</c:v>
                </c:pt>
                <c:pt idx="898">
                  <c:v>30</c:v>
                </c:pt>
                <c:pt idx="899">
                  <c:v>30</c:v>
                </c:pt>
                <c:pt idx="900">
                  <c:v>30.05</c:v>
                </c:pt>
                <c:pt idx="901">
                  <c:v>30.1</c:v>
                </c:pt>
                <c:pt idx="902">
                  <c:v>30.1</c:v>
                </c:pt>
                <c:pt idx="903">
                  <c:v>30.15</c:v>
                </c:pt>
                <c:pt idx="904">
                  <c:v>30.2</c:v>
                </c:pt>
                <c:pt idx="905">
                  <c:v>30.2</c:v>
                </c:pt>
                <c:pt idx="906">
                  <c:v>30.25</c:v>
                </c:pt>
                <c:pt idx="907">
                  <c:v>30.3</c:v>
                </c:pt>
                <c:pt idx="908">
                  <c:v>30.3</c:v>
                </c:pt>
                <c:pt idx="909">
                  <c:v>30.35</c:v>
                </c:pt>
                <c:pt idx="910">
                  <c:v>30.4</c:v>
                </c:pt>
                <c:pt idx="911">
                  <c:v>30.4</c:v>
                </c:pt>
                <c:pt idx="912">
                  <c:v>30.45</c:v>
                </c:pt>
                <c:pt idx="913">
                  <c:v>30.5</c:v>
                </c:pt>
                <c:pt idx="914">
                  <c:v>30.5</c:v>
                </c:pt>
                <c:pt idx="915">
                  <c:v>30.55</c:v>
                </c:pt>
                <c:pt idx="916">
                  <c:v>30.6</c:v>
                </c:pt>
                <c:pt idx="917">
                  <c:v>30.6</c:v>
                </c:pt>
                <c:pt idx="918">
                  <c:v>30.65</c:v>
                </c:pt>
                <c:pt idx="919">
                  <c:v>30.7</c:v>
                </c:pt>
                <c:pt idx="920">
                  <c:v>30.7</c:v>
                </c:pt>
                <c:pt idx="921">
                  <c:v>30.75</c:v>
                </c:pt>
                <c:pt idx="922">
                  <c:v>30.8</c:v>
                </c:pt>
                <c:pt idx="923">
                  <c:v>30.8</c:v>
                </c:pt>
                <c:pt idx="924">
                  <c:v>30.85</c:v>
                </c:pt>
                <c:pt idx="925">
                  <c:v>30.9</c:v>
                </c:pt>
                <c:pt idx="926">
                  <c:v>30.9</c:v>
                </c:pt>
                <c:pt idx="927">
                  <c:v>30.95</c:v>
                </c:pt>
                <c:pt idx="928">
                  <c:v>31</c:v>
                </c:pt>
                <c:pt idx="929">
                  <c:v>31</c:v>
                </c:pt>
                <c:pt idx="930">
                  <c:v>31.05</c:v>
                </c:pt>
                <c:pt idx="931">
                  <c:v>31.1</c:v>
                </c:pt>
                <c:pt idx="932">
                  <c:v>31.1</c:v>
                </c:pt>
                <c:pt idx="933">
                  <c:v>31.15</c:v>
                </c:pt>
                <c:pt idx="934">
                  <c:v>31.2</c:v>
                </c:pt>
                <c:pt idx="935">
                  <c:v>31.2</c:v>
                </c:pt>
                <c:pt idx="936">
                  <c:v>31.25</c:v>
                </c:pt>
                <c:pt idx="937">
                  <c:v>31.3</c:v>
                </c:pt>
                <c:pt idx="938">
                  <c:v>31.3</c:v>
                </c:pt>
                <c:pt idx="939">
                  <c:v>31.35</c:v>
                </c:pt>
                <c:pt idx="940">
                  <c:v>31.4</c:v>
                </c:pt>
                <c:pt idx="941">
                  <c:v>31.4</c:v>
                </c:pt>
                <c:pt idx="942">
                  <c:v>31.45</c:v>
                </c:pt>
                <c:pt idx="943">
                  <c:v>31.5</c:v>
                </c:pt>
                <c:pt idx="944">
                  <c:v>31.5</c:v>
                </c:pt>
                <c:pt idx="945">
                  <c:v>31.55</c:v>
                </c:pt>
                <c:pt idx="946">
                  <c:v>31.6</c:v>
                </c:pt>
                <c:pt idx="947">
                  <c:v>31.6</c:v>
                </c:pt>
                <c:pt idx="948">
                  <c:v>31.65</c:v>
                </c:pt>
                <c:pt idx="949">
                  <c:v>31.7</c:v>
                </c:pt>
                <c:pt idx="950">
                  <c:v>31.7</c:v>
                </c:pt>
                <c:pt idx="951">
                  <c:v>31.75</c:v>
                </c:pt>
                <c:pt idx="952">
                  <c:v>31.8</c:v>
                </c:pt>
                <c:pt idx="953">
                  <c:v>31.8</c:v>
                </c:pt>
                <c:pt idx="954">
                  <c:v>31.85</c:v>
                </c:pt>
                <c:pt idx="955">
                  <c:v>31.9</c:v>
                </c:pt>
                <c:pt idx="956">
                  <c:v>31.95</c:v>
                </c:pt>
                <c:pt idx="957">
                  <c:v>31.95</c:v>
                </c:pt>
                <c:pt idx="958">
                  <c:v>32</c:v>
                </c:pt>
                <c:pt idx="959">
                  <c:v>32.05</c:v>
                </c:pt>
                <c:pt idx="960">
                  <c:v>32.05</c:v>
                </c:pt>
                <c:pt idx="961">
                  <c:v>32.1</c:v>
                </c:pt>
                <c:pt idx="962">
                  <c:v>32.15</c:v>
                </c:pt>
                <c:pt idx="963">
                  <c:v>32.15</c:v>
                </c:pt>
                <c:pt idx="964">
                  <c:v>32.2</c:v>
                </c:pt>
                <c:pt idx="965">
                  <c:v>32.25</c:v>
                </c:pt>
                <c:pt idx="966">
                  <c:v>32.25</c:v>
                </c:pt>
                <c:pt idx="967">
                  <c:v>32.3</c:v>
                </c:pt>
                <c:pt idx="968">
                  <c:v>32.35</c:v>
                </c:pt>
                <c:pt idx="969">
                  <c:v>32.35</c:v>
                </c:pt>
                <c:pt idx="970">
                  <c:v>32.4</c:v>
                </c:pt>
                <c:pt idx="971">
                  <c:v>32.45</c:v>
                </c:pt>
                <c:pt idx="972">
                  <c:v>32.45</c:v>
                </c:pt>
                <c:pt idx="973">
                  <c:v>32.5</c:v>
                </c:pt>
                <c:pt idx="974">
                  <c:v>32.55</c:v>
                </c:pt>
                <c:pt idx="975">
                  <c:v>32.55</c:v>
                </c:pt>
                <c:pt idx="976">
                  <c:v>32.6</c:v>
                </c:pt>
                <c:pt idx="977">
                  <c:v>32.65</c:v>
                </c:pt>
                <c:pt idx="978">
                  <c:v>32.65</c:v>
                </c:pt>
                <c:pt idx="979">
                  <c:v>32.7</c:v>
                </c:pt>
                <c:pt idx="980">
                  <c:v>32.75</c:v>
                </c:pt>
                <c:pt idx="981">
                  <c:v>32.75</c:v>
                </c:pt>
                <c:pt idx="982">
                  <c:v>32.8</c:v>
                </c:pt>
                <c:pt idx="983">
                  <c:v>32.85</c:v>
                </c:pt>
                <c:pt idx="984">
                  <c:v>32.85</c:v>
                </c:pt>
                <c:pt idx="985">
                  <c:v>32.9</c:v>
                </c:pt>
                <c:pt idx="986">
                  <c:v>32.95</c:v>
                </c:pt>
                <c:pt idx="987">
                  <c:v>32.95</c:v>
                </c:pt>
                <c:pt idx="988">
                  <c:v>33</c:v>
                </c:pt>
                <c:pt idx="989">
                  <c:v>33.05</c:v>
                </c:pt>
                <c:pt idx="990">
                  <c:v>33.05</c:v>
                </c:pt>
                <c:pt idx="991">
                  <c:v>33.1</c:v>
                </c:pt>
                <c:pt idx="992">
                  <c:v>33.15</c:v>
                </c:pt>
                <c:pt idx="993">
                  <c:v>33.15</c:v>
                </c:pt>
                <c:pt idx="994">
                  <c:v>33.2</c:v>
                </c:pt>
                <c:pt idx="995">
                  <c:v>33.25</c:v>
                </c:pt>
                <c:pt idx="996">
                  <c:v>33.25</c:v>
                </c:pt>
                <c:pt idx="997">
                  <c:v>33.3</c:v>
                </c:pt>
                <c:pt idx="998">
                  <c:v>33.35</c:v>
                </c:pt>
                <c:pt idx="999">
                  <c:v>33.35</c:v>
                </c:pt>
                <c:pt idx="1000">
                  <c:v>33.4</c:v>
                </c:pt>
                <c:pt idx="1001">
                  <c:v>33.45</c:v>
                </c:pt>
                <c:pt idx="1002">
                  <c:v>33.45</c:v>
                </c:pt>
                <c:pt idx="1003">
                  <c:v>33.5</c:v>
                </c:pt>
                <c:pt idx="1004">
                  <c:v>33.55</c:v>
                </c:pt>
                <c:pt idx="1005">
                  <c:v>33.55</c:v>
                </c:pt>
                <c:pt idx="1006">
                  <c:v>33.6</c:v>
                </c:pt>
                <c:pt idx="1007">
                  <c:v>33.65</c:v>
                </c:pt>
                <c:pt idx="1008">
                  <c:v>33.65</c:v>
                </c:pt>
                <c:pt idx="1009">
                  <c:v>33.7</c:v>
                </c:pt>
                <c:pt idx="1010">
                  <c:v>33.75</c:v>
                </c:pt>
                <c:pt idx="1011">
                  <c:v>33.75</c:v>
                </c:pt>
                <c:pt idx="1012">
                  <c:v>33.8</c:v>
                </c:pt>
                <c:pt idx="1013">
                  <c:v>33.85</c:v>
                </c:pt>
                <c:pt idx="1014">
                  <c:v>33.85</c:v>
                </c:pt>
                <c:pt idx="1015">
                  <c:v>33.9</c:v>
                </c:pt>
                <c:pt idx="1016">
                  <c:v>33.95</c:v>
                </c:pt>
                <c:pt idx="1017">
                  <c:v>33.95</c:v>
                </c:pt>
                <c:pt idx="1018">
                  <c:v>34</c:v>
                </c:pt>
                <c:pt idx="1019">
                  <c:v>34.05</c:v>
                </c:pt>
                <c:pt idx="1020">
                  <c:v>34.05</c:v>
                </c:pt>
                <c:pt idx="1021">
                  <c:v>34.1</c:v>
                </c:pt>
                <c:pt idx="1022">
                  <c:v>34.15</c:v>
                </c:pt>
                <c:pt idx="1023">
                  <c:v>34.15</c:v>
                </c:pt>
                <c:pt idx="1024">
                  <c:v>34.2</c:v>
                </c:pt>
                <c:pt idx="1025">
                  <c:v>34.25</c:v>
                </c:pt>
                <c:pt idx="1026">
                  <c:v>34.25</c:v>
                </c:pt>
                <c:pt idx="1027">
                  <c:v>34.3</c:v>
                </c:pt>
                <c:pt idx="1028">
                  <c:v>34.35</c:v>
                </c:pt>
                <c:pt idx="1029">
                  <c:v>34.35</c:v>
                </c:pt>
                <c:pt idx="1030">
                  <c:v>34.4</c:v>
                </c:pt>
                <c:pt idx="1031">
                  <c:v>34.45</c:v>
                </c:pt>
                <c:pt idx="1032">
                  <c:v>34.45</c:v>
                </c:pt>
                <c:pt idx="1033">
                  <c:v>34.5</c:v>
                </c:pt>
                <c:pt idx="1034">
                  <c:v>34.55</c:v>
                </c:pt>
                <c:pt idx="1035">
                  <c:v>34.55</c:v>
                </c:pt>
                <c:pt idx="1036">
                  <c:v>34.6</c:v>
                </c:pt>
                <c:pt idx="1037">
                  <c:v>34.65</c:v>
                </c:pt>
                <c:pt idx="1038">
                  <c:v>34.65</c:v>
                </c:pt>
                <c:pt idx="1039">
                  <c:v>34.7</c:v>
                </c:pt>
                <c:pt idx="1040">
                  <c:v>34.75</c:v>
                </c:pt>
                <c:pt idx="1041">
                  <c:v>34.75</c:v>
                </c:pt>
                <c:pt idx="1042">
                  <c:v>34.8</c:v>
                </c:pt>
                <c:pt idx="1043">
                  <c:v>34.85</c:v>
                </c:pt>
                <c:pt idx="1044">
                  <c:v>34.85</c:v>
                </c:pt>
                <c:pt idx="1045">
                  <c:v>34.9</c:v>
                </c:pt>
                <c:pt idx="1046">
                  <c:v>34.95</c:v>
                </c:pt>
                <c:pt idx="1047">
                  <c:v>34.95</c:v>
                </c:pt>
                <c:pt idx="1048">
                  <c:v>35</c:v>
                </c:pt>
                <c:pt idx="1049">
                  <c:v>35.05</c:v>
                </c:pt>
                <c:pt idx="1050">
                  <c:v>35.05</c:v>
                </c:pt>
                <c:pt idx="1051">
                  <c:v>35.1</c:v>
                </c:pt>
                <c:pt idx="1052">
                  <c:v>35.15</c:v>
                </c:pt>
                <c:pt idx="1053">
                  <c:v>35.15</c:v>
                </c:pt>
                <c:pt idx="1054">
                  <c:v>35.2</c:v>
                </c:pt>
                <c:pt idx="1055">
                  <c:v>35.25</c:v>
                </c:pt>
                <c:pt idx="1056">
                  <c:v>35.25</c:v>
                </c:pt>
                <c:pt idx="1057">
                  <c:v>35.3</c:v>
                </c:pt>
                <c:pt idx="1058">
                  <c:v>35.35</c:v>
                </c:pt>
                <c:pt idx="1059">
                  <c:v>35.35</c:v>
                </c:pt>
                <c:pt idx="1060">
                  <c:v>35.4</c:v>
                </c:pt>
                <c:pt idx="1061">
                  <c:v>35.45</c:v>
                </c:pt>
                <c:pt idx="1062">
                  <c:v>35.45</c:v>
                </c:pt>
                <c:pt idx="1063">
                  <c:v>35.5</c:v>
                </c:pt>
                <c:pt idx="1064">
                  <c:v>35.55</c:v>
                </c:pt>
                <c:pt idx="1065">
                  <c:v>35.55</c:v>
                </c:pt>
                <c:pt idx="1066">
                  <c:v>35.6</c:v>
                </c:pt>
                <c:pt idx="1067">
                  <c:v>35.65</c:v>
                </c:pt>
                <c:pt idx="1068">
                  <c:v>35.65</c:v>
                </c:pt>
                <c:pt idx="1069">
                  <c:v>35.7</c:v>
                </c:pt>
                <c:pt idx="1070">
                  <c:v>35.75</c:v>
                </c:pt>
                <c:pt idx="1071">
                  <c:v>35.75</c:v>
                </c:pt>
                <c:pt idx="1072">
                  <c:v>35.8</c:v>
                </c:pt>
                <c:pt idx="1073">
                  <c:v>35.85</c:v>
                </c:pt>
                <c:pt idx="1074">
                  <c:v>35.85</c:v>
                </c:pt>
                <c:pt idx="1075">
                  <c:v>35.9</c:v>
                </c:pt>
                <c:pt idx="1076">
                  <c:v>35.95</c:v>
                </c:pt>
                <c:pt idx="1077">
                  <c:v>35.95</c:v>
                </c:pt>
                <c:pt idx="1078">
                  <c:v>36</c:v>
                </c:pt>
                <c:pt idx="1079">
                  <c:v>36.05</c:v>
                </c:pt>
                <c:pt idx="1080">
                  <c:v>36.05</c:v>
                </c:pt>
                <c:pt idx="1081">
                  <c:v>36.1</c:v>
                </c:pt>
                <c:pt idx="1082">
                  <c:v>36.15</c:v>
                </c:pt>
                <c:pt idx="1083">
                  <c:v>36.15</c:v>
                </c:pt>
                <c:pt idx="1084">
                  <c:v>36.2</c:v>
                </c:pt>
                <c:pt idx="1085">
                  <c:v>36.25</c:v>
                </c:pt>
                <c:pt idx="1086">
                  <c:v>36.25</c:v>
                </c:pt>
                <c:pt idx="1087">
                  <c:v>36.3</c:v>
                </c:pt>
                <c:pt idx="1088">
                  <c:v>36.35</c:v>
                </c:pt>
                <c:pt idx="1089">
                  <c:v>36.35</c:v>
                </c:pt>
                <c:pt idx="1090">
                  <c:v>36.4</c:v>
                </c:pt>
                <c:pt idx="1091">
                  <c:v>36.45</c:v>
                </c:pt>
                <c:pt idx="1092">
                  <c:v>36.45</c:v>
                </c:pt>
                <c:pt idx="1093">
                  <c:v>36.5</c:v>
                </c:pt>
                <c:pt idx="1094">
                  <c:v>36.55</c:v>
                </c:pt>
                <c:pt idx="1095">
                  <c:v>36.55</c:v>
                </c:pt>
                <c:pt idx="1096">
                  <c:v>36.6</c:v>
                </c:pt>
                <c:pt idx="1097">
                  <c:v>36.65</c:v>
                </c:pt>
                <c:pt idx="1098">
                  <c:v>36.65</c:v>
                </c:pt>
                <c:pt idx="1099">
                  <c:v>36.7</c:v>
                </c:pt>
                <c:pt idx="1100">
                  <c:v>36.75</c:v>
                </c:pt>
                <c:pt idx="1101">
                  <c:v>36.75</c:v>
                </c:pt>
                <c:pt idx="1102">
                  <c:v>36.8</c:v>
                </c:pt>
                <c:pt idx="1103">
                  <c:v>36.85</c:v>
                </c:pt>
                <c:pt idx="1104">
                  <c:v>36.85</c:v>
                </c:pt>
                <c:pt idx="1105">
                  <c:v>36.9</c:v>
                </c:pt>
                <c:pt idx="1106">
                  <c:v>36.95</c:v>
                </c:pt>
                <c:pt idx="1107">
                  <c:v>36.95</c:v>
                </c:pt>
                <c:pt idx="1108">
                  <c:v>37</c:v>
                </c:pt>
                <c:pt idx="1109">
                  <c:v>37.05</c:v>
                </c:pt>
                <c:pt idx="1110">
                  <c:v>37.05</c:v>
                </c:pt>
                <c:pt idx="1111">
                  <c:v>37.1</c:v>
                </c:pt>
                <c:pt idx="1112">
                  <c:v>37.15</c:v>
                </c:pt>
                <c:pt idx="1113">
                  <c:v>37.15</c:v>
                </c:pt>
                <c:pt idx="1114">
                  <c:v>37.2</c:v>
                </c:pt>
                <c:pt idx="1115">
                  <c:v>37.25</c:v>
                </c:pt>
                <c:pt idx="1116">
                  <c:v>37.25</c:v>
                </c:pt>
                <c:pt idx="1117">
                  <c:v>37.3</c:v>
                </c:pt>
                <c:pt idx="1118">
                  <c:v>37.35</c:v>
                </c:pt>
                <c:pt idx="1119">
                  <c:v>37.35</c:v>
                </c:pt>
                <c:pt idx="1120">
                  <c:v>37.4</c:v>
                </c:pt>
                <c:pt idx="1121">
                  <c:v>37.45</c:v>
                </c:pt>
                <c:pt idx="1122">
                  <c:v>37.45</c:v>
                </c:pt>
                <c:pt idx="1123">
                  <c:v>37.5</c:v>
                </c:pt>
                <c:pt idx="1124">
                  <c:v>37.55</c:v>
                </c:pt>
                <c:pt idx="1125">
                  <c:v>37.55</c:v>
                </c:pt>
                <c:pt idx="1126">
                  <c:v>37.6</c:v>
                </c:pt>
                <c:pt idx="1127">
                  <c:v>37.65</c:v>
                </c:pt>
                <c:pt idx="1128">
                  <c:v>37.65</c:v>
                </c:pt>
                <c:pt idx="1129">
                  <c:v>37.7</c:v>
                </c:pt>
                <c:pt idx="1130">
                  <c:v>37.75</c:v>
                </c:pt>
                <c:pt idx="1131">
                  <c:v>37.75</c:v>
                </c:pt>
                <c:pt idx="1132">
                  <c:v>37.8</c:v>
                </c:pt>
                <c:pt idx="1133">
                  <c:v>37.85</c:v>
                </c:pt>
                <c:pt idx="1134">
                  <c:v>37.85</c:v>
                </c:pt>
                <c:pt idx="1135">
                  <c:v>37.9</c:v>
                </c:pt>
                <c:pt idx="1136">
                  <c:v>37.95</c:v>
                </c:pt>
                <c:pt idx="1137">
                  <c:v>37.95</c:v>
                </c:pt>
                <c:pt idx="1138">
                  <c:v>38</c:v>
                </c:pt>
                <c:pt idx="1139">
                  <c:v>38.05</c:v>
                </c:pt>
                <c:pt idx="1140">
                  <c:v>38.05</c:v>
                </c:pt>
                <c:pt idx="1141">
                  <c:v>38.1</c:v>
                </c:pt>
                <c:pt idx="1142">
                  <c:v>38.15</c:v>
                </c:pt>
                <c:pt idx="1143">
                  <c:v>38.15</c:v>
                </c:pt>
                <c:pt idx="1144">
                  <c:v>38.2</c:v>
                </c:pt>
                <c:pt idx="1145">
                  <c:v>38.25</c:v>
                </c:pt>
                <c:pt idx="1146">
                  <c:v>38.3</c:v>
                </c:pt>
                <c:pt idx="1147">
                  <c:v>38.3</c:v>
                </c:pt>
                <c:pt idx="1148">
                  <c:v>38.35</c:v>
                </c:pt>
                <c:pt idx="1149">
                  <c:v>38.4</c:v>
                </c:pt>
                <c:pt idx="1150">
                  <c:v>38.4</c:v>
                </c:pt>
                <c:pt idx="1151">
                  <c:v>38.45</c:v>
                </c:pt>
                <c:pt idx="1152">
                  <c:v>38.5</c:v>
                </c:pt>
                <c:pt idx="1153">
                  <c:v>38.5</c:v>
                </c:pt>
                <c:pt idx="1154">
                  <c:v>38.55</c:v>
                </c:pt>
                <c:pt idx="1155">
                  <c:v>38.6</c:v>
                </c:pt>
                <c:pt idx="1156">
                  <c:v>38.6</c:v>
                </c:pt>
                <c:pt idx="1157">
                  <c:v>38.65</c:v>
                </c:pt>
                <c:pt idx="1158">
                  <c:v>38.7</c:v>
                </c:pt>
                <c:pt idx="1159">
                  <c:v>38.7</c:v>
                </c:pt>
                <c:pt idx="1160">
                  <c:v>38.75</c:v>
                </c:pt>
                <c:pt idx="1161">
                  <c:v>38.8</c:v>
                </c:pt>
                <c:pt idx="1162">
                  <c:v>38.8</c:v>
                </c:pt>
                <c:pt idx="1163">
                  <c:v>38.85</c:v>
                </c:pt>
                <c:pt idx="1164">
                  <c:v>38.9</c:v>
                </c:pt>
                <c:pt idx="1165">
                  <c:v>38.9</c:v>
                </c:pt>
                <c:pt idx="1166">
                  <c:v>38.95</c:v>
                </c:pt>
                <c:pt idx="1167">
                  <c:v>39</c:v>
                </c:pt>
                <c:pt idx="1168">
                  <c:v>39</c:v>
                </c:pt>
                <c:pt idx="1169">
                  <c:v>39.05</c:v>
                </c:pt>
                <c:pt idx="1170">
                  <c:v>39.1</c:v>
                </c:pt>
                <c:pt idx="1171">
                  <c:v>39.1</c:v>
                </c:pt>
                <c:pt idx="1172">
                  <c:v>39.15</c:v>
                </c:pt>
                <c:pt idx="1173">
                  <c:v>39.2</c:v>
                </c:pt>
                <c:pt idx="1174">
                  <c:v>39.2</c:v>
                </c:pt>
                <c:pt idx="1175">
                  <c:v>39.25</c:v>
                </c:pt>
                <c:pt idx="1176">
                  <c:v>39.3</c:v>
                </c:pt>
                <c:pt idx="1177">
                  <c:v>39.3</c:v>
                </c:pt>
                <c:pt idx="1178">
                  <c:v>39.35</c:v>
                </c:pt>
                <c:pt idx="1179">
                  <c:v>39.4</c:v>
                </c:pt>
                <c:pt idx="1180">
                  <c:v>39.4</c:v>
                </c:pt>
                <c:pt idx="1181">
                  <c:v>39.45</c:v>
                </c:pt>
                <c:pt idx="1182">
                  <c:v>39.5</c:v>
                </c:pt>
                <c:pt idx="1183">
                  <c:v>39.5</c:v>
                </c:pt>
                <c:pt idx="1184">
                  <c:v>39.55</c:v>
                </c:pt>
                <c:pt idx="1185">
                  <c:v>39.6</c:v>
                </c:pt>
                <c:pt idx="1186">
                  <c:v>39.6</c:v>
                </c:pt>
                <c:pt idx="1187">
                  <c:v>39.65</c:v>
                </c:pt>
                <c:pt idx="1188">
                  <c:v>39.7</c:v>
                </c:pt>
                <c:pt idx="1189">
                  <c:v>39.7</c:v>
                </c:pt>
                <c:pt idx="1190">
                  <c:v>39.75</c:v>
                </c:pt>
                <c:pt idx="1191">
                  <c:v>39.8</c:v>
                </c:pt>
                <c:pt idx="1192">
                  <c:v>39.8</c:v>
                </c:pt>
                <c:pt idx="1193">
                  <c:v>39.85</c:v>
                </c:pt>
                <c:pt idx="1194">
                  <c:v>39.9</c:v>
                </c:pt>
                <c:pt idx="1195">
                  <c:v>39.9</c:v>
                </c:pt>
                <c:pt idx="1196">
                  <c:v>39.95</c:v>
                </c:pt>
                <c:pt idx="1197">
                  <c:v>40</c:v>
                </c:pt>
                <c:pt idx="1198">
                  <c:v>40</c:v>
                </c:pt>
                <c:pt idx="1199">
                  <c:v>40.05</c:v>
                </c:pt>
                <c:pt idx="1200">
                  <c:v>40.1</c:v>
                </c:pt>
                <c:pt idx="1201">
                  <c:v>40.1</c:v>
                </c:pt>
                <c:pt idx="1202">
                  <c:v>40.15</c:v>
                </c:pt>
                <c:pt idx="1203">
                  <c:v>40.2</c:v>
                </c:pt>
                <c:pt idx="1204">
                  <c:v>40.2</c:v>
                </c:pt>
                <c:pt idx="1205">
                  <c:v>40.25</c:v>
                </c:pt>
                <c:pt idx="1206">
                  <c:v>40.3</c:v>
                </c:pt>
                <c:pt idx="1207">
                  <c:v>40.3</c:v>
                </c:pt>
                <c:pt idx="1208">
                  <c:v>40.35</c:v>
                </c:pt>
                <c:pt idx="1209">
                  <c:v>40.4</c:v>
                </c:pt>
                <c:pt idx="1210">
                  <c:v>40.4</c:v>
                </c:pt>
                <c:pt idx="1211">
                  <c:v>40.45</c:v>
                </c:pt>
                <c:pt idx="1212">
                  <c:v>40.5</c:v>
                </c:pt>
                <c:pt idx="1213">
                  <c:v>40.5</c:v>
                </c:pt>
                <c:pt idx="1214">
                  <c:v>40.55</c:v>
                </c:pt>
                <c:pt idx="1215">
                  <c:v>40.6</c:v>
                </c:pt>
                <c:pt idx="1216">
                  <c:v>40.6</c:v>
                </c:pt>
                <c:pt idx="1217">
                  <c:v>40.65</c:v>
                </c:pt>
                <c:pt idx="1218">
                  <c:v>40.7</c:v>
                </c:pt>
                <c:pt idx="1219">
                  <c:v>40.7</c:v>
                </c:pt>
                <c:pt idx="1220">
                  <c:v>40.75</c:v>
                </c:pt>
                <c:pt idx="1221">
                  <c:v>40.8</c:v>
                </c:pt>
                <c:pt idx="1222">
                  <c:v>40.8</c:v>
                </c:pt>
                <c:pt idx="1223">
                  <c:v>40.85</c:v>
                </c:pt>
                <c:pt idx="1224">
                  <c:v>40.9</c:v>
                </c:pt>
                <c:pt idx="1225">
                  <c:v>40.9</c:v>
                </c:pt>
                <c:pt idx="1226">
                  <c:v>40.95</c:v>
                </c:pt>
                <c:pt idx="1227">
                  <c:v>41</c:v>
                </c:pt>
                <c:pt idx="1228">
                  <c:v>41</c:v>
                </c:pt>
                <c:pt idx="1229">
                  <c:v>41.05</c:v>
                </c:pt>
                <c:pt idx="1230">
                  <c:v>41.1</c:v>
                </c:pt>
                <c:pt idx="1231">
                  <c:v>41.1</c:v>
                </c:pt>
                <c:pt idx="1232">
                  <c:v>41.15</c:v>
                </c:pt>
                <c:pt idx="1233">
                  <c:v>41.2</c:v>
                </c:pt>
                <c:pt idx="1234">
                  <c:v>41.2</c:v>
                </c:pt>
                <c:pt idx="1235">
                  <c:v>41.25</c:v>
                </c:pt>
                <c:pt idx="1236">
                  <c:v>41.3</c:v>
                </c:pt>
                <c:pt idx="1237">
                  <c:v>41.3</c:v>
                </c:pt>
                <c:pt idx="1238">
                  <c:v>41.35</c:v>
                </c:pt>
                <c:pt idx="1239">
                  <c:v>41.4</c:v>
                </c:pt>
                <c:pt idx="1240">
                  <c:v>41.4</c:v>
                </c:pt>
                <c:pt idx="1241">
                  <c:v>41.45</c:v>
                </c:pt>
                <c:pt idx="1242">
                  <c:v>41.5</c:v>
                </c:pt>
                <c:pt idx="1243">
                  <c:v>41.5</c:v>
                </c:pt>
                <c:pt idx="1244">
                  <c:v>41.55</c:v>
                </c:pt>
                <c:pt idx="1245">
                  <c:v>41.6</c:v>
                </c:pt>
                <c:pt idx="1246">
                  <c:v>41.6</c:v>
                </c:pt>
                <c:pt idx="1247">
                  <c:v>41.65</c:v>
                </c:pt>
                <c:pt idx="1248">
                  <c:v>41.7</c:v>
                </c:pt>
                <c:pt idx="1249">
                  <c:v>41.7</c:v>
                </c:pt>
                <c:pt idx="1250">
                  <c:v>41.75</c:v>
                </c:pt>
                <c:pt idx="1251">
                  <c:v>41.8</c:v>
                </c:pt>
                <c:pt idx="1252">
                  <c:v>41.8</c:v>
                </c:pt>
                <c:pt idx="1253">
                  <c:v>41.85</c:v>
                </c:pt>
                <c:pt idx="1254">
                  <c:v>41.9</c:v>
                </c:pt>
                <c:pt idx="1255">
                  <c:v>41.9</c:v>
                </c:pt>
                <c:pt idx="1256">
                  <c:v>41.95</c:v>
                </c:pt>
                <c:pt idx="1257">
                  <c:v>42</c:v>
                </c:pt>
                <c:pt idx="1258">
                  <c:v>42</c:v>
                </c:pt>
                <c:pt idx="1259">
                  <c:v>42.05</c:v>
                </c:pt>
                <c:pt idx="1260">
                  <c:v>42.1</c:v>
                </c:pt>
                <c:pt idx="1261">
                  <c:v>42.1</c:v>
                </c:pt>
                <c:pt idx="1262">
                  <c:v>42.15</c:v>
                </c:pt>
                <c:pt idx="1263">
                  <c:v>42.2</c:v>
                </c:pt>
                <c:pt idx="1264">
                  <c:v>42.2</c:v>
                </c:pt>
                <c:pt idx="1265">
                  <c:v>42.25</c:v>
                </c:pt>
                <c:pt idx="1266">
                  <c:v>42.3</c:v>
                </c:pt>
                <c:pt idx="1267">
                  <c:v>42.3</c:v>
                </c:pt>
                <c:pt idx="1268">
                  <c:v>42.35</c:v>
                </c:pt>
                <c:pt idx="1269">
                  <c:v>42.4</c:v>
                </c:pt>
                <c:pt idx="1270">
                  <c:v>42.4</c:v>
                </c:pt>
                <c:pt idx="1271">
                  <c:v>42.45</c:v>
                </c:pt>
                <c:pt idx="1272">
                  <c:v>42.5</c:v>
                </c:pt>
                <c:pt idx="1273">
                  <c:v>42.5</c:v>
                </c:pt>
                <c:pt idx="1274">
                  <c:v>42.55</c:v>
                </c:pt>
                <c:pt idx="1275">
                  <c:v>42.6</c:v>
                </c:pt>
                <c:pt idx="1276">
                  <c:v>42.6</c:v>
                </c:pt>
                <c:pt idx="1277">
                  <c:v>42.65</c:v>
                </c:pt>
                <c:pt idx="1278">
                  <c:v>42.7</c:v>
                </c:pt>
                <c:pt idx="1279">
                  <c:v>42.7</c:v>
                </c:pt>
                <c:pt idx="1280">
                  <c:v>42.75</c:v>
                </c:pt>
                <c:pt idx="1281">
                  <c:v>42.8</c:v>
                </c:pt>
                <c:pt idx="1282">
                  <c:v>42.8</c:v>
                </c:pt>
                <c:pt idx="1283">
                  <c:v>42.85</c:v>
                </c:pt>
                <c:pt idx="1284">
                  <c:v>42.9</c:v>
                </c:pt>
                <c:pt idx="1285">
                  <c:v>42.9</c:v>
                </c:pt>
                <c:pt idx="1286">
                  <c:v>42.95</c:v>
                </c:pt>
                <c:pt idx="1287">
                  <c:v>43</c:v>
                </c:pt>
                <c:pt idx="1288">
                  <c:v>43</c:v>
                </c:pt>
                <c:pt idx="1289">
                  <c:v>43.05</c:v>
                </c:pt>
                <c:pt idx="1290">
                  <c:v>43.1</c:v>
                </c:pt>
                <c:pt idx="1291">
                  <c:v>43.1</c:v>
                </c:pt>
                <c:pt idx="1292">
                  <c:v>43.15</c:v>
                </c:pt>
                <c:pt idx="1293">
                  <c:v>43.2</c:v>
                </c:pt>
                <c:pt idx="1294">
                  <c:v>43.2</c:v>
                </c:pt>
                <c:pt idx="1295">
                  <c:v>43.25</c:v>
                </c:pt>
                <c:pt idx="1296">
                  <c:v>43.3</c:v>
                </c:pt>
                <c:pt idx="1297">
                  <c:v>43.3</c:v>
                </c:pt>
                <c:pt idx="1298">
                  <c:v>43.35</c:v>
                </c:pt>
                <c:pt idx="1299">
                  <c:v>43.4</c:v>
                </c:pt>
                <c:pt idx="1300">
                  <c:v>43.4</c:v>
                </c:pt>
                <c:pt idx="1301">
                  <c:v>43.45</c:v>
                </c:pt>
                <c:pt idx="1302">
                  <c:v>43.5</c:v>
                </c:pt>
                <c:pt idx="1303">
                  <c:v>43.5</c:v>
                </c:pt>
                <c:pt idx="1304">
                  <c:v>43.55</c:v>
                </c:pt>
                <c:pt idx="1305">
                  <c:v>43.6</c:v>
                </c:pt>
                <c:pt idx="1306">
                  <c:v>43.6</c:v>
                </c:pt>
                <c:pt idx="1307">
                  <c:v>43.65</c:v>
                </c:pt>
                <c:pt idx="1308">
                  <c:v>43.7</c:v>
                </c:pt>
              </c:numCache>
            </c:numRef>
          </c:cat>
          <c:val>
            <c:numRef>
              <c:f>'常压_a_20 (2)'!$L$4:$L$1312</c:f>
              <c:numCache>
                <c:formatCode>General</c:formatCode>
                <c:ptCount val="1309"/>
                <c:pt idx="0">
                  <c:v>-3.92</c:v>
                </c:pt>
                <c:pt idx="1">
                  <c:v>-4.175</c:v>
                </c:pt>
                <c:pt idx="2">
                  <c:v>-4.411</c:v>
                </c:pt>
                <c:pt idx="3">
                  <c:v>-4.679</c:v>
                </c:pt>
                <c:pt idx="4">
                  <c:v>-4.802</c:v>
                </c:pt>
                <c:pt idx="5">
                  <c:v>-4.841</c:v>
                </c:pt>
                <c:pt idx="6">
                  <c:v>-4.887</c:v>
                </c:pt>
                <c:pt idx="7">
                  <c:v>-4.853</c:v>
                </c:pt>
                <c:pt idx="8">
                  <c:v>-4.785</c:v>
                </c:pt>
                <c:pt idx="9">
                  <c:v>-4.709</c:v>
                </c:pt>
                <c:pt idx="10">
                  <c:v>-4.525</c:v>
                </c:pt>
                <c:pt idx="11">
                  <c:v>-4.327</c:v>
                </c:pt>
                <c:pt idx="12">
                  <c:v>-4.063</c:v>
                </c:pt>
                <c:pt idx="13">
                  <c:v>-3.76</c:v>
                </c:pt>
                <c:pt idx="14">
                  <c:v>-3.396</c:v>
                </c:pt>
                <c:pt idx="15">
                  <c:v>-3.052</c:v>
                </c:pt>
                <c:pt idx="16">
                  <c:v>-2.549</c:v>
                </c:pt>
                <c:pt idx="17">
                  <c:v>-2.044</c:v>
                </c:pt>
                <c:pt idx="18">
                  <c:v>-1.535</c:v>
                </c:pt>
                <c:pt idx="19">
                  <c:v>-1.027</c:v>
                </c:pt>
                <c:pt idx="20">
                  <c:v>-0.4097</c:v>
                </c:pt>
                <c:pt idx="21">
                  <c:v>-0.01146</c:v>
                </c:pt>
                <c:pt idx="22">
                  <c:v>0.6866</c:v>
                </c:pt>
                <c:pt idx="23">
                  <c:v>1.336</c:v>
                </c:pt>
                <c:pt idx="24">
                  <c:v>2.003</c:v>
                </c:pt>
                <c:pt idx="25">
                  <c:v>2.529</c:v>
                </c:pt>
                <c:pt idx="26">
                  <c:v>3.205</c:v>
                </c:pt>
                <c:pt idx="27">
                  <c:v>3.634</c:v>
                </c:pt>
                <c:pt idx="28">
                  <c:v>4.314</c:v>
                </c:pt>
                <c:pt idx="29">
                  <c:v>4.843</c:v>
                </c:pt>
                <c:pt idx="30">
                  <c:v>5.215</c:v>
                </c:pt>
                <c:pt idx="31">
                  <c:v>5.635</c:v>
                </c:pt>
                <c:pt idx="32">
                  <c:v>6.02</c:v>
                </c:pt>
                <c:pt idx="33">
                  <c:v>6.324</c:v>
                </c:pt>
                <c:pt idx="34">
                  <c:v>6.6</c:v>
                </c:pt>
                <c:pt idx="35">
                  <c:v>6.836</c:v>
                </c:pt>
                <c:pt idx="36">
                  <c:v>7.028</c:v>
                </c:pt>
                <c:pt idx="37">
                  <c:v>7.101</c:v>
                </c:pt>
                <c:pt idx="38">
                  <c:v>7.164</c:v>
                </c:pt>
                <c:pt idx="39">
                  <c:v>7.157</c:v>
                </c:pt>
                <c:pt idx="40">
                  <c:v>7.072</c:v>
                </c:pt>
                <c:pt idx="41">
                  <c:v>7.05</c:v>
                </c:pt>
                <c:pt idx="42">
                  <c:v>6.871</c:v>
                </c:pt>
                <c:pt idx="43">
                  <c:v>6.6</c:v>
                </c:pt>
                <c:pt idx="44">
                  <c:v>6.295</c:v>
                </c:pt>
                <c:pt idx="45">
                  <c:v>5.836</c:v>
                </c:pt>
                <c:pt idx="46">
                  <c:v>5.569</c:v>
                </c:pt>
                <c:pt idx="47">
                  <c:v>5.111</c:v>
                </c:pt>
                <c:pt idx="48">
                  <c:v>4.549</c:v>
                </c:pt>
                <c:pt idx="49">
                  <c:v>3.925</c:v>
                </c:pt>
                <c:pt idx="50">
                  <c:v>3.536</c:v>
                </c:pt>
                <c:pt idx="51">
                  <c:v>2.967</c:v>
                </c:pt>
                <c:pt idx="52">
                  <c:v>2.431</c:v>
                </c:pt>
                <c:pt idx="53">
                  <c:v>1.81</c:v>
                </c:pt>
                <c:pt idx="54">
                  <c:v>1.32</c:v>
                </c:pt>
                <c:pt idx="55">
                  <c:v>0.6249</c:v>
                </c:pt>
                <c:pt idx="56">
                  <c:v>-0.01089</c:v>
                </c:pt>
                <c:pt idx="57">
                  <c:v>-0.4692</c:v>
                </c:pt>
                <c:pt idx="58">
                  <c:v>-1.033</c:v>
                </c:pt>
                <c:pt idx="59">
                  <c:v>-1.533</c:v>
                </c:pt>
                <c:pt idx="60">
                  <c:v>-2.074</c:v>
                </c:pt>
                <c:pt idx="61">
                  <c:v>-2.544</c:v>
                </c:pt>
                <c:pt idx="62">
                  <c:v>-2.831</c:v>
                </c:pt>
                <c:pt idx="63">
                  <c:v>-3.227</c:v>
                </c:pt>
                <c:pt idx="64">
                  <c:v>-3.582</c:v>
                </c:pt>
                <c:pt idx="65">
                  <c:v>-3.958</c:v>
                </c:pt>
                <c:pt idx="66">
                  <c:v>-4.203</c:v>
                </c:pt>
                <c:pt idx="67">
                  <c:v>-4.34</c:v>
                </c:pt>
                <c:pt idx="68">
                  <c:v>-4.495</c:v>
                </c:pt>
                <c:pt idx="69">
                  <c:v>-4.604</c:v>
                </c:pt>
                <c:pt idx="70">
                  <c:v>-4.675</c:v>
                </c:pt>
                <c:pt idx="71">
                  <c:v>-4.684</c:v>
                </c:pt>
                <c:pt idx="72">
                  <c:v>-4.647</c:v>
                </c:pt>
                <c:pt idx="73">
                  <c:v>-4.569</c:v>
                </c:pt>
                <c:pt idx="74">
                  <c:v>-4.4</c:v>
                </c:pt>
                <c:pt idx="75">
                  <c:v>-4.177</c:v>
                </c:pt>
                <c:pt idx="76">
                  <c:v>-4.016</c:v>
                </c:pt>
                <c:pt idx="77">
                  <c:v>-3.686</c:v>
                </c:pt>
                <c:pt idx="78">
                  <c:v>-3.376</c:v>
                </c:pt>
                <c:pt idx="79">
                  <c:v>-3.046</c:v>
                </c:pt>
                <c:pt idx="80">
                  <c:v>-2.566</c:v>
                </c:pt>
                <c:pt idx="81">
                  <c:v>-2.13</c:v>
                </c:pt>
                <c:pt idx="82">
                  <c:v>-1.802</c:v>
                </c:pt>
                <c:pt idx="83">
                  <c:v>-1.204</c:v>
                </c:pt>
                <c:pt idx="84">
                  <c:v>-0.5287</c:v>
                </c:pt>
                <c:pt idx="85">
                  <c:v>-0.0877</c:v>
                </c:pt>
                <c:pt idx="86">
                  <c:v>0.5045</c:v>
                </c:pt>
                <c:pt idx="87">
                  <c:v>1.006</c:v>
                </c:pt>
                <c:pt idx="88">
                  <c:v>1.757</c:v>
                </c:pt>
                <c:pt idx="89">
                  <c:v>2.271</c:v>
                </c:pt>
                <c:pt idx="90">
                  <c:v>2.782</c:v>
                </c:pt>
                <c:pt idx="91">
                  <c:v>3.295</c:v>
                </c:pt>
                <c:pt idx="92">
                  <c:v>3.803</c:v>
                </c:pt>
                <c:pt idx="93">
                  <c:v>4.433</c:v>
                </c:pt>
                <c:pt idx="94">
                  <c:v>4.814</c:v>
                </c:pt>
                <c:pt idx="95">
                  <c:v>5.32</c:v>
                </c:pt>
                <c:pt idx="96">
                  <c:v>5.727</c:v>
                </c:pt>
                <c:pt idx="97">
                  <c:v>6.065</c:v>
                </c:pt>
                <c:pt idx="98">
                  <c:v>6.324</c:v>
                </c:pt>
                <c:pt idx="99">
                  <c:v>6.58</c:v>
                </c:pt>
                <c:pt idx="100">
                  <c:v>6.853</c:v>
                </c:pt>
                <c:pt idx="101">
                  <c:v>6.907</c:v>
                </c:pt>
                <c:pt idx="102">
                  <c:v>6.956</c:v>
                </c:pt>
                <c:pt idx="103">
                  <c:v>6.958</c:v>
                </c:pt>
                <c:pt idx="104">
                  <c:v>6.838</c:v>
                </c:pt>
                <c:pt idx="105">
                  <c:v>6.764</c:v>
                </c:pt>
                <c:pt idx="106">
                  <c:v>6.603</c:v>
                </c:pt>
                <c:pt idx="107">
                  <c:v>6.451</c:v>
                </c:pt>
                <c:pt idx="108">
                  <c:v>6.156</c:v>
                </c:pt>
                <c:pt idx="109">
                  <c:v>5.851</c:v>
                </c:pt>
                <c:pt idx="110">
                  <c:v>5.531</c:v>
                </c:pt>
                <c:pt idx="111">
                  <c:v>5.081</c:v>
                </c:pt>
                <c:pt idx="112">
                  <c:v>4.681</c:v>
                </c:pt>
                <c:pt idx="113">
                  <c:v>4.298</c:v>
                </c:pt>
                <c:pt idx="114">
                  <c:v>3.707</c:v>
                </c:pt>
                <c:pt idx="115">
                  <c:v>3.09</c:v>
                </c:pt>
                <c:pt idx="116">
                  <c:v>2.495</c:v>
                </c:pt>
                <c:pt idx="117">
                  <c:v>2.026</c:v>
                </c:pt>
                <c:pt idx="118">
                  <c:v>1.496</c:v>
                </c:pt>
                <c:pt idx="119">
                  <c:v>0.8884</c:v>
                </c:pt>
                <c:pt idx="120">
                  <c:v>0.3635</c:v>
                </c:pt>
                <c:pt idx="121">
                  <c:v>-0.2692</c:v>
                </c:pt>
                <c:pt idx="122">
                  <c:v>-0.7808</c:v>
                </c:pt>
                <c:pt idx="123">
                  <c:v>-1.28</c:v>
                </c:pt>
                <c:pt idx="124">
                  <c:v>-1.736</c:v>
                </c:pt>
                <c:pt idx="125">
                  <c:v>-2.094</c:v>
                </c:pt>
                <c:pt idx="126">
                  <c:v>-2.546</c:v>
                </c:pt>
                <c:pt idx="127">
                  <c:v>-3.038</c:v>
                </c:pt>
                <c:pt idx="128">
                  <c:v>-3.317</c:v>
                </c:pt>
                <c:pt idx="129">
                  <c:v>-3.578</c:v>
                </c:pt>
                <c:pt idx="130">
                  <c:v>-3.895</c:v>
                </c:pt>
                <c:pt idx="131">
                  <c:v>-4.081</c:v>
                </c:pt>
                <c:pt idx="132">
                  <c:v>-4.234</c:v>
                </c:pt>
                <c:pt idx="133">
                  <c:v>-4.365</c:v>
                </c:pt>
                <c:pt idx="134">
                  <c:v>-4.459</c:v>
                </c:pt>
                <c:pt idx="135">
                  <c:v>-4.494</c:v>
                </c:pt>
                <c:pt idx="136">
                  <c:v>-4.459</c:v>
                </c:pt>
                <c:pt idx="137">
                  <c:v>-4.368</c:v>
                </c:pt>
                <c:pt idx="138">
                  <c:v>-4.284</c:v>
                </c:pt>
                <c:pt idx="139">
                  <c:v>-4.097</c:v>
                </c:pt>
                <c:pt idx="140">
                  <c:v>-3.923</c:v>
                </c:pt>
                <c:pt idx="141">
                  <c:v>-3.662</c:v>
                </c:pt>
                <c:pt idx="142">
                  <c:v>-3.318</c:v>
                </c:pt>
                <c:pt idx="143">
                  <c:v>-3.036</c:v>
                </c:pt>
                <c:pt idx="144">
                  <c:v>-2.584</c:v>
                </c:pt>
                <c:pt idx="145">
                  <c:v>-2.238</c:v>
                </c:pt>
                <c:pt idx="146">
                  <c:v>-1.796</c:v>
                </c:pt>
                <c:pt idx="147">
                  <c:v>-1.289</c:v>
                </c:pt>
                <c:pt idx="148">
                  <c:v>-0.7826</c:v>
                </c:pt>
                <c:pt idx="149">
                  <c:v>-0.2605</c:v>
                </c:pt>
                <c:pt idx="150">
                  <c:v>0.06848</c:v>
                </c:pt>
                <c:pt idx="151">
                  <c:v>0.7586</c:v>
                </c:pt>
                <c:pt idx="152">
                  <c:v>1.244</c:v>
                </c:pt>
                <c:pt idx="153">
                  <c:v>1.759</c:v>
                </c:pt>
                <c:pt idx="154">
                  <c:v>2.28</c:v>
                </c:pt>
                <c:pt idx="155">
                  <c:v>2.784</c:v>
                </c:pt>
                <c:pt idx="156">
                  <c:v>3.282</c:v>
                </c:pt>
                <c:pt idx="157">
                  <c:v>3.665</c:v>
                </c:pt>
                <c:pt idx="158">
                  <c:v>4.049</c:v>
                </c:pt>
                <c:pt idx="159">
                  <c:v>4.37</c:v>
                </c:pt>
                <c:pt idx="160">
                  <c:v>4.7</c:v>
                </c:pt>
                <c:pt idx="161">
                  <c:v>5.056</c:v>
                </c:pt>
                <c:pt idx="162">
                  <c:v>5.306</c:v>
                </c:pt>
                <c:pt idx="163">
                  <c:v>5.399</c:v>
                </c:pt>
                <c:pt idx="164">
                  <c:v>5.53</c:v>
                </c:pt>
                <c:pt idx="165">
                  <c:v>5.707</c:v>
                </c:pt>
                <c:pt idx="166">
                  <c:v>5.648</c:v>
                </c:pt>
                <c:pt idx="167">
                  <c:v>5.657</c:v>
                </c:pt>
                <c:pt idx="168">
                  <c:v>5.585</c:v>
                </c:pt>
                <c:pt idx="169">
                  <c:v>5.574</c:v>
                </c:pt>
                <c:pt idx="170">
                  <c:v>5.31</c:v>
                </c:pt>
                <c:pt idx="171">
                  <c:v>5.111</c:v>
                </c:pt>
                <c:pt idx="172">
                  <c:v>4.88</c:v>
                </c:pt>
                <c:pt idx="173">
                  <c:v>4.56</c:v>
                </c:pt>
                <c:pt idx="174">
                  <c:v>4.308</c:v>
                </c:pt>
                <c:pt idx="175">
                  <c:v>4.007</c:v>
                </c:pt>
                <c:pt idx="176">
                  <c:v>3.563</c:v>
                </c:pt>
                <c:pt idx="177">
                  <c:v>3.237</c:v>
                </c:pt>
                <c:pt idx="178">
                  <c:v>2.841</c:v>
                </c:pt>
                <c:pt idx="179">
                  <c:v>2.521</c:v>
                </c:pt>
                <c:pt idx="180">
                  <c:v>2.101</c:v>
                </c:pt>
                <c:pt idx="181">
                  <c:v>1.638</c:v>
                </c:pt>
                <c:pt idx="182">
                  <c:v>1.228</c:v>
                </c:pt>
                <c:pt idx="183">
                  <c:v>0.9872</c:v>
                </c:pt>
                <c:pt idx="184">
                  <c:v>0.5073</c:v>
                </c:pt>
                <c:pt idx="185">
                  <c:v>0.1897</c:v>
                </c:pt>
                <c:pt idx="186">
                  <c:v>-0.1999</c:v>
                </c:pt>
                <c:pt idx="187">
                  <c:v>-0.516</c:v>
                </c:pt>
                <c:pt idx="188">
                  <c:v>-0.7919</c:v>
                </c:pt>
                <c:pt idx="189">
                  <c:v>-1.037</c:v>
                </c:pt>
                <c:pt idx="190">
                  <c:v>-1.315</c:v>
                </c:pt>
                <c:pt idx="191">
                  <c:v>-1.535</c:v>
                </c:pt>
                <c:pt idx="192">
                  <c:v>-1.78</c:v>
                </c:pt>
                <c:pt idx="193">
                  <c:v>-1.933</c:v>
                </c:pt>
                <c:pt idx="194">
                  <c:v>-2.045</c:v>
                </c:pt>
                <c:pt idx="195">
                  <c:v>-2.129</c:v>
                </c:pt>
                <c:pt idx="196">
                  <c:v>-2.163</c:v>
                </c:pt>
                <c:pt idx="197">
                  <c:v>-2.186</c:v>
                </c:pt>
                <c:pt idx="198">
                  <c:v>-2.196</c:v>
                </c:pt>
                <c:pt idx="199">
                  <c:v>-2.186</c:v>
                </c:pt>
                <c:pt idx="200">
                  <c:v>-2.143</c:v>
                </c:pt>
                <c:pt idx="201">
                  <c:v>-2.049</c:v>
                </c:pt>
                <c:pt idx="202">
                  <c:v>-1.922</c:v>
                </c:pt>
                <c:pt idx="203">
                  <c:v>-1.784</c:v>
                </c:pt>
                <c:pt idx="204">
                  <c:v>-1.645</c:v>
                </c:pt>
                <c:pt idx="205">
                  <c:v>-1.488</c:v>
                </c:pt>
                <c:pt idx="206">
                  <c:v>-1.273</c:v>
                </c:pt>
                <c:pt idx="207">
                  <c:v>-0.9833</c:v>
                </c:pt>
                <c:pt idx="208">
                  <c:v>-0.7684</c:v>
                </c:pt>
                <c:pt idx="209">
                  <c:v>-0.515</c:v>
                </c:pt>
                <c:pt idx="210">
                  <c:v>-0.2819</c:v>
                </c:pt>
                <c:pt idx="211">
                  <c:v>-0.01094</c:v>
                </c:pt>
                <c:pt idx="212">
                  <c:v>0.2257</c:v>
                </c:pt>
                <c:pt idx="213">
                  <c:v>0.4959</c:v>
                </c:pt>
                <c:pt idx="214">
                  <c:v>0.8499</c:v>
                </c:pt>
                <c:pt idx="215">
                  <c:v>1.255</c:v>
                </c:pt>
                <c:pt idx="216">
                  <c:v>1.387</c:v>
                </c:pt>
                <c:pt idx="217">
                  <c:v>1.766</c:v>
                </c:pt>
                <c:pt idx="218">
                  <c:v>2.019</c:v>
                </c:pt>
                <c:pt idx="219">
                  <c:v>2.248</c:v>
                </c:pt>
                <c:pt idx="220">
                  <c:v>2.378</c:v>
                </c:pt>
                <c:pt idx="221">
                  <c:v>2.512</c:v>
                </c:pt>
                <c:pt idx="222">
                  <c:v>2.774</c:v>
                </c:pt>
                <c:pt idx="223">
                  <c:v>2.802</c:v>
                </c:pt>
                <c:pt idx="224">
                  <c:v>2.983</c:v>
                </c:pt>
                <c:pt idx="225">
                  <c:v>3.063</c:v>
                </c:pt>
                <c:pt idx="226">
                  <c:v>3.039</c:v>
                </c:pt>
                <c:pt idx="227">
                  <c:v>3.042</c:v>
                </c:pt>
                <c:pt idx="228">
                  <c:v>3.04</c:v>
                </c:pt>
                <c:pt idx="229">
                  <c:v>3.032</c:v>
                </c:pt>
                <c:pt idx="230">
                  <c:v>2.898</c:v>
                </c:pt>
                <c:pt idx="231">
                  <c:v>2.771</c:v>
                </c:pt>
                <c:pt idx="232">
                  <c:v>2.694</c:v>
                </c:pt>
                <c:pt idx="233">
                  <c:v>2.511</c:v>
                </c:pt>
                <c:pt idx="234">
                  <c:v>2.28</c:v>
                </c:pt>
                <c:pt idx="235">
                  <c:v>2.026</c:v>
                </c:pt>
                <c:pt idx="236">
                  <c:v>1.78</c:v>
                </c:pt>
                <c:pt idx="237">
                  <c:v>1.608</c:v>
                </c:pt>
                <c:pt idx="238">
                  <c:v>1.33</c:v>
                </c:pt>
                <c:pt idx="239">
                  <c:v>1.071</c:v>
                </c:pt>
                <c:pt idx="240">
                  <c:v>0.806</c:v>
                </c:pt>
                <c:pt idx="241">
                  <c:v>0.496</c:v>
                </c:pt>
                <c:pt idx="242">
                  <c:v>0.2614</c:v>
                </c:pt>
                <c:pt idx="243">
                  <c:v>0.09379</c:v>
                </c:pt>
                <c:pt idx="244">
                  <c:v>-0.1047</c:v>
                </c:pt>
                <c:pt idx="245">
                  <c:v>-0.2679</c:v>
                </c:pt>
                <c:pt idx="246">
                  <c:v>-0.5124</c:v>
                </c:pt>
                <c:pt idx="247">
                  <c:v>-0.6823</c:v>
                </c:pt>
                <c:pt idx="248">
                  <c:v>-0.8077</c:v>
                </c:pt>
                <c:pt idx="249">
                  <c:v>-0.9164</c:v>
                </c:pt>
                <c:pt idx="250">
                  <c:v>-1.054</c:v>
                </c:pt>
                <c:pt idx="251">
                  <c:v>-1.143</c:v>
                </c:pt>
                <c:pt idx="252">
                  <c:v>-1.168</c:v>
                </c:pt>
                <c:pt idx="253">
                  <c:v>-1.152</c:v>
                </c:pt>
                <c:pt idx="254">
                  <c:v>-1.168</c:v>
                </c:pt>
                <c:pt idx="255">
                  <c:v>-1.127</c:v>
                </c:pt>
                <c:pt idx="256">
                  <c:v>-1.09</c:v>
                </c:pt>
                <c:pt idx="257">
                  <c:v>-1.025</c:v>
                </c:pt>
                <c:pt idx="258">
                  <c:v>-0.9079</c:v>
                </c:pt>
                <c:pt idx="259">
                  <c:v>-0.765</c:v>
                </c:pt>
                <c:pt idx="260">
                  <c:v>-0.6464</c:v>
                </c:pt>
                <c:pt idx="261">
                  <c:v>-0.5181</c:v>
                </c:pt>
                <c:pt idx="262">
                  <c:v>-0.2625</c:v>
                </c:pt>
                <c:pt idx="263">
                  <c:v>-0.1812</c:v>
                </c:pt>
                <c:pt idx="264">
                  <c:v>-0.02292</c:v>
                </c:pt>
                <c:pt idx="265">
                  <c:v>0.2428</c:v>
                </c:pt>
                <c:pt idx="266">
                  <c:v>0.4005</c:v>
                </c:pt>
                <c:pt idx="267">
                  <c:v>0.5674</c:v>
                </c:pt>
                <c:pt idx="268">
                  <c:v>0.7368</c:v>
                </c:pt>
                <c:pt idx="269">
                  <c:v>1.011</c:v>
                </c:pt>
                <c:pt idx="270">
                  <c:v>1.14</c:v>
                </c:pt>
                <c:pt idx="271">
                  <c:v>1.255</c:v>
                </c:pt>
                <c:pt idx="272">
                  <c:v>1.505</c:v>
                </c:pt>
                <c:pt idx="273">
                  <c:v>1.567</c:v>
                </c:pt>
                <c:pt idx="274">
                  <c:v>1.76</c:v>
                </c:pt>
                <c:pt idx="275">
                  <c:v>1.769</c:v>
                </c:pt>
                <c:pt idx="276">
                  <c:v>1.876</c:v>
                </c:pt>
                <c:pt idx="277">
                  <c:v>1.949</c:v>
                </c:pt>
                <c:pt idx="278">
                  <c:v>1.962</c:v>
                </c:pt>
                <c:pt idx="279">
                  <c:v>1.954</c:v>
                </c:pt>
                <c:pt idx="280">
                  <c:v>1.955</c:v>
                </c:pt>
                <c:pt idx="281">
                  <c:v>1.956</c:v>
                </c:pt>
                <c:pt idx="282">
                  <c:v>1.977</c:v>
                </c:pt>
                <c:pt idx="283">
                  <c:v>1.889</c:v>
                </c:pt>
                <c:pt idx="284">
                  <c:v>1.826</c:v>
                </c:pt>
                <c:pt idx="285">
                  <c:v>1.765</c:v>
                </c:pt>
                <c:pt idx="286">
                  <c:v>1.631</c:v>
                </c:pt>
                <c:pt idx="287">
                  <c:v>1.52</c:v>
                </c:pt>
                <c:pt idx="288">
                  <c:v>1.315</c:v>
                </c:pt>
                <c:pt idx="289">
                  <c:v>1.266</c:v>
                </c:pt>
                <c:pt idx="290">
                  <c:v>1.008</c:v>
                </c:pt>
                <c:pt idx="291">
                  <c:v>0.936</c:v>
                </c:pt>
                <c:pt idx="292">
                  <c:v>0.6928</c:v>
                </c:pt>
                <c:pt idx="293">
                  <c:v>0.4958</c:v>
                </c:pt>
                <c:pt idx="294">
                  <c:v>0.3762</c:v>
                </c:pt>
                <c:pt idx="295">
                  <c:v>0.2281</c:v>
                </c:pt>
                <c:pt idx="296">
                  <c:v>0.05409</c:v>
                </c:pt>
                <c:pt idx="297">
                  <c:v>-0.0218</c:v>
                </c:pt>
                <c:pt idx="298">
                  <c:v>-0.2559</c:v>
                </c:pt>
                <c:pt idx="299">
                  <c:v>-0.2861</c:v>
                </c:pt>
                <c:pt idx="300">
                  <c:v>-0.4753</c:v>
                </c:pt>
                <c:pt idx="301">
                  <c:v>-0.5191</c:v>
                </c:pt>
                <c:pt idx="302">
                  <c:v>-0.6501</c:v>
                </c:pt>
                <c:pt idx="303">
                  <c:v>-0.6522</c:v>
                </c:pt>
                <c:pt idx="304">
                  <c:v>-0.6254</c:v>
                </c:pt>
                <c:pt idx="305">
                  <c:v>-0.6385</c:v>
                </c:pt>
                <c:pt idx="306">
                  <c:v>-0.6334</c:v>
                </c:pt>
                <c:pt idx="307">
                  <c:v>-0.6074</c:v>
                </c:pt>
                <c:pt idx="308">
                  <c:v>-0.5381</c:v>
                </c:pt>
                <c:pt idx="309">
                  <c:v>-0.5308</c:v>
                </c:pt>
                <c:pt idx="310">
                  <c:v>-0.474</c:v>
                </c:pt>
                <c:pt idx="311">
                  <c:v>-0.2763</c:v>
                </c:pt>
                <c:pt idx="312">
                  <c:v>-0.2578</c:v>
                </c:pt>
                <c:pt idx="313">
                  <c:v>-0.02183</c:v>
                </c:pt>
                <c:pt idx="314">
                  <c:v>0.06041</c:v>
                </c:pt>
                <c:pt idx="315">
                  <c:v>0.2314</c:v>
                </c:pt>
                <c:pt idx="316">
                  <c:v>0.3454</c:v>
                </c:pt>
                <c:pt idx="317">
                  <c:v>0.5028</c:v>
                </c:pt>
                <c:pt idx="318">
                  <c:v>0.6634</c:v>
                </c:pt>
                <c:pt idx="319">
                  <c:v>0.7532</c:v>
                </c:pt>
                <c:pt idx="320">
                  <c:v>0.8616</c:v>
                </c:pt>
                <c:pt idx="321">
                  <c:v>0.9937</c:v>
                </c:pt>
                <c:pt idx="322">
                  <c:v>1.113</c:v>
                </c:pt>
                <c:pt idx="323">
                  <c:v>1.234</c:v>
                </c:pt>
                <c:pt idx="324">
                  <c:v>1.258</c:v>
                </c:pt>
                <c:pt idx="325">
                  <c:v>1.258</c:v>
                </c:pt>
                <c:pt idx="326">
                  <c:v>1.291</c:v>
                </c:pt>
                <c:pt idx="327">
                  <c:v>1.384</c:v>
                </c:pt>
                <c:pt idx="328">
                  <c:v>1.446</c:v>
                </c:pt>
                <c:pt idx="329">
                  <c:v>1.443</c:v>
                </c:pt>
                <c:pt idx="330">
                  <c:v>1.409</c:v>
                </c:pt>
                <c:pt idx="331">
                  <c:v>1.381</c:v>
                </c:pt>
                <c:pt idx="332">
                  <c:v>1.309</c:v>
                </c:pt>
                <c:pt idx="333">
                  <c:v>1.26</c:v>
                </c:pt>
                <c:pt idx="334">
                  <c:v>1.258</c:v>
                </c:pt>
                <c:pt idx="335">
                  <c:v>1.125</c:v>
                </c:pt>
                <c:pt idx="336">
                  <c:v>1.016</c:v>
                </c:pt>
                <c:pt idx="337">
                  <c:v>1.011</c:v>
                </c:pt>
                <c:pt idx="338">
                  <c:v>0.8117</c:v>
                </c:pt>
                <c:pt idx="339">
                  <c:v>0.743</c:v>
                </c:pt>
                <c:pt idx="340">
                  <c:v>0.6295</c:v>
                </c:pt>
                <c:pt idx="341">
                  <c:v>0.4921</c:v>
                </c:pt>
                <c:pt idx="342">
                  <c:v>0.3924</c:v>
                </c:pt>
                <c:pt idx="343">
                  <c:v>0.2491</c:v>
                </c:pt>
                <c:pt idx="344">
                  <c:v>0.1244</c:v>
                </c:pt>
                <c:pt idx="345">
                  <c:v>-0.004069</c:v>
                </c:pt>
                <c:pt idx="346">
                  <c:v>-0.0154</c:v>
                </c:pt>
                <c:pt idx="347">
                  <c:v>-0.1103</c:v>
                </c:pt>
                <c:pt idx="348">
                  <c:v>-0.2592</c:v>
                </c:pt>
                <c:pt idx="349">
                  <c:v>-0.2603</c:v>
                </c:pt>
                <c:pt idx="350">
                  <c:v>-0.2768</c:v>
                </c:pt>
                <c:pt idx="351">
                  <c:v>-0.3837</c:v>
                </c:pt>
                <c:pt idx="352">
                  <c:v>-0.3801</c:v>
                </c:pt>
                <c:pt idx="353">
                  <c:v>-0.3778</c:v>
                </c:pt>
                <c:pt idx="354">
                  <c:v>-0.36</c:v>
                </c:pt>
                <c:pt idx="355">
                  <c:v>-0.2636</c:v>
                </c:pt>
                <c:pt idx="356">
                  <c:v>-0.2665</c:v>
                </c:pt>
                <c:pt idx="357">
                  <c:v>-0.188</c:v>
                </c:pt>
                <c:pt idx="358">
                  <c:v>-0.1322</c:v>
                </c:pt>
                <c:pt idx="359">
                  <c:v>0.001041</c:v>
                </c:pt>
                <c:pt idx="360">
                  <c:v>0.09882</c:v>
                </c:pt>
                <c:pt idx="361">
                  <c:v>0.2378</c:v>
                </c:pt>
                <c:pt idx="362">
                  <c:v>0.2516</c:v>
                </c:pt>
                <c:pt idx="363">
                  <c:v>0.3804</c:v>
                </c:pt>
                <c:pt idx="364">
                  <c:v>0.5033</c:v>
                </c:pt>
                <c:pt idx="365">
                  <c:v>0.6329</c:v>
                </c:pt>
                <c:pt idx="366">
                  <c:v>0.7586</c:v>
                </c:pt>
                <c:pt idx="367">
                  <c:v>0.8227</c:v>
                </c:pt>
                <c:pt idx="368">
                  <c:v>0.892</c:v>
                </c:pt>
                <c:pt idx="369">
                  <c:v>1.011</c:v>
                </c:pt>
                <c:pt idx="370">
                  <c:v>1.066</c:v>
                </c:pt>
                <c:pt idx="371">
                  <c:v>1.065</c:v>
                </c:pt>
                <c:pt idx="372">
                  <c:v>1.154</c:v>
                </c:pt>
                <c:pt idx="373">
                  <c:v>1.219</c:v>
                </c:pt>
                <c:pt idx="374">
                  <c:v>1.214</c:v>
                </c:pt>
                <c:pt idx="375">
                  <c:v>1.25</c:v>
                </c:pt>
                <c:pt idx="376">
                  <c:v>1.25</c:v>
                </c:pt>
                <c:pt idx="377">
                  <c:v>1.144</c:v>
                </c:pt>
                <c:pt idx="378">
                  <c:v>1.17</c:v>
                </c:pt>
                <c:pt idx="379">
                  <c:v>1.096</c:v>
                </c:pt>
                <c:pt idx="380">
                  <c:v>0.9877</c:v>
                </c:pt>
                <c:pt idx="381">
                  <c:v>0.9965</c:v>
                </c:pt>
                <c:pt idx="382">
                  <c:v>0.8101</c:v>
                </c:pt>
                <c:pt idx="383">
                  <c:v>0.7509</c:v>
                </c:pt>
                <c:pt idx="384">
                  <c:v>0.7413</c:v>
                </c:pt>
                <c:pt idx="385">
                  <c:v>0.5271</c:v>
                </c:pt>
                <c:pt idx="386">
                  <c:v>0.4851</c:v>
                </c:pt>
                <c:pt idx="387">
                  <c:v>0.4258</c:v>
                </c:pt>
                <c:pt idx="388">
                  <c:v>0.3193</c:v>
                </c:pt>
                <c:pt idx="389">
                  <c:v>0.1746</c:v>
                </c:pt>
                <c:pt idx="390">
                  <c:v>0.1442</c:v>
                </c:pt>
                <c:pt idx="391">
                  <c:v>-0.01062</c:v>
                </c:pt>
                <c:pt idx="392">
                  <c:v>-0.02843</c:v>
                </c:pt>
                <c:pt idx="393">
                  <c:v>-0.1243</c:v>
                </c:pt>
                <c:pt idx="394">
                  <c:v>-0.1718</c:v>
                </c:pt>
                <c:pt idx="395">
                  <c:v>-0.2773</c:v>
                </c:pt>
                <c:pt idx="396">
                  <c:v>-0.2591</c:v>
                </c:pt>
                <c:pt idx="397">
                  <c:v>-0.266</c:v>
                </c:pt>
                <c:pt idx="398">
                  <c:v>-0.2544</c:v>
                </c:pt>
                <c:pt idx="399">
                  <c:v>-0.2698</c:v>
                </c:pt>
                <c:pt idx="400">
                  <c:v>-0.2645</c:v>
                </c:pt>
                <c:pt idx="401">
                  <c:v>-0.1405</c:v>
                </c:pt>
                <c:pt idx="402">
                  <c:v>-0.1581</c:v>
                </c:pt>
                <c:pt idx="403">
                  <c:v>-0.009353</c:v>
                </c:pt>
                <c:pt idx="404">
                  <c:v>-0.005238</c:v>
                </c:pt>
                <c:pt idx="405">
                  <c:v>0.1355</c:v>
                </c:pt>
                <c:pt idx="406">
                  <c:v>0.2515</c:v>
                </c:pt>
                <c:pt idx="407">
                  <c:v>0.2862</c:v>
                </c:pt>
                <c:pt idx="408">
                  <c:v>0.3999</c:v>
                </c:pt>
                <c:pt idx="409">
                  <c:v>0.4864</c:v>
                </c:pt>
                <c:pt idx="410">
                  <c:v>0.6324</c:v>
                </c:pt>
                <c:pt idx="411">
                  <c:v>0.674</c:v>
                </c:pt>
                <c:pt idx="412">
                  <c:v>0.7563</c:v>
                </c:pt>
                <c:pt idx="413">
                  <c:v>0.8945</c:v>
                </c:pt>
                <c:pt idx="414">
                  <c:v>0.9442</c:v>
                </c:pt>
                <c:pt idx="415">
                  <c:v>1.004</c:v>
                </c:pt>
                <c:pt idx="416">
                  <c:v>0.9891</c:v>
                </c:pt>
                <c:pt idx="417">
                  <c:v>1.073</c:v>
                </c:pt>
                <c:pt idx="418">
                  <c:v>1.067</c:v>
                </c:pt>
                <c:pt idx="419">
                  <c:v>1.169</c:v>
                </c:pt>
                <c:pt idx="420">
                  <c:v>1.175</c:v>
                </c:pt>
                <c:pt idx="421">
                  <c:v>1.148</c:v>
                </c:pt>
                <c:pt idx="422">
                  <c:v>1.069</c:v>
                </c:pt>
                <c:pt idx="423">
                  <c:v>1.011</c:v>
                </c:pt>
                <c:pt idx="424">
                  <c:v>0.9852</c:v>
                </c:pt>
                <c:pt idx="425">
                  <c:v>0.9988</c:v>
                </c:pt>
                <c:pt idx="426">
                  <c:v>0.8456</c:v>
                </c:pt>
                <c:pt idx="427">
                  <c:v>0.7506</c:v>
                </c:pt>
                <c:pt idx="428">
                  <c:v>0.7404</c:v>
                </c:pt>
                <c:pt idx="429">
                  <c:v>0.7162</c:v>
                </c:pt>
                <c:pt idx="430">
                  <c:v>0.5438</c:v>
                </c:pt>
                <c:pt idx="431">
                  <c:v>0.4936</c:v>
                </c:pt>
                <c:pt idx="432">
                  <c:v>0.4206</c:v>
                </c:pt>
                <c:pt idx="433">
                  <c:v>0.3174</c:v>
                </c:pt>
                <c:pt idx="434">
                  <c:v>0.2324</c:v>
                </c:pt>
                <c:pt idx="435">
                  <c:v>0.1181</c:v>
                </c:pt>
                <c:pt idx="436">
                  <c:v>0.04841</c:v>
                </c:pt>
                <c:pt idx="437">
                  <c:v>-0.01035</c:v>
                </c:pt>
                <c:pt idx="438">
                  <c:v>-0.02421</c:v>
                </c:pt>
                <c:pt idx="439">
                  <c:v>-0.04813</c:v>
                </c:pt>
                <c:pt idx="440">
                  <c:v>-0.1123</c:v>
                </c:pt>
                <c:pt idx="441">
                  <c:v>-0.1372</c:v>
                </c:pt>
                <c:pt idx="442">
                  <c:v>-0.1497</c:v>
                </c:pt>
                <c:pt idx="443">
                  <c:v>-0.1553</c:v>
                </c:pt>
                <c:pt idx="444">
                  <c:v>-0.1267</c:v>
                </c:pt>
                <c:pt idx="445">
                  <c:v>-0.03536</c:v>
                </c:pt>
                <c:pt idx="446">
                  <c:v>-0.004343</c:v>
                </c:pt>
                <c:pt idx="447">
                  <c:v>-0.001187</c:v>
                </c:pt>
                <c:pt idx="448">
                  <c:v>0.04511</c:v>
                </c:pt>
                <c:pt idx="449">
                  <c:v>0.1025</c:v>
                </c:pt>
                <c:pt idx="450">
                  <c:v>0.2274</c:v>
                </c:pt>
                <c:pt idx="451">
                  <c:v>0.2823</c:v>
                </c:pt>
                <c:pt idx="452">
                  <c:v>0.3725</c:v>
                </c:pt>
                <c:pt idx="453">
                  <c:v>0.4926</c:v>
                </c:pt>
                <c:pt idx="454">
                  <c:v>0.5053</c:v>
                </c:pt>
                <c:pt idx="455">
                  <c:v>0.6184</c:v>
                </c:pt>
                <c:pt idx="456">
                  <c:v>0.7297</c:v>
                </c:pt>
                <c:pt idx="457">
                  <c:v>0.7411</c:v>
                </c:pt>
                <c:pt idx="458">
                  <c:v>0.7496</c:v>
                </c:pt>
                <c:pt idx="459">
                  <c:v>0.8764</c:v>
                </c:pt>
                <c:pt idx="460">
                  <c:v>0.9697</c:v>
                </c:pt>
                <c:pt idx="461">
                  <c:v>0.9961</c:v>
                </c:pt>
                <c:pt idx="462">
                  <c:v>1.011</c:v>
                </c:pt>
                <c:pt idx="463">
                  <c:v>1.012</c:v>
                </c:pt>
                <c:pt idx="464">
                  <c:v>1</c:v>
                </c:pt>
                <c:pt idx="465">
                  <c:v>0.9984</c:v>
                </c:pt>
                <c:pt idx="466">
                  <c:v>0.9959</c:v>
                </c:pt>
                <c:pt idx="467">
                  <c:v>1.002</c:v>
                </c:pt>
                <c:pt idx="468">
                  <c:v>0.9342</c:v>
                </c:pt>
                <c:pt idx="469">
                  <c:v>0.8689</c:v>
                </c:pt>
                <c:pt idx="470">
                  <c:v>0.8796</c:v>
                </c:pt>
                <c:pt idx="471">
                  <c:v>0.7591</c:v>
                </c:pt>
                <c:pt idx="472">
                  <c:v>0.7476</c:v>
                </c:pt>
                <c:pt idx="473">
                  <c:v>0.7275</c:v>
                </c:pt>
                <c:pt idx="474">
                  <c:v>0.6323</c:v>
                </c:pt>
                <c:pt idx="475">
                  <c:v>0.5034</c:v>
                </c:pt>
                <c:pt idx="476">
                  <c:v>0.5102</c:v>
                </c:pt>
                <c:pt idx="477">
                  <c:v>0.3483</c:v>
                </c:pt>
                <c:pt idx="478">
                  <c:v>0.299</c:v>
                </c:pt>
                <c:pt idx="479">
                  <c:v>0.2483</c:v>
                </c:pt>
                <c:pt idx="480">
                  <c:v>0.2482</c:v>
                </c:pt>
                <c:pt idx="481">
                  <c:v>0.1208</c:v>
                </c:pt>
                <c:pt idx="482">
                  <c:v>0.1252</c:v>
                </c:pt>
                <c:pt idx="483">
                  <c:v>0.07341</c:v>
                </c:pt>
                <c:pt idx="484">
                  <c:v>0.07271</c:v>
                </c:pt>
                <c:pt idx="485">
                  <c:v>-0.003034</c:v>
                </c:pt>
                <c:pt idx="486">
                  <c:v>0.001886</c:v>
                </c:pt>
                <c:pt idx="487">
                  <c:v>0.0003503</c:v>
                </c:pt>
                <c:pt idx="488">
                  <c:v>0.105</c:v>
                </c:pt>
                <c:pt idx="489">
                  <c:v>0.05459</c:v>
                </c:pt>
                <c:pt idx="490">
                  <c:v>0.125</c:v>
                </c:pt>
                <c:pt idx="491">
                  <c:v>0.1213</c:v>
                </c:pt>
                <c:pt idx="492">
                  <c:v>0.2316</c:v>
                </c:pt>
                <c:pt idx="493">
                  <c:v>0.2481</c:v>
                </c:pt>
                <c:pt idx="494">
                  <c:v>0.2529</c:v>
                </c:pt>
                <c:pt idx="495">
                  <c:v>0.3823</c:v>
                </c:pt>
                <c:pt idx="496">
                  <c:v>0.378</c:v>
                </c:pt>
                <c:pt idx="497">
                  <c:v>0.4993</c:v>
                </c:pt>
                <c:pt idx="498">
                  <c:v>0.5537</c:v>
                </c:pt>
                <c:pt idx="499">
                  <c:v>0.5586</c:v>
                </c:pt>
                <c:pt idx="500">
                  <c:v>0.6353</c:v>
                </c:pt>
                <c:pt idx="501">
                  <c:v>0.6687</c:v>
                </c:pt>
                <c:pt idx="502">
                  <c:v>0.7051</c:v>
                </c:pt>
                <c:pt idx="503">
                  <c:v>0.7534</c:v>
                </c:pt>
                <c:pt idx="504">
                  <c:v>0.7443</c:v>
                </c:pt>
                <c:pt idx="505">
                  <c:v>0.7483</c:v>
                </c:pt>
                <c:pt idx="506">
                  <c:v>0.8709</c:v>
                </c:pt>
                <c:pt idx="507">
                  <c:v>0.8729</c:v>
                </c:pt>
                <c:pt idx="508">
                  <c:v>0.8767</c:v>
                </c:pt>
                <c:pt idx="509">
                  <c:v>0.8747</c:v>
                </c:pt>
                <c:pt idx="510">
                  <c:v>0.8754</c:v>
                </c:pt>
                <c:pt idx="511">
                  <c:v>0.8741</c:v>
                </c:pt>
                <c:pt idx="512">
                  <c:v>0.7497</c:v>
                </c:pt>
                <c:pt idx="513">
                  <c:v>0.7571</c:v>
                </c:pt>
                <c:pt idx="514">
                  <c:v>0.7512</c:v>
                </c:pt>
                <c:pt idx="515">
                  <c:v>0.7569</c:v>
                </c:pt>
                <c:pt idx="516">
                  <c:v>0.7155</c:v>
                </c:pt>
                <c:pt idx="517">
                  <c:v>0.6357</c:v>
                </c:pt>
                <c:pt idx="518">
                  <c:v>0.5224</c:v>
                </c:pt>
                <c:pt idx="519">
                  <c:v>0.5198</c:v>
                </c:pt>
                <c:pt idx="520">
                  <c:v>0.5031</c:v>
                </c:pt>
                <c:pt idx="521">
                  <c:v>0.4198</c:v>
                </c:pt>
                <c:pt idx="522">
                  <c:v>0.3637</c:v>
                </c:pt>
                <c:pt idx="523">
                  <c:v>0.2679</c:v>
                </c:pt>
                <c:pt idx="524">
                  <c:v>0.2532</c:v>
                </c:pt>
                <c:pt idx="525">
                  <c:v>0.2427</c:v>
                </c:pt>
                <c:pt idx="526">
                  <c:v>0.2455</c:v>
                </c:pt>
                <c:pt idx="527">
                  <c:v>0.2449</c:v>
                </c:pt>
                <c:pt idx="528">
                  <c:v>0.2282</c:v>
                </c:pt>
                <c:pt idx="529">
                  <c:v>0.2365</c:v>
                </c:pt>
                <c:pt idx="530">
                  <c:v>0.2384</c:v>
                </c:pt>
                <c:pt idx="531">
                  <c:v>0.2416</c:v>
                </c:pt>
                <c:pt idx="532">
                  <c:v>0.2398</c:v>
                </c:pt>
                <c:pt idx="533">
                  <c:v>0.2433</c:v>
                </c:pt>
                <c:pt idx="534">
                  <c:v>0.2685</c:v>
                </c:pt>
                <c:pt idx="535">
                  <c:v>0.3631</c:v>
                </c:pt>
                <c:pt idx="536">
                  <c:v>0.3911</c:v>
                </c:pt>
                <c:pt idx="537">
                  <c:v>0.3417</c:v>
                </c:pt>
                <c:pt idx="538">
                  <c:v>0.4887</c:v>
                </c:pt>
                <c:pt idx="539">
                  <c:v>0.495</c:v>
                </c:pt>
                <c:pt idx="540">
                  <c:v>0.4932</c:v>
                </c:pt>
                <c:pt idx="541">
                  <c:v>0.5069</c:v>
                </c:pt>
                <c:pt idx="542">
                  <c:v>0.6353</c:v>
                </c:pt>
                <c:pt idx="543">
                  <c:v>0.6298</c:v>
                </c:pt>
                <c:pt idx="544">
                  <c:v>0.7225</c:v>
                </c:pt>
                <c:pt idx="545">
                  <c:v>0.7303</c:v>
                </c:pt>
                <c:pt idx="546">
                  <c:v>0.7313</c:v>
                </c:pt>
                <c:pt idx="547">
                  <c:v>0.7175</c:v>
                </c:pt>
                <c:pt idx="548">
                  <c:v>0.7349</c:v>
                </c:pt>
                <c:pt idx="549">
                  <c:v>0.7362</c:v>
                </c:pt>
                <c:pt idx="550">
                  <c:v>0.7368</c:v>
                </c:pt>
                <c:pt idx="551">
                  <c:v>0.733</c:v>
                </c:pt>
                <c:pt idx="552">
                  <c:v>0.7326</c:v>
                </c:pt>
                <c:pt idx="553">
                  <c:v>0.7163</c:v>
                </c:pt>
                <c:pt idx="554">
                  <c:v>0.7447</c:v>
                </c:pt>
                <c:pt idx="555">
                  <c:v>0.7427</c:v>
                </c:pt>
                <c:pt idx="556">
                  <c:v>0.6417</c:v>
                </c:pt>
                <c:pt idx="557">
                  <c:v>0.6451</c:v>
                </c:pt>
                <c:pt idx="558">
                  <c:v>0.6457</c:v>
                </c:pt>
                <c:pt idx="559">
                  <c:v>0.5396</c:v>
                </c:pt>
                <c:pt idx="560">
                  <c:v>0.4964</c:v>
                </c:pt>
                <c:pt idx="561">
                  <c:v>0.4635</c:v>
                </c:pt>
                <c:pt idx="562">
                  <c:v>0.4911</c:v>
                </c:pt>
                <c:pt idx="563">
                  <c:v>0.3824</c:v>
                </c:pt>
                <c:pt idx="564">
                  <c:v>0.401</c:v>
                </c:pt>
                <c:pt idx="565">
                  <c:v>0.3784</c:v>
                </c:pt>
                <c:pt idx="566">
                  <c:v>0.3062</c:v>
                </c:pt>
                <c:pt idx="567">
                  <c:v>0.2706</c:v>
                </c:pt>
                <c:pt idx="568">
                  <c:v>0.2529</c:v>
                </c:pt>
                <c:pt idx="569">
                  <c:v>0.2431</c:v>
                </c:pt>
                <c:pt idx="570">
                  <c:v>0.2287</c:v>
                </c:pt>
                <c:pt idx="571">
                  <c:v>0.2328</c:v>
                </c:pt>
                <c:pt idx="572">
                  <c:v>0.2431</c:v>
                </c:pt>
                <c:pt idx="573">
                  <c:v>0.2326</c:v>
                </c:pt>
                <c:pt idx="574">
                  <c:v>0.2475</c:v>
                </c:pt>
                <c:pt idx="575">
                  <c:v>0.2981</c:v>
                </c:pt>
                <c:pt idx="576">
                  <c:v>0.3773</c:v>
                </c:pt>
                <c:pt idx="577">
                  <c:v>0.3327</c:v>
                </c:pt>
                <c:pt idx="578">
                  <c:v>0.3559</c:v>
                </c:pt>
                <c:pt idx="579">
                  <c:v>0.4905</c:v>
                </c:pt>
                <c:pt idx="580">
                  <c:v>0.4917</c:v>
                </c:pt>
                <c:pt idx="581">
                  <c:v>0.4978</c:v>
                </c:pt>
                <c:pt idx="582">
                  <c:v>0.544</c:v>
                </c:pt>
                <c:pt idx="583">
                  <c:v>0.6161</c:v>
                </c:pt>
                <c:pt idx="584">
                  <c:v>0.6444</c:v>
                </c:pt>
                <c:pt idx="585">
                  <c:v>0.6314</c:v>
                </c:pt>
                <c:pt idx="586">
                  <c:v>0.6832</c:v>
                </c:pt>
                <c:pt idx="587">
                  <c:v>0.7293</c:v>
                </c:pt>
                <c:pt idx="588">
                  <c:v>0.6995</c:v>
                </c:pt>
                <c:pt idx="589">
                  <c:v>0.722</c:v>
                </c:pt>
                <c:pt idx="590">
                  <c:v>0.7022</c:v>
                </c:pt>
                <c:pt idx="591">
                  <c:v>0.7431</c:v>
                </c:pt>
                <c:pt idx="592">
                  <c:v>0.7306</c:v>
                </c:pt>
                <c:pt idx="593">
                  <c:v>0.6919</c:v>
                </c:pt>
                <c:pt idx="594">
                  <c:v>0.7444</c:v>
                </c:pt>
                <c:pt idx="595">
                  <c:v>0.74</c:v>
                </c:pt>
                <c:pt idx="596">
                  <c:v>0.6849</c:v>
                </c:pt>
                <c:pt idx="597">
                  <c:v>0.6037</c:v>
                </c:pt>
                <c:pt idx="598">
                  <c:v>0.6106</c:v>
                </c:pt>
                <c:pt idx="599">
                  <c:v>0.5104</c:v>
                </c:pt>
                <c:pt idx="600">
                  <c:v>0.4903</c:v>
                </c:pt>
                <c:pt idx="601">
                  <c:v>0.4809</c:v>
                </c:pt>
                <c:pt idx="602">
                  <c:v>0.4956</c:v>
                </c:pt>
                <c:pt idx="603">
                  <c:v>0.4875</c:v>
                </c:pt>
                <c:pt idx="604">
                  <c:v>0.3546</c:v>
                </c:pt>
                <c:pt idx="605">
                  <c:v>0.388</c:v>
                </c:pt>
                <c:pt idx="606">
                  <c:v>0.3773</c:v>
                </c:pt>
                <c:pt idx="607">
                  <c:v>0.2959</c:v>
                </c:pt>
                <c:pt idx="608">
                  <c:v>0.2495</c:v>
                </c:pt>
                <c:pt idx="609">
                  <c:v>0.2367</c:v>
                </c:pt>
                <c:pt idx="610">
                  <c:v>0.2378</c:v>
                </c:pt>
                <c:pt idx="611">
                  <c:v>0.2404</c:v>
                </c:pt>
                <c:pt idx="612">
                  <c:v>0.2408</c:v>
                </c:pt>
                <c:pt idx="613">
                  <c:v>0.2594</c:v>
                </c:pt>
                <c:pt idx="614">
                  <c:v>0.2459</c:v>
                </c:pt>
                <c:pt idx="615">
                  <c:v>0.2895</c:v>
                </c:pt>
                <c:pt idx="616">
                  <c:v>0.3161</c:v>
                </c:pt>
                <c:pt idx="617">
                  <c:v>0.362</c:v>
                </c:pt>
                <c:pt idx="618">
                  <c:v>0.3803</c:v>
                </c:pt>
                <c:pt idx="619">
                  <c:v>0.4804</c:v>
                </c:pt>
                <c:pt idx="620">
                  <c:v>0.4929</c:v>
                </c:pt>
                <c:pt idx="621">
                  <c:v>0.4989</c:v>
                </c:pt>
                <c:pt idx="622">
                  <c:v>0.5028</c:v>
                </c:pt>
                <c:pt idx="623">
                  <c:v>0.496</c:v>
                </c:pt>
                <c:pt idx="624">
                  <c:v>0.6309</c:v>
                </c:pt>
                <c:pt idx="625">
                  <c:v>0.6329</c:v>
                </c:pt>
                <c:pt idx="626">
                  <c:v>0.6354</c:v>
                </c:pt>
                <c:pt idx="627">
                  <c:v>0.6719</c:v>
                </c:pt>
                <c:pt idx="628">
                  <c:v>0.6706</c:v>
                </c:pt>
                <c:pt idx="629">
                  <c:v>0.686</c:v>
                </c:pt>
                <c:pt idx="630">
                  <c:v>0.7406</c:v>
                </c:pt>
                <c:pt idx="631">
                  <c:v>0.751</c:v>
                </c:pt>
                <c:pt idx="632">
                  <c:v>0.7507</c:v>
                </c:pt>
                <c:pt idx="633">
                  <c:v>0.7437</c:v>
                </c:pt>
                <c:pt idx="634">
                  <c:v>0.7338</c:v>
                </c:pt>
                <c:pt idx="635">
                  <c:v>0.7125</c:v>
                </c:pt>
                <c:pt idx="636">
                  <c:v>0.6356</c:v>
                </c:pt>
                <c:pt idx="637">
                  <c:v>0.6316</c:v>
                </c:pt>
                <c:pt idx="638">
                  <c:v>0.6355</c:v>
                </c:pt>
                <c:pt idx="639">
                  <c:v>0.498</c:v>
                </c:pt>
                <c:pt idx="640">
                  <c:v>0.4832</c:v>
                </c:pt>
                <c:pt idx="641">
                  <c:v>0.5272</c:v>
                </c:pt>
                <c:pt idx="642">
                  <c:v>0.4852</c:v>
                </c:pt>
                <c:pt idx="643">
                  <c:v>0.4879</c:v>
                </c:pt>
                <c:pt idx="644">
                  <c:v>0.3816</c:v>
                </c:pt>
                <c:pt idx="645">
                  <c:v>0.3468</c:v>
                </c:pt>
                <c:pt idx="646">
                  <c:v>0.3473</c:v>
                </c:pt>
                <c:pt idx="647">
                  <c:v>0.2548</c:v>
                </c:pt>
                <c:pt idx="648">
                  <c:v>0.2431</c:v>
                </c:pt>
                <c:pt idx="649">
                  <c:v>0.2496</c:v>
                </c:pt>
                <c:pt idx="650">
                  <c:v>0.2422</c:v>
                </c:pt>
                <c:pt idx="651">
                  <c:v>0.2371</c:v>
                </c:pt>
                <c:pt idx="652">
                  <c:v>0.2378</c:v>
                </c:pt>
                <c:pt idx="653">
                  <c:v>0.2303</c:v>
                </c:pt>
                <c:pt idx="654">
                  <c:v>0.2512</c:v>
                </c:pt>
                <c:pt idx="655">
                  <c:v>0.2539</c:v>
                </c:pt>
                <c:pt idx="656">
                  <c:v>0.2496</c:v>
                </c:pt>
                <c:pt idx="657">
                  <c:v>0.2558</c:v>
                </c:pt>
                <c:pt idx="658">
                  <c:v>0.3276</c:v>
                </c:pt>
                <c:pt idx="659">
                  <c:v>0.3757</c:v>
                </c:pt>
                <c:pt idx="660">
                  <c:v>0.3491</c:v>
                </c:pt>
                <c:pt idx="661">
                  <c:v>0.4816</c:v>
                </c:pt>
                <c:pt idx="662">
                  <c:v>0.4767</c:v>
                </c:pt>
                <c:pt idx="663">
                  <c:v>0.4883</c:v>
                </c:pt>
                <c:pt idx="664">
                  <c:v>0.4922</c:v>
                </c:pt>
                <c:pt idx="665">
                  <c:v>0.5165</c:v>
                </c:pt>
                <c:pt idx="666">
                  <c:v>0.5616</c:v>
                </c:pt>
                <c:pt idx="667">
                  <c:v>0.6321</c:v>
                </c:pt>
                <c:pt idx="668">
                  <c:v>0.6761</c:v>
                </c:pt>
                <c:pt idx="669">
                  <c:v>0.6521</c:v>
                </c:pt>
                <c:pt idx="670">
                  <c:v>0.7558</c:v>
                </c:pt>
                <c:pt idx="671">
                  <c:v>0.7514</c:v>
                </c:pt>
                <c:pt idx="672">
                  <c:v>0.7602</c:v>
                </c:pt>
                <c:pt idx="673">
                  <c:v>0.7523</c:v>
                </c:pt>
                <c:pt idx="674">
                  <c:v>0.7306</c:v>
                </c:pt>
                <c:pt idx="675">
                  <c:v>0.744</c:v>
                </c:pt>
                <c:pt idx="676">
                  <c:v>0.6843</c:v>
                </c:pt>
                <c:pt idx="677">
                  <c:v>0.6104</c:v>
                </c:pt>
                <c:pt idx="678">
                  <c:v>0.6055</c:v>
                </c:pt>
                <c:pt idx="679">
                  <c:v>0.6076</c:v>
                </c:pt>
                <c:pt idx="680">
                  <c:v>0.5367</c:v>
                </c:pt>
                <c:pt idx="681">
                  <c:v>0.5009</c:v>
                </c:pt>
                <c:pt idx="682">
                  <c:v>0.4963</c:v>
                </c:pt>
                <c:pt idx="683">
                  <c:v>0.4679</c:v>
                </c:pt>
                <c:pt idx="684">
                  <c:v>0.4917</c:v>
                </c:pt>
                <c:pt idx="685">
                  <c:v>0.3763</c:v>
                </c:pt>
                <c:pt idx="686">
                  <c:v>0.3517</c:v>
                </c:pt>
                <c:pt idx="687">
                  <c:v>0.3908</c:v>
                </c:pt>
                <c:pt idx="688">
                  <c:v>0.2978</c:v>
                </c:pt>
                <c:pt idx="689">
                  <c:v>0.2561</c:v>
                </c:pt>
                <c:pt idx="690">
                  <c:v>0.252</c:v>
                </c:pt>
                <c:pt idx="691">
                  <c:v>0.2442</c:v>
                </c:pt>
                <c:pt idx="692">
                  <c:v>0.2422</c:v>
                </c:pt>
                <c:pt idx="693">
                  <c:v>0.2418</c:v>
                </c:pt>
                <c:pt idx="694">
                  <c:v>0.2412</c:v>
                </c:pt>
                <c:pt idx="695">
                  <c:v>0.2435</c:v>
                </c:pt>
                <c:pt idx="696">
                  <c:v>0.2672</c:v>
                </c:pt>
                <c:pt idx="697">
                  <c:v>0.2464</c:v>
                </c:pt>
                <c:pt idx="698">
                  <c:v>0.2403</c:v>
                </c:pt>
                <c:pt idx="699">
                  <c:v>0.2468</c:v>
                </c:pt>
                <c:pt idx="700">
                  <c:v>0.2667</c:v>
                </c:pt>
                <c:pt idx="701">
                  <c:v>0.3815</c:v>
                </c:pt>
                <c:pt idx="702">
                  <c:v>0.3834</c:v>
                </c:pt>
                <c:pt idx="703">
                  <c:v>0.3541</c:v>
                </c:pt>
                <c:pt idx="704">
                  <c:v>0.4886</c:v>
                </c:pt>
                <c:pt idx="705">
                  <c:v>0.4956</c:v>
                </c:pt>
                <c:pt idx="706">
                  <c:v>0.4979</c:v>
                </c:pt>
                <c:pt idx="707">
                  <c:v>0.5019</c:v>
                </c:pt>
                <c:pt idx="708">
                  <c:v>0.6173</c:v>
                </c:pt>
                <c:pt idx="709">
                  <c:v>0.6354</c:v>
                </c:pt>
                <c:pt idx="710">
                  <c:v>0.6869</c:v>
                </c:pt>
                <c:pt idx="711">
                  <c:v>0.6911</c:v>
                </c:pt>
                <c:pt idx="712">
                  <c:v>0.7014</c:v>
                </c:pt>
                <c:pt idx="713">
                  <c:v>0.75</c:v>
                </c:pt>
                <c:pt idx="714">
                  <c:v>0.7416</c:v>
                </c:pt>
                <c:pt idx="715">
                  <c:v>0.7526</c:v>
                </c:pt>
                <c:pt idx="716">
                  <c:v>0.7463</c:v>
                </c:pt>
                <c:pt idx="717">
                  <c:v>0.7595</c:v>
                </c:pt>
                <c:pt idx="718">
                  <c:v>0.757</c:v>
                </c:pt>
                <c:pt idx="719">
                  <c:v>0.703</c:v>
                </c:pt>
                <c:pt idx="720">
                  <c:v>0.601</c:v>
                </c:pt>
                <c:pt idx="721">
                  <c:v>0.5749</c:v>
                </c:pt>
                <c:pt idx="722">
                  <c:v>0.6328</c:v>
                </c:pt>
                <c:pt idx="723">
                  <c:v>0.5063</c:v>
                </c:pt>
                <c:pt idx="724">
                  <c:v>0.5059</c:v>
                </c:pt>
                <c:pt idx="725">
                  <c:v>0.5053</c:v>
                </c:pt>
                <c:pt idx="726">
                  <c:v>0.4907</c:v>
                </c:pt>
                <c:pt idx="727">
                  <c:v>0.4684</c:v>
                </c:pt>
                <c:pt idx="728">
                  <c:v>0.3682</c:v>
                </c:pt>
                <c:pt idx="729">
                  <c:v>0.3333</c:v>
                </c:pt>
                <c:pt idx="730">
                  <c:v>0.265</c:v>
                </c:pt>
                <c:pt idx="731">
                  <c:v>0.2414</c:v>
                </c:pt>
                <c:pt idx="732">
                  <c:v>0.2227</c:v>
                </c:pt>
                <c:pt idx="733">
                  <c:v>0.2437</c:v>
                </c:pt>
                <c:pt idx="734">
                  <c:v>0.2471</c:v>
                </c:pt>
                <c:pt idx="735">
                  <c:v>0.2363</c:v>
                </c:pt>
                <c:pt idx="736">
                  <c:v>0.2426</c:v>
                </c:pt>
                <c:pt idx="737">
                  <c:v>0.2425</c:v>
                </c:pt>
                <c:pt idx="738">
                  <c:v>0.2479</c:v>
                </c:pt>
                <c:pt idx="739">
                  <c:v>0.2443</c:v>
                </c:pt>
                <c:pt idx="740">
                  <c:v>0.233</c:v>
                </c:pt>
                <c:pt idx="741">
                  <c:v>0.2524</c:v>
                </c:pt>
                <c:pt idx="742">
                  <c:v>0.2626</c:v>
                </c:pt>
                <c:pt idx="743">
                  <c:v>0.3673</c:v>
                </c:pt>
                <c:pt idx="744">
                  <c:v>0.3703</c:v>
                </c:pt>
                <c:pt idx="745">
                  <c:v>0.3645</c:v>
                </c:pt>
                <c:pt idx="746">
                  <c:v>0.3956</c:v>
                </c:pt>
                <c:pt idx="747">
                  <c:v>0.4845</c:v>
                </c:pt>
                <c:pt idx="748">
                  <c:v>0.4941</c:v>
                </c:pt>
                <c:pt idx="749">
                  <c:v>0.5019</c:v>
                </c:pt>
                <c:pt idx="750">
                  <c:v>0.5025</c:v>
                </c:pt>
                <c:pt idx="751">
                  <c:v>0.5984</c:v>
                </c:pt>
                <c:pt idx="752">
                  <c:v>0.6366</c:v>
                </c:pt>
                <c:pt idx="753">
                  <c:v>0.6164</c:v>
                </c:pt>
                <c:pt idx="754">
                  <c:v>0.6596</c:v>
                </c:pt>
                <c:pt idx="755">
                  <c:v>0.7366</c:v>
                </c:pt>
                <c:pt idx="756">
                  <c:v>0.7222</c:v>
                </c:pt>
                <c:pt idx="757">
                  <c:v>0.7418</c:v>
                </c:pt>
                <c:pt idx="758">
                  <c:v>0.7459</c:v>
                </c:pt>
                <c:pt idx="759">
                  <c:v>0.7424</c:v>
                </c:pt>
                <c:pt idx="760">
                  <c:v>0.742</c:v>
                </c:pt>
                <c:pt idx="761">
                  <c:v>0.7309</c:v>
                </c:pt>
                <c:pt idx="762">
                  <c:v>0.7252</c:v>
                </c:pt>
                <c:pt idx="763">
                  <c:v>0.637</c:v>
                </c:pt>
                <c:pt idx="764">
                  <c:v>0.6332</c:v>
                </c:pt>
                <c:pt idx="765">
                  <c:v>0.5604</c:v>
                </c:pt>
                <c:pt idx="766">
                  <c:v>0.4997</c:v>
                </c:pt>
                <c:pt idx="767">
                  <c:v>0.485</c:v>
                </c:pt>
                <c:pt idx="768">
                  <c:v>0.5025</c:v>
                </c:pt>
                <c:pt idx="769">
                  <c:v>0.4869</c:v>
                </c:pt>
                <c:pt idx="770">
                  <c:v>0.363</c:v>
                </c:pt>
                <c:pt idx="771">
                  <c:v>0.3621</c:v>
                </c:pt>
                <c:pt idx="772">
                  <c:v>0.358</c:v>
                </c:pt>
                <c:pt idx="773">
                  <c:v>0.3462</c:v>
                </c:pt>
                <c:pt idx="774">
                  <c:v>0.2677</c:v>
                </c:pt>
                <c:pt idx="775">
                  <c:v>0.2451</c:v>
                </c:pt>
                <c:pt idx="776">
                  <c:v>0.2521</c:v>
                </c:pt>
                <c:pt idx="777">
                  <c:v>0.2389</c:v>
                </c:pt>
                <c:pt idx="778">
                  <c:v>0.2448</c:v>
                </c:pt>
                <c:pt idx="779">
                  <c:v>0.2368</c:v>
                </c:pt>
                <c:pt idx="780">
                  <c:v>0.2531</c:v>
                </c:pt>
                <c:pt idx="781">
                  <c:v>0.2499</c:v>
                </c:pt>
                <c:pt idx="782">
                  <c:v>0.2403</c:v>
                </c:pt>
                <c:pt idx="783">
                  <c:v>0.2984</c:v>
                </c:pt>
                <c:pt idx="784">
                  <c:v>0.3801</c:v>
                </c:pt>
                <c:pt idx="785">
                  <c:v>0.3803</c:v>
                </c:pt>
                <c:pt idx="786">
                  <c:v>0.3754</c:v>
                </c:pt>
                <c:pt idx="787">
                  <c:v>0.3696</c:v>
                </c:pt>
                <c:pt idx="788">
                  <c:v>0.4827</c:v>
                </c:pt>
                <c:pt idx="789">
                  <c:v>0.4904</c:v>
                </c:pt>
                <c:pt idx="790">
                  <c:v>0.4895</c:v>
                </c:pt>
                <c:pt idx="791">
                  <c:v>0.478</c:v>
                </c:pt>
                <c:pt idx="792">
                  <c:v>0.5087</c:v>
                </c:pt>
                <c:pt idx="793">
                  <c:v>0.4906</c:v>
                </c:pt>
                <c:pt idx="794">
                  <c:v>0.5123</c:v>
                </c:pt>
                <c:pt idx="795">
                  <c:v>0.6059</c:v>
                </c:pt>
                <c:pt idx="796">
                  <c:v>0.6409</c:v>
                </c:pt>
                <c:pt idx="797">
                  <c:v>0.6378</c:v>
                </c:pt>
                <c:pt idx="798">
                  <c:v>0.6337</c:v>
                </c:pt>
                <c:pt idx="799">
                  <c:v>0.6327</c:v>
                </c:pt>
                <c:pt idx="800">
                  <c:v>0.6338</c:v>
                </c:pt>
                <c:pt idx="801">
                  <c:v>0.6346</c:v>
                </c:pt>
                <c:pt idx="802">
                  <c:v>0.6337</c:v>
                </c:pt>
                <c:pt idx="803">
                  <c:v>0.6313</c:v>
                </c:pt>
                <c:pt idx="804">
                  <c:v>0.6314</c:v>
                </c:pt>
                <c:pt idx="805">
                  <c:v>0.629</c:v>
                </c:pt>
                <c:pt idx="806">
                  <c:v>0.5652</c:v>
                </c:pt>
                <c:pt idx="807">
                  <c:v>0.4967</c:v>
                </c:pt>
                <c:pt idx="808">
                  <c:v>0.4826</c:v>
                </c:pt>
                <c:pt idx="809">
                  <c:v>0.482</c:v>
                </c:pt>
                <c:pt idx="810">
                  <c:v>0.4997</c:v>
                </c:pt>
                <c:pt idx="811">
                  <c:v>0.5022</c:v>
                </c:pt>
                <c:pt idx="812">
                  <c:v>0.4897</c:v>
                </c:pt>
                <c:pt idx="813">
                  <c:v>0.4311</c:v>
                </c:pt>
                <c:pt idx="814">
                  <c:v>0.3768</c:v>
                </c:pt>
                <c:pt idx="815">
                  <c:v>0.3839</c:v>
                </c:pt>
                <c:pt idx="816">
                  <c:v>0.3839</c:v>
                </c:pt>
                <c:pt idx="817">
                  <c:v>0.3822</c:v>
                </c:pt>
                <c:pt idx="818">
                  <c:v>0.3848</c:v>
                </c:pt>
                <c:pt idx="819">
                  <c:v>0.3808</c:v>
                </c:pt>
                <c:pt idx="820">
                  <c:v>0.3813</c:v>
                </c:pt>
                <c:pt idx="821">
                  <c:v>0.3841</c:v>
                </c:pt>
                <c:pt idx="822">
                  <c:v>0.3822</c:v>
                </c:pt>
                <c:pt idx="823">
                  <c:v>0.3835</c:v>
                </c:pt>
                <c:pt idx="824">
                  <c:v>0.3822</c:v>
                </c:pt>
                <c:pt idx="825">
                  <c:v>0.3799</c:v>
                </c:pt>
                <c:pt idx="826">
                  <c:v>0.3825</c:v>
                </c:pt>
                <c:pt idx="827">
                  <c:v>0.4781</c:v>
                </c:pt>
                <c:pt idx="828">
                  <c:v>0.4871</c:v>
                </c:pt>
                <c:pt idx="829">
                  <c:v>0.4838</c:v>
                </c:pt>
                <c:pt idx="830">
                  <c:v>0.4954</c:v>
                </c:pt>
                <c:pt idx="831">
                  <c:v>0.5022</c:v>
                </c:pt>
                <c:pt idx="832">
                  <c:v>0.5007</c:v>
                </c:pt>
                <c:pt idx="833">
                  <c:v>0.4975</c:v>
                </c:pt>
                <c:pt idx="834">
                  <c:v>0.5055</c:v>
                </c:pt>
                <c:pt idx="835">
                  <c:v>0.5057</c:v>
                </c:pt>
                <c:pt idx="836">
                  <c:v>0.503</c:v>
                </c:pt>
                <c:pt idx="837">
                  <c:v>0.5233</c:v>
                </c:pt>
                <c:pt idx="838">
                  <c:v>0.5546</c:v>
                </c:pt>
                <c:pt idx="839">
                  <c:v>0.5554</c:v>
                </c:pt>
                <c:pt idx="840">
                  <c:v>0.5574</c:v>
                </c:pt>
                <c:pt idx="841">
                  <c:v>0.5127</c:v>
                </c:pt>
                <c:pt idx="842">
                  <c:v>0.5609</c:v>
                </c:pt>
                <c:pt idx="843">
                  <c:v>0.4971</c:v>
                </c:pt>
                <c:pt idx="844">
                  <c:v>0.4957</c:v>
                </c:pt>
                <c:pt idx="845">
                  <c:v>0.4998</c:v>
                </c:pt>
                <c:pt idx="846">
                  <c:v>0.4997</c:v>
                </c:pt>
                <c:pt idx="847">
                  <c:v>0.4851</c:v>
                </c:pt>
                <c:pt idx="848">
                  <c:v>0.4817</c:v>
                </c:pt>
                <c:pt idx="849">
                  <c:v>0.5038</c:v>
                </c:pt>
                <c:pt idx="850">
                  <c:v>0.4981</c:v>
                </c:pt>
                <c:pt idx="851">
                  <c:v>0.4688</c:v>
                </c:pt>
                <c:pt idx="852">
                  <c:v>0.4686</c:v>
                </c:pt>
                <c:pt idx="853">
                  <c:v>0.4598</c:v>
                </c:pt>
                <c:pt idx="854">
                  <c:v>0.383</c:v>
                </c:pt>
                <c:pt idx="855">
                  <c:v>0.3565</c:v>
                </c:pt>
                <c:pt idx="856">
                  <c:v>0.3787</c:v>
                </c:pt>
                <c:pt idx="857">
                  <c:v>0.3776</c:v>
                </c:pt>
                <c:pt idx="858">
                  <c:v>0.3768</c:v>
                </c:pt>
                <c:pt idx="859">
                  <c:v>0.3786</c:v>
                </c:pt>
                <c:pt idx="860">
                  <c:v>0.3793</c:v>
                </c:pt>
                <c:pt idx="861">
                  <c:v>0.3798</c:v>
                </c:pt>
                <c:pt idx="862">
                  <c:v>0.3817</c:v>
                </c:pt>
                <c:pt idx="863">
                  <c:v>0.3839</c:v>
                </c:pt>
                <c:pt idx="864">
                  <c:v>0.377</c:v>
                </c:pt>
                <c:pt idx="865">
                  <c:v>0.4721</c:v>
                </c:pt>
                <c:pt idx="866">
                  <c:v>0.4875</c:v>
                </c:pt>
                <c:pt idx="867">
                  <c:v>0.4906</c:v>
                </c:pt>
                <c:pt idx="868">
                  <c:v>0.4998</c:v>
                </c:pt>
                <c:pt idx="869">
                  <c:v>0.509</c:v>
                </c:pt>
                <c:pt idx="870">
                  <c:v>0.496</c:v>
                </c:pt>
                <c:pt idx="871">
                  <c:v>0.4935</c:v>
                </c:pt>
                <c:pt idx="872">
                  <c:v>0.4938</c:v>
                </c:pt>
                <c:pt idx="873">
                  <c:v>0.4861</c:v>
                </c:pt>
                <c:pt idx="874">
                  <c:v>0.4968</c:v>
                </c:pt>
                <c:pt idx="875">
                  <c:v>0.5042</c:v>
                </c:pt>
                <c:pt idx="876">
                  <c:v>0.5096</c:v>
                </c:pt>
                <c:pt idx="877">
                  <c:v>0.5263</c:v>
                </c:pt>
                <c:pt idx="878">
                  <c:v>0.5291</c:v>
                </c:pt>
                <c:pt idx="879">
                  <c:v>0.527</c:v>
                </c:pt>
                <c:pt idx="880">
                  <c:v>0.516</c:v>
                </c:pt>
                <c:pt idx="881">
                  <c:v>0.5034</c:v>
                </c:pt>
                <c:pt idx="882">
                  <c:v>0.5117</c:v>
                </c:pt>
                <c:pt idx="883">
                  <c:v>0.5</c:v>
                </c:pt>
                <c:pt idx="884">
                  <c:v>0.4906</c:v>
                </c:pt>
                <c:pt idx="885">
                  <c:v>0.4855</c:v>
                </c:pt>
                <c:pt idx="886">
                  <c:v>0.4834</c:v>
                </c:pt>
                <c:pt idx="887">
                  <c:v>0.4602</c:v>
                </c:pt>
                <c:pt idx="888">
                  <c:v>0.4821</c:v>
                </c:pt>
                <c:pt idx="889">
                  <c:v>0.4861</c:v>
                </c:pt>
                <c:pt idx="890">
                  <c:v>0.4866</c:v>
                </c:pt>
                <c:pt idx="891">
                  <c:v>0.3633</c:v>
                </c:pt>
                <c:pt idx="892">
                  <c:v>0.3606</c:v>
                </c:pt>
                <c:pt idx="893">
                  <c:v>0.3754</c:v>
                </c:pt>
                <c:pt idx="894">
                  <c:v>0.3718</c:v>
                </c:pt>
                <c:pt idx="895">
                  <c:v>0.3696</c:v>
                </c:pt>
                <c:pt idx="896">
                  <c:v>0.3634</c:v>
                </c:pt>
                <c:pt idx="897">
                  <c:v>0.3551</c:v>
                </c:pt>
                <c:pt idx="898">
                  <c:v>0.3493</c:v>
                </c:pt>
                <c:pt idx="899">
                  <c:v>0.3459</c:v>
                </c:pt>
                <c:pt idx="900">
                  <c:v>0.3535</c:v>
                </c:pt>
                <c:pt idx="901">
                  <c:v>0.369</c:v>
                </c:pt>
                <c:pt idx="902">
                  <c:v>0.3716</c:v>
                </c:pt>
                <c:pt idx="903">
                  <c:v>0.3721</c:v>
                </c:pt>
                <c:pt idx="904">
                  <c:v>0.3635</c:v>
                </c:pt>
                <c:pt idx="905">
                  <c:v>0.3545</c:v>
                </c:pt>
                <c:pt idx="906">
                  <c:v>0.4628</c:v>
                </c:pt>
                <c:pt idx="907">
                  <c:v>0.4298</c:v>
                </c:pt>
                <c:pt idx="908">
                  <c:v>0.469</c:v>
                </c:pt>
                <c:pt idx="909">
                  <c:v>0.4868</c:v>
                </c:pt>
                <c:pt idx="910">
                  <c:v>0.4825</c:v>
                </c:pt>
                <c:pt idx="911">
                  <c:v>0.4892</c:v>
                </c:pt>
                <c:pt idx="912">
                  <c:v>0.4973</c:v>
                </c:pt>
                <c:pt idx="913">
                  <c:v>0.5002</c:v>
                </c:pt>
                <c:pt idx="914">
                  <c:v>0.506</c:v>
                </c:pt>
                <c:pt idx="915">
                  <c:v>0.5376</c:v>
                </c:pt>
                <c:pt idx="916">
                  <c:v>0.6466</c:v>
                </c:pt>
                <c:pt idx="917">
                  <c:v>0.6324</c:v>
                </c:pt>
                <c:pt idx="918">
                  <c:v>0.633</c:v>
                </c:pt>
                <c:pt idx="919">
                  <c:v>0.6307</c:v>
                </c:pt>
                <c:pt idx="920">
                  <c:v>0.6292</c:v>
                </c:pt>
                <c:pt idx="921">
                  <c:v>0.6287</c:v>
                </c:pt>
                <c:pt idx="922">
                  <c:v>0.6301</c:v>
                </c:pt>
                <c:pt idx="923">
                  <c:v>0.5129</c:v>
                </c:pt>
                <c:pt idx="924">
                  <c:v>0.5026</c:v>
                </c:pt>
                <c:pt idx="925">
                  <c:v>0.4843</c:v>
                </c:pt>
                <c:pt idx="926">
                  <c:v>0.471</c:v>
                </c:pt>
                <c:pt idx="927">
                  <c:v>0.4775</c:v>
                </c:pt>
                <c:pt idx="928">
                  <c:v>0.4829</c:v>
                </c:pt>
                <c:pt idx="929">
                  <c:v>0.4825</c:v>
                </c:pt>
                <c:pt idx="930">
                  <c:v>0.4418</c:v>
                </c:pt>
                <c:pt idx="931">
                  <c:v>0.413</c:v>
                </c:pt>
                <c:pt idx="932">
                  <c:v>0.3658</c:v>
                </c:pt>
                <c:pt idx="933">
                  <c:v>0.3698</c:v>
                </c:pt>
                <c:pt idx="934">
                  <c:v>0.3744</c:v>
                </c:pt>
                <c:pt idx="935">
                  <c:v>0.3338</c:v>
                </c:pt>
                <c:pt idx="936">
                  <c:v>0.3703</c:v>
                </c:pt>
                <c:pt idx="937">
                  <c:v>0.3513</c:v>
                </c:pt>
                <c:pt idx="938">
                  <c:v>0.3402</c:v>
                </c:pt>
                <c:pt idx="939">
                  <c:v>0.3366</c:v>
                </c:pt>
                <c:pt idx="940">
                  <c:v>0.3372</c:v>
                </c:pt>
                <c:pt idx="941">
                  <c:v>0.3358</c:v>
                </c:pt>
                <c:pt idx="942">
                  <c:v>0.3373</c:v>
                </c:pt>
                <c:pt idx="943">
                  <c:v>0.3663</c:v>
                </c:pt>
                <c:pt idx="944">
                  <c:v>0.3682</c:v>
                </c:pt>
                <c:pt idx="945">
                  <c:v>0.3701</c:v>
                </c:pt>
                <c:pt idx="946">
                  <c:v>0.3701</c:v>
                </c:pt>
                <c:pt idx="947">
                  <c:v>0.372</c:v>
                </c:pt>
                <c:pt idx="948">
                  <c:v>0.3776</c:v>
                </c:pt>
                <c:pt idx="949">
                  <c:v>0.488</c:v>
                </c:pt>
                <c:pt idx="950">
                  <c:v>0.5023</c:v>
                </c:pt>
                <c:pt idx="951">
                  <c:v>0.5194</c:v>
                </c:pt>
                <c:pt idx="952">
                  <c:v>0.5122</c:v>
                </c:pt>
                <c:pt idx="953">
                  <c:v>0.4807</c:v>
                </c:pt>
                <c:pt idx="954">
                  <c:v>0.5016</c:v>
                </c:pt>
                <c:pt idx="955">
                  <c:v>0.5292</c:v>
                </c:pt>
                <c:pt idx="956">
                  <c:v>0.6152</c:v>
                </c:pt>
                <c:pt idx="957">
                  <c:v>0.6201</c:v>
                </c:pt>
                <c:pt idx="958">
                  <c:v>0.6209</c:v>
                </c:pt>
                <c:pt idx="959">
                  <c:v>0.6276</c:v>
                </c:pt>
                <c:pt idx="960">
                  <c:v>0.6067</c:v>
                </c:pt>
                <c:pt idx="961">
                  <c:v>0.607</c:v>
                </c:pt>
                <c:pt idx="962">
                  <c:v>0.6061</c:v>
                </c:pt>
                <c:pt idx="963">
                  <c:v>0.6054</c:v>
                </c:pt>
                <c:pt idx="964">
                  <c:v>0.6066</c:v>
                </c:pt>
                <c:pt idx="965">
                  <c:v>0.6236</c:v>
                </c:pt>
                <c:pt idx="966">
                  <c:v>0.5087</c:v>
                </c:pt>
                <c:pt idx="967">
                  <c:v>0.4833</c:v>
                </c:pt>
                <c:pt idx="968">
                  <c:v>0.4888</c:v>
                </c:pt>
                <c:pt idx="969">
                  <c:v>0.4926</c:v>
                </c:pt>
                <c:pt idx="970">
                  <c:v>0.5077</c:v>
                </c:pt>
                <c:pt idx="971">
                  <c:v>0.5021</c:v>
                </c:pt>
                <c:pt idx="972">
                  <c:v>0.4792</c:v>
                </c:pt>
                <c:pt idx="973">
                  <c:v>0.4285</c:v>
                </c:pt>
                <c:pt idx="974">
                  <c:v>0.3648</c:v>
                </c:pt>
                <c:pt idx="975">
                  <c:v>0.3639</c:v>
                </c:pt>
                <c:pt idx="976">
                  <c:v>0.3684</c:v>
                </c:pt>
                <c:pt idx="977">
                  <c:v>0.3805</c:v>
                </c:pt>
                <c:pt idx="978">
                  <c:v>0.3534</c:v>
                </c:pt>
                <c:pt idx="979">
                  <c:v>0.257</c:v>
                </c:pt>
                <c:pt idx="980">
                  <c:v>0.2546</c:v>
                </c:pt>
                <c:pt idx="981">
                  <c:v>0.2539</c:v>
                </c:pt>
                <c:pt idx="982">
                  <c:v>0.2511</c:v>
                </c:pt>
                <c:pt idx="983">
                  <c:v>0.2474</c:v>
                </c:pt>
                <c:pt idx="984">
                  <c:v>0.2654</c:v>
                </c:pt>
                <c:pt idx="985">
                  <c:v>0.2516</c:v>
                </c:pt>
                <c:pt idx="986">
                  <c:v>0.2614</c:v>
                </c:pt>
                <c:pt idx="987">
                  <c:v>0.3364</c:v>
                </c:pt>
                <c:pt idx="988">
                  <c:v>0.3747</c:v>
                </c:pt>
                <c:pt idx="989">
                  <c:v>0.3761</c:v>
                </c:pt>
                <c:pt idx="990">
                  <c:v>0.3547</c:v>
                </c:pt>
                <c:pt idx="991">
                  <c:v>0.4102</c:v>
                </c:pt>
                <c:pt idx="992">
                  <c:v>0.4991</c:v>
                </c:pt>
                <c:pt idx="993">
                  <c:v>0.492</c:v>
                </c:pt>
                <c:pt idx="994">
                  <c:v>0.4949</c:v>
                </c:pt>
                <c:pt idx="995">
                  <c:v>0.497</c:v>
                </c:pt>
                <c:pt idx="996">
                  <c:v>0.5025</c:v>
                </c:pt>
                <c:pt idx="997">
                  <c:v>0.5026</c:v>
                </c:pt>
                <c:pt idx="998">
                  <c:v>0.5175</c:v>
                </c:pt>
                <c:pt idx="999">
                  <c:v>0.6473</c:v>
                </c:pt>
                <c:pt idx="1000">
                  <c:v>0.636</c:v>
                </c:pt>
                <c:pt idx="1001">
                  <c:v>0.6307</c:v>
                </c:pt>
                <c:pt idx="1002">
                  <c:v>0.6363</c:v>
                </c:pt>
                <c:pt idx="1003">
                  <c:v>0.6378</c:v>
                </c:pt>
                <c:pt idx="1004">
                  <c:v>0.6336</c:v>
                </c:pt>
                <c:pt idx="1005">
                  <c:v>0.633</c:v>
                </c:pt>
                <c:pt idx="1006">
                  <c:v>0.6364</c:v>
                </c:pt>
                <c:pt idx="1007">
                  <c:v>0.6362</c:v>
                </c:pt>
                <c:pt idx="1008">
                  <c:v>0.554</c:v>
                </c:pt>
                <c:pt idx="1009">
                  <c:v>0.5374</c:v>
                </c:pt>
                <c:pt idx="1010">
                  <c:v>0.5051</c:v>
                </c:pt>
                <c:pt idx="1011">
                  <c:v>0.5091</c:v>
                </c:pt>
                <c:pt idx="1012">
                  <c:v>0.4904</c:v>
                </c:pt>
                <c:pt idx="1013">
                  <c:v>0.4997</c:v>
                </c:pt>
                <c:pt idx="1014">
                  <c:v>0.4878</c:v>
                </c:pt>
                <c:pt idx="1015">
                  <c:v>0.4876</c:v>
                </c:pt>
                <c:pt idx="1016">
                  <c:v>0.3546</c:v>
                </c:pt>
                <c:pt idx="1017">
                  <c:v>0.3534</c:v>
                </c:pt>
                <c:pt idx="1018">
                  <c:v>0.4261</c:v>
                </c:pt>
                <c:pt idx="1019">
                  <c:v>0.3502</c:v>
                </c:pt>
                <c:pt idx="1020">
                  <c:v>0.3928</c:v>
                </c:pt>
                <c:pt idx="1021">
                  <c:v>0.3906</c:v>
                </c:pt>
                <c:pt idx="1022">
                  <c:v>0.3823</c:v>
                </c:pt>
                <c:pt idx="1023">
                  <c:v>0.3272</c:v>
                </c:pt>
                <c:pt idx="1024">
                  <c:v>0.3338</c:v>
                </c:pt>
                <c:pt idx="1025">
                  <c:v>0.3258</c:v>
                </c:pt>
                <c:pt idx="1026">
                  <c:v>0.3201</c:v>
                </c:pt>
                <c:pt idx="1027">
                  <c:v>0.3209</c:v>
                </c:pt>
                <c:pt idx="1028">
                  <c:v>0.3252</c:v>
                </c:pt>
                <c:pt idx="1029">
                  <c:v>0.4113</c:v>
                </c:pt>
                <c:pt idx="1030">
                  <c:v>0.4018</c:v>
                </c:pt>
                <c:pt idx="1031">
                  <c:v>0.3985</c:v>
                </c:pt>
                <c:pt idx="1032">
                  <c:v>0.3769</c:v>
                </c:pt>
                <c:pt idx="1033">
                  <c:v>0.4007</c:v>
                </c:pt>
                <c:pt idx="1034">
                  <c:v>0.4844</c:v>
                </c:pt>
                <c:pt idx="1035">
                  <c:v>0.4837</c:v>
                </c:pt>
                <c:pt idx="1036">
                  <c:v>0.5017</c:v>
                </c:pt>
                <c:pt idx="1037">
                  <c:v>0.4793</c:v>
                </c:pt>
                <c:pt idx="1038">
                  <c:v>0.4896</c:v>
                </c:pt>
                <c:pt idx="1039">
                  <c:v>0.4827</c:v>
                </c:pt>
                <c:pt idx="1040">
                  <c:v>0.5027</c:v>
                </c:pt>
                <c:pt idx="1041">
                  <c:v>0.504</c:v>
                </c:pt>
                <c:pt idx="1042">
                  <c:v>0.5342</c:v>
                </c:pt>
                <c:pt idx="1043">
                  <c:v>0.5081</c:v>
                </c:pt>
                <c:pt idx="1044">
                  <c:v>0.5338</c:v>
                </c:pt>
                <c:pt idx="1045">
                  <c:v>0.5396</c:v>
                </c:pt>
                <c:pt idx="1046">
                  <c:v>0.5224</c:v>
                </c:pt>
                <c:pt idx="1047">
                  <c:v>0.529</c:v>
                </c:pt>
                <c:pt idx="1048">
                  <c:v>0.5146</c:v>
                </c:pt>
                <c:pt idx="1049">
                  <c:v>0.5075</c:v>
                </c:pt>
                <c:pt idx="1050">
                  <c:v>0.5017</c:v>
                </c:pt>
                <c:pt idx="1051">
                  <c:v>0.5023</c:v>
                </c:pt>
                <c:pt idx="1052">
                  <c:v>0.5099</c:v>
                </c:pt>
                <c:pt idx="1053">
                  <c:v>0.5404</c:v>
                </c:pt>
                <c:pt idx="1054">
                  <c:v>0.5065</c:v>
                </c:pt>
                <c:pt idx="1055">
                  <c:v>0.504</c:v>
                </c:pt>
                <c:pt idx="1056">
                  <c:v>0.5035</c:v>
                </c:pt>
                <c:pt idx="1057">
                  <c:v>0.4871</c:v>
                </c:pt>
                <c:pt idx="1058">
                  <c:v>0.4874</c:v>
                </c:pt>
                <c:pt idx="1059">
                  <c:v>0.474</c:v>
                </c:pt>
                <c:pt idx="1060">
                  <c:v>0.3598</c:v>
                </c:pt>
                <c:pt idx="1061">
                  <c:v>0.3407</c:v>
                </c:pt>
                <c:pt idx="1062">
                  <c:v>0.3739</c:v>
                </c:pt>
                <c:pt idx="1063">
                  <c:v>0.3727</c:v>
                </c:pt>
                <c:pt idx="1064">
                  <c:v>0.3794</c:v>
                </c:pt>
                <c:pt idx="1065">
                  <c:v>0.3829</c:v>
                </c:pt>
                <c:pt idx="1066">
                  <c:v>0.3805</c:v>
                </c:pt>
                <c:pt idx="1067">
                  <c:v>0.381</c:v>
                </c:pt>
                <c:pt idx="1068">
                  <c:v>0.3846</c:v>
                </c:pt>
                <c:pt idx="1069">
                  <c:v>0.3859</c:v>
                </c:pt>
                <c:pt idx="1070">
                  <c:v>0.356</c:v>
                </c:pt>
                <c:pt idx="1071">
                  <c:v>0.3968</c:v>
                </c:pt>
                <c:pt idx="1072">
                  <c:v>0.3551</c:v>
                </c:pt>
                <c:pt idx="1073">
                  <c:v>0.3795</c:v>
                </c:pt>
                <c:pt idx="1074">
                  <c:v>0.4861</c:v>
                </c:pt>
                <c:pt idx="1075">
                  <c:v>0.4769</c:v>
                </c:pt>
                <c:pt idx="1076">
                  <c:v>0.4947</c:v>
                </c:pt>
                <c:pt idx="1077">
                  <c:v>0.4948</c:v>
                </c:pt>
                <c:pt idx="1078">
                  <c:v>0.4991</c:v>
                </c:pt>
                <c:pt idx="1079">
                  <c:v>0.4971</c:v>
                </c:pt>
                <c:pt idx="1080">
                  <c:v>0.4942</c:v>
                </c:pt>
                <c:pt idx="1081">
                  <c:v>0.4916</c:v>
                </c:pt>
                <c:pt idx="1082">
                  <c:v>0.4956</c:v>
                </c:pt>
                <c:pt idx="1083">
                  <c:v>0.4948</c:v>
                </c:pt>
                <c:pt idx="1084">
                  <c:v>0.4832</c:v>
                </c:pt>
                <c:pt idx="1085">
                  <c:v>0.4807</c:v>
                </c:pt>
                <c:pt idx="1086">
                  <c:v>0.481</c:v>
                </c:pt>
                <c:pt idx="1087">
                  <c:v>0.4781</c:v>
                </c:pt>
                <c:pt idx="1088">
                  <c:v>0.4801</c:v>
                </c:pt>
                <c:pt idx="1089">
                  <c:v>0.4778</c:v>
                </c:pt>
                <c:pt idx="1090">
                  <c:v>0.4803</c:v>
                </c:pt>
                <c:pt idx="1091">
                  <c:v>0.4852</c:v>
                </c:pt>
                <c:pt idx="1092">
                  <c:v>0.4792</c:v>
                </c:pt>
                <c:pt idx="1093">
                  <c:v>0.4803</c:v>
                </c:pt>
                <c:pt idx="1094">
                  <c:v>0.502</c:v>
                </c:pt>
                <c:pt idx="1095">
                  <c:v>0.4915</c:v>
                </c:pt>
                <c:pt idx="1096">
                  <c:v>0.4778</c:v>
                </c:pt>
                <c:pt idx="1097">
                  <c:v>0.4864</c:v>
                </c:pt>
                <c:pt idx="1098">
                  <c:v>0.4819</c:v>
                </c:pt>
                <c:pt idx="1099">
                  <c:v>0.4642</c:v>
                </c:pt>
                <c:pt idx="1100">
                  <c:v>0.4872</c:v>
                </c:pt>
                <c:pt idx="1101">
                  <c:v>0.4866</c:v>
                </c:pt>
                <c:pt idx="1102">
                  <c:v>0.4886</c:v>
                </c:pt>
                <c:pt idx="1103">
                  <c:v>0.4626</c:v>
                </c:pt>
                <c:pt idx="1104">
                  <c:v>0.4671</c:v>
                </c:pt>
                <c:pt idx="1105">
                  <c:v>0.4614</c:v>
                </c:pt>
                <c:pt idx="1106">
                  <c:v>0.4645</c:v>
                </c:pt>
                <c:pt idx="1107">
                  <c:v>0.4755</c:v>
                </c:pt>
                <c:pt idx="1108">
                  <c:v>0.4699</c:v>
                </c:pt>
                <c:pt idx="1109">
                  <c:v>0.4655</c:v>
                </c:pt>
                <c:pt idx="1110">
                  <c:v>0.4863</c:v>
                </c:pt>
                <c:pt idx="1111">
                  <c:v>0.4884</c:v>
                </c:pt>
                <c:pt idx="1112">
                  <c:v>0.4828</c:v>
                </c:pt>
                <c:pt idx="1113">
                  <c:v>0.4836</c:v>
                </c:pt>
                <c:pt idx="1114">
                  <c:v>0.4889</c:v>
                </c:pt>
                <c:pt idx="1115">
                  <c:v>0.4671</c:v>
                </c:pt>
                <c:pt idx="1116">
                  <c:v>0.4796</c:v>
                </c:pt>
                <c:pt idx="1117">
                  <c:v>0.48</c:v>
                </c:pt>
                <c:pt idx="1118">
                  <c:v>0.4822</c:v>
                </c:pt>
                <c:pt idx="1119">
                  <c:v>0.4854</c:v>
                </c:pt>
                <c:pt idx="1120">
                  <c:v>0.4993</c:v>
                </c:pt>
                <c:pt idx="1121">
                  <c:v>0.4833</c:v>
                </c:pt>
                <c:pt idx="1122">
                  <c:v>0.4808</c:v>
                </c:pt>
                <c:pt idx="1123">
                  <c:v>0.4812</c:v>
                </c:pt>
                <c:pt idx="1124">
                  <c:v>0.4801</c:v>
                </c:pt>
                <c:pt idx="1125">
                  <c:v>0.4805</c:v>
                </c:pt>
                <c:pt idx="1126">
                  <c:v>0.4813</c:v>
                </c:pt>
                <c:pt idx="1127">
                  <c:v>0.4805</c:v>
                </c:pt>
                <c:pt idx="1128">
                  <c:v>0.4774</c:v>
                </c:pt>
                <c:pt idx="1129">
                  <c:v>0.4762</c:v>
                </c:pt>
                <c:pt idx="1130">
                  <c:v>0.4786</c:v>
                </c:pt>
                <c:pt idx="1131">
                  <c:v>0.5013</c:v>
                </c:pt>
                <c:pt idx="1132">
                  <c:v>0.4907</c:v>
                </c:pt>
                <c:pt idx="1133">
                  <c:v>0.4961</c:v>
                </c:pt>
                <c:pt idx="1134">
                  <c:v>0.4984</c:v>
                </c:pt>
                <c:pt idx="1135">
                  <c:v>0.4919</c:v>
                </c:pt>
                <c:pt idx="1136">
                  <c:v>0.4965</c:v>
                </c:pt>
                <c:pt idx="1137">
                  <c:v>0.4794</c:v>
                </c:pt>
                <c:pt idx="1138">
                  <c:v>0.384</c:v>
                </c:pt>
                <c:pt idx="1139">
                  <c:v>0.3885</c:v>
                </c:pt>
                <c:pt idx="1140">
                  <c:v>0.4864</c:v>
                </c:pt>
                <c:pt idx="1141">
                  <c:v>0.4776</c:v>
                </c:pt>
                <c:pt idx="1142">
                  <c:v>0.4611</c:v>
                </c:pt>
                <c:pt idx="1143">
                  <c:v>0.4223</c:v>
                </c:pt>
                <c:pt idx="1144">
                  <c:v>0.4338</c:v>
                </c:pt>
                <c:pt idx="1145">
                  <c:v>0.4294</c:v>
                </c:pt>
                <c:pt idx="1146">
                  <c:v>0.4317</c:v>
                </c:pt>
                <c:pt idx="1147">
                  <c:v>0.4843</c:v>
                </c:pt>
                <c:pt idx="1148">
                  <c:v>0.4752</c:v>
                </c:pt>
                <c:pt idx="1149">
                  <c:v>0.4677</c:v>
                </c:pt>
                <c:pt idx="1150">
                  <c:v>0.4837</c:v>
                </c:pt>
                <c:pt idx="1151">
                  <c:v>0.4835</c:v>
                </c:pt>
                <c:pt idx="1152">
                  <c:v>0.4806</c:v>
                </c:pt>
                <c:pt idx="1153">
                  <c:v>0.4825</c:v>
                </c:pt>
                <c:pt idx="1154">
                  <c:v>0.4664</c:v>
                </c:pt>
                <c:pt idx="1155">
                  <c:v>0.4955</c:v>
                </c:pt>
                <c:pt idx="1156">
                  <c:v>0.4948</c:v>
                </c:pt>
                <c:pt idx="1157">
                  <c:v>0.4809</c:v>
                </c:pt>
                <c:pt idx="1158">
                  <c:v>0.4917</c:v>
                </c:pt>
                <c:pt idx="1159">
                  <c:v>0.4897</c:v>
                </c:pt>
                <c:pt idx="1160">
                  <c:v>0.484</c:v>
                </c:pt>
                <c:pt idx="1161">
                  <c:v>0.4717</c:v>
                </c:pt>
                <c:pt idx="1162">
                  <c:v>0.4759</c:v>
                </c:pt>
                <c:pt idx="1163">
                  <c:v>0.4795</c:v>
                </c:pt>
                <c:pt idx="1164">
                  <c:v>0.48</c:v>
                </c:pt>
                <c:pt idx="1165">
                  <c:v>0.482</c:v>
                </c:pt>
                <c:pt idx="1166">
                  <c:v>0.481</c:v>
                </c:pt>
                <c:pt idx="1167">
                  <c:v>0.479</c:v>
                </c:pt>
                <c:pt idx="1168">
                  <c:v>0.4808</c:v>
                </c:pt>
                <c:pt idx="1169">
                  <c:v>0.4799</c:v>
                </c:pt>
                <c:pt idx="1170">
                  <c:v>0.4839</c:v>
                </c:pt>
                <c:pt idx="1171">
                  <c:v>0.5024</c:v>
                </c:pt>
                <c:pt idx="1172">
                  <c:v>0.5033</c:v>
                </c:pt>
                <c:pt idx="1173">
                  <c:v>0.4935</c:v>
                </c:pt>
                <c:pt idx="1174">
                  <c:v>0.4875</c:v>
                </c:pt>
                <c:pt idx="1175">
                  <c:v>0.4895</c:v>
                </c:pt>
                <c:pt idx="1176">
                  <c:v>0.4949</c:v>
                </c:pt>
                <c:pt idx="1177">
                  <c:v>0.4871</c:v>
                </c:pt>
                <c:pt idx="1178">
                  <c:v>0.4859</c:v>
                </c:pt>
                <c:pt idx="1179">
                  <c:v>0.4869</c:v>
                </c:pt>
                <c:pt idx="1180">
                  <c:v>0.4775</c:v>
                </c:pt>
                <c:pt idx="1181">
                  <c:v>0.4794</c:v>
                </c:pt>
                <c:pt idx="1182">
                  <c:v>0.4792</c:v>
                </c:pt>
                <c:pt idx="1183">
                  <c:v>0.4748</c:v>
                </c:pt>
                <c:pt idx="1184">
                  <c:v>0.4824</c:v>
                </c:pt>
                <c:pt idx="1185">
                  <c:v>0.4809</c:v>
                </c:pt>
                <c:pt idx="1186">
                  <c:v>0.4732</c:v>
                </c:pt>
                <c:pt idx="1187">
                  <c:v>0.4863</c:v>
                </c:pt>
                <c:pt idx="1188">
                  <c:v>0.4865</c:v>
                </c:pt>
                <c:pt idx="1189">
                  <c:v>0.4875</c:v>
                </c:pt>
                <c:pt idx="1190">
                  <c:v>0.4803</c:v>
                </c:pt>
                <c:pt idx="1191">
                  <c:v>0.4842</c:v>
                </c:pt>
                <c:pt idx="1192">
                  <c:v>0.4857</c:v>
                </c:pt>
                <c:pt idx="1193">
                  <c:v>0.5</c:v>
                </c:pt>
                <c:pt idx="1194">
                  <c:v>0.5002</c:v>
                </c:pt>
                <c:pt idx="1195">
                  <c:v>0.5</c:v>
                </c:pt>
                <c:pt idx="1196">
                  <c:v>0.4807</c:v>
                </c:pt>
                <c:pt idx="1197">
                  <c:v>0.4842</c:v>
                </c:pt>
                <c:pt idx="1198">
                  <c:v>0.4921</c:v>
                </c:pt>
                <c:pt idx="1199">
                  <c:v>0.4691</c:v>
                </c:pt>
                <c:pt idx="1200">
                  <c:v>0.4814</c:v>
                </c:pt>
                <c:pt idx="1201">
                  <c:v>0.4832</c:v>
                </c:pt>
                <c:pt idx="1202">
                  <c:v>0.4779</c:v>
                </c:pt>
                <c:pt idx="1203">
                  <c:v>0.4921</c:v>
                </c:pt>
                <c:pt idx="1204">
                  <c:v>0.4844</c:v>
                </c:pt>
                <c:pt idx="1205">
                  <c:v>0.4994</c:v>
                </c:pt>
                <c:pt idx="1206">
                  <c:v>0.4848</c:v>
                </c:pt>
                <c:pt idx="1207">
                  <c:v>0.4858</c:v>
                </c:pt>
                <c:pt idx="1208">
                  <c:v>0.4918</c:v>
                </c:pt>
                <c:pt idx="1209">
                  <c:v>0.4863</c:v>
                </c:pt>
                <c:pt idx="1210">
                  <c:v>0.4978</c:v>
                </c:pt>
                <c:pt idx="1211">
                  <c:v>0.4905</c:v>
                </c:pt>
                <c:pt idx="1212">
                  <c:v>0.4853</c:v>
                </c:pt>
                <c:pt idx="1213">
                  <c:v>0.4747</c:v>
                </c:pt>
                <c:pt idx="1214">
                  <c:v>0.5017</c:v>
                </c:pt>
                <c:pt idx="1215">
                  <c:v>0.4801</c:v>
                </c:pt>
                <c:pt idx="1216">
                  <c:v>0.4918</c:v>
                </c:pt>
                <c:pt idx="1217">
                  <c:v>0.4913</c:v>
                </c:pt>
                <c:pt idx="1218">
                  <c:v>0.4776</c:v>
                </c:pt>
                <c:pt idx="1219">
                  <c:v>0.4863</c:v>
                </c:pt>
                <c:pt idx="1220">
                  <c:v>0.4859</c:v>
                </c:pt>
                <c:pt idx="1221">
                  <c:v>0.4861</c:v>
                </c:pt>
                <c:pt idx="1222">
                  <c:v>0.486</c:v>
                </c:pt>
                <c:pt idx="1223">
                  <c:v>0.4862</c:v>
                </c:pt>
                <c:pt idx="1224">
                  <c:v>0.4866</c:v>
                </c:pt>
                <c:pt idx="1225">
                  <c:v>0.4425</c:v>
                </c:pt>
                <c:pt idx="1226">
                  <c:v>0.4716</c:v>
                </c:pt>
                <c:pt idx="1227">
                  <c:v>0.4861</c:v>
                </c:pt>
                <c:pt idx="1228">
                  <c:v>0.4895</c:v>
                </c:pt>
                <c:pt idx="1229">
                  <c:v>0.4864</c:v>
                </c:pt>
                <c:pt idx="1230">
                  <c:v>0.5011</c:v>
                </c:pt>
                <c:pt idx="1231">
                  <c:v>0.494</c:v>
                </c:pt>
                <c:pt idx="1232">
                  <c:v>0.4668</c:v>
                </c:pt>
                <c:pt idx="1233">
                  <c:v>0.4774</c:v>
                </c:pt>
                <c:pt idx="1234">
                  <c:v>0.4917</c:v>
                </c:pt>
                <c:pt idx="1235">
                  <c:v>0.4833</c:v>
                </c:pt>
                <c:pt idx="1236">
                  <c:v>0.484</c:v>
                </c:pt>
                <c:pt idx="1237">
                  <c:v>0.4837</c:v>
                </c:pt>
                <c:pt idx="1238">
                  <c:v>0.4834</c:v>
                </c:pt>
                <c:pt idx="1239">
                  <c:v>0.4945</c:v>
                </c:pt>
                <c:pt idx="1240">
                  <c:v>0.4935</c:v>
                </c:pt>
                <c:pt idx="1241">
                  <c:v>0.4959</c:v>
                </c:pt>
                <c:pt idx="1242">
                  <c:v>0.4906</c:v>
                </c:pt>
                <c:pt idx="1243">
                  <c:v>0.4909</c:v>
                </c:pt>
                <c:pt idx="1244">
                  <c:v>0.4905</c:v>
                </c:pt>
                <c:pt idx="1245">
                  <c:v>0.5</c:v>
                </c:pt>
                <c:pt idx="1246">
                  <c:v>0.487</c:v>
                </c:pt>
                <c:pt idx="1247">
                  <c:v>0.4969</c:v>
                </c:pt>
                <c:pt idx="1248">
                  <c:v>0.4962</c:v>
                </c:pt>
                <c:pt idx="1249">
                  <c:v>0.4885</c:v>
                </c:pt>
                <c:pt idx="1250">
                  <c:v>0.4976</c:v>
                </c:pt>
                <c:pt idx="1251">
                  <c:v>0.4999</c:v>
                </c:pt>
                <c:pt idx="1252">
                  <c:v>0.4813</c:v>
                </c:pt>
                <c:pt idx="1253">
                  <c:v>0.5013</c:v>
                </c:pt>
                <c:pt idx="1254">
                  <c:v>0.488</c:v>
                </c:pt>
                <c:pt idx="1255">
                  <c:v>0.4887</c:v>
                </c:pt>
                <c:pt idx="1256">
                  <c:v>0.4866</c:v>
                </c:pt>
                <c:pt idx="1257">
                  <c:v>0.4878</c:v>
                </c:pt>
                <c:pt idx="1258">
                  <c:v>0.4873</c:v>
                </c:pt>
                <c:pt idx="1259">
                  <c:v>0.475</c:v>
                </c:pt>
                <c:pt idx="1260">
                  <c:v>0.466</c:v>
                </c:pt>
                <c:pt idx="1261">
                  <c:v>0.4832</c:v>
                </c:pt>
                <c:pt idx="1262">
                  <c:v>0.4723</c:v>
                </c:pt>
                <c:pt idx="1263">
                  <c:v>0.4774</c:v>
                </c:pt>
                <c:pt idx="1264">
                  <c:v>0.4798</c:v>
                </c:pt>
                <c:pt idx="1265">
                  <c:v>0.4813</c:v>
                </c:pt>
                <c:pt idx="1266">
                  <c:v>0.486</c:v>
                </c:pt>
                <c:pt idx="1267">
                  <c:v>0.4826</c:v>
                </c:pt>
                <c:pt idx="1268">
                  <c:v>0.4804</c:v>
                </c:pt>
                <c:pt idx="1269">
                  <c:v>0.4834</c:v>
                </c:pt>
                <c:pt idx="1270">
                  <c:v>0.4838</c:v>
                </c:pt>
                <c:pt idx="1271">
                  <c:v>0.4821</c:v>
                </c:pt>
                <c:pt idx="1272">
                  <c:v>0.4822</c:v>
                </c:pt>
                <c:pt idx="1273">
                  <c:v>0.4859</c:v>
                </c:pt>
                <c:pt idx="1274">
                  <c:v>0.4883</c:v>
                </c:pt>
                <c:pt idx="1275">
                  <c:v>0.5037</c:v>
                </c:pt>
                <c:pt idx="1276">
                  <c:v>0.4915</c:v>
                </c:pt>
                <c:pt idx="1277">
                  <c:v>0.4922</c:v>
                </c:pt>
                <c:pt idx="1278">
                  <c:v>0.4827</c:v>
                </c:pt>
                <c:pt idx="1279">
                  <c:v>0.4939</c:v>
                </c:pt>
                <c:pt idx="1280">
                  <c:v>0.4943</c:v>
                </c:pt>
                <c:pt idx="1281">
                  <c:v>0.4983</c:v>
                </c:pt>
                <c:pt idx="1282">
                  <c:v>0.4969</c:v>
                </c:pt>
                <c:pt idx="1283">
                  <c:v>0.4989</c:v>
                </c:pt>
                <c:pt idx="1284">
                  <c:v>0.5005</c:v>
                </c:pt>
                <c:pt idx="1285">
                  <c:v>0.4948</c:v>
                </c:pt>
                <c:pt idx="1286">
                  <c:v>0.4918</c:v>
                </c:pt>
                <c:pt idx="1287">
                  <c:v>0.5036</c:v>
                </c:pt>
                <c:pt idx="1288">
                  <c:v>0.4907</c:v>
                </c:pt>
                <c:pt idx="1289">
                  <c:v>0.494</c:v>
                </c:pt>
                <c:pt idx="1290">
                  <c:v>0.4798</c:v>
                </c:pt>
                <c:pt idx="1291">
                  <c:v>0.4777</c:v>
                </c:pt>
                <c:pt idx="1292">
                  <c:v>0.4896</c:v>
                </c:pt>
                <c:pt idx="1293">
                  <c:v>0.4886</c:v>
                </c:pt>
                <c:pt idx="1294">
                  <c:v>0.4894</c:v>
                </c:pt>
                <c:pt idx="1295">
                  <c:v>0.4893</c:v>
                </c:pt>
                <c:pt idx="1296">
                  <c:v>0.4876</c:v>
                </c:pt>
                <c:pt idx="1297">
                  <c:v>0.4875</c:v>
                </c:pt>
                <c:pt idx="1298">
                  <c:v>0.4863</c:v>
                </c:pt>
                <c:pt idx="1299">
                  <c:v>0.4865</c:v>
                </c:pt>
                <c:pt idx="1300">
                  <c:v>0.4862</c:v>
                </c:pt>
                <c:pt idx="1301">
                  <c:v>0.4866</c:v>
                </c:pt>
                <c:pt idx="1302">
                  <c:v>0.4869</c:v>
                </c:pt>
                <c:pt idx="1303">
                  <c:v>0.486</c:v>
                </c:pt>
                <c:pt idx="1304">
                  <c:v>0.4866</c:v>
                </c:pt>
                <c:pt idx="1305">
                  <c:v>0.4893</c:v>
                </c:pt>
                <c:pt idx="1306">
                  <c:v>0.4895</c:v>
                </c:pt>
                <c:pt idx="1307">
                  <c:v>0.4879</c:v>
                </c:pt>
                <c:pt idx="1308">
                  <c:v>0.4943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'常压_a_20 (2)'!$M$3</c:f>
              <c:strCache>
                <c:ptCount val="1"/>
                <c:pt idx="0">
                  <c:v>luma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'常压_a_20 (2)'!$K$4:$K$1312</c:f>
              <c:numCache>
                <c:formatCode>General</c:formatCode>
                <c:ptCount val="1309"/>
                <c:pt idx="0">
                  <c:v>0</c:v>
                </c:pt>
                <c:pt idx="1">
                  <c:v>0</c:v>
                </c:pt>
                <c:pt idx="2">
                  <c:v>0.05</c:v>
                </c:pt>
                <c:pt idx="3">
                  <c:v>0.1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0.2</c:v>
                </c:pt>
                <c:pt idx="8">
                  <c:v>0.25</c:v>
                </c:pt>
                <c:pt idx="9">
                  <c:v>0.3</c:v>
                </c:pt>
                <c:pt idx="10">
                  <c:v>0.3</c:v>
                </c:pt>
                <c:pt idx="11">
                  <c:v>0.35</c:v>
                </c:pt>
                <c:pt idx="12">
                  <c:v>0.4</c:v>
                </c:pt>
                <c:pt idx="13">
                  <c:v>0.4</c:v>
                </c:pt>
                <c:pt idx="14">
                  <c:v>0.45</c:v>
                </c:pt>
                <c:pt idx="15">
                  <c:v>0.5</c:v>
                </c:pt>
                <c:pt idx="16">
                  <c:v>0.5</c:v>
                </c:pt>
                <c:pt idx="17">
                  <c:v>0.55</c:v>
                </c:pt>
                <c:pt idx="18">
                  <c:v>0.6</c:v>
                </c:pt>
                <c:pt idx="19">
                  <c:v>0.6</c:v>
                </c:pt>
                <c:pt idx="20">
                  <c:v>0.65</c:v>
                </c:pt>
                <c:pt idx="21">
                  <c:v>0.7</c:v>
                </c:pt>
                <c:pt idx="22">
                  <c:v>0.7</c:v>
                </c:pt>
                <c:pt idx="23">
                  <c:v>0.75</c:v>
                </c:pt>
                <c:pt idx="24">
                  <c:v>0.8</c:v>
                </c:pt>
                <c:pt idx="25">
                  <c:v>0.8</c:v>
                </c:pt>
                <c:pt idx="26">
                  <c:v>0.85</c:v>
                </c:pt>
                <c:pt idx="27">
                  <c:v>0.9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  <c:pt idx="31">
                  <c:v>1</c:v>
                </c:pt>
                <c:pt idx="32">
                  <c:v>1.05</c:v>
                </c:pt>
                <c:pt idx="33">
                  <c:v>1.1</c:v>
                </c:pt>
                <c:pt idx="34">
                  <c:v>1.1</c:v>
                </c:pt>
                <c:pt idx="35">
                  <c:v>1.15</c:v>
                </c:pt>
                <c:pt idx="36">
                  <c:v>1.2</c:v>
                </c:pt>
                <c:pt idx="37">
                  <c:v>1.2</c:v>
                </c:pt>
                <c:pt idx="38">
                  <c:v>1.25</c:v>
                </c:pt>
                <c:pt idx="39">
                  <c:v>1.3</c:v>
                </c:pt>
                <c:pt idx="40">
                  <c:v>1.3</c:v>
                </c:pt>
                <c:pt idx="41">
                  <c:v>1.35</c:v>
                </c:pt>
                <c:pt idx="42">
                  <c:v>1.4</c:v>
                </c:pt>
                <c:pt idx="43">
                  <c:v>1.4</c:v>
                </c:pt>
                <c:pt idx="44">
                  <c:v>1.45</c:v>
                </c:pt>
                <c:pt idx="45">
                  <c:v>1.5</c:v>
                </c:pt>
                <c:pt idx="46">
                  <c:v>1.5</c:v>
                </c:pt>
                <c:pt idx="47">
                  <c:v>1.55</c:v>
                </c:pt>
                <c:pt idx="48">
                  <c:v>1.6</c:v>
                </c:pt>
                <c:pt idx="49">
                  <c:v>1.6</c:v>
                </c:pt>
                <c:pt idx="50">
                  <c:v>1.65</c:v>
                </c:pt>
                <c:pt idx="51">
                  <c:v>1.7</c:v>
                </c:pt>
                <c:pt idx="52">
                  <c:v>1.7</c:v>
                </c:pt>
                <c:pt idx="53">
                  <c:v>1.75</c:v>
                </c:pt>
                <c:pt idx="54">
                  <c:v>1.8</c:v>
                </c:pt>
                <c:pt idx="55">
                  <c:v>1.8</c:v>
                </c:pt>
                <c:pt idx="56">
                  <c:v>1.85</c:v>
                </c:pt>
                <c:pt idx="57">
                  <c:v>1.9</c:v>
                </c:pt>
                <c:pt idx="58">
                  <c:v>1.9</c:v>
                </c:pt>
                <c:pt idx="59">
                  <c:v>1.95</c:v>
                </c:pt>
                <c:pt idx="60">
                  <c:v>2</c:v>
                </c:pt>
                <c:pt idx="61">
                  <c:v>2</c:v>
                </c:pt>
                <c:pt idx="62">
                  <c:v>2.05</c:v>
                </c:pt>
                <c:pt idx="63">
                  <c:v>2.1</c:v>
                </c:pt>
                <c:pt idx="64">
                  <c:v>2.1</c:v>
                </c:pt>
                <c:pt idx="65">
                  <c:v>2.15</c:v>
                </c:pt>
                <c:pt idx="66">
                  <c:v>2.2</c:v>
                </c:pt>
                <c:pt idx="67">
                  <c:v>2.2</c:v>
                </c:pt>
                <c:pt idx="68">
                  <c:v>2.25</c:v>
                </c:pt>
                <c:pt idx="69">
                  <c:v>2.3</c:v>
                </c:pt>
                <c:pt idx="70">
                  <c:v>2.3</c:v>
                </c:pt>
                <c:pt idx="71">
                  <c:v>2.35</c:v>
                </c:pt>
                <c:pt idx="72">
                  <c:v>2.4</c:v>
                </c:pt>
                <c:pt idx="73">
                  <c:v>2.4</c:v>
                </c:pt>
                <c:pt idx="74">
                  <c:v>2.45</c:v>
                </c:pt>
                <c:pt idx="75">
                  <c:v>2.5</c:v>
                </c:pt>
                <c:pt idx="76">
                  <c:v>2.5</c:v>
                </c:pt>
                <c:pt idx="77">
                  <c:v>2.55</c:v>
                </c:pt>
                <c:pt idx="78">
                  <c:v>2.6</c:v>
                </c:pt>
                <c:pt idx="79">
                  <c:v>2.6</c:v>
                </c:pt>
                <c:pt idx="80">
                  <c:v>2.65</c:v>
                </c:pt>
                <c:pt idx="81">
                  <c:v>2.7</c:v>
                </c:pt>
                <c:pt idx="82">
                  <c:v>2.7</c:v>
                </c:pt>
                <c:pt idx="83">
                  <c:v>2.75</c:v>
                </c:pt>
                <c:pt idx="84">
                  <c:v>2.8</c:v>
                </c:pt>
                <c:pt idx="85">
                  <c:v>2.8</c:v>
                </c:pt>
                <c:pt idx="86">
                  <c:v>2.85</c:v>
                </c:pt>
                <c:pt idx="87">
                  <c:v>2.9</c:v>
                </c:pt>
                <c:pt idx="88">
                  <c:v>2.9</c:v>
                </c:pt>
                <c:pt idx="89">
                  <c:v>2.95</c:v>
                </c:pt>
                <c:pt idx="90">
                  <c:v>3</c:v>
                </c:pt>
                <c:pt idx="91">
                  <c:v>3</c:v>
                </c:pt>
                <c:pt idx="92">
                  <c:v>3.05</c:v>
                </c:pt>
                <c:pt idx="93">
                  <c:v>3.1</c:v>
                </c:pt>
                <c:pt idx="94">
                  <c:v>3.1</c:v>
                </c:pt>
                <c:pt idx="95">
                  <c:v>3.15</c:v>
                </c:pt>
                <c:pt idx="96">
                  <c:v>3.2</c:v>
                </c:pt>
                <c:pt idx="97">
                  <c:v>3.2</c:v>
                </c:pt>
                <c:pt idx="98">
                  <c:v>3.25</c:v>
                </c:pt>
                <c:pt idx="99">
                  <c:v>3.3</c:v>
                </c:pt>
                <c:pt idx="100">
                  <c:v>3.3</c:v>
                </c:pt>
                <c:pt idx="101">
                  <c:v>3.35</c:v>
                </c:pt>
                <c:pt idx="102">
                  <c:v>3.4</c:v>
                </c:pt>
                <c:pt idx="103">
                  <c:v>3.4</c:v>
                </c:pt>
                <c:pt idx="104">
                  <c:v>3.45</c:v>
                </c:pt>
                <c:pt idx="105">
                  <c:v>3.5</c:v>
                </c:pt>
                <c:pt idx="106">
                  <c:v>3.5</c:v>
                </c:pt>
                <c:pt idx="107">
                  <c:v>3.55</c:v>
                </c:pt>
                <c:pt idx="108">
                  <c:v>3.6</c:v>
                </c:pt>
                <c:pt idx="109">
                  <c:v>3.6</c:v>
                </c:pt>
                <c:pt idx="110">
                  <c:v>3.65</c:v>
                </c:pt>
                <c:pt idx="111">
                  <c:v>3.7</c:v>
                </c:pt>
                <c:pt idx="112">
                  <c:v>3.7</c:v>
                </c:pt>
                <c:pt idx="113">
                  <c:v>3.75</c:v>
                </c:pt>
                <c:pt idx="114">
                  <c:v>3.8</c:v>
                </c:pt>
                <c:pt idx="115">
                  <c:v>3.8</c:v>
                </c:pt>
                <c:pt idx="116">
                  <c:v>3.85</c:v>
                </c:pt>
                <c:pt idx="117">
                  <c:v>3.9</c:v>
                </c:pt>
                <c:pt idx="118">
                  <c:v>3.9</c:v>
                </c:pt>
                <c:pt idx="119">
                  <c:v>3.95</c:v>
                </c:pt>
                <c:pt idx="120">
                  <c:v>4</c:v>
                </c:pt>
                <c:pt idx="121">
                  <c:v>4</c:v>
                </c:pt>
                <c:pt idx="122">
                  <c:v>4.05</c:v>
                </c:pt>
                <c:pt idx="123">
                  <c:v>4.1</c:v>
                </c:pt>
                <c:pt idx="124">
                  <c:v>4.1</c:v>
                </c:pt>
                <c:pt idx="125">
                  <c:v>4.15</c:v>
                </c:pt>
                <c:pt idx="126">
                  <c:v>4.2</c:v>
                </c:pt>
                <c:pt idx="127">
                  <c:v>4.2</c:v>
                </c:pt>
                <c:pt idx="128">
                  <c:v>4.25</c:v>
                </c:pt>
                <c:pt idx="129">
                  <c:v>4.3</c:v>
                </c:pt>
                <c:pt idx="130">
                  <c:v>4.3</c:v>
                </c:pt>
                <c:pt idx="131">
                  <c:v>4.35</c:v>
                </c:pt>
                <c:pt idx="132">
                  <c:v>4.4</c:v>
                </c:pt>
                <c:pt idx="133">
                  <c:v>4.4</c:v>
                </c:pt>
                <c:pt idx="134">
                  <c:v>4.45</c:v>
                </c:pt>
                <c:pt idx="135">
                  <c:v>4.5</c:v>
                </c:pt>
                <c:pt idx="136">
                  <c:v>4.5</c:v>
                </c:pt>
                <c:pt idx="137">
                  <c:v>4.55</c:v>
                </c:pt>
                <c:pt idx="138">
                  <c:v>4.6</c:v>
                </c:pt>
                <c:pt idx="139">
                  <c:v>4.6</c:v>
                </c:pt>
                <c:pt idx="140">
                  <c:v>4.65</c:v>
                </c:pt>
                <c:pt idx="141">
                  <c:v>4.7</c:v>
                </c:pt>
                <c:pt idx="142">
                  <c:v>4.7</c:v>
                </c:pt>
                <c:pt idx="143">
                  <c:v>4.75</c:v>
                </c:pt>
                <c:pt idx="144">
                  <c:v>4.8</c:v>
                </c:pt>
                <c:pt idx="145">
                  <c:v>4.8</c:v>
                </c:pt>
                <c:pt idx="146">
                  <c:v>4.85</c:v>
                </c:pt>
                <c:pt idx="147">
                  <c:v>4.9</c:v>
                </c:pt>
                <c:pt idx="148">
                  <c:v>4.9</c:v>
                </c:pt>
                <c:pt idx="149">
                  <c:v>4.95</c:v>
                </c:pt>
                <c:pt idx="150">
                  <c:v>5</c:v>
                </c:pt>
                <c:pt idx="151">
                  <c:v>5</c:v>
                </c:pt>
                <c:pt idx="152">
                  <c:v>5.05</c:v>
                </c:pt>
                <c:pt idx="153">
                  <c:v>5.1</c:v>
                </c:pt>
                <c:pt idx="154">
                  <c:v>5.1</c:v>
                </c:pt>
                <c:pt idx="155">
                  <c:v>5.15</c:v>
                </c:pt>
                <c:pt idx="156">
                  <c:v>5.2</c:v>
                </c:pt>
                <c:pt idx="157">
                  <c:v>5.2</c:v>
                </c:pt>
                <c:pt idx="158">
                  <c:v>5.25</c:v>
                </c:pt>
                <c:pt idx="159">
                  <c:v>5.3</c:v>
                </c:pt>
                <c:pt idx="160">
                  <c:v>5.3</c:v>
                </c:pt>
                <c:pt idx="161">
                  <c:v>5.35</c:v>
                </c:pt>
                <c:pt idx="162">
                  <c:v>5.4</c:v>
                </c:pt>
                <c:pt idx="163">
                  <c:v>5.4</c:v>
                </c:pt>
                <c:pt idx="164">
                  <c:v>5.45</c:v>
                </c:pt>
                <c:pt idx="165">
                  <c:v>5.5</c:v>
                </c:pt>
                <c:pt idx="166">
                  <c:v>5.5</c:v>
                </c:pt>
                <c:pt idx="167">
                  <c:v>5.55</c:v>
                </c:pt>
                <c:pt idx="168">
                  <c:v>5.6</c:v>
                </c:pt>
                <c:pt idx="169">
                  <c:v>5.6</c:v>
                </c:pt>
                <c:pt idx="170">
                  <c:v>5.65</c:v>
                </c:pt>
                <c:pt idx="171">
                  <c:v>5.7</c:v>
                </c:pt>
                <c:pt idx="172">
                  <c:v>5.7</c:v>
                </c:pt>
                <c:pt idx="173">
                  <c:v>5.75</c:v>
                </c:pt>
                <c:pt idx="174">
                  <c:v>5.8</c:v>
                </c:pt>
                <c:pt idx="175">
                  <c:v>5.8</c:v>
                </c:pt>
                <c:pt idx="176">
                  <c:v>5.85</c:v>
                </c:pt>
                <c:pt idx="177">
                  <c:v>5.9</c:v>
                </c:pt>
                <c:pt idx="178">
                  <c:v>5.9</c:v>
                </c:pt>
                <c:pt idx="179">
                  <c:v>5.95</c:v>
                </c:pt>
                <c:pt idx="180">
                  <c:v>6</c:v>
                </c:pt>
                <c:pt idx="181">
                  <c:v>6</c:v>
                </c:pt>
                <c:pt idx="182">
                  <c:v>6.05</c:v>
                </c:pt>
                <c:pt idx="183">
                  <c:v>6.1</c:v>
                </c:pt>
                <c:pt idx="184">
                  <c:v>6.1</c:v>
                </c:pt>
                <c:pt idx="185">
                  <c:v>6.15</c:v>
                </c:pt>
                <c:pt idx="186">
                  <c:v>6.2</c:v>
                </c:pt>
                <c:pt idx="187">
                  <c:v>6.25</c:v>
                </c:pt>
                <c:pt idx="188">
                  <c:v>6.25</c:v>
                </c:pt>
                <c:pt idx="189">
                  <c:v>6.3</c:v>
                </c:pt>
                <c:pt idx="190">
                  <c:v>6.35</c:v>
                </c:pt>
                <c:pt idx="191">
                  <c:v>6.35</c:v>
                </c:pt>
                <c:pt idx="192">
                  <c:v>6.4</c:v>
                </c:pt>
                <c:pt idx="193">
                  <c:v>6.45</c:v>
                </c:pt>
                <c:pt idx="194">
                  <c:v>6.45</c:v>
                </c:pt>
                <c:pt idx="195">
                  <c:v>6.5</c:v>
                </c:pt>
                <c:pt idx="196">
                  <c:v>6.55</c:v>
                </c:pt>
                <c:pt idx="197">
                  <c:v>6.55</c:v>
                </c:pt>
                <c:pt idx="198">
                  <c:v>6.6</c:v>
                </c:pt>
                <c:pt idx="199">
                  <c:v>6.65</c:v>
                </c:pt>
                <c:pt idx="200">
                  <c:v>6.65</c:v>
                </c:pt>
                <c:pt idx="201">
                  <c:v>6.7</c:v>
                </c:pt>
                <c:pt idx="202">
                  <c:v>6.75</c:v>
                </c:pt>
                <c:pt idx="203">
                  <c:v>6.75</c:v>
                </c:pt>
                <c:pt idx="204">
                  <c:v>6.8</c:v>
                </c:pt>
                <c:pt idx="205">
                  <c:v>6.85</c:v>
                </c:pt>
                <c:pt idx="206">
                  <c:v>6.85</c:v>
                </c:pt>
                <c:pt idx="207">
                  <c:v>6.9</c:v>
                </c:pt>
                <c:pt idx="208">
                  <c:v>6.95</c:v>
                </c:pt>
                <c:pt idx="209">
                  <c:v>6.95</c:v>
                </c:pt>
                <c:pt idx="210">
                  <c:v>7</c:v>
                </c:pt>
                <c:pt idx="211">
                  <c:v>7.05</c:v>
                </c:pt>
                <c:pt idx="212">
                  <c:v>7.05</c:v>
                </c:pt>
                <c:pt idx="213">
                  <c:v>7.1</c:v>
                </c:pt>
                <c:pt idx="214">
                  <c:v>7.15</c:v>
                </c:pt>
                <c:pt idx="215">
                  <c:v>7.15</c:v>
                </c:pt>
                <c:pt idx="216">
                  <c:v>7.2</c:v>
                </c:pt>
                <c:pt idx="217">
                  <c:v>7.25</c:v>
                </c:pt>
                <c:pt idx="218">
                  <c:v>7.25</c:v>
                </c:pt>
                <c:pt idx="219">
                  <c:v>7.3</c:v>
                </c:pt>
                <c:pt idx="220">
                  <c:v>7.35</c:v>
                </c:pt>
                <c:pt idx="221">
                  <c:v>7.35</c:v>
                </c:pt>
                <c:pt idx="222">
                  <c:v>7.4</c:v>
                </c:pt>
                <c:pt idx="223">
                  <c:v>7.45</c:v>
                </c:pt>
                <c:pt idx="224">
                  <c:v>7.45</c:v>
                </c:pt>
                <c:pt idx="225">
                  <c:v>7.5</c:v>
                </c:pt>
                <c:pt idx="226">
                  <c:v>7.55</c:v>
                </c:pt>
                <c:pt idx="227">
                  <c:v>7.55</c:v>
                </c:pt>
                <c:pt idx="228">
                  <c:v>7.6</c:v>
                </c:pt>
                <c:pt idx="229">
                  <c:v>7.65</c:v>
                </c:pt>
                <c:pt idx="230">
                  <c:v>7.65</c:v>
                </c:pt>
                <c:pt idx="231">
                  <c:v>7.7</c:v>
                </c:pt>
                <c:pt idx="232">
                  <c:v>7.75</c:v>
                </c:pt>
                <c:pt idx="233">
                  <c:v>7.75</c:v>
                </c:pt>
                <c:pt idx="234">
                  <c:v>7.8</c:v>
                </c:pt>
                <c:pt idx="235">
                  <c:v>7.85</c:v>
                </c:pt>
                <c:pt idx="236">
                  <c:v>7.85</c:v>
                </c:pt>
                <c:pt idx="237">
                  <c:v>7.9</c:v>
                </c:pt>
                <c:pt idx="238">
                  <c:v>7.95</c:v>
                </c:pt>
                <c:pt idx="239">
                  <c:v>7.95</c:v>
                </c:pt>
                <c:pt idx="240">
                  <c:v>8</c:v>
                </c:pt>
                <c:pt idx="241">
                  <c:v>8.05</c:v>
                </c:pt>
                <c:pt idx="242">
                  <c:v>8.05</c:v>
                </c:pt>
                <c:pt idx="243">
                  <c:v>8.1</c:v>
                </c:pt>
                <c:pt idx="244">
                  <c:v>8.15</c:v>
                </c:pt>
                <c:pt idx="245">
                  <c:v>8.15</c:v>
                </c:pt>
                <c:pt idx="246">
                  <c:v>8.2</c:v>
                </c:pt>
                <c:pt idx="247">
                  <c:v>8.25</c:v>
                </c:pt>
                <c:pt idx="248">
                  <c:v>8.25</c:v>
                </c:pt>
                <c:pt idx="249">
                  <c:v>8.3</c:v>
                </c:pt>
                <c:pt idx="250">
                  <c:v>8.35</c:v>
                </c:pt>
                <c:pt idx="251">
                  <c:v>8.35</c:v>
                </c:pt>
                <c:pt idx="252">
                  <c:v>8.4</c:v>
                </c:pt>
                <c:pt idx="253">
                  <c:v>8.45</c:v>
                </c:pt>
                <c:pt idx="254">
                  <c:v>8.45</c:v>
                </c:pt>
                <c:pt idx="255">
                  <c:v>8.5</c:v>
                </c:pt>
                <c:pt idx="256">
                  <c:v>8.55</c:v>
                </c:pt>
                <c:pt idx="257">
                  <c:v>8.55</c:v>
                </c:pt>
                <c:pt idx="258">
                  <c:v>8.6</c:v>
                </c:pt>
                <c:pt idx="259">
                  <c:v>8.65</c:v>
                </c:pt>
                <c:pt idx="260">
                  <c:v>8.65</c:v>
                </c:pt>
                <c:pt idx="261">
                  <c:v>8.7</c:v>
                </c:pt>
                <c:pt idx="262">
                  <c:v>8.75</c:v>
                </c:pt>
                <c:pt idx="263">
                  <c:v>8.75</c:v>
                </c:pt>
                <c:pt idx="264">
                  <c:v>8.8</c:v>
                </c:pt>
                <c:pt idx="265">
                  <c:v>8.85</c:v>
                </c:pt>
                <c:pt idx="266">
                  <c:v>8.85</c:v>
                </c:pt>
                <c:pt idx="267">
                  <c:v>8.9</c:v>
                </c:pt>
                <c:pt idx="268">
                  <c:v>8.95</c:v>
                </c:pt>
                <c:pt idx="269">
                  <c:v>8.95</c:v>
                </c:pt>
                <c:pt idx="270">
                  <c:v>9</c:v>
                </c:pt>
                <c:pt idx="271">
                  <c:v>9.05</c:v>
                </c:pt>
                <c:pt idx="272">
                  <c:v>9.05</c:v>
                </c:pt>
                <c:pt idx="273">
                  <c:v>9.1</c:v>
                </c:pt>
                <c:pt idx="274">
                  <c:v>9.15</c:v>
                </c:pt>
                <c:pt idx="275">
                  <c:v>9.15</c:v>
                </c:pt>
                <c:pt idx="276">
                  <c:v>9.2</c:v>
                </c:pt>
                <c:pt idx="277">
                  <c:v>9.25</c:v>
                </c:pt>
                <c:pt idx="278">
                  <c:v>9.25</c:v>
                </c:pt>
                <c:pt idx="279">
                  <c:v>9.3</c:v>
                </c:pt>
                <c:pt idx="280">
                  <c:v>9.35</c:v>
                </c:pt>
                <c:pt idx="281">
                  <c:v>9.35</c:v>
                </c:pt>
                <c:pt idx="282">
                  <c:v>9.4</c:v>
                </c:pt>
                <c:pt idx="283">
                  <c:v>9.45</c:v>
                </c:pt>
                <c:pt idx="284">
                  <c:v>9.45</c:v>
                </c:pt>
                <c:pt idx="285">
                  <c:v>9.5</c:v>
                </c:pt>
                <c:pt idx="286">
                  <c:v>9.55</c:v>
                </c:pt>
                <c:pt idx="287">
                  <c:v>9.55</c:v>
                </c:pt>
                <c:pt idx="288">
                  <c:v>9.6</c:v>
                </c:pt>
                <c:pt idx="289">
                  <c:v>9.65</c:v>
                </c:pt>
                <c:pt idx="290">
                  <c:v>9.65</c:v>
                </c:pt>
                <c:pt idx="291">
                  <c:v>9.7</c:v>
                </c:pt>
                <c:pt idx="292">
                  <c:v>9.75</c:v>
                </c:pt>
                <c:pt idx="293">
                  <c:v>9.75</c:v>
                </c:pt>
                <c:pt idx="294">
                  <c:v>9.8</c:v>
                </c:pt>
                <c:pt idx="295">
                  <c:v>9.85</c:v>
                </c:pt>
                <c:pt idx="296">
                  <c:v>9.85</c:v>
                </c:pt>
                <c:pt idx="297">
                  <c:v>9.9</c:v>
                </c:pt>
                <c:pt idx="298">
                  <c:v>9.95</c:v>
                </c:pt>
                <c:pt idx="299">
                  <c:v>9.95</c:v>
                </c:pt>
                <c:pt idx="300">
                  <c:v>10</c:v>
                </c:pt>
                <c:pt idx="301">
                  <c:v>10.05</c:v>
                </c:pt>
                <c:pt idx="302">
                  <c:v>10.05</c:v>
                </c:pt>
                <c:pt idx="303">
                  <c:v>10.1</c:v>
                </c:pt>
                <c:pt idx="304">
                  <c:v>10.15</c:v>
                </c:pt>
                <c:pt idx="305">
                  <c:v>10.15</c:v>
                </c:pt>
                <c:pt idx="306">
                  <c:v>10.2</c:v>
                </c:pt>
                <c:pt idx="307">
                  <c:v>10.25</c:v>
                </c:pt>
                <c:pt idx="308">
                  <c:v>10.25</c:v>
                </c:pt>
                <c:pt idx="309">
                  <c:v>10.3</c:v>
                </c:pt>
                <c:pt idx="310">
                  <c:v>10.35</c:v>
                </c:pt>
                <c:pt idx="311">
                  <c:v>10.35</c:v>
                </c:pt>
                <c:pt idx="312">
                  <c:v>10.4</c:v>
                </c:pt>
                <c:pt idx="313">
                  <c:v>10.45</c:v>
                </c:pt>
                <c:pt idx="314">
                  <c:v>10.45</c:v>
                </c:pt>
                <c:pt idx="315">
                  <c:v>10.5</c:v>
                </c:pt>
                <c:pt idx="316">
                  <c:v>10.55</c:v>
                </c:pt>
                <c:pt idx="317">
                  <c:v>10.55</c:v>
                </c:pt>
                <c:pt idx="318">
                  <c:v>10.6</c:v>
                </c:pt>
                <c:pt idx="319">
                  <c:v>10.65</c:v>
                </c:pt>
                <c:pt idx="320">
                  <c:v>10.65</c:v>
                </c:pt>
                <c:pt idx="321">
                  <c:v>10.7</c:v>
                </c:pt>
                <c:pt idx="322">
                  <c:v>10.75</c:v>
                </c:pt>
                <c:pt idx="323">
                  <c:v>10.75</c:v>
                </c:pt>
                <c:pt idx="324">
                  <c:v>10.8</c:v>
                </c:pt>
                <c:pt idx="325">
                  <c:v>10.85</c:v>
                </c:pt>
                <c:pt idx="326">
                  <c:v>10.85</c:v>
                </c:pt>
                <c:pt idx="327">
                  <c:v>10.9</c:v>
                </c:pt>
                <c:pt idx="328">
                  <c:v>10.95</c:v>
                </c:pt>
                <c:pt idx="329">
                  <c:v>10.95</c:v>
                </c:pt>
                <c:pt idx="330">
                  <c:v>11</c:v>
                </c:pt>
                <c:pt idx="331">
                  <c:v>11.05</c:v>
                </c:pt>
                <c:pt idx="332">
                  <c:v>11.05</c:v>
                </c:pt>
                <c:pt idx="333">
                  <c:v>11.1</c:v>
                </c:pt>
                <c:pt idx="334">
                  <c:v>11.15</c:v>
                </c:pt>
                <c:pt idx="335">
                  <c:v>11.15</c:v>
                </c:pt>
                <c:pt idx="336">
                  <c:v>11.2</c:v>
                </c:pt>
                <c:pt idx="337">
                  <c:v>11.25</c:v>
                </c:pt>
                <c:pt idx="338">
                  <c:v>11.25</c:v>
                </c:pt>
                <c:pt idx="339">
                  <c:v>11.3</c:v>
                </c:pt>
                <c:pt idx="340">
                  <c:v>11.35</c:v>
                </c:pt>
                <c:pt idx="341">
                  <c:v>11.35</c:v>
                </c:pt>
                <c:pt idx="342">
                  <c:v>11.4</c:v>
                </c:pt>
                <c:pt idx="343">
                  <c:v>11.45</c:v>
                </c:pt>
                <c:pt idx="344">
                  <c:v>11.45</c:v>
                </c:pt>
                <c:pt idx="345">
                  <c:v>11.5</c:v>
                </c:pt>
                <c:pt idx="346">
                  <c:v>11.55</c:v>
                </c:pt>
                <c:pt idx="347">
                  <c:v>11.55</c:v>
                </c:pt>
                <c:pt idx="348">
                  <c:v>11.6</c:v>
                </c:pt>
                <c:pt idx="349">
                  <c:v>11.65</c:v>
                </c:pt>
                <c:pt idx="350">
                  <c:v>11.65</c:v>
                </c:pt>
                <c:pt idx="351">
                  <c:v>11.7</c:v>
                </c:pt>
                <c:pt idx="352">
                  <c:v>11.75</c:v>
                </c:pt>
                <c:pt idx="353">
                  <c:v>11.75</c:v>
                </c:pt>
                <c:pt idx="354">
                  <c:v>11.8</c:v>
                </c:pt>
                <c:pt idx="355">
                  <c:v>11.85</c:v>
                </c:pt>
                <c:pt idx="356">
                  <c:v>11.85</c:v>
                </c:pt>
                <c:pt idx="357">
                  <c:v>11.9</c:v>
                </c:pt>
                <c:pt idx="358">
                  <c:v>11.95</c:v>
                </c:pt>
                <c:pt idx="359">
                  <c:v>11.95</c:v>
                </c:pt>
                <c:pt idx="360">
                  <c:v>12</c:v>
                </c:pt>
                <c:pt idx="361">
                  <c:v>12.05</c:v>
                </c:pt>
                <c:pt idx="362">
                  <c:v>12.05</c:v>
                </c:pt>
                <c:pt idx="363">
                  <c:v>12.1</c:v>
                </c:pt>
                <c:pt idx="364">
                  <c:v>12.15</c:v>
                </c:pt>
                <c:pt idx="365">
                  <c:v>12.15</c:v>
                </c:pt>
                <c:pt idx="366">
                  <c:v>12.2</c:v>
                </c:pt>
                <c:pt idx="367">
                  <c:v>12.25</c:v>
                </c:pt>
                <c:pt idx="368">
                  <c:v>12.25</c:v>
                </c:pt>
                <c:pt idx="369">
                  <c:v>12.3</c:v>
                </c:pt>
                <c:pt idx="370">
                  <c:v>12.35</c:v>
                </c:pt>
                <c:pt idx="371">
                  <c:v>12.35</c:v>
                </c:pt>
                <c:pt idx="372">
                  <c:v>12.4</c:v>
                </c:pt>
                <c:pt idx="373">
                  <c:v>12.45</c:v>
                </c:pt>
                <c:pt idx="374">
                  <c:v>12.45</c:v>
                </c:pt>
                <c:pt idx="375">
                  <c:v>12.5</c:v>
                </c:pt>
                <c:pt idx="376">
                  <c:v>12.55</c:v>
                </c:pt>
                <c:pt idx="377">
                  <c:v>12.55</c:v>
                </c:pt>
                <c:pt idx="378">
                  <c:v>12.6</c:v>
                </c:pt>
                <c:pt idx="379">
                  <c:v>12.65</c:v>
                </c:pt>
                <c:pt idx="380">
                  <c:v>12.7</c:v>
                </c:pt>
                <c:pt idx="381">
                  <c:v>12.7</c:v>
                </c:pt>
                <c:pt idx="382">
                  <c:v>12.75</c:v>
                </c:pt>
                <c:pt idx="383">
                  <c:v>12.8</c:v>
                </c:pt>
                <c:pt idx="384">
                  <c:v>12.8</c:v>
                </c:pt>
                <c:pt idx="385">
                  <c:v>12.85</c:v>
                </c:pt>
                <c:pt idx="386">
                  <c:v>12.9</c:v>
                </c:pt>
                <c:pt idx="387">
                  <c:v>12.9</c:v>
                </c:pt>
                <c:pt idx="388">
                  <c:v>12.95</c:v>
                </c:pt>
                <c:pt idx="389">
                  <c:v>13</c:v>
                </c:pt>
                <c:pt idx="390">
                  <c:v>13</c:v>
                </c:pt>
                <c:pt idx="391">
                  <c:v>13.05</c:v>
                </c:pt>
                <c:pt idx="392">
                  <c:v>13.1</c:v>
                </c:pt>
                <c:pt idx="393">
                  <c:v>13.1</c:v>
                </c:pt>
                <c:pt idx="394">
                  <c:v>13.15</c:v>
                </c:pt>
                <c:pt idx="395">
                  <c:v>13.2</c:v>
                </c:pt>
                <c:pt idx="396">
                  <c:v>13.2</c:v>
                </c:pt>
                <c:pt idx="397">
                  <c:v>13.25</c:v>
                </c:pt>
                <c:pt idx="398">
                  <c:v>13.3</c:v>
                </c:pt>
                <c:pt idx="399">
                  <c:v>13.3</c:v>
                </c:pt>
                <c:pt idx="400">
                  <c:v>13.35</c:v>
                </c:pt>
                <c:pt idx="401">
                  <c:v>13.4</c:v>
                </c:pt>
                <c:pt idx="402">
                  <c:v>13.4</c:v>
                </c:pt>
                <c:pt idx="403">
                  <c:v>13.45</c:v>
                </c:pt>
                <c:pt idx="404">
                  <c:v>13.5</c:v>
                </c:pt>
                <c:pt idx="405">
                  <c:v>13.5</c:v>
                </c:pt>
                <c:pt idx="406">
                  <c:v>13.55</c:v>
                </c:pt>
                <c:pt idx="407">
                  <c:v>13.6</c:v>
                </c:pt>
                <c:pt idx="408">
                  <c:v>13.6</c:v>
                </c:pt>
                <c:pt idx="409">
                  <c:v>13.65</c:v>
                </c:pt>
                <c:pt idx="410">
                  <c:v>13.7</c:v>
                </c:pt>
                <c:pt idx="411">
                  <c:v>13.7</c:v>
                </c:pt>
                <c:pt idx="412">
                  <c:v>13.75</c:v>
                </c:pt>
                <c:pt idx="413">
                  <c:v>13.8</c:v>
                </c:pt>
                <c:pt idx="414">
                  <c:v>13.8</c:v>
                </c:pt>
                <c:pt idx="415">
                  <c:v>13.85</c:v>
                </c:pt>
                <c:pt idx="416">
                  <c:v>13.9</c:v>
                </c:pt>
                <c:pt idx="417">
                  <c:v>13.9</c:v>
                </c:pt>
                <c:pt idx="418">
                  <c:v>13.95</c:v>
                </c:pt>
                <c:pt idx="419">
                  <c:v>14</c:v>
                </c:pt>
                <c:pt idx="420">
                  <c:v>14</c:v>
                </c:pt>
                <c:pt idx="421">
                  <c:v>14.05</c:v>
                </c:pt>
                <c:pt idx="422">
                  <c:v>14.1</c:v>
                </c:pt>
                <c:pt idx="423">
                  <c:v>14.1</c:v>
                </c:pt>
                <c:pt idx="424">
                  <c:v>14.15</c:v>
                </c:pt>
                <c:pt idx="425">
                  <c:v>14.2</c:v>
                </c:pt>
                <c:pt idx="426">
                  <c:v>14.2</c:v>
                </c:pt>
                <c:pt idx="427">
                  <c:v>14.25</c:v>
                </c:pt>
                <c:pt idx="428">
                  <c:v>14.3</c:v>
                </c:pt>
                <c:pt idx="429">
                  <c:v>14.3</c:v>
                </c:pt>
                <c:pt idx="430">
                  <c:v>14.35</c:v>
                </c:pt>
                <c:pt idx="431">
                  <c:v>14.4</c:v>
                </c:pt>
                <c:pt idx="432">
                  <c:v>14.4</c:v>
                </c:pt>
                <c:pt idx="433">
                  <c:v>14.45</c:v>
                </c:pt>
                <c:pt idx="434">
                  <c:v>14.5</c:v>
                </c:pt>
                <c:pt idx="435">
                  <c:v>14.5</c:v>
                </c:pt>
                <c:pt idx="436">
                  <c:v>14.55</c:v>
                </c:pt>
                <c:pt idx="437">
                  <c:v>14.6</c:v>
                </c:pt>
                <c:pt idx="438">
                  <c:v>14.6</c:v>
                </c:pt>
                <c:pt idx="439">
                  <c:v>14.65</c:v>
                </c:pt>
                <c:pt idx="440">
                  <c:v>14.7</c:v>
                </c:pt>
                <c:pt idx="441">
                  <c:v>14.7</c:v>
                </c:pt>
                <c:pt idx="442">
                  <c:v>14.75</c:v>
                </c:pt>
                <c:pt idx="443">
                  <c:v>14.8</c:v>
                </c:pt>
                <c:pt idx="444">
                  <c:v>14.8</c:v>
                </c:pt>
                <c:pt idx="445">
                  <c:v>14.85</c:v>
                </c:pt>
                <c:pt idx="446">
                  <c:v>14.9</c:v>
                </c:pt>
                <c:pt idx="447">
                  <c:v>14.9</c:v>
                </c:pt>
                <c:pt idx="448">
                  <c:v>14.95</c:v>
                </c:pt>
                <c:pt idx="449">
                  <c:v>15</c:v>
                </c:pt>
                <c:pt idx="450">
                  <c:v>15</c:v>
                </c:pt>
                <c:pt idx="451">
                  <c:v>15.05</c:v>
                </c:pt>
                <c:pt idx="452">
                  <c:v>15.1</c:v>
                </c:pt>
                <c:pt idx="453">
                  <c:v>15.1</c:v>
                </c:pt>
                <c:pt idx="454">
                  <c:v>15.15</c:v>
                </c:pt>
                <c:pt idx="455">
                  <c:v>15.2</c:v>
                </c:pt>
                <c:pt idx="456">
                  <c:v>15.2</c:v>
                </c:pt>
                <c:pt idx="457">
                  <c:v>15.25</c:v>
                </c:pt>
                <c:pt idx="458">
                  <c:v>15.3</c:v>
                </c:pt>
                <c:pt idx="459">
                  <c:v>15.3</c:v>
                </c:pt>
                <c:pt idx="460">
                  <c:v>15.35</c:v>
                </c:pt>
                <c:pt idx="461">
                  <c:v>15.4</c:v>
                </c:pt>
                <c:pt idx="462">
                  <c:v>15.4</c:v>
                </c:pt>
                <c:pt idx="463">
                  <c:v>15.45</c:v>
                </c:pt>
                <c:pt idx="464">
                  <c:v>15.5</c:v>
                </c:pt>
                <c:pt idx="465">
                  <c:v>15.5</c:v>
                </c:pt>
                <c:pt idx="466">
                  <c:v>15.55</c:v>
                </c:pt>
                <c:pt idx="467">
                  <c:v>15.6</c:v>
                </c:pt>
                <c:pt idx="468">
                  <c:v>15.6</c:v>
                </c:pt>
                <c:pt idx="469">
                  <c:v>15.65</c:v>
                </c:pt>
                <c:pt idx="470">
                  <c:v>15.7</c:v>
                </c:pt>
                <c:pt idx="471">
                  <c:v>15.7</c:v>
                </c:pt>
                <c:pt idx="472">
                  <c:v>15.75</c:v>
                </c:pt>
                <c:pt idx="473">
                  <c:v>15.8</c:v>
                </c:pt>
                <c:pt idx="474">
                  <c:v>15.8</c:v>
                </c:pt>
                <c:pt idx="475">
                  <c:v>15.85</c:v>
                </c:pt>
                <c:pt idx="476">
                  <c:v>15.9</c:v>
                </c:pt>
                <c:pt idx="477">
                  <c:v>15.9</c:v>
                </c:pt>
                <c:pt idx="478">
                  <c:v>15.95</c:v>
                </c:pt>
                <c:pt idx="479">
                  <c:v>16</c:v>
                </c:pt>
                <c:pt idx="480">
                  <c:v>16</c:v>
                </c:pt>
                <c:pt idx="481">
                  <c:v>16.05</c:v>
                </c:pt>
                <c:pt idx="482">
                  <c:v>16.1</c:v>
                </c:pt>
                <c:pt idx="483">
                  <c:v>16.1</c:v>
                </c:pt>
                <c:pt idx="484">
                  <c:v>16.15</c:v>
                </c:pt>
                <c:pt idx="485">
                  <c:v>16.2</c:v>
                </c:pt>
                <c:pt idx="486">
                  <c:v>16.2</c:v>
                </c:pt>
                <c:pt idx="487">
                  <c:v>16.25</c:v>
                </c:pt>
                <c:pt idx="488">
                  <c:v>16.3</c:v>
                </c:pt>
                <c:pt idx="489">
                  <c:v>16.3</c:v>
                </c:pt>
                <c:pt idx="490">
                  <c:v>16.35</c:v>
                </c:pt>
                <c:pt idx="491">
                  <c:v>16.4</c:v>
                </c:pt>
                <c:pt idx="492">
                  <c:v>16.4</c:v>
                </c:pt>
                <c:pt idx="493">
                  <c:v>16.45</c:v>
                </c:pt>
                <c:pt idx="494">
                  <c:v>16.5</c:v>
                </c:pt>
                <c:pt idx="495">
                  <c:v>16.5</c:v>
                </c:pt>
                <c:pt idx="496">
                  <c:v>16.55</c:v>
                </c:pt>
                <c:pt idx="497">
                  <c:v>16.6</c:v>
                </c:pt>
                <c:pt idx="498">
                  <c:v>16.6</c:v>
                </c:pt>
                <c:pt idx="499">
                  <c:v>16.65</c:v>
                </c:pt>
                <c:pt idx="500">
                  <c:v>16.7</c:v>
                </c:pt>
                <c:pt idx="501">
                  <c:v>16.7</c:v>
                </c:pt>
                <c:pt idx="502">
                  <c:v>16.75</c:v>
                </c:pt>
                <c:pt idx="503">
                  <c:v>16.8</c:v>
                </c:pt>
                <c:pt idx="504">
                  <c:v>16.8</c:v>
                </c:pt>
                <c:pt idx="505">
                  <c:v>16.85</c:v>
                </c:pt>
                <c:pt idx="506">
                  <c:v>16.9</c:v>
                </c:pt>
                <c:pt idx="507">
                  <c:v>16.9</c:v>
                </c:pt>
                <c:pt idx="508">
                  <c:v>16.95</c:v>
                </c:pt>
                <c:pt idx="509">
                  <c:v>17</c:v>
                </c:pt>
                <c:pt idx="510">
                  <c:v>17</c:v>
                </c:pt>
                <c:pt idx="511">
                  <c:v>17.05</c:v>
                </c:pt>
                <c:pt idx="512">
                  <c:v>17.1</c:v>
                </c:pt>
                <c:pt idx="513">
                  <c:v>17.1</c:v>
                </c:pt>
                <c:pt idx="514">
                  <c:v>17.15</c:v>
                </c:pt>
                <c:pt idx="515">
                  <c:v>17.2</c:v>
                </c:pt>
                <c:pt idx="516">
                  <c:v>17.2</c:v>
                </c:pt>
                <c:pt idx="517">
                  <c:v>17.25</c:v>
                </c:pt>
                <c:pt idx="518">
                  <c:v>17.3</c:v>
                </c:pt>
                <c:pt idx="519">
                  <c:v>17.3</c:v>
                </c:pt>
                <c:pt idx="520">
                  <c:v>17.35</c:v>
                </c:pt>
                <c:pt idx="521">
                  <c:v>17.4</c:v>
                </c:pt>
                <c:pt idx="522">
                  <c:v>17.4</c:v>
                </c:pt>
                <c:pt idx="523">
                  <c:v>17.45</c:v>
                </c:pt>
                <c:pt idx="524">
                  <c:v>17.5</c:v>
                </c:pt>
                <c:pt idx="525">
                  <c:v>17.5</c:v>
                </c:pt>
                <c:pt idx="526">
                  <c:v>17.55</c:v>
                </c:pt>
                <c:pt idx="527">
                  <c:v>17.6</c:v>
                </c:pt>
                <c:pt idx="528">
                  <c:v>17.6</c:v>
                </c:pt>
                <c:pt idx="529">
                  <c:v>17.65</c:v>
                </c:pt>
                <c:pt idx="530">
                  <c:v>17.7</c:v>
                </c:pt>
                <c:pt idx="531">
                  <c:v>17.7</c:v>
                </c:pt>
                <c:pt idx="532">
                  <c:v>17.75</c:v>
                </c:pt>
                <c:pt idx="533">
                  <c:v>17.8</c:v>
                </c:pt>
                <c:pt idx="534">
                  <c:v>17.8</c:v>
                </c:pt>
                <c:pt idx="535">
                  <c:v>17.85</c:v>
                </c:pt>
                <c:pt idx="536">
                  <c:v>17.9</c:v>
                </c:pt>
                <c:pt idx="537">
                  <c:v>17.9</c:v>
                </c:pt>
                <c:pt idx="538">
                  <c:v>17.95</c:v>
                </c:pt>
                <c:pt idx="539">
                  <c:v>18</c:v>
                </c:pt>
                <c:pt idx="540">
                  <c:v>18</c:v>
                </c:pt>
                <c:pt idx="541">
                  <c:v>18.05</c:v>
                </c:pt>
                <c:pt idx="542">
                  <c:v>18.1</c:v>
                </c:pt>
                <c:pt idx="543">
                  <c:v>18.1</c:v>
                </c:pt>
                <c:pt idx="544">
                  <c:v>18.15</c:v>
                </c:pt>
                <c:pt idx="545">
                  <c:v>18.2</c:v>
                </c:pt>
                <c:pt idx="546">
                  <c:v>18.2</c:v>
                </c:pt>
                <c:pt idx="547">
                  <c:v>18.25</c:v>
                </c:pt>
                <c:pt idx="548">
                  <c:v>18.3</c:v>
                </c:pt>
                <c:pt idx="549">
                  <c:v>18.3</c:v>
                </c:pt>
                <c:pt idx="550">
                  <c:v>18.35</c:v>
                </c:pt>
                <c:pt idx="551">
                  <c:v>18.4</c:v>
                </c:pt>
                <c:pt idx="552">
                  <c:v>18.4</c:v>
                </c:pt>
                <c:pt idx="553">
                  <c:v>18.45</c:v>
                </c:pt>
                <c:pt idx="554">
                  <c:v>18.5</c:v>
                </c:pt>
                <c:pt idx="555">
                  <c:v>18.5</c:v>
                </c:pt>
                <c:pt idx="556">
                  <c:v>18.55</c:v>
                </c:pt>
                <c:pt idx="557">
                  <c:v>18.6</c:v>
                </c:pt>
                <c:pt idx="558">
                  <c:v>18.6</c:v>
                </c:pt>
                <c:pt idx="559">
                  <c:v>18.65</c:v>
                </c:pt>
                <c:pt idx="560">
                  <c:v>18.7</c:v>
                </c:pt>
                <c:pt idx="561">
                  <c:v>18.7</c:v>
                </c:pt>
                <c:pt idx="562">
                  <c:v>18.75</c:v>
                </c:pt>
                <c:pt idx="563">
                  <c:v>18.8</c:v>
                </c:pt>
                <c:pt idx="564">
                  <c:v>18.8</c:v>
                </c:pt>
                <c:pt idx="565">
                  <c:v>18.85</c:v>
                </c:pt>
                <c:pt idx="566">
                  <c:v>18.9</c:v>
                </c:pt>
                <c:pt idx="567">
                  <c:v>18.9</c:v>
                </c:pt>
                <c:pt idx="568">
                  <c:v>18.95</c:v>
                </c:pt>
                <c:pt idx="569">
                  <c:v>19</c:v>
                </c:pt>
                <c:pt idx="570">
                  <c:v>19.05</c:v>
                </c:pt>
                <c:pt idx="571">
                  <c:v>19.05</c:v>
                </c:pt>
                <c:pt idx="572">
                  <c:v>19.1</c:v>
                </c:pt>
                <c:pt idx="573">
                  <c:v>19.15</c:v>
                </c:pt>
                <c:pt idx="574">
                  <c:v>19.15</c:v>
                </c:pt>
                <c:pt idx="575">
                  <c:v>19.2</c:v>
                </c:pt>
                <c:pt idx="576">
                  <c:v>19.25</c:v>
                </c:pt>
                <c:pt idx="577">
                  <c:v>19.25</c:v>
                </c:pt>
                <c:pt idx="578">
                  <c:v>19.3</c:v>
                </c:pt>
                <c:pt idx="579">
                  <c:v>19.35</c:v>
                </c:pt>
                <c:pt idx="580">
                  <c:v>19.35</c:v>
                </c:pt>
                <c:pt idx="581">
                  <c:v>19.4</c:v>
                </c:pt>
                <c:pt idx="582">
                  <c:v>19.45</c:v>
                </c:pt>
                <c:pt idx="583">
                  <c:v>19.45</c:v>
                </c:pt>
                <c:pt idx="584">
                  <c:v>19.5</c:v>
                </c:pt>
                <c:pt idx="585">
                  <c:v>19.55</c:v>
                </c:pt>
                <c:pt idx="586">
                  <c:v>19.55</c:v>
                </c:pt>
                <c:pt idx="587">
                  <c:v>19.6</c:v>
                </c:pt>
                <c:pt idx="588">
                  <c:v>19.65</c:v>
                </c:pt>
                <c:pt idx="589">
                  <c:v>19.65</c:v>
                </c:pt>
                <c:pt idx="590">
                  <c:v>19.7</c:v>
                </c:pt>
                <c:pt idx="591">
                  <c:v>19.75</c:v>
                </c:pt>
                <c:pt idx="592">
                  <c:v>19.75</c:v>
                </c:pt>
                <c:pt idx="593">
                  <c:v>19.8</c:v>
                </c:pt>
                <c:pt idx="594">
                  <c:v>19.85</c:v>
                </c:pt>
                <c:pt idx="595">
                  <c:v>19.85</c:v>
                </c:pt>
                <c:pt idx="596">
                  <c:v>19.9</c:v>
                </c:pt>
                <c:pt idx="597">
                  <c:v>19.95</c:v>
                </c:pt>
                <c:pt idx="598">
                  <c:v>19.95</c:v>
                </c:pt>
                <c:pt idx="599">
                  <c:v>20</c:v>
                </c:pt>
                <c:pt idx="600">
                  <c:v>20.05</c:v>
                </c:pt>
                <c:pt idx="601">
                  <c:v>20.05</c:v>
                </c:pt>
                <c:pt idx="602">
                  <c:v>20.1</c:v>
                </c:pt>
                <c:pt idx="603">
                  <c:v>20.15</c:v>
                </c:pt>
                <c:pt idx="604">
                  <c:v>20.15</c:v>
                </c:pt>
                <c:pt idx="605">
                  <c:v>20.2</c:v>
                </c:pt>
                <c:pt idx="606">
                  <c:v>20.25</c:v>
                </c:pt>
                <c:pt idx="607">
                  <c:v>20.25</c:v>
                </c:pt>
                <c:pt idx="608">
                  <c:v>20.3</c:v>
                </c:pt>
                <c:pt idx="609">
                  <c:v>20.35</c:v>
                </c:pt>
                <c:pt idx="610">
                  <c:v>20.35</c:v>
                </c:pt>
                <c:pt idx="611">
                  <c:v>20.4</c:v>
                </c:pt>
                <c:pt idx="612">
                  <c:v>20.45</c:v>
                </c:pt>
                <c:pt idx="613">
                  <c:v>20.45</c:v>
                </c:pt>
                <c:pt idx="614">
                  <c:v>20.5</c:v>
                </c:pt>
                <c:pt idx="615">
                  <c:v>20.55</c:v>
                </c:pt>
                <c:pt idx="616">
                  <c:v>20.55</c:v>
                </c:pt>
                <c:pt idx="617">
                  <c:v>20.6</c:v>
                </c:pt>
                <c:pt idx="618">
                  <c:v>20.65</c:v>
                </c:pt>
                <c:pt idx="619">
                  <c:v>20.65</c:v>
                </c:pt>
                <c:pt idx="620">
                  <c:v>20.7</c:v>
                </c:pt>
                <c:pt idx="621">
                  <c:v>20.75</c:v>
                </c:pt>
                <c:pt idx="622">
                  <c:v>20.75</c:v>
                </c:pt>
                <c:pt idx="623">
                  <c:v>20.8</c:v>
                </c:pt>
                <c:pt idx="624">
                  <c:v>20.85</c:v>
                </c:pt>
                <c:pt idx="625">
                  <c:v>20.85</c:v>
                </c:pt>
                <c:pt idx="626">
                  <c:v>20.9</c:v>
                </c:pt>
                <c:pt idx="627">
                  <c:v>20.95</c:v>
                </c:pt>
                <c:pt idx="628">
                  <c:v>20.95</c:v>
                </c:pt>
                <c:pt idx="629">
                  <c:v>21</c:v>
                </c:pt>
                <c:pt idx="630">
                  <c:v>21.05</c:v>
                </c:pt>
                <c:pt idx="631">
                  <c:v>21.05</c:v>
                </c:pt>
                <c:pt idx="632">
                  <c:v>21.1</c:v>
                </c:pt>
                <c:pt idx="633">
                  <c:v>21.15</c:v>
                </c:pt>
                <c:pt idx="634">
                  <c:v>21.15</c:v>
                </c:pt>
                <c:pt idx="635">
                  <c:v>21.2</c:v>
                </c:pt>
                <c:pt idx="636">
                  <c:v>21.25</c:v>
                </c:pt>
                <c:pt idx="637">
                  <c:v>21.25</c:v>
                </c:pt>
                <c:pt idx="638">
                  <c:v>21.3</c:v>
                </c:pt>
                <c:pt idx="639">
                  <c:v>21.35</c:v>
                </c:pt>
                <c:pt idx="640">
                  <c:v>21.35</c:v>
                </c:pt>
                <c:pt idx="641">
                  <c:v>21.4</c:v>
                </c:pt>
                <c:pt idx="642">
                  <c:v>21.45</c:v>
                </c:pt>
                <c:pt idx="643">
                  <c:v>21.45</c:v>
                </c:pt>
                <c:pt idx="644">
                  <c:v>21.5</c:v>
                </c:pt>
                <c:pt idx="645">
                  <c:v>21.55</c:v>
                </c:pt>
                <c:pt idx="646">
                  <c:v>21.55</c:v>
                </c:pt>
                <c:pt idx="647">
                  <c:v>21.6</c:v>
                </c:pt>
                <c:pt idx="648">
                  <c:v>21.65</c:v>
                </c:pt>
                <c:pt idx="649">
                  <c:v>21.65</c:v>
                </c:pt>
                <c:pt idx="650">
                  <c:v>21.7</c:v>
                </c:pt>
                <c:pt idx="651">
                  <c:v>21.75</c:v>
                </c:pt>
                <c:pt idx="652">
                  <c:v>21.75</c:v>
                </c:pt>
                <c:pt idx="653">
                  <c:v>21.8</c:v>
                </c:pt>
                <c:pt idx="654">
                  <c:v>21.85</c:v>
                </c:pt>
                <c:pt idx="655">
                  <c:v>21.85</c:v>
                </c:pt>
                <c:pt idx="656">
                  <c:v>21.9</c:v>
                </c:pt>
                <c:pt idx="657">
                  <c:v>21.95</c:v>
                </c:pt>
                <c:pt idx="658">
                  <c:v>21.95</c:v>
                </c:pt>
                <c:pt idx="659">
                  <c:v>22</c:v>
                </c:pt>
                <c:pt idx="660">
                  <c:v>22.05</c:v>
                </c:pt>
                <c:pt idx="661">
                  <c:v>22.05</c:v>
                </c:pt>
                <c:pt idx="662">
                  <c:v>22.1</c:v>
                </c:pt>
                <c:pt idx="663">
                  <c:v>22.15</c:v>
                </c:pt>
                <c:pt idx="664">
                  <c:v>22.15</c:v>
                </c:pt>
                <c:pt idx="665">
                  <c:v>22.2</c:v>
                </c:pt>
                <c:pt idx="666">
                  <c:v>22.25</c:v>
                </c:pt>
                <c:pt idx="667">
                  <c:v>22.25</c:v>
                </c:pt>
                <c:pt idx="668">
                  <c:v>22.3</c:v>
                </c:pt>
                <c:pt idx="669">
                  <c:v>22.35</c:v>
                </c:pt>
                <c:pt idx="670">
                  <c:v>22.35</c:v>
                </c:pt>
                <c:pt idx="671">
                  <c:v>22.4</c:v>
                </c:pt>
                <c:pt idx="672">
                  <c:v>22.45</c:v>
                </c:pt>
                <c:pt idx="673">
                  <c:v>22.45</c:v>
                </c:pt>
                <c:pt idx="674">
                  <c:v>22.5</c:v>
                </c:pt>
                <c:pt idx="675">
                  <c:v>22.55</c:v>
                </c:pt>
                <c:pt idx="676">
                  <c:v>22.55</c:v>
                </c:pt>
                <c:pt idx="677">
                  <c:v>22.6</c:v>
                </c:pt>
                <c:pt idx="678">
                  <c:v>22.65</c:v>
                </c:pt>
                <c:pt idx="679">
                  <c:v>22.65</c:v>
                </c:pt>
                <c:pt idx="680">
                  <c:v>22.7</c:v>
                </c:pt>
                <c:pt idx="681">
                  <c:v>22.75</c:v>
                </c:pt>
                <c:pt idx="682">
                  <c:v>22.75</c:v>
                </c:pt>
                <c:pt idx="683">
                  <c:v>22.8</c:v>
                </c:pt>
                <c:pt idx="684">
                  <c:v>22.85</c:v>
                </c:pt>
                <c:pt idx="685">
                  <c:v>22.85</c:v>
                </c:pt>
                <c:pt idx="686">
                  <c:v>22.9</c:v>
                </c:pt>
                <c:pt idx="687">
                  <c:v>22.95</c:v>
                </c:pt>
                <c:pt idx="688">
                  <c:v>22.95</c:v>
                </c:pt>
                <c:pt idx="689">
                  <c:v>23</c:v>
                </c:pt>
                <c:pt idx="690">
                  <c:v>23.05</c:v>
                </c:pt>
                <c:pt idx="691">
                  <c:v>23.05</c:v>
                </c:pt>
                <c:pt idx="692">
                  <c:v>23.1</c:v>
                </c:pt>
                <c:pt idx="693">
                  <c:v>23.15</c:v>
                </c:pt>
                <c:pt idx="694">
                  <c:v>23.15</c:v>
                </c:pt>
                <c:pt idx="695">
                  <c:v>23.2</c:v>
                </c:pt>
                <c:pt idx="696">
                  <c:v>23.25</c:v>
                </c:pt>
                <c:pt idx="697">
                  <c:v>23.25</c:v>
                </c:pt>
                <c:pt idx="698">
                  <c:v>23.3</c:v>
                </c:pt>
                <c:pt idx="699">
                  <c:v>23.35</c:v>
                </c:pt>
                <c:pt idx="700">
                  <c:v>23.35</c:v>
                </c:pt>
                <c:pt idx="701">
                  <c:v>23.4</c:v>
                </c:pt>
                <c:pt idx="702">
                  <c:v>23.45</c:v>
                </c:pt>
                <c:pt idx="703">
                  <c:v>23.45</c:v>
                </c:pt>
                <c:pt idx="704">
                  <c:v>23.5</c:v>
                </c:pt>
                <c:pt idx="705">
                  <c:v>23.55</c:v>
                </c:pt>
                <c:pt idx="706">
                  <c:v>23.55</c:v>
                </c:pt>
                <c:pt idx="707">
                  <c:v>23.6</c:v>
                </c:pt>
                <c:pt idx="708">
                  <c:v>23.65</c:v>
                </c:pt>
                <c:pt idx="709">
                  <c:v>23.65</c:v>
                </c:pt>
                <c:pt idx="710">
                  <c:v>23.7</c:v>
                </c:pt>
                <c:pt idx="711">
                  <c:v>23.75</c:v>
                </c:pt>
                <c:pt idx="712">
                  <c:v>23.75</c:v>
                </c:pt>
                <c:pt idx="713">
                  <c:v>23.8</c:v>
                </c:pt>
                <c:pt idx="714">
                  <c:v>23.85</c:v>
                </c:pt>
                <c:pt idx="715">
                  <c:v>23.85</c:v>
                </c:pt>
                <c:pt idx="716">
                  <c:v>23.9</c:v>
                </c:pt>
                <c:pt idx="717">
                  <c:v>23.95</c:v>
                </c:pt>
                <c:pt idx="718">
                  <c:v>23.95</c:v>
                </c:pt>
                <c:pt idx="719">
                  <c:v>24</c:v>
                </c:pt>
                <c:pt idx="720">
                  <c:v>24.05</c:v>
                </c:pt>
                <c:pt idx="721">
                  <c:v>24.05</c:v>
                </c:pt>
                <c:pt idx="722">
                  <c:v>24.1</c:v>
                </c:pt>
                <c:pt idx="723">
                  <c:v>24.15</c:v>
                </c:pt>
                <c:pt idx="724">
                  <c:v>24.15</c:v>
                </c:pt>
                <c:pt idx="725">
                  <c:v>24.2</c:v>
                </c:pt>
                <c:pt idx="726">
                  <c:v>24.25</c:v>
                </c:pt>
                <c:pt idx="727">
                  <c:v>24.25</c:v>
                </c:pt>
                <c:pt idx="728">
                  <c:v>24.3</c:v>
                </c:pt>
                <c:pt idx="729">
                  <c:v>24.35</c:v>
                </c:pt>
                <c:pt idx="730">
                  <c:v>24.35</c:v>
                </c:pt>
                <c:pt idx="731">
                  <c:v>24.4</c:v>
                </c:pt>
                <c:pt idx="732">
                  <c:v>24.45</c:v>
                </c:pt>
                <c:pt idx="733">
                  <c:v>24.45</c:v>
                </c:pt>
                <c:pt idx="734">
                  <c:v>24.5</c:v>
                </c:pt>
                <c:pt idx="735">
                  <c:v>24.55</c:v>
                </c:pt>
                <c:pt idx="736">
                  <c:v>24.55</c:v>
                </c:pt>
                <c:pt idx="737">
                  <c:v>24.6</c:v>
                </c:pt>
                <c:pt idx="738">
                  <c:v>24.65</c:v>
                </c:pt>
                <c:pt idx="739">
                  <c:v>24.65</c:v>
                </c:pt>
                <c:pt idx="740">
                  <c:v>24.7</c:v>
                </c:pt>
                <c:pt idx="741">
                  <c:v>24.75</c:v>
                </c:pt>
                <c:pt idx="742">
                  <c:v>24.75</c:v>
                </c:pt>
                <c:pt idx="743">
                  <c:v>24.8</c:v>
                </c:pt>
                <c:pt idx="744">
                  <c:v>24.85</c:v>
                </c:pt>
                <c:pt idx="745">
                  <c:v>24.85</c:v>
                </c:pt>
                <c:pt idx="746">
                  <c:v>24.9</c:v>
                </c:pt>
                <c:pt idx="747">
                  <c:v>24.95</c:v>
                </c:pt>
                <c:pt idx="748">
                  <c:v>24.95</c:v>
                </c:pt>
                <c:pt idx="749">
                  <c:v>25</c:v>
                </c:pt>
                <c:pt idx="750">
                  <c:v>25.05</c:v>
                </c:pt>
                <c:pt idx="751">
                  <c:v>25.05</c:v>
                </c:pt>
                <c:pt idx="752">
                  <c:v>25.1</c:v>
                </c:pt>
                <c:pt idx="753">
                  <c:v>25.15</c:v>
                </c:pt>
                <c:pt idx="754">
                  <c:v>25.15</c:v>
                </c:pt>
                <c:pt idx="755">
                  <c:v>25.2</c:v>
                </c:pt>
                <c:pt idx="756">
                  <c:v>25.25</c:v>
                </c:pt>
                <c:pt idx="757">
                  <c:v>25.25</c:v>
                </c:pt>
                <c:pt idx="758">
                  <c:v>25.3</c:v>
                </c:pt>
                <c:pt idx="759">
                  <c:v>25.35</c:v>
                </c:pt>
                <c:pt idx="760">
                  <c:v>25.35</c:v>
                </c:pt>
                <c:pt idx="761">
                  <c:v>25.4</c:v>
                </c:pt>
                <c:pt idx="762">
                  <c:v>25.45</c:v>
                </c:pt>
                <c:pt idx="763">
                  <c:v>25.5</c:v>
                </c:pt>
                <c:pt idx="764">
                  <c:v>25.5</c:v>
                </c:pt>
                <c:pt idx="765">
                  <c:v>25.55</c:v>
                </c:pt>
                <c:pt idx="766">
                  <c:v>25.6</c:v>
                </c:pt>
                <c:pt idx="767">
                  <c:v>25.6</c:v>
                </c:pt>
                <c:pt idx="768">
                  <c:v>25.65</c:v>
                </c:pt>
                <c:pt idx="769">
                  <c:v>25.7</c:v>
                </c:pt>
                <c:pt idx="770">
                  <c:v>25.7</c:v>
                </c:pt>
                <c:pt idx="771">
                  <c:v>25.75</c:v>
                </c:pt>
                <c:pt idx="772">
                  <c:v>25.8</c:v>
                </c:pt>
                <c:pt idx="773">
                  <c:v>25.8</c:v>
                </c:pt>
                <c:pt idx="774">
                  <c:v>25.85</c:v>
                </c:pt>
                <c:pt idx="775">
                  <c:v>25.9</c:v>
                </c:pt>
                <c:pt idx="776">
                  <c:v>25.9</c:v>
                </c:pt>
                <c:pt idx="777">
                  <c:v>25.95</c:v>
                </c:pt>
                <c:pt idx="778">
                  <c:v>26</c:v>
                </c:pt>
                <c:pt idx="779">
                  <c:v>26</c:v>
                </c:pt>
                <c:pt idx="780">
                  <c:v>26.05</c:v>
                </c:pt>
                <c:pt idx="781">
                  <c:v>26.1</c:v>
                </c:pt>
                <c:pt idx="782">
                  <c:v>26.1</c:v>
                </c:pt>
                <c:pt idx="783">
                  <c:v>26.15</c:v>
                </c:pt>
                <c:pt idx="784">
                  <c:v>26.2</c:v>
                </c:pt>
                <c:pt idx="785">
                  <c:v>26.2</c:v>
                </c:pt>
                <c:pt idx="786">
                  <c:v>26.25</c:v>
                </c:pt>
                <c:pt idx="787">
                  <c:v>26.3</c:v>
                </c:pt>
                <c:pt idx="788">
                  <c:v>26.3</c:v>
                </c:pt>
                <c:pt idx="789">
                  <c:v>26.35</c:v>
                </c:pt>
                <c:pt idx="790">
                  <c:v>26.4</c:v>
                </c:pt>
                <c:pt idx="791">
                  <c:v>26.4</c:v>
                </c:pt>
                <c:pt idx="792">
                  <c:v>26.45</c:v>
                </c:pt>
                <c:pt idx="793">
                  <c:v>26.5</c:v>
                </c:pt>
                <c:pt idx="794">
                  <c:v>26.5</c:v>
                </c:pt>
                <c:pt idx="795">
                  <c:v>26.55</c:v>
                </c:pt>
                <c:pt idx="796">
                  <c:v>26.6</c:v>
                </c:pt>
                <c:pt idx="797">
                  <c:v>26.6</c:v>
                </c:pt>
                <c:pt idx="798">
                  <c:v>26.65</c:v>
                </c:pt>
                <c:pt idx="799">
                  <c:v>26.7</c:v>
                </c:pt>
                <c:pt idx="800">
                  <c:v>26.7</c:v>
                </c:pt>
                <c:pt idx="801">
                  <c:v>26.75</c:v>
                </c:pt>
                <c:pt idx="802">
                  <c:v>26.8</c:v>
                </c:pt>
                <c:pt idx="803">
                  <c:v>26.8</c:v>
                </c:pt>
                <c:pt idx="804">
                  <c:v>26.85</c:v>
                </c:pt>
                <c:pt idx="805">
                  <c:v>26.9</c:v>
                </c:pt>
                <c:pt idx="806">
                  <c:v>26.9</c:v>
                </c:pt>
                <c:pt idx="807">
                  <c:v>26.95</c:v>
                </c:pt>
                <c:pt idx="808">
                  <c:v>27</c:v>
                </c:pt>
                <c:pt idx="809">
                  <c:v>27</c:v>
                </c:pt>
                <c:pt idx="810">
                  <c:v>27.05</c:v>
                </c:pt>
                <c:pt idx="811">
                  <c:v>27.1</c:v>
                </c:pt>
                <c:pt idx="812">
                  <c:v>27.1</c:v>
                </c:pt>
                <c:pt idx="813">
                  <c:v>27.15</c:v>
                </c:pt>
                <c:pt idx="814">
                  <c:v>27.2</c:v>
                </c:pt>
                <c:pt idx="815">
                  <c:v>27.2</c:v>
                </c:pt>
                <c:pt idx="816">
                  <c:v>27.25</c:v>
                </c:pt>
                <c:pt idx="817">
                  <c:v>27.3</c:v>
                </c:pt>
                <c:pt idx="818">
                  <c:v>27.3</c:v>
                </c:pt>
                <c:pt idx="819">
                  <c:v>27.35</c:v>
                </c:pt>
                <c:pt idx="820">
                  <c:v>27.4</c:v>
                </c:pt>
                <c:pt idx="821">
                  <c:v>27.4</c:v>
                </c:pt>
                <c:pt idx="822">
                  <c:v>27.45</c:v>
                </c:pt>
                <c:pt idx="823">
                  <c:v>27.5</c:v>
                </c:pt>
                <c:pt idx="824">
                  <c:v>27.5</c:v>
                </c:pt>
                <c:pt idx="825">
                  <c:v>27.55</c:v>
                </c:pt>
                <c:pt idx="826">
                  <c:v>27.6</c:v>
                </c:pt>
                <c:pt idx="827">
                  <c:v>27.6</c:v>
                </c:pt>
                <c:pt idx="828">
                  <c:v>27.65</c:v>
                </c:pt>
                <c:pt idx="829">
                  <c:v>27.7</c:v>
                </c:pt>
                <c:pt idx="830">
                  <c:v>27.7</c:v>
                </c:pt>
                <c:pt idx="831">
                  <c:v>27.75</c:v>
                </c:pt>
                <c:pt idx="832">
                  <c:v>27.8</c:v>
                </c:pt>
                <c:pt idx="833">
                  <c:v>27.8</c:v>
                </c:pt>
                <c:pt idx="834">
                  <c:v>27.85</c:v>
                </c:pt>
                <c:pt idx="835">
                  <c:v>27.9</c:v>
                </c:pt>
                <c:pt idx="836">
                  <c:v>27.9</c:v>
                </c:pt>
                <c:pt idx="837">
                  <c:v>27.95</c:v>
                </c:pt>
                <c:pt idx="838">
                  <c:v>28</c:v>
                </c:pt>
                <c:pt idx="839">
                  <c:v>28</c:v>
                </c:pt>
                <c:pt idx="840">
                  <c:v>28.05</c:v>
                </c:pt>
                <c:pt idx="841">
                  <c:v>28.1</c:v>
                </c:pt>
                <c:pt idx="842">
                  <c:v>28.1</c:v>
                </c:pt>
                <c:pt idx="843">
                  <c:v>28.15</c:v>
                </c:pt>
                <c:pt idx="844">
                  <c:v>28.2</c:v>
                </c:pt>
                <c:pt idx="845">
                  <c:v>28.2</c:v>
                </c:pt>
                <c:pt idx="846">
                  <c:v>28.25</c:v>
                </c:pt>
                <c:pt idx="847">
                  <c:v>28.3</c:v>
                </c:pt>
                <c:pt idx="848">
                  <c:v>28.3</c:v>
                </c:pt>
                <c:pt idx="849">
                  <c:v>28.35</c:v>
                </c:pt>
                <c:pt idx="850">
                  <c:v>28.4</c:v>
                </c:pt>
                <c:pt idx="851">
                  <c:v>28.4</c:v>
                </c:pt>
                <c:pt idx="852">
                  <c:v>28.45</c:v>
                </c:pt>
                <c:pt idx="853">
                  <c:v>28.5</c:v>
                </c:pt>
                <c:pt idx="854">
                  <c:v>28.5</c:v>
                </c:pt>
                <c:pt idx="855">
                  <c:v>28.55</c:v>
                </c:pt>
                <c:pt idx="856">
                  <c:v>28.6</c:v>
                </c:pt>
                <c:pt idx="857">
                  <c:v>28.6</c:v>
                </c:pt>
                <c:pt idx="858">
                  <c:v>28.65</c:v>
                </c:pt>
                <c:pt idx="859">
                  <c:v>28.7</c:v>
                </c:pt>
                <c:pt idx="860">
                  <c:v>28.7</c:v>
                </c:pt>
                <c:pt idx="861">
                  <c:v>28.75</c:v>
                </c:pt>
                <c:pt idx="862">
                  <c:v>28.8</c:v>
                </c:pt>
                <c:pt idx="863">
                  <c:v>28.8</c:v>
                </c:pt>
                <c:pt idx="864">
                  <c:v>28.85</c:v>
                </c:pt>
                <c:pt idx="865">
                  <c:v>28.9</c:v>
                </c:pt>
                <c:pt idx="866">
                  <c:v>28.9</c:v>
                </c:pt>
                <c:pt idx="867">
                  <c:v>28.95</c:v>
                </c:pt>
                <c:pt idx="868">
                  <c:v>29</c:v>
                </c:pt>
                <c:pt idx="869">
                  <c:v>29</c:v>
                </c:pt>
                <c:pt idx="870">
                  <c:v>29.05</c:v>
                </c:pt>
                <c:pt idx="871">
                  <c:v>29.1</c:v>
                </c:pt>
                <c:pt idx="872">
                  <c:v>29.1</c:v>
                </c:pt>
                <c:pt idx="873">
                  <c:v>29.15</c:v>
                </c:pt>
                <c:pt idx="874">
                  <c:v>29.2</c:v>
                </c:pt>
                <c:pt idx="875">
                  <c:v>29.2</c:v>
                </c:pt>
                <c:pt idx="876">
                  <c:v>29.25</c:v>
                </c:pt>
                <c:pt idx="877">
                  <c:v>29.3</c:v>
                </c:pt>
                <c:pt idx="878">
                  <c:v>29.3</c:v>
                </c:pt>
                <c:pt idx="879">
                  <c:v>29.35</c:v>
                </c:pt>
                <c:pt idx="880">
                  <c:v>29.4</c:v>
                </c:pt>
                <c:pt idx="881">
                  <c:v>29.4</c:v>
                </c:pt>
                <c:pt idx="882">
                  <c:v>29.45</c:v>
                </c:pt>
                <c:pt idx="883">
                  <c:v>29.5</c:v>
                </c:pt>
                <c:pt idx="884">
                  <c:v>29.5</c:v>
                </c:pt>
                <c:pt idx="885">
                  <c:v>29.55</c:v>
                </c:pt>
                <c:pt idx="886">
                  <c:v>29.6</c:v>
                </c:pt>
                <c:pt idx="887">
                  <c:v>29.6</c:v>
                </c:pt>
                <c:pt idx="888">
                  <c:v>29.65</c:v>
                </c:pt>
                <c:pt idx="889">
                  <c:v>29.7</c:v>
                </c:pt>
                <c:pt idx="890">
                  <c:v>29.7</c:v>
                </c:pt>
                <c:pt idx="891">
                  <c:v>29.75</c:v>
                </c:pt>
                <c:pt idx="892">
                  <c:v>29.8</c:v>
                </c:pt>
                <c:pt idx="893">
                  <c:v>29.8</c:v>
                </c:pt>
                <c:pt idx="894">
                  <c:v>29.85</c:v>
                </c:pt>
                <c:pt idx="895">
                  <c:v>29.9</c:v>
                </c:pt>
                <c:pt idx="896">
                  <c:v>29.9</c:v>
                </c:pt>
                <c:pt idx="897">
                  <c:v>29.95</c:v>
                </c:pt>
                <c:pt idx="898">
                  <c:v>30</c:v>
                </c:pt>
                <c:pt idx="899">
                  <c:v>30</c:v>
                </c:pt>
                <c:pt idx="900">
                  <c:v>30.05</c:v>
                </c:pt>
                <c:pt idx="901">
                  <c:v>30.1</c:v>
                </c:pt>
                <c:pt idx="902">
                  <c:v>30.1</c:v>
                </c:pt>
                <c:pt idx="903">
                  <c:v>30.15</c:v>
                </c:pt>
                <c:pt idx="904">
                  <c:v>30.2</c:v>
                </c:pt>
                <c:pt idx="905">
                  <c:v>30.2</c:v>
                </c:pt>
                <c:pt idx="906">
                  <c:v>30.25</c:v>
                </c:pt>
                <c:pt idx="907">
                  <c:v>30.3</c:v>
                </c:pt>
                <c:pt idx="908">
                  <c:v>30.3</c:v>
                </c:pt>
                <c:pt idx="909">
                  <c:v>30.35</c:v>
                </c:pt>
                <c:pt idx="910">
                  <c:v>30.4</c:v>
                </c:pt>
                <c:pt idx="911">
                  <c:v>30.4</c:v>
                </c:pt>
                <c:pt idx="912">
                  <c:v>30.45</c:v>
                </c:pt>
                <c:pt idx="913">
                  <c:v>30.5</c:v>
                </c:pt>
                <c:pt idx="914">
                  <c:v>30.5</c:v>
                </c:pt>
                <c:pt idx="915">
                  <c:v>30.55</c:v>
                </c:pt>
                <c:pt idx="916">
                  <c:v>30.6</c:v>
                </c:pt>
                <c:pt idx="917">
                  <c:v>30.6</c:v>
                </c:pt>
                <c:pt idx="918">
                  <c:v>30.65</c:v>
                </c:pt>
                <c:pt idx="919">
                  <c:v>30.7</c:v>
                </c:pt>
                <c:pt idx="920">
                  <c:v>30.7</c:v>
                </c:pt>
                <c:pt idx="921">
                  <c:v>30.75</c:v>
                </c:pt>
                <c:pt idx="922">
                  <c:v>30.8</c:v>
                </c:pt>
                <c:pt idx="923">
                  <c:v>30.8</c:v>
                </c:pt>
                <c:pt idx="924">
                  <c:v>30.85</c:v>
                </c:pt>
                <c:pt idx="925">
                  <c:v>30.9</c:v>
                </c:pt>
                <c:pt idx="926">
                  <c:v>30.9</c:v>
                </c:pt>
                <c:pt idx="927">
                  <c:v>30.95</c:v>
                </c:pt>
                <c:pt idx="928">
                  <c:v>31</c:v>
                </c:pt>
                <c:pt idx="929">
                  <c:v>31</c:v>
                </c:pt>
                <c:pt idx="930">
                  <c:v>31.05</c:v>
                </c:pt>
                <c:pt idx="931">
                  <c:v>31.1</c:v>
                </c:pt>
                <c:pt idx="932">
                  <c:v>31.1</c:v>
                </c:pt>
                <c:pt idx="933">
                  <c:v>31.15</c:v>
                </c:pt>
                <c:pt idx="934">
                  <c:v>31.2</c:v>
                </c:pt>
                <c:pt idx="935">
                  <c:v>31.2</c:v>
                </c:pt>
                <c:pt idx="936">
                  <c:v>31.25</c:v>
                </c:pt>
                <c:pt idx="937">
                  <c:v>31.3</c:v>
                </c:pt>
                <c:pt idx="938">
                  <c:v>31.3</c:v>
                </c:pt>
                <c:pt idx="939">
                  <c:v>31.35</c:v>
                </c:pt>
                <c:pt idx="940">
                  <c:v>31.4</c:v>
                </c:pt>
                <c:pt idx="941">
                  <c:v>31.4</c:v>
                </c:pt>
                <c:pt idx="942">
                  <c:v>31.45</c:v>
                </c:pt>
                <c:pt idx="943">
                  <c:v>31.5</c:v>
                </c:pt>
                <c:pt idx="944">
                  <c:v>31.5</c:v>
                </c:pt>
                <c:pt idx="945">
                  <c:v>31.55</c:v>
                </c:pt>
                <c:pt idx="946">
                  <c:v>31.6</c:v>
                </c:pt>
                <c:pt idx="947">
                  <c:v>31.6</c:v>
                </c:pt>
                <c:pt idx="948">
                  <c:v>31.65</c:v>
                </c:pt>
                <c:pt idx="949">
                  <c:v>31.7</c:v>
                </c:pt>
                <c:pt idx="950">
                  <c:v>31.7</c:v>
                </c:pt>
                <c:pt idx="951">
                  <c:v>31.75</c:v>
                </c:pt>
                <c:pt idx="952">
                  <c:v>31.8</c:v>
                </c:pt>
                <c:pt idx="953">
                  <c:v>31.8</c:v>
                </c:pt>
                <c:pt idx="954">
                  <c:v>31.85</c:v>
                </c:pt>
                <c:pt idx="955">
                  <c:v>31.9</c:v>
                </c:pt>
                <c:pt idx="956">
                  <c:v>31.95</c:v>
                </c:pt>
                <c:pt idx="957">
                  <c:v>31.95</c:v>
                </c:pt>
                <c:pt idx="958">
                  <c:v>32</c:v>
                </c:pt>
                <c:pt idx="959">
                  <c:v>32.05</c:v>
                </c:pt>
                <c:pt idx="960">
                  <c:v>32.05</c:v>
                </c:pt>
                <c:pt idx="961">
                  <c:v>32.1</c:v>
                </c:pt>
                <c:pt idx="962">
                  <c:v>32.15</c:v>
                </c:pt>
                <c:pt idx="963">
                  <c:v>32.15</c:v>
                </c:pt>
                <c:pt idx="964">
                  <c:v>32.2</c:v>
                </c:pt>
                <c:pt idx="965">
                  <c:v>32.25</c:v>
                </c:pt>
                <c:pt idx="966">
                  <c:v>32.25</c:v>
                </c:pt>
                <c:pt idx="967">
                  <c:v>32.3</c:v>
                </c:pt>
                <c:pt idx="968">
                  <c:v>32.35</c:v>
                </c:pt>
                <c:pt idx="969">
                  <c:v>32.35</c:v>
                </c:pt>
                <c:pt idx="970">
                  <c:v>32.4</c:v>
                </c:pt>
                <c:pt idx="971">
                  <c:v>32.45</c:v>
                </c:pt>
                <c:pt idx="972">
                  <c:v>32.45</c:v>
                </c:pt>
                <c:pt idx="973">
                  <c:v>32.5</c:v>
                </c:pt>
                <c:pt idx="974">
                  <c:v>32.55</c:v>
                </c:pt>
                <c:pt idx="975">
                  <c:v>32.55</c:v>
                </c:pt>
                <c:pt idx="976">
                  <c:v>32.6</c:v>
                </c:pt>
                <c:pt idx="977">
                  <c:v>32.65</c:v>
                </c:pt>
                <c:pt idx="978">
                  <c:v>32.65</c:v>
                </c:pt>
                <c:pt idx="979">
                  <c:v>32.7</c:v>
                </c:pt>
                <c:pt idx="980">
                  <c:v>32.75</c:v>
                </c:pt>
                <c:pt idx="981">
                  <c:v>32.75</c:v>
                </c:pt>
                <c:pt idx="982">
                  <c:v>32.8</c:v>
                </c:pt>
                <c:pt idx="983">
                  <c:v>32.85</c:v>
                </c:pt>
                <c:pt idx="984">
                  <c:v>32.85</c:v>
                </c:pt>
                <c:pt idx="985">
                  <c:v>32.9</c:v>
                </c:pt>
                <c:pt idx="986">
                  <c:v>32.95</c:v>
                </c:pt>
                <c:pt idx="987">
                  <c:v>32.95</c:v>
                </c:pt>
                <c:pt idx="988">
                  <c:v>33</c:v>
                </c:pt>
                <c:pt idx="989">
                  <c:v>33.05</c:v>
                </c:pt>
                <c:pt idx="990">
                  <c:v>33.05</c:v>
                </c:pt>
                <c:pt idx="991">
                  <c:v>33.1</c:v>
                </c:pt>
                <c:pt idx="992">
                  <c:v>33.15</c:v>
                </c:pt>
                <c:pt idx="993">
                  <c:v>33.15</c:v>
                </c:pt>
                <c:pt idx="994">
                  <c:v>33.2</c:v>
                </c:pt>
                <c:pt idx="995">
                  <c:v>33.25</c:v>
                </c:pt>
                <c:pt idx="996">
                  <c:v>33.25</c:v>
                </c:pt>
                <c:pt idx="997">
                  <c:v>33.3</c:v>
                </c:pt>
                <c:pt idx="998">
                  <c:v>33.35</c:v>
                </c:pt>
                <c:pt idx="999">
                  <c:v>33.35</c:v>
                </c:pt>
                <c:pt idx="1000">
                  <c:v>33.4</c:v>
                </c:pt>
                <c:pt idx="1001">
                  <c:v>33.45</c:v>
                </c:pt>
                <c:pt idx="1002">
                  <c:v>33.45</c:v>
                </c:pt>
                <c:pt idx="1003">
                  <c:v>33.5</c:v>
                </c:pt>
                <c:pt idx="1004">
                  <c:v>33.55</c:v>
                </c:pt>
                <c:pt idx="1005">
                  <c:v>33.55</c:v>
                </c:pt>
                <c:pt idx="1006">
                  <c:v>33.6</c:v>
                </c:pt>
                <c:pt idx="1007">
                  <c:v>33.65</c:v>
                </c:pt>
                <c:pt idx="1008">
                  <c:v>33.65</c:v>
                </c:pt>
                <c:pt idx="1009">
                  <c:v>33.7</c:v>
                </c:pt>
                <c:pt idx="1010">
                  <c:v>33.75</c:v>
                </c:pt>
                <c:pt idx="1011">
                  <c:v>33.75</c:v>
                </c:pt>
                <c:pt idx="1012">
                  <c:v>33.8</c:v>
                </c:pt>
                <c:pt idx="1013">
                  <c:v>33.85</c:v>
                </c:pt>
                <c:pt idx="1014">
                  <c:v>33.85</c:v>
                </c:pt>
                <c:pt idx="1015">
                  <c:v>33.9</c:v>
                </c:pt>
                <c:pt idx="1016">
                  <c:v>33.95</c:v>
                </c:pt>
                <c:pt idx="1017">
                  <c:v>33.95</c:v>
                </c:pt>
                <c:pt idx="1018">
                  <c:v>34</c:v>
                </c:pt>
                <c:pt idx="1019">
                  <c:v>34.05</c:v>
                </c:pt>
                <c:pt idx="1020">
                  <c:v>34.05</c:v>
                </c:pt>
                <c:pt idx="1021">
                  <c:v>34.1</c:v>
                </c:pt>
                <c:pt idx="1022">
                  <c:v>34.15</c:v>
                </c:pt>
                <c:pt idx="1023">
                  <c:v>34.15</c:v>
                </c:pt>
                <c:pt idx="1024">
                  <c:v>34.2</c:v>
                </c:pt>
                <c:pt idx="1025">
                  <c:v>34.25</c:v>
                </c:pt>
                <c:pt idx="1026">
                  <c:v>34.25</c:v>
                </c:pt>
                <c:pt idx="1027">
                  <c:v>34.3</c:v>
                </c:pt>
                <c:pt idx="1028">
                  <c:v>34.35</c:v>
                </c:pt>
                <c:pt idx="1029">
                  <c:v>34.35</c:v>
                </c:pt>
                <c:pt idx="1030">
                  <c:v>34.4</c:v>
                </c:pt>
                <c:pt idx="1031">
                  <c:v>34.45</c:v>
                </c:pt>
                <c:pt idx="1032">
                  <c:v>34.45</c:v>
                </c:pt>
                <c:pt idx="1033">
                  <c:v>34.5</c:v>
                </c:pt>
                <c:pt idx="1034">
                  <c:v>34.55</c:v>
                </c:pt>
                <c:pt idx="1035">
                  <c:v>34.55</c:v>
                </c:pt>
                <c:pt idx="1036">
                  <c:v>34.6</c:v>
                </c:pt>
                <c:pt idx="1037">
                  <c:v>34.65</c:v>
                </c:pt>
                <c:pt idx="1038">
                  <c:v>34.65</c:v>
                </c:pt>
                <c:pt idx="1039">
                  <c:v>34.7</c:v>
                </c:pt>
                <c:pt idx="1040">
                  <c:v>34.75</c:v>
                </c:pt>
                <c:pt idx="1041">
                  <c:v>34.75</c:v>
                </c:pt>
                <c:pt idx="1042">
                  <c:v>34.8</c:v>
                </c:pt>
                <c:pt idx="1043">
                  <c:v>34.85</c:v>
                </c:pt>
                <c:pt idx="1044">
                  <c:v>34.85</c:v>
                </c:pt>
                <c:pt idx="1045">
                  <c:v>34.9</c:v>
                </c:pt>
                <c:pt idx="1046">
                  <c:v>34.95</c:v>
                </c:pt>
                <c:pt idx="1047">
                  <c:v>34.95</c:v>
                </c:pt>
                <c:pt idx="1048">
                  <c:v>35</c:v>
                </c:pt>
                <c:pt idx="1049">
                  <c:v>35.05</c:v>
                </c:pt>
                <c:pt idx="1050">
                  <c:v>35.05</c:v>
                </c:pt>
                <c:pt idx="1051">
                  <c:v>35.1</c:v>
                </c:pt>
                <c:pt idx="1052">
                  <c:v>35.15</c:v>
                </c:pt>
                <c:pt idx="1053">
                  <c:v>35.15</c:v>
                </c:pt>
                <c:pt idx="1054">
                  <c:v>35.2</c:v>
                </c:pt>
                <c:pt idx="1055">
                  <c:v>35.25</c:v>
                </c:pt>
                <c:pt idx="1056">
                  <c:v>35.25</c:v>
                </c:pt>
                <c:pt idx="1057">
                  <c:v>35.3</c:v>
                </c:pt>
                <c:pt idx="1058">
                  <c:v>35.35</c:v>
                </c:pt>
                <c:pt idx="1059">
                  <c:v>35.35</c:v>
                </c:pt>
                <c:pt idx="1060">
                  <c:v>35.4</c:v>
                </c:pt>
                <c:pt idx="1061">
                  <c:v>35.45</c:v>
                </c:pt>
                <c:pt idx="1062">
                  <c:v>35.45</c:v>
                </c:pt>
                <c:pt idx="1063">
                  <c:v>35.5</c:v>
                </c:pt>
                <c:pt idx="1064">
                  <c:v>35.55</c:v>
                </c:pt>
                <c:pt idx="1065">
                  <c:v>35.55</c:v>
                </c:pt>
                <c:pt idx="1066">
                  <c:v>35.6</c:v>
                </c:pt>
                <c:pt idx="1067">
                  <c:v>35.65</c:v>
                </c:pt>
                <c:pt idx="1068">
                  <c:v>35.65</c:v>
                </c:pt>
                <c:pt idx="1069">
                  <c:v>35.7</c:v>
                </c:pt>
                <c:pt idx="1070">
                  <c:v>35.75</c:v>
                </c:pt>
                <c:pt idx="1071">
                  <c:v>35.75</c:v>
                </c:pt>
                <c:pt idx="1072">
                  <c:v>35.8</c:v>
                </c:pt>
                <c:pt idx="1073">
                  <c:v>35.85</c:v>
                </c:pt>
                <c:pt idx="1074">
                  <c:v>35.85</c:v>
                </c:pt>
                <c:pt idx="1075">
                  <c:v>35.9</c:v>
                </c:pt>
                <c:pt idx="1076">
                  <c:v>35.95</c:v>
                </c:pt>
                <c:pt idx="1077">
                  <c:v>35.95</c:v>
                </c:pt>
                <c:pt idx="1078">
                  <c:v>36</c:v>
                </c:pt>
                <c:pt idx="1079">
                  <c:v>36.05</c:v>
                </c:pt>
                <c:pt idx="1080">
                  <c:v>36.05</c:v>
                </c:pt>
                <c:pt idx="1081">
                  <c:v>36.1</c:v>
                </c:pt>
                <c:pt idx="1082">
                  <c:v>36.15</c:v>
                </c:pt>
                <c:pt idx="1083">
                  <c:v>36.15</c:v>
                </c:pt>
                <c:pt idx="1084">
                  <c:v>36.2</c:v>
                </c:pt>
                <c:pt idx="1085">
                  <c:v>36.25</c:v>
                </c:pt>
                <c:pt idx="1086">
                  <c:v>36.25</c:v>
                </c:pt>
                <c:pt idx="1087">
                  <c:v>36.3</c:v>
                </c:pt>
                <c:pt idx="1088">
                  <c:v>36.35</c:v>
                </c:pt>
                <c:pt idx="1089">
                  <c:v>36.35</c:v>
                </c:pt>
                <c:pt idx="1090">
                  <c:v>36.4</c:v>
                </c:pt>
                <c:pt idx="1091">
                  <c:v>36.45</c:v>
                </c:pt>
                <c:pt idx="1092">
                  <c:v>36.45</c:v>
                </c:pt>
                <c:pt idx="1093">
                  <c:v>36.5</c:v>
                </c:pt>
                <c:pt idx="1094">
                  <c:v>36.55</c:v>
                </c:pt>
                <c:pt idx="1095">
                  <c:v>36.55</c:v>
                </c:pt>
                <c:pt idx="1096">
                  <c:v>36.6</c:v>
                </c:pt>
                <c:pt idx="1097">
                  <c:v>36.65</c:v>
                </c:pt>
                <c:pt idx="1098">
                  <c:v>36.65</c:v>
                </c:pt>
                <c:pt idx="1099">
                  <c:v>36.7</c:v>
                </c:pt>
                <c:pt idx="1100">
                  <c:v>36.75</c:v>
                </c:pt>
                <c:pt idx="1101">
                  <c:v>36.75</c:v>
                </c:pt>
                <c:pt idx="1102">
                  <c:v>36.8</c:v>
                </c:pt>
                <c:pt idx="1103">
                  <c:v>36.85</c:v>
                </c:pt>
                <c:pt idx="1104">
                  <c:v>36.85</c:v>
                </c:pt>
                <c:pt idx="1105">
                  <c:v>36.9</c:v>
                </c:pt>
                <c:pt idx="1106">
                  <c:v>36.95</c:v>
                </c:pt>
                <c:pt idx="1107">
                  <c:v>36.95</c:v>
                </c:pt>
                <c:pt idx="1108">
                  <c:v>37</c:v>
                </c:pt>
                <c:pt idx="1109">
                  <c:v>37.05</c:v>
                </c:pt>
                <c:pt idx="1110">
                  <c:v>37.05</c:v>
                </c:pt>
                <c:pt idx="1111">
                  <c:v>37.1</c:v>
                </c:pt>
                <c:pt idx="1112">
                  <c:v>37.15</c:v>
                </c:pt>
                <c:pt idx="1113">
                  <c:v>37.15</c:v>
                </c:pt>
                <c:pt idx="1114">
                  <c:v>37.2</c:v>
                </c:pt>
                <c:pt idx="1115">
                  <c:v>37.25</c:v>
                </c:pt>
                <c:pt idx="1116">
                  <c:v>37.25</c:v>
                </c:pt>
                <c:pt idx="1117">
                  <c:v>37.3</c:v>
                </c:pt>
                <c:pt idx="1118">
                  <c:v>37.35</c:v>
                </c:pt>
                <c:pt idx="1119">
                  <c:v>37.35</c:v>
                </c:pt>
                <c:pt idx="1120">
                  <c:v>37.4</c:v>
                </c:pt>
                <c:pt idx="1121">
                  <c:v>37.45</c:v>
                </c:pt>
                <c:pt idx="1122">
                  <c:v>37.45</c:v>
                </c:pt>
                <c:pt idx="1123">
                  <c:v>37.5</c:v>
                </c:pt>
                <c:pt idx="1124">
                  <c:v>37.55</c:v>
                </c:pt>
                <c:pt idx="1125">
                  <c:v>37.55</c:v>
                </c:pt>
                <c:pt idx="1126">
                  <c:v>37.6</c:v>
                </c:pt>
                <c:pt idx="1127">
                  <c:v>37.65</c:v>
                </c:pt>
                <c:pt idx="1128">
                  <c:v>37.65</c:v>
                </c:pt>
                <c:pt idx="1129">
                  <c:v>37.7</c:v>
                </c:pt>
                <c:pt idx="1130">
                  <c:v>37.75</c:v>
                </c:pt>
                <c:pt idx="1131">
                  <c:v>37.75</c:v>
                </c:pt>
                <c:pt idx="1132">
                  <c:v>37.8</c:v>
                </c:pt>
                <c:pt idx="1133">
                  <c:v>37.85</c:v>
                </c:pt>
                <c:pt idx="1134">
                  <c:v>37.85</c:v>
                </c:pt>
                <c:pt idx="1135">
                  <c:v>37.9</c:v>
                </c:pt>
                <c:pt idx="1136">
                  <c:v>37.95</c:v>
                </c:pt>
                <c:pt idx="1137">
                  <c:v>37.95</c:v>
                </c:pt>
                <c:pt idx="1138">
                  <c:v>38</c:v>
                </c:pt>
                <c:pt idx="1139">
                  <c:v>38.05</c:v>
                </c:pt>
                <c:pt idx="1140">
                  <c:v>38.05</c:v>
                </c:pt>
                <c:pt idx="1141">
                  <c:v>38.1</c:v>
                </c:pt>
                <c:pt idx="1142">
                  <c:v>38.15</c:v>
                </c:pt>
                <c:pt idx="1143">
                  <c:v>38.15</c:v>
                </c:pt>
                <c:pt idx="1144">
                  <c:v>38.2</c:v>
                </c:pt>
                <c:pt idx="1145">
                  <c:v>38.25</c:v>
                </c:pt>
                <c:pt idx="1146">
                  <c:v>38.3</c:v>
                </c:pt>
                <c:pt idx="1147">
                  <c:v>38.3</c:v>
                </c:pt>
                <c:pt idx="1148">
                  <c:v>38.35</c:v>
                </c:pt>
                <c:pt idx="1149">
                  <c:v>38.4</c:v>
                </c:pt>
                <c:pt idx="1150">
                  <c:v>38.4</c:v>
                </c:pt>
                <c:pt idx="1151">
                  <c:v>38.45</c:v>
                </c:pt>
                <c:pt idx="1152">
                  <c:v>38.5</c:v>
                </c:pt>
                <c:pt idx="1153">
                  <c:v>38.5</c:v>
                </c:pt>
                <c:pt idx="1154">
                  <c:v>38.55</c:v>
                </c:pt>
                <c:pt idx="1155">
                  <c:v>38.6</c:v>
                </c:pt>
                <c:pt idx="1156">
                  <c:v>38.6</c:v>
                </c:pt>
                <c:pt idx="1157">
                  <c:v>38.65</c:v>
                </c:pt>
                <c:pt idx="1158">
                  <c:v>38.7</c:v>
                </c:pt>
                <c:pt idx="1159">
                  <c:v>38.7</c:v>
                </c:pt>
                <c:pt idx="1160">
                  <c:v>38.75</c:v>
                </c:pt>
                <c:pt idx="1161">
                  <c:v>38.8</c:v>
                </c:pt>
                <c:pt idx="1162">
                  <c:v>38.8</c:v>
                </c:pt>
                <c:pt idx="1163">
                  <c:v>38.85</c:v>
                </c:pt>
                <c:pt idx="1164">
                  <c:v>38.9</c:v>
                </c:pt>
                <c:pt idx="1165">
                  <c:v>38.9</c:v>
                </c:pt>
                <c:pt idx="1166">
                  <c:v>38.95</c:v>
                </c:pt>
                <c:pt idx="1167">
                  <c:v>39</c:v>
                </c:pt>
                <c:pt idx="1168">
                  <c:v>39</c:v>
                </c:pt>
                <c:pt idx="1169">
                  <c:v>39.05</c:v>
                </c:pt>
                <c:pt idx="1170">
                  <c:v>39.1</c:v>
                </c:pt>
                <c:pt idx="1171">
                  <c:v>39.1</c:v>
                </c:pt>
                <c:pt idx="1172">
                  <c:v>39.15</c:v>
                </c:pt>
                <c:pt idx="1173">
                  <c:v>39.2</c:v>
                </c:pt>
                <c:pt idx="1174">
                  <c:v>39.2</c:v>
                </c:pt>
                <c:pt idx="1175">
                  <c:v>39.25</c:v>
                </c:pt>
                <c:pt idx="1176">
                  <c:v>39.3</c:v>
                </c:pt>
                <c:pt idx="1177">
                  <c:v>39.3</c:v>
                </c:pt>
                <c:pt idx="1178">
                  <c:v>39.35</c:v>
                </c:pt>
                <c:pt idx="1179">
                  <c:v>39.4</c:v>
                </c:pt>
                <c:pt idx="1180">
                  <c:v>39.4</c:v>
                </c:pt>
                <c:pt idx="1181">
                  <c:v>39.45</c:v>
                </c:pt>
                <c:pt idx="1182">
                  <c:v>39.5</c:v>
                </c:pt>
                <c:pt idx="1183">
                  <c:v>39.5</c:v>
                </c:pt>
                <c:pt idx="1184">
                  <c:v>39.55</c:v>
                </c:pt>
                <c:pt idx="1185">
                  <c:v>39.6</c:v>
                </c:pt>
                <c:pt idx="1186">
                  <c:v>39.6</c:v>
                </c:pt>
                <c:pt idx="1187">
                  <c:v>39.65</c:v>
                </c:pt>
                <c:pt idx="1188">
                  <c:v>39.7</c:v>
                </c:pt>
                <c:pt idx="1189">
                  <c:v>39.7</c:v>
                </c:pt>
                <c:pt idx="1190">
                  <c:v>39.75</c:v>
                </c:pt>
                <c:pt idx="1191">
                  <c:v>39.8</c:v>
                </c:pt>
                <c:pt idx="1192">
                  <c:v>39.8</c:v>
                </c:pt>
                <c:pt idx="1193">
                  <c:v>39.85</c:v>
                </c:pt>
                <c:pt idx="1194">
                  <c:v>39.9</c:v>
                </c:pt>
                <c:pt idx="1195">
                  <c:v>39.9</c:v>
                </c:pt>
                <c:pt idx="1196">
                  <c:v>39.95</c:v>
                </c:pt>
                <c:pt idx="1197">
                  <c:v>40</c:v>
                </c:pt>
                <c:pt idx="1198">
                  <c:v>40</c:v>
                </c:pt>
                <c:pt idx="1199">
                  <c:v>40.05</c:v>
                </c:pt>
                <c:pt idx="1200">
                  <c:v>40.1</c:v>
                </c:pt>
                <c:pt idx="1201">
                  <c:v>40.1</c:v>
                </c:pt>
                <c:pt idx="1202">
                  <c:v>40.15</c:v>
                </c:pt>
                <c:pt idx="1203">
                  <c:v>40.2</c:v>
                </c:pt>
                <c:pt idx="1204">
                  <c:v>40.2</c:v>
                </c:pt>
                <c:pt idx="1205">
                  <c:v>40.25</c:v>
                </c:pt>
                <c:pt idx="1206">
                  <c:v>40.3</c:v>
                </c:pt>
                <c:pt idx="1207">
                  <c:v>40.3</c:v>
                </c:pt>
                <c:pt idx="1208">
                  <c:v>40.35</c:v>
                </c:pt>
                <c:pt idx="1209">
                  <c:v>40.4</c:v>
                </c:pt>
                <c:pt idx="1210">
                  <c:v>40.4</c:v>
                </c:pt>
                <c:pt idx="1211">
                  <c:v>40.45</c:v>
                </c:pt>
                <c:pt idx="1212">
                  <c:v>40.5</c:v>
                </c:pt>
                <c:pt idx="1213">
                  <c:v>40.5</c:v>
                </c:pt>
                <c:pt idx="1214">
                  <c:v>40.55</c:v>
                </c:pt>
                <c:pt idx="1215">
                  <c:v>40.6</c:v>
                </c:pt>
                <c:pt idx="1216">
                  <c:v>40.6</c:v>
                </c:pt>
                <c:pt idx="1217">
                  <c:v>40.65</c:v>
                </c:pt>
                <c:pt idx="1218">
                  <c:v>40.7</c:v>
                </c:pt>
                <c:pt idx="1219">
                  <c:v>40.7</c:v>
                </c:pt>
                <c:pt idx="1220">
                  <c:v>40.75</c:v>
                </c:pt>
                <c:pt idx="1221">
                  <c:v>40.8</c:v>
                </c:pt>
                <c:pt idx="1222">
                  <c:v>40.8</c:v>
                </c:pt>
                <c:pt idx="1223">
                  <c:v>40.85</c:v>
                </c:pt>
                <c:pt idx="1224">
                  <c:v>40.9</c:v>
                </c:pt>
                <c:pt idx="1225">
                  <c:v>40.9</c:v>
                </c:pt>
                <c:pt idx="1226">
                  <c:v>40.95</c:v>
                </c:pt>
                <c:pt idx="1227">
                  <c:v>41</c:v>
                </c:pt>
                <c:pt idx="1228">
                  <c:v>41</c:v>
                </c:pt>
                <c:pt idx="1229">
                  <c:v>41.05</c:v>
                </c:pt>
                <c:pt idx="1230">
                  <c:v>41.1</c:v>
                </c:pt>
                <c:pt idx="1231">
                  <c:v>41.1</c:v>
                </c:pt>
                <c:pt idx="1232">
                  <c:v>41.15</c:v>
                </c:pt>
                <c:pt idx="1233">
                  <c:v>41.2</c:v>
                </c:pt>
                <c:pt idx="1234">
                  <c:v>41.2</c:v>
                </c:pt>
                <c:pt idx="1235">
                  <c:v>41.25</c:v>
                </c:pt>
                <c:pt idx="1236">
                  <c:v>41.3</c:v>
                </c:pt>
                <c:pt idx="1237">
                  <c:v>41.3</c:v>
                </c:pt>
                <c:pt idx="1238">
                  <c:v>41.35</c:v>
                </c:pt>
                <c:pt idx="1239">
                  <c:v>41.4</c:v>
                </c:pt>
                <c:pt idx="1240">
                  <c:v>41.4</c:v>
                </c:pt>
                <c:pt idx="1241">
                  <c:v>41.45</c:v>
                </c:pt>
                <c:pt idx="1242">
                  <c:v>41.5</c:v>
                </c:pt>
                <c:pt idx="1243">
                  <c:v>41.5</c:v>
                </c:pt>
                <c:pt idx="1244">
                  <c:v>41.55</c:v>
                </c:pt>
                <c:pt idx="1245">
                  <c:v>41.6</c:v>
                </c:pt>
                <c:pt idx="1246">
                  <c:v>41.6</c:v>
                </c:pt>
                <c:pt idx="1247">
                  <c:v>41.65</c:v>
                </c:pt>
                <c:pt idx="1248">
                  <c:v>41.7</c:v>
                </c:pt>
                <c:pt idx="1249">
                  <c:v>41.7</c:v>
                </c:pt>
                <c:pt idx="1250">
                  <c:v>41.75</c:v>
                </c:pt>
                <c:pt idx="1251">
                  <c:v>41.8</c:v>
                </c:pt>
                <c:pt idx="1252">
                  <c:v>41.8</c:v>
                </c:pt>
                <c:pt idx="1253">
                  <c:v>41.85</c:v>
                </c:pt>
                <c:pt idx="1254">
                  <c:v>41.9</c:v>
                </c:pt>
                <c:pt idx="1255">
                  <c:v>41.9</c:v>
                </c:pt>
                <c:pt idx="1256">
                  <c:v>41.95</c:v>
                </c:pt>
                <c:pt idx="1257">
                  <c:v>42</c:v>
                </c:pt>
                <c:pt idx="1258">
                  <c:v>42</c:v>
                </c:pt>
                <c:pt idx="1259">
                  <c:v>42.05</c:v>
                </c:pt>
                <c:pt idx="1260">
                  <c:v>42.1</c:v>
                </c:pt>
                <c:pt idx="1261">
                  <c:v>42.1</c:v>
                </c:pt>
                <c:pt idx="1262">
                  <c:v>42.15</c:v>
                </c:pt>
                <c:pt idx="1263">
                  <c:v>42.2</c:v>
                </c:pt>
                <c:pt idx="1264">
                  <c:v>42.2</c:v>
                </c:pt>
                <c:pt idx="1265">
                  <c:v>42.25</c:v>
                </c:pt>
                <c:pt idx="1266">
                  <c:v>42.3</c:v>
                </c:pt>
                <c:pt idx="1267">
                  <c:v>42.3</c:v>
                </c:pt>
                <c:pt idx="1268">
                  <c:v>42.35</c:v>
                </c:pt>
                <c:pt idx="1269">
                  <c:v>42.4</c:v>
                </c:pt>
                <c:pt idx="1270">
                  <c:v>42.4</c:v>
                </c:pt>
                <c:pt idx="1271">
                  <c:v>42.45</c:v>
                </c:pt>
                <c:pt idx="1272">
                  <c:v>42.5</c:v>
                </c:pt>
                <c:pt idx="1273">
                  <c:v>42.5</c:v>
                </c:pt>
                <c:pt idx="1274">
                  <c:v>42.55</c:v>
                </c:pt>
                <c:pt idx="1275">
                  <c:v>42.6</c:v>
                </c:pt>
                <c:pt idx="1276">
                  <c:v>42.6</c:v>
                </c:pt>
                <c:pt idx="1277">
                  <c:v>42.65</c:v>
                </c:pt>
                <c:pt idx="1278">
                  <c:v>42.7</c:v>
                </c:pt>
                <c:pt idx="1279">
                  <c:v>42.7</c:v>
                </c:pt>
                <c:pt idx="1280">
                  <c:v>42.75</c:v>
                </c:pt>
                <c:pt idx="1281">
                  <c:v>42.8</c:v>
                </c:pt>
                <c:pt idx="1282">
                  <c:v>42.8</c:v>
                </c:pt>
                <c:pt idx="1283">
                  <c:v>42.85</c:v>
                </c:pt>
                <c:pt idx="1284">
                  <c:v>42.9</c:v>
                </c:pt>
                <c:pt idx="1285">
                  <c:v>42.9</c:v>
                </c:pt>
                <c:pt idx="1286">
                  <c:v>42.95</c:v>
                </c:pt>
                <c:pt idx="1287">
                  <c:v>43</c:v>
                </c:pt>
                <c:pt idx="1288">
                  <c:v>43</c:v>
                </c:pt>
                <c:pt idx="1289">
                  <c:v>43.05</c:v>
                </c:pt>
                <c:pt idx="1290">
                  <c:v>43.1</c:v>
                </c:pt>
                <c:pt idx="1291">
                  <c:v>43.1</c:v>
                </c:pt>
                <c:pt idx="1292">
                  <c:v>43.15</c:v>
                </c:pt>
                <c:pt idx="1293">
                  <c:v>43.2</c:v>
                </c:pt>
                <c:pt idx="1294">
                  <c:v>43.2</c:v>
                </c:pt>
                <c:pt idx="1295">
                  <c:v>43.25</c:v>
                </c:pt>
                <c:pt idx="1296">
                  <c:v>43.3</c:v>
                </c:pt>
                <c:pt idx="1297">
                  <c:v>43.3</c:v>
                </c:pt>
                <c:pt idx="1298">
                  <c:v>43.35</c:v>
                </c:pt>
                <c:pt idx="1299">
                  <c:v>43.4</c:v>
                </c:pt>
                <c:pt idx="1300">
                  <c:v>43.4</c:v>
                </c:pt>
                <c:pt idx="1301">
                  <c:v>43.45</c:v>
                </c:pt>
                <c:pt idx="1302">
                  <c:v>43.5</c:v>
                </c:pt>
                <c:pt idx="1303">
                  <c:v>43.5</c:v>
                </c:pt>
                <c:pt idx="1304">
                  <c:v>43.55</c:v>
                </c:pt>
                <c:pt idx="1305">
                  <c:v>43.6</c:v>
                </c:pt>
                <c:pt idx="1306">
                  <c:v>43.6</c:v>
                </c:pt>
                <c:pt idx="1307">
                  <c:v>43.65</c:v>
                </c:pt>
                <c:pt idx="1308">
                  <c:v>43.7</c:v>
                </c:pt>
              </c:numCache>
            </c:numRef>
          </c:cat>
          <c:val>
            <c:numRef>
              <c:f>'常压_a_20 (2)'!$M$4:$M$1312</c:f>
              <c:numCache>
                <c:formatCode>General</c:formatCode>
                <c:ptCount val="13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5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5</c:v>
                </c:pt>
                <c:pt idx="306">
                  <c:v>5</c:v>
                </c:pt>
                <c:pt idx="307">
                  <c:v>5</c:v>
                </c:pt>
                <c:pt idx="308">
                  <c:v>5</c:v>
                </c:pt>
                <c:pt idx="309">
                  <c:v>5</c:v>
                </c:pt>
                <c:pt idx="310">
                  <c:v>5</c:v>
                </c:pt>
                <c:pt idx="311">
                  <c:v>5</c:v>
                </c:pt>
                <c:pt idx="312">
                  <c:v>5</c:v>
                </c:pt>
                <c:pt idx="313">
                  <c:v>5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5</c:v>
                </c:pt>
                <c:pt idx="339">
                  <c:v>5</c:v>
                </c:pt>
                <c:pt idx="340">
                  <c:v>5</c:v>
                </c:pt>
                <c:pt idx="341">
                  <c:v>5</c:v>
                </c:pt>
                <c:pt idx="342">
                  <c:v>5</c:v>
                </c:pt>
                <c:pt idx="343">
                  <c:v>5</c:v>
                </c:pt>
                <c:pt idx="344">
                  <c:v>5</c:v>
                </c:pt>
                <c:pt idx="345">
                  <c:v>5</c:v>
                </c:pt>
                <c:pt idx="346">
                  <c:v>5</c:v>
                </c:pt>
                <c:pt idx="347">
                  <c:v>5</c:v>
                </c:pt>
                <c:pt idx="348">
                  <c:v>5</c:v>
                </c:pt>
                <c:pt idx="349">
                  <c:v>5</c:v>
                </c:pt>
                <c:pt idx="350">
                  <c:v>5</c:v>
                </c:pt>
                <c:pt idx="351">
                  <c:v>5</c:v>
                </c:pt>
                <c:pt idx="352">
                  <c:v>5</c:v>
                </c:pt>
                <c:pt idx="353">
                  <c:v>5</c:v>
                </c:pt>
                <c:pt idx="354">
                  <c:v>5</c:v>
                </c:pt>
                <c:pt idx="355">
                  <c:v>5</c:v>
                </c:pt>
                <c:pt idx="356">
                  <c:v>5</c:v>
                </c:pt>
                <c:pt idx="357">
                  <c:v>5</c:v>
                </c:pt>
                <c:pt idx="358">
                  <c:v>5</c:v>
                </c:pt>
                <c:pt idx="359">
                  <c:v>5</c:v>
                </c:pt>
                <c:pt idx="360">
                  <c:v>5</c:v>
                </c:pt>
                <c:pt idx="361">
                  <c:v>5</c:v>
                </c:pt>
                <c:pt idx="362">
                  <c:v>5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5</c:v>
                </c:pt>
                <c:pt idx="388">
                  <c:v>5</c:v>
                </c:pt>
                <c:pt idx="389">
                  <c:v>5</c:v>
                </c:pt>
                <c:pt idx="390">
                  <c:v>5</c:v>
                </c:pt>
                <c:pt idx="391">
                  <c:v>5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5</c:v>
                </c:pt>
                <c:pt idx="396">
                  <c:v>5</c:v>
                </c:pt>
                <c:pt idx="397">
                  <c:v>5</c:v>
                </c:pt>
                <c:pt idx="398">
                  <c:v>5</c:v>
                </c:pt>
                <c:pt idx="399">
                  <c:v>5</c:v>
                </c:pt>
                <c:pt idx="400">
                  <c:v>5</c:v>
                </c:pt>
                <c:pt idx="401">
                  <c:v>5</c:v>
                </c:pt>
                <c:pt idx="402">
                  <c:v>5</c:v>
                </c:pt>
                <c:pt idx="403">
                  <c:v>5</c:v>
                </c:pt>
                <c:pt idx="404">
                  <c:v>5</c:v>
                </c:pt>
                <c:pt idx="405">
                  <c:v>5</c:v>
                </c:pt>
                <c:pt idx="406">
                  <c:v>5</c:v>
                </c:pt>
                <c:pt idx="407">
                  <c:v>5</c:v>
                </c:pt>
                <c:pt idx="408">
                  <c:v>5</c:v>
                </c:pt>
                <c:pt idx="409">
                  <c:v>5</c:v>
                </c:pt>
                <c:pt idx="410">
                  <c:v>5</c:v>
                </c:pt>
                <c:pt idx="411">
                  <c:v>5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5</c:v>
                </c:pt>
                <c:pt idx="436">
                  <c:v>5</c:v>
                </c:pt>
                <c:pt idx="437">
                  <c:v>5</c:v>
                </c:pt>
                <c:pt idx="438">
                  <c:v>5</c:v>
                </c:pt>
                <c:pt idx="439">
                  <c:v>5</c:v>
                </c:pt>
                <c:pt idx="440">
                  <c:v>5</c:v>
                </c:pt>
                <c:pt idx="441">
                  <c:v>5</c:v>
                </c:pt>
                <c:pt idx="442">
                  <c:v>5</c:v>
                </c:pt>
                <c:pt idx="443">
                  <c:v>5</c:v>
                </c:pt>
                <c:pt idx="444">
                  <c:v>5</c:v>
                </c:pt>
                <c:pt idx="445">
                  <c:v>5</c:v>
                </c:pt>
                <c:pt idx="446">
                  <c:v>5</c:v>
                </c:pt>
                <c:pt idx="447">
                  <c:v>5</c:v>
                </c:pt>
                <c:pt idx="448">
                  <c:v>5</c:v>
                </c:pt>
                <c:pt idx="449">
                  <c:v>5</c:v>
                </c:pt>
                <c:pt idx="450">
                  <c:v>5</c:v>
                </c:pt>
                <c:pt idx="451">
                  <c:v>5</c:v>
                </c:pt>
                <c:pt idx="452">
                  <c:v>5</c:v>
                </c:pt>
                <c:pt idx="453">
                  <c:v>5</c:v>
                </c:pt>
                <c:pt idx="454">
                  <c:v>5</c:v>
                </c:pt>
                <c:pt idx="455">
                  <c:v>5</c:v>
                </c:pt>
                <c:pt idx="456">
                  <c:v>5</c:v>
                </c:pt>
                <c:pt idx="457">
                  <c:v>5</c:v>
                </c:pt>
                <c:pt idx="458">
                  <c:v>5</c:v>
                </c:pt>
                <c:pt idx="459">
                  <c:v>5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5</c:v>
                </c:pt>
                <c:pt idx="485">
                  <c:v>5</c:v>
                </c:pt>
                <c:pt idx="486">
                  <c:v>5</c:v>
                </c:pt>
                <c:pt idx="487">
                  <c:v>5</c:v>
                </c:pt>
                <c:pt idx="488">
                  <c:v>5</c:v>
                </c:pt>
                <c:pt idx="489">
                  <c:v>5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5</c:v>
                </c:pt>
                <c:pt idx="494">
                  <c:v>5</c:v>
                </c:pt>
                <c:pt idx="495">
                  <c:v>5</c:v>
                </c:pt>
                <c:pt idx="496">
                  <c:v>5</c:v>
                </c:pt>
                <c:pt idx="497">
                  <c:v>5</c:v>
                </c:pt>
                <c:pt idx="498">
                  <c:v>5</c:v>
                </c:pt>
                <c:pt idx="499">
                  <c:v>5</c:v>
                </c:pt>
                <c:pt idx="500">
                  <c:v>5</c:v>
                </c:pt>
                <c:pt idx="501">
                  <c:v>5</c:v>
                </c:pt>
                <c:pt idx="502">
                  <c:v>5</c:v>
                </c:pt>
                <c:pt idx="503">
                  <c:v>5</c:v>
                </c:pt>
                <c:pt idx="504">
                  <c:v>5</c:v>
                </c:pt>
                <c:pt idx="505">
                  <c:v>5</c:v>
                </c:pt>
                <c:pt idx="506">
                  <c:v>5</c:v>
                </c:pt>
                <c:pt idx="507">
                  <c:v>5</c:v>
                </c:pt>
                <c:pt idx="508">
                  <c:v>5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5</c:v>
                </c:pt>
                <c:pt idx="533">
                  <c:v>5</c:v>
                </c:pt>
                <c:pt idx="534">
                  <c:v>5</c:v>
                </c:pt>
                <c:pt idx="535">
                  <c:v>5</c:v>
                </c:pt>
                <c:pt idx="536">
                  <c:v>5</c:v>
                </c:pt>
                <c:pt idx="537">
                  <c:v>5</c:v>
                </c:pt>
                <c:pt idx="538">
                  <c:v>5</c:v>
                </c:pt>
                <c:pt idx="539">
                  <c:v>5</c:v>
                </c:pt>
                <c:pt idx="540">
                  <c:v>5</c:v>
                </c:pt>
                <c:pt idx="541">
                  <c:v>5</c:v>
                </c:pt>
                <c:pt idx="542">
                  <c:v>5</c:v>
                </c:pt>
                <c:pt idx="543">
                  <c:v>5</c:v>
                </c:pt>
                <c:pt idx="544">
                  <c:v>5</c:v>
                </c:pt>
                <c:pt idx="545">
                  <c:v>5</c:v>
                </c:pt>
                <c:pt idx="546">
                  <c:v>5</c:v>
                </c:pt>
                <c:pt idx="547">
                  <c:v>5</c:v>
                </c:pt>
                <c:pt idx="548">
                  <c:v>5</c:v>
                </c:pt>
                <c:pt idx="549">
                  <c:v>5</c:v>
                </c:pt>
                <c:pt idx="550">
                  <c:v>5</c:v>
                </c:pt>
                <c:pt idx="551">
                  <c:v>5</c:v>
                </c:pt>
                <c:pt idx="552">
                  <c:v>5</c:v>
                </c:pt>
                <c:pt idx="553">
                  <c:v>5</c:v>
                </c:pt>
                <c:pt idx="554">
                  <c:v>5</c:v>
                </c:pt>
                <c:pt idx="555">
                  <c:v>5</c:v>
                </c:pt>
                <c:pt idx="556">
                  <c:v>5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5</c:v>
                </c:pt>
                <c:pt idx="582">
                  <c:v>5</c:v>
                </c:pt>
                <c:pt idx="583">
                  <c:v>5</c:v>
                </c:pt>
                <c:pt idx="584">
                  <c:v>5</c:v>
                </c:pt>
                <c:pt idx="585">
                  <c:v>5</c:v>
                </c:pt>
                <c:pt idx="586">
                  <c:v>5</c:v>
                </c:pt>
                <c:pt idx="587">
                  <c:v>5</c:v>
                </c:pt>
                <c:pt idx="588">
                  <c:v>5</c:v>
                </c:pt>
                <c:pt idx="589">
                  <c:v>5</c:v>
                </c:pt>
                <c:pt idx="590">
                  <c:v>5</c:v>
                </c:pt>
                <c:pt idx="591">
                  <c:v>5</c:v>
                </c:pt>
                <c:pt idx="592">
                  <c:v>5</c:v>
                </c:pt>
                <c:pt idx="593">
                  <c:v>5</c:v>
                </c:pt>
                <c:pt idx="594">
                  <c:v>5</c:v>
                </c:pt>
                <c:pt idx="595">
                  <c:v>5</c:v>
                </c:pt>
                <c:pt idx="596">
                  <c:v>5</c:v>
                </c:pt>
                <c:pt idx="597">
                  <c:v>5</c:v>
                </c:pt>
                <c:pt idx="598">
                  <c:v>5</c:v>
                </c:pt>
                <c:pt idx="599">
                  <c:v>5</c:v>
                </c:pt>
                <c:pt idx="600">
                  <c:v>5</c:v>
                </c:pt>
                <c:pt idx="601">
                  <c:v>5</c:v>
                </c:pt>
                <c:pt idx="602">
                  <c:v>5</c:v>
                </c:pt>
                <c:pt idx="603">
                  <c:v>5</c:v>
                </c:pt>
                <c:pt idx="604">
                  <c:v>5</c:v>
                </c:pt>
                <c:pt idx="605">
                  <c:v>5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5</c:v>
                </c:pt>
                <c:pt idx="630">
                  <c:v>5</c:v>
                </c:pt>
                <c:pt idx="631">
                  <c:v>5</c:v>
                </c:pt>
                <c:pt idx="632">
                  <c:v>5</c:v>
                </c:pt>
                <c:pt idx="633">
                  <c:v>5</c:v>
                </c:pt>
                <c:pt idx="634">
                  <c:v>5</c:v>
                </c:pt>
                <c:pt idx="635">
                  <c:v>5</c:v>
                </c:pt>
                <c:pt idx="636">
                  <c:v>5</c:v>
                </c:pt>
                <c:pt idx="637">
                  <c:v>5</c:v>
                </c:pt>
                <c:pt idx="638">
                  <c:v>5</c:v>
                </c:pt>
                <c:pt idx="639">
                  <c:v>5</c:v>
                </c:pt>
                <c:pt idx="640">
                  <c:v>5</c:v>
                </c:pt>
                <c:pt idx="641">
                  <c:v>5</c:v>
                </c:pt>
                <c:pt idx="642">
                  <c:v>5</c:v>
                </c:pt>
                <c:pt idx="643">
                  <c:v>5</c:v>
                </c:pt>
                <c:pt idx="644">
                  <c:v>5</c:v>
                </c:pt>
                <c:pt idx="645">
                  <c:v>5</c:v>
                </c:pt>
                <c:pt idx="646">
                  <c:v>5</c:v>
                </c:pt>
                <c:pt idx="647">
                  <c:v>5</c:v>
                </c:pt>
                <c:pt idx="648">
                  <c:v>5</c:v>
                </c:pt>
                <c:pt idx="649">
                  <c:v>5</c:v>
                </c:pt>
                <c:pt idx="650">
                  <c:v>5</c:v>
                </c:pt>
                <c:pt idx="651">
                  <c:v>5</c:v>
                </c:pt>
                <c:pt idx="652">
                  <c:v>5</c:v>
                </c:pt>
                <c:pt idx="653">
                  <c:v>5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5</c:v>
                </c:pt>
                <c:pt idx="679">
                  <c:v>5</c:v>
                </c:pt>
                <c:pt idx="680">
                  <c:v>5</c:v>
                </c:pt>
                <c:pt idx="681">
                  <c:v>5</c:v>
                </c:pt>
                <c:pt idx="682">
                  <c:v>5</c:v>
                </c:pt>
                <c:pt idx="683">
                  <c:v>5</c:v>
                </c:pt>
                <c:pt idx="684">
                  <c:v>5</c:v>
                </c:pt>
                <c:pt idx="685">
                  <c:v>5</c:v>
                </c:pt>
                <c:pt idx="686">
                  <c:v>5</c:v>
                </c:pt>
                <c:pt idx="687">
                  <c:v>5</c:v>
                </c:pt>
                <c:pt idx="688">
                  <c:v>5</c:v>
                </c:pt>
                <c:pt idx="689">
                  <c:v>5</c:v>
                </c:pt>
                <c:pt idx="690">
                  <c:v>5</c:v>
                </c:pt>
                <c:pt idx="691">
                  <c:v>5</c:v>
                </c:pt>
                <c:pt idx="692">
                  <c:v>5</c:v>
                </c:pt>
                <c:pt idx="693">
                  <c:v>5</c:v>
                </c:pt>
                <c:pt idx="694">
                  <c:v>5</c:v>
                </c:pt>
                <c:pt idx="695">
                  <c:v>5</c:v>
                </c:pt>
                <c:pt idx="696">
                  <c:v>5</c:v>
                </c:pt>
                <c:pt idx="697">
                  <c:v>5</c:v>
                </c:pt>
                <c:pt idx="698">
                  <c:v>5</c:v>
                </c:pt>
                <c:pt idx="699">
                  <c:v>5</c:v>
                </c:pt>
                <c:pt idx="700">
                  <c:v>5</c:v>
                </c:pt>
                <c:pt idx="701">
                  <c:v>5</c:v>
                </c:pt>
                <c:pt idx="702">
                  <c:v>5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5</c:v>
                </c:pt>
                <c:pt idx="728">
                  <c:v>5</c:v>
                </c:pt>
                <c:pt idx="729">
                  <c:v>5</c:v>
                </c:pt>
                <c:pt idx="730">
                  <c:v>5</c:v>
                </c:pt>
                <c:pt idx="731">
                  <c:v>5</c:v>
                </c:pt>
                <c:pt idx="732">
                  <c:v>5</c:v>
                </c:pt>
                <c:pt idx="733">
                  <c:v>5</c:v>
                </c:pt>
                <c:pt idx="734">
                  <c:v>5</c:v>
                </c:pt>
                <c:pt idx="735">
                  <c:v>5</c:v>
                </c:pt>
                <c:pt idx="736">
                  <c:v>5</c:v>
                </c:pt>
                <c:pt idx="737">
                  <c:v>5</c:v>
                </c:pt>
                <c:pt idx="738">
                  <c:v>5</c:v>
                </c:pt>
                <c:pt idx="739">
                  <c:v>5</c:v>
                </c:pt>
                <c:pt idx="740">
                  <c:v>5</c:v>
                </c:pt>
                <c:pt idx="741">
                  <c:v>5</c:v>
                </c:pt>
                <c:pt idx="742">
                  <c:v>5</c:v>
                </c:pt>
                <c:pt idx="743">
                  <c:v>5</c:v>
                </c:pt>
                <c:pt idx="744">
                  <c:v>5</c:v>
                </c:pt>
                <c:pt idx="745">
                  <c:v>5</c:v>
                </c:pt>
                <c:pt idx="746">
                  <c:v>5</c:v>
                </c:pt>
                <c:pt idx="747">
                  <c:v>5</c:v>
                </c:pt>
                <c:pt idx="748">
                  <c:v>5</c:v>
                </c:pt>
                <c:pt idx="749">
                  <c:v>5</c:v>
                </c:pt>
                <c:pt idx="750">
                  <c:v>5</c:v>
                </c:pt>
                <c:pt idx="751">
                  <c:v>5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5</c:v>
                </c:pt>
                <c:pt idx="776">
                  <c:v>5</c:v>
                </c:pt>
                <c:pt idx="777">
                  <c:v>5</c:v>
                </c:pt>
                <c:pt idx="778">
                  <c:v>5</c:v>
                </c:pt>
                <c:pt idx="779">
                  <c:v>5</c:v>
                </c:pt>
                <c:pt idx="780">
                  <c:v>5</c:v>
                </c:pt>
                <c:pt idx="781">
                  <c:v>5</c:v>
                </c:pt>
                <c:pt idx="782">
                  <c:v>5</c:v>
                </c:pt>
                <c:pt idx="783">
                  <c:v>5</c:v>
                </c:pt>
                <c:pt idx="784">
                  <c:v>5</c:v>
                </c:pt>
                <c:pt idx="785">
                  <c:v>5</c:v>
                </c:pt>
                <c:pt idx="786">
                  <c:v>5</c:v>
                </c:pt>
                <c:pt idx="787">
                  <c:v>5</c:v>
                </c:pt>
                <c:pt idx="788">
                  <c:v>5</c:v>
                </c:pt>
                <c:pt idx="789">
                  <c:v>5</c:v>
                </c:pt>
                <c:pt idx="790">
                  <c:v>5</c:v>
                </c:pt>
                <c:pt idx="791">
                  <c:v>5</c:v>
                </c:pt>
                <c:pt idx="792">
                  <c:v>5</c:v>
                </c:pt>
                <c:pt idx="793">
                  <c:v>5</c:v>
                </c:pt>
                <c:pt idx="794">
                  <c:v>5</c:v>
                </c:pt>
                <c:pt idx="795">
                  <c:v>5</c:v>
                </c:pt>
                <c:pt idx="796">
                  <c:v>5</c:v>
                </c:pt>
                <c:pt idx="797">
                  <c:v>5</c:v>
                </c:pt>
                <c:pt idx="798">
                  <c:v>5</c:v>
                </c:pt>
                <c:pt idx="799">
                  <c:v>5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5</c:v>
                </c:pt>
                <c:pt idx="825">
                  <c:v>5</c:v>
                </c:pt>
                <c:pt idx="826">
                  <c:v>5</c:v>
                </c:pt>
                <c:pt idx="827">
                  <c:v>5</c:v>
                </c:pt>
                <c:pt idx="828">
                  <c:v>5</c:v>
                </c:pt>
                <c:pt idx="829">
                  <c:v>5</c:v>
                </c:pt>
                <c:pt idx="830">
                  <c:v>5</c:v>
                </c:pt>
                <c:pt idx="831">
                  <c:v>5</c:v>
                </c:pt>
                <c:pt idx="832">
                  <c:v>5</c:v>
                </c:pt>
                <c:pt idx="833">
                  <c:v>5</c:v>
                </c:pt>
                <c:pt idx="834">
                  <c:v>5</c:v>
                </c:pt>
                <c:pt idx="835">
                  <c:v>5</c:v>
                </c:pt>
                <c:pt idx="836">
                  <c:v>5</c:v>
                </c:pt>
                <c:pt idx="837">
                  <c:v>5</c:v>
                </c:pt>
                <c:pt idx="838">
                  <c:v>5</c:v>
                </c:pt>
                <c:pt idx="839">
                  <c:v>5</c:v>
                </c:pt>
                <c:pt idx="840">
                  <c:v>5</c:v>
                </c:pt>
                <c:pt idx="841">
                  <c:v>5</c:v>
                </c:pt>
                <c:pt idx="842">
                  <c:v>5</c:v>
                </c:pt>
                <c:pt idx="843">
                  <c:v>5</c:v>
                </c:pt>
                <c:pt idx="844">
                  <c:v>5</c:v>
                </c:pt>
                <c:pt idx="845">
                  <c:v>5</c:v>
                </c:pt>
                <c:pt idx="846">
                  <c:v>5</c:v>
                </c:pt>
                <c:pt idx="847">
                  <c:v>5</c:v>
                </c:pt>
                <c:pt idx="848">
                  <c:v>5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5</c:v>
                </c:pt>
                <c:pt idx="873">
                  <c:v>5</c:v>
                </c:pt>
                <c:pt idx="874">
                  <c:v>5</c:v>
                </c:pt>
                <c:pt idx="875">
                  <c:v>5</c:v>
                </c:pt>
                <c:pt idx="876">
                  <c:v>5</c:v>
                </c:pt>
                <c:pt idx="877">
                  <c:v>5</c:v>
                </c:pt>
                <c:pt idx="878">
                  <c:v>5</c:v>
                </c:pt>
                <c:pt idx="879">
                  <c:v>5</c:v>
                </c:pt>
                <c:pt idx="880">
                  <c:v>5</c:v>
                </c:pt>
                <c:pt idx="881">
                  <c:v>5</c:v>
                </c:pt>
                <c:pt idx="882">
                  <c:v>5</c:v>
                </c:pt>
                <c:pt idx="883">
                  <c:v>5</c:v>
                </c:pt>
                <c:pt idx="884">
                  <c:v>5</c:v>
                </c:pt>
                <c:pt idx="885">
                  <c:v>5</c:v>
                </c:pt>
                <c:pt idx="886">
                  <c:v>5</c:v>
                </c:pt>
                <c:pt idx="887">
                  <c:v>5</c:v>
                </c:pt>
                <c:pt idx="888">
                  <c:v>5</c:v>
                </c:pt>
                <c:pt idx="889">
                  <c:v>5</c:v>
                </c:pt>
                <c:pt idx="890">
                  <c:v>5</c:v>
                </c:pt>
                <c:pt idx="891">
                  <c:v>5</c:v>
                </c:pt>
                <c:pt idx="892">
                  <c:v>5</c:v>
                </c:pt>
                <c:pt idx="893">
                  <c:v>5</c:v>
                </c:pt>
                <c:pt idx="894">
                  <c:v>5</c:v>
                </c:pt>
                <c:pt idx="895">
                  <c:v>5</c:v>
                </c:pt>
                <c:pt idx="896">
                  <c:v>5</c:v>
                </c:pt>
                <c:pt idx="897">
                  <c:v>5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5</c:v>
                </c:pt>
                <c:pt idx="922">
                  <c:v>5</c:v>
                </c:pt>
                <c:pt idx="923">
                  <c:v>5</c:v>
                </c:pt>
                <c:pt idx="924">
                  <c:v>5</c:v>
                </c:pt>
                <c:pt idx="925">
                  <c:v>5</c:v>
                </c:pt>
                <c:pt idx="926">
                  <c:v>5</c:v>
                </c:pt>
                <c:pt idx="927">
                  <c:v>5</c:v>
                </c:pt>
                <c:pt idx="928">
                  <c:v>5</c:v>
                </c:pt>
                <c:pt idx="929">
                  <c:v>5</c:v>
                </c:pt>
                <c:pt idx="930">
                  <c:v>5</c:v>
                </c:pt>
                <c:pt idx="931">
                  <c:v>5</c:v>
                </c:pt>
                <c:pt idx="932">
                  <c:v>5</c:v>
                </c:pt>
                <c:pt idx="933">
                  <c:v>5</c:v>
                </c:pt>
                <c:pt idx="934">
                  <c:v>5</c:v>
                </c:pt>
                <c:pt idx="935">
                  <c:v>5</c:v>
                </c:pt>
                <c:pt idx="936">
                  <c:v>5</c:v>
                </c:pt>
                <c:pt idx="937">
                  <c:v>5</c:v>
                </c:pt>
                <c:pt idx="938">
                  <c:v>5</c:v>
                </c:pt>
                <c:pt idx="939">
                  <c:v>5</c:v>
                </c:pt>
                <c:pt idx="940">
                  <c:v>5</c:v>
                </c:pt>
                <c:pt idx="941">
                  <c:v>5</c:v>
                </c:pt>
                <c:pt idx="942">
                  <c:v>5</c:v>
                </c:pt>
                <c:pt idx="943">
                  <c:v>5</c:v>
                </c:pt>
                <c:pt idx="944">
                  <c:v>5</c:v>
                </c:pt>
                <c:pt idx="945">
                  <c:v>5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5</c:v>
                </c:pt>
                <c:pt idx="971">
                  <c:v>5</c:v>
                </c:pt>
                <c:pt idx="972">
                  <c:v>5</c:v>
                </c:pt>
                <c:pt idx="973">
                  <c:v>5</c:v>
                </c:pt>
                <c:pt idx="974">
                  <c:v>5</c:v>
                </c:pt>
                <c:pt idx="975">
                  <c:v>5</c:v>
                </c:pt>
                <c:pt idx="976">
                  <c:v>5</c:v>
                </c:pt>
                <c:pt idx="977">
                  <c:v>5</c:v>
                </c:pt>
                <c:pt idx="978">
                  <c:v>5</c:v>
                </c:pt>
                <c:pt idx="979">
                  <c:v>5</c:v>
                </c:pt>
                <c:pt idx="980">
                  <c:v>5</c:v>
                </c:pt>
                <c:pt idx="981">
                  <c:v>5</c:v>
                </c:pt>
                <c:pt idx="982">
                  <c:v>5</c:v>
                </c:pt>
                <c:pt idx="983">
                  <c:v>5</c:v>
                </c:pt>
                <c:pt idx="984">
                  <c:v>5</c:v>
                </c:pt>
                <c:pt idx="985">
                  <c:v>5</c:v>
                </c:pt>
                <c:pt idx="986">
                  <c:v>5</c:v>
                </c:pt>
                <c:pt idx="987">
                  <c:v>5</c:v>
                </c:pt>
                <c:pt idx="988">
                  <c:v>5</c:v>
                </c:pt>
                <c:pt idx="989">
                  <c:v>5</c:v>
                </c:pt>
                <c:pt idx="990">
                  <c:v>5</c:v>
                </c:pt>
                <c:pt idx="991">
                  <c:v>5</c:v>
                </c:pt>
                <c:pt idx="992">
                  <c:v>5</c:v>
                </c:pt>
                <c:pt idx="993">
                  <c:v>5</c:v>
                </c:pt>
                <c:pt idx="994">
                  <c:v>5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5</c:v>
                </c:pt>
                <c:pt idx="1019">
                  <c:v>5</c:v>
                </c:pt>
                <c:pt idx="1020">
                  <c:v>5</c:v>
                </c:pt>
                <c:pt idx="1021">
                  <c:v>5</c:v>
                </c:pt>
                <c:pt idx="1022">
                  <c:v>5</c:v>
                </c:pt>
                <c:pt idx="1023">
                  <c:v>5</c:v>
                </c:pt>
                <c:pt idx="1024">
                  <c:v>5</c:v>
                </c:pt>
                <c:pt idx="1025">
                  <c:v>5</c:v>
                </c:pt>
                <c:pt idx="1026">
                  <c:v>5</c:v>
                </c:pt>
                <c:pt idx="1027">
                  <c:v>5</c:v>
                </c:pt>
                <c:pt idx="1028">
                  <c:v>5</c:v>
                </c:pt>
                <c:pt idx="1029">
                  <c:v>5</c:v>
                </c:pt>
                <c:pt idx="1030">
                  <c:v>5</c:v>
                </c:pt>
                <c:pt idx="1031">
                  <c:v>5</c:v>
                </c:pt>
                <c:pt idx="1032">
                  <c:v>5</c:v>
                </c:pt>
                <c:pt idx="1033">
                  <c:v>5</c:v>
                </c:pt>
                <c:pt idx="1034">
                  <c:v>5</c:v>
                </c:pt>
                <c:pt idx="1035">
                  <c:v>5</c:v>
                </c:pt>
                <c:pt idx="1036">
                  <c:v>5</c:v>
                </c:pt>
                <c:pt idx="1037">
                  <c:v>5</c:v>
                </c:pt>
                <c:pt idx="1038">
                  <c:v>5</c:v>
                </c:pt>
                <c:pt idx="1039">
                  <c:v>5</c:v>
                </c:pt>
                <c:pt idx="1040">
                  <c:v>5</c:v>
                </c:pt>
                <c:pt idx="1041">
                  <c:v>5</c:v>
                </c:pt>
                <c:pt idx="1042">
                  <c:v>5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5</c:v>
                </c:pt>
                <c:pt idx="1068">
                  <c:v>5</c:v>
                </c:pt>
                <c:pt idx="1069">
                  <c:v>5</c:v>
                </c:pt>
                <c:pt idx="1070">
                  <c:v>5</c:v>
                </c:pt>
                <c:pt idx="1071">
                  <c:v>5</c:v>
                </c:pt>
                <c:pt idx="1072">
                  <c:v>5</c:v>
                </c:pt>
                <c:pt idx="1073">
                  <c:v>5</c:v>
                </c:pt>
                <c:pt idx="1074">
                  <c:v>5</c:v>
                </c:pt>
                <c:pt idx="1075">
                  <c:v>5</c:v>
                </c:pt>
                <c:pt idx="1076">
                  <c:v>5</c:v>
                </c:pt>
                <c:pt idx="1077">
                  <c:v>5</c:v>
                </c:pt>
                <c:pt idx="1078">
                  <c:v>5</c:v>
                </c:pt>
                <c:pt idx="1079">
                  <c:v>5</c:v>
                </c:pt>
                <c:pt idx="1080">
                  <c:v>5</c:v>
                </c:pt>
                <c:pt idx="1081">
                  <c:v>5</c:v>
                </c:pt>
                <c:pt idx="1082">
                  <c:v>5</c:v>
                </c:pt>
                <c:pt idx="1083">
                  <c:v>5</c:v>
                </c:pt>
                <c:pt idx="1084">
                  <c:v>5</c:v>
                </c:pt>
                <c:pt idx="1085">
                  <c:v>5</c:v>
                </c:pt>
                <c:pt idx="1086">
                  <c:v>5</c:v>
                </c:pt>
                <c:pt idx="1087">
                  <c:v>5</c:v>
                </c:pt>
                <c:pt idx="1088">
                  <c:v>5</c:v>
                </c:pt>
                <c:pt idx="1089">
                  <c:v>5</c:v>
                </c:pt>
                <c:pt idx="1090">
                  <c:v>5</c:v>
                </c:pt>
                <c:pt idx="1091">
                  <c:v>5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31615142"/>
        <c:axId val="117691965"/>
      </c:lineChart>
      <c:catAx>
        <c:axId val="13161514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7691965"/>
        <c:crosses val="autoZero"/>
        <c:auto val="1"/>
        <c:lblAlgn val="ctr"/>
        <c:lblOffset val="100"/>
        <c:noMultiLvlLbl val="0"/>
      </c:catAx>
      <c:valAx>
        <c:axId val="11769196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161514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288c2c0-61f5-42cf-b58e-e102467b4de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'常压_b_20 (1)'!$K$3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'常压_b_20 (1)'!$J$4:$J$667</c:f>
              <c:numCache>
                <c:formatCode>General</c:formatCode>
                <c:ptCount val="664"/>
                <c:pt idx="0">
                  <c:v>0</c:v>
                </c:pt>
                <c:pt idx="1">
                  <c:v>0</c:v>
                </c:pt>
                <c:pt idx="2">
                  <c:v>0.05</c:v>
                </c:pt>
                <c:pt idx="3">
                  <c:v>0.1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0.2</c:v>
                </c:pt>
                <c:pt idx="8">
                  <c:v>0.25</c:v>
                </c:pt>
                <c:pt idx="9">
                  <c:v>0.3</c:v>
                </c:pt>
                <c:pt idx="10">
                  <c:v>0.3</c:v>
                </c:pt>
                <c:pt idx="11">
                  <c:v>0.35</c:v>
                </c:pt>
                <c:pt idx="12">
                  <c:v>0.4</c:v>
                </c:pt>
                <c:pt idx="13">
                  <c:v>0.4</c:v>
                </c:pt>
                <c:pt idx="14">
                  <c:v>0.45</c:v>
                </c:pt>
                <c:pt idx="15">
                  <c:v>0.5</c:v>
                </c:pt>
                <c:pt idx="16">
                  <c:v>0.5</c:v>
                </c:pt>
                <c:pt idx="17">
                  <c:v>0.55</c:v>
                </c:pt>
                <c:pt idx="18">
                  <c:v>0.6</c:v>
                </c:pt>
                <c:pt idx="19">
                  <c:v>0.6</c:v>
                </c:pt>
                <c:pt idx="20">
                  <c:v>0.65</c:v>
                </c:pt>
                <c:pt idx="21">
                  <c:v>0.7</c:v>
                </c:pt>
                <c:pt idx="22">
                  <c:v>0.7</c:v>
                </c:pt>
                <c:pt idx="23">
                  <c:v>0.75</c:v>
                </c:pt>
                <c:pt idx="24">
                  <c:v>0.8</c:v>
                </c:pt>
                <c:pt idx="25">
                  <c:v>0.8</c:v>
                </c:pt>
                <c:pt idx="26">
                  <c:v>0.85</c:v>
                </c:pt>
                <c:pt idx="27">
                  <c:v>0.9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  <c:pt idx="31">
                  <c:v>1</c:v>
                </c:pt>
                <c:pt idx="32">
                  <c:v>1.05</c:v>
                </c:pt>
                <c:pt idx="33">
                  <c:v>1.1</c:v>
                </c:pt>
                <c:pt idx="34">
                  <c:v>1.1</c:v>
                </c:pt>
                <c:pt idx="35">
                  <c:v>1.15</c:v>
                </c:pt>
                <c:pt idx="36">
                  <c:v>1.2</c:v>
                </c:pt>
                <c:pt idx="37">
                  <c:v>1.2</c:v>
                </c:pt>
                <c:pt idx="38">
                  <c:v>1.25</c:v>
                </c:pt>
                <c:pt idx="39">
                  <c:v>1.3</c:v>
                </c:pt>
                <c:pt idx="40">
                  <c:v>1.3</c:v>
                </c:pt>
                <c:pt idx="41">
                  <c:v>1.35</c:v>
                </c:pt>
                <c:pt idx="42">
                  <c:v>1.4</c:v>
                </c:pt>
                <c:pt idx="43">
                  <c:v>1.4</c:v>
                </c:pt>
                <c:pt idx="44">
                  <c:v>1.45</c:v>
                </c:pt>
                <c:pt idx="45">
                  <c:v>1.5</c:v>
                </c:pt>
                <c:pt idx="46">
                  <c:v>1.5</c:v>
                </c:pt>
                <c:pt idx="47">
                  <c:v>1.55</c:v>
                </c:pt>
                <c:pt idx="48">
                  <c:v>1.6</c:v>
                </c:pt>
                <c:pt idx="49">
                  <c:v>1.6</c:v>
                </c:pt>
                <c:pt idx="50">
                  <c:v>1.65</c:v>
                </c:pt>
                <c:pt idx="51">
                  <c:v>1.7</c:v>
                </c:pt>
                <c:pt idx="52">
                  <c:v>1.7</c:v>
                </c:pt>
                <c:pt idx="53">
                  <c:v>1.75</c:v>
                </c:pt>
                <c:pt idx="54">
                  <c:v>1.8</c:v>
                </c:pt>
                <c:pt idx="55">
                  <c:v>1.8</c:v>
                </c:pt>
                <c:pt idx="56">
                  <c:v>1.85</c:v>
                </c:pt>
                <c:pt idx="57">
                  <c:v>1.9</c:v>
                </c:pt>
                <c:pt idx="58">
                  <c:v>1.9</c:v>
                </c:pt>
                <c:pt idx="59">
                  <c:v>1.95</c:v>
                </c:pt>
                <c:pt idx="60">
                  <c:v>2</c:v>
                </c:pt>
                <c:pt idx="61">
                  <c:v>2</c:v>
                </c:pt>
                <c:pt idx="62">
                  <c:v>2.05</c:v>
                </c:pt>
                <c:pt idx="63">
                  <c:v>2.1</c:v>
                </c:pt>
                <c:pt idx="64">
                  <c:v>2.1</c:v>
                </c:pt>
                <c:pt idx="65">
                  <c:v>2.15</c:v>
                </c:pt>
                <c:pt idx="66">
                  <c:v>2.2</c:v>
                </c:pt>
                <c:pt idx="67">
                  <c:v>2.2</c:v>
                </c:pt>
                <c:pt idx="68">
                  <c:v>2.25</c:v>
                </c:pt>
                <c:pt idx="69">
                  <c:v>2.3</c:v>
                </c:pt>
                <c:pt idx="70">
                  <c:v>2.3</c:v>
                </c:pt>
                <c:pt idx="71">
                  <c:v>2.35</c:v>
                </c:pt>
                <c:pt idx="72">
                  <c:v>2.4</c:v>
                </c:pt>
                <c:pt idx="73">
                  <c:v>2.4</c:v>
                </c:pt>
                <c:pt idx="74">
                  <c:v>2.45</c:v>
                </c:pt>
                <c:pt idx="75">
                  <c:v>2.5</c:v>
                </c:pt>
                <c:pt idx="76">
                  <c:v>2.5</c:v>
                </c:pt>
                <c:pt idx="77">
                  <c:v>2.55</c:v>
                </c:pt>
                <c:pt idx="78">
                  <c:v>2.6</c:v>
                </c:pt>
                <c:pt idx="79">
                  <c:v>2.6</c:v>
                </c:pt>
                <c:pt idx="80">
                  <c:v>2.65</c:v>
                </c:pt>
                <c:pt idx="81">
                  <c:v>2.7</c:v>
                </c:pt>
                <c:pt idx="82">
                  <c:v>2.7</c:v>
                </c:pt>
                <c:pt idx="83">
                  <c:v>2.75</c:v>
                </c:pt>
                <c:pt idx="84">
                  <c:v>2.8</c:v>
                </c:pt>
                <c:pt idx="85">
                  <c:v>2.8</c:v>
                </c:pt>
                <c:pt idx="86">
                  <c:v>2.85</c:v>
                </c:pt>
                <c:pt idx="87">
                  <c:v>2.9</c:v>
                </c:pt>
                <c:pt idx="88">
                  <c:v>2.9</c:v>
                </c:pt>
                <c:pt idx="89">
                  <c:v>2.95</c:v>
                </c:pt>
                <c:pt idx="90">
                  <c:v>3</c:v>
                </c:pt>
                <c:pt idx="91">
                  <c:v>3</c:v>
                </c:pt>
                <c:pt idx="92">
                  <c:v>3.05</c:v>
                </c:pt>
                <c:pt idx="93">
                  <c:v>3.1</c:v>
                </c:pt>
                <c:pt idx="94">
                  <c:v>3.1</c:v>
                </c:pt>
                <c:pt idx="95">
                  <c:v>3.15</c:v>
                </c:pt>
                <c:pt idx="96">
                  <c:v>3.2</c:v>
                </c:pt>
                <c:pt idx="97">
                  <c:v>3.2</c:v>
                </c:pt>
                <c:pt idx="98">
                  <c:v>3.25</c:v>
                </c:pt>
                <c:pt idx="99">
                  <c:v>3.3</c:v>
                </c:pt>
                <c:pt idx="100">
                  <c:v>3.3</c:v>
                </c:pt>
                <c:pt idx="101">
                  <c:v>3.35</c:v>
                </c:pt>
                <c:pt idx="102">
                  <c:v>3.4</c:v>
                </c:pt>
                <c:pt idx="103">
                  <c:v>3.4</c:v>
                </c:pt>
                <c:pt idx="104">
                  <c:v>3.45</c:v>
                </c:pt>
                <c:pt idx="105">
                  <c:v>3.5</c:v>
                </c:pt>
                <c:pt idx="106">
                  <c:v>3.5</c:v>
                </c:pt>
                <c:pt idx="107">
                  <c:v>3.55</c:v>
                </c:pt>
                <c:pt idx="108">
                  <c:v>3.6</c:v>
                </c:pt>
                <c:pt idx="109">
                  <c:v>3.6</c:v>
                </c:pt>
                <c:pt idx="110">
                  <c:v>3.65</c:v>
                </c:pt>
                <c:pt idx="111">
                  <c:v>3.7</c:v>
                </c:pt>
                <c:pt idx="112">
                  <c:v>3.7</c:v>
                </c:pt>
                <c:pt idx="113">
                  <c:v>3.75</c:v>
                </c:pt>
                <c:pt idx="114">
                  <c:v>3.8</c:v>
                </c:pt>
                <c:pt idx="115">
                  <c:v>3.8</c:v>
                </c:pt>
                <c:pt idx="116">
                  <c:v>3.85</c:v>
                </c:pt>
                <c:pt idx="117">
                  <c:v>3.9</c:v>
                </c:pt>
                <c:pt idx="118">
                  <c:v>3.9</c:v>
                </c:pt>
                <c:pt idx="119">
                  <c:v>3.95</c:v>
                </c:pt>
                <c:pt idx="120">
                  <c:v>4</c:v>
                </c:pt>
                <c:pt idx="121">
                  <c:v>4</c:v>
                </c:pt>
                <c:pt idx="122">
                  <c:v>4.05</c:v>
                </c:pt>
                <c:pt idx="123">
                  <c:v>4.1</c:v>
                </c:pt>
                <c:pt idx="124">
                  <c:v>4.1</c:v>
                </c:pt>
                <c:pt idx="125">
                  <c:v>4.15</c:v>
                </c:pt>
                <c:pt idx="126">
                  <c:v>4.2</c:v>
                </c:pt>
                <c:pt idx="127">
                  <c:v>4.2</c:v>
                </c:pt>
                <c:pt idx="128">
                  <c:v>4.25</c:v>
                </c:pt>
                <c:pt idx="129">
                  <c:v>4.3</c:v>
                </c:pt>
                <c:pt idx="130">
                  <c:v>4.3</c:v>
                </c:pt>
                <c:pt idx="131">
                  <c:v>4.35</c:v>
                </c:pt>
                <c:pt idx="132">
                  <c:v>4.4</c:v>
                </c:pt>
                <c:pt idx="133">
                  <c:v>4.4</c:v>
                </c:pt>
                <c:pt idx="134">
                  <c:v>4.45</c:v>
                </c:pt>
                <c:pt idx="135">
                  <c:v>4.5</c:v>
                </c:pt>
                <c:pt idx="136">
                  <c:v>4.5</c:v>
                </c:pt>
                <c:pt idx="137">
                  <c:v>4.55</c:v>
                </c:pt>
                <c:pt idx="138">
                  <c:v>4.6</c:v>
                </c:pt>
                <c:pt idx="139">
                  <c:v>4.6</c:v>
                </c:pt>
                <c:pt idx="140">
                  <c:v>4.65</c:v>
                </c:pt>
                <c:pt idx="141">
                  <c:v>4.7</c:v>
                </c:pt>
                <c:pt idx="142">
                  <c:v>4.7</c:v>
                </c:pt>
                <c:pt idx="143">
                  <c:v>4.75</c:v>
                </c:pt>
                <c:pt idx="144">
                  <c:v>4.8</c:v>
                </c:pt>
                <c:pt idx="145">
                  <c:v>4.8</c:v>
                </c:pt>
                <c:pt idx="146">
                  <c:v>4.85</c:v>
                </c:pt>
                <c:pt idx="147">
                  <c:v>4.9</c:v>
                </c:pt>
                <c:pt idx="148">
                  <c:v>4.9</c:v>
                </c:pt>
                <c:pt idx="149">
                  <c:v>4.95</c:v>
                </c:pt>
                <c:pt idx="150">
                  <c:v>5</c:v>
                </c:pt>
                <c:pt idx="151">
                  <c:v>5</c:v>
                </c:pt>
                <c:pt idx="152">
                  <c:v>5.05</c:v>
                </c:pt>
                <c:pt idx="153">
                  <c:v>5.1</c:v>
                </c:pt>
                <c:pt idx="154">
                  <c:v>5.1</c:v>
                </c:pt>
                <c:pt idx="155">
                  <c:v>5.15</c:v>
                </c:pt>
                <c:pt idx="156">
                  <c:v>5.2</c:v>
                </c:pt>
                <c:pt idx="157">
                  <c:v>5.2</c:v>
                </c:pt>
                <c:pt idx="158">
                  <c:v>5.25</c:v>
                </c:pt>
                <c:pt idx="159">
                  <c:v>5.3</c:v>
                </c:pt>
                <c:pt idx="160">
                  <c:v>5.3</c:v>
                </c:pt>
                <c:pt idx="161">
                  <c:v>5.35</c:v>
                </c:pt>
                <c:pt idx="162">
                  <c:v>5.4</c:v>
                </c:pt>
                <c:pt idx="163">
                  <c:v>5.4</c:v>
                </c:pt>
                <c:pt idx="164">
                  <c:v>5.45</c:v>
                </c:pt>
                <c:pt idx="165">
                  <c:v>5.5</c:v>
                </c:pt>
                <c:pt idx="166">
                  <c:v>5.5</c:v>
                </c:pt>
                <c:pt idx="167">
                  <c:v>5.55</c:v>
                </c:pt>
                <c:pt idx="168">
                  <c:v>5.6</c:v>
                </c:pt>
                <c:pt idx="169">
                  <c:v>5.6</c:v>
                </c:pt>
                <c:pt idx="170">
                  <c:v>5.65</c:v>
                </c:pt>
                <c:pt idx="171">
                  <c:v>5.7</c:v>
                </c:pt>
                <c:pt idx="172">
                  <c:v>5.7</c:v>
                </c:pt>
                <c:pt idx="173">
                  <c:v>5.75</c:v>
                </c:pt>
                <c:pt idx="174">
                  <c:v>5.8</c:v>
                </c:pt>
                <c:pt idx="175">
                  <c:v>5.8</c:v>
                </c:pt>
                <c:pt idx="176">
                  <c:v>5.85</c:v>
                </c:pt>
                <c:pt idx="177">
                  <c:v>5.9</c:v>
                </c:pt>
                <c:pt idx="178">
                  <c:v>5.9</c:v>
                </c:pt>
                <c:pt idx="179">
                  <c:v>5.95</c:v>
                </c:pt>
                <c:pt idx="180">
                  <c:v>6</c:v>
                </c:pt>
                <c:pt idx="181">
                  <c:v>6</c:v>
                </c:pt>
                <c:pt idx="182">
                  <c:v>6.05</c:v>
                </c:pt>
                <c:pt idx="183">
                  <c:v>6.1</c:v>
                </c:pt>
                <c:pt idx="184">
                  <c:v>6.15</c:v>
                </c:pt>
                <c:pt idx="185">
                  <c:v>6.15</c:v>
                </c:pt>
                <c:pt idx="186">
                  <c:v>6.2</c:v>
                </c:pt>
                <c:pt idx="187">
                  <c:v>6.25</c:v>
                </c:pt>
                <c:pt idx="188">
                  <c:v>6.25</c:v>
                </c:pt>
                <c:pt idx="189">
                  <c:v>6.3</c:v>
                </c:pt>
                <c:pt idx="190">
                  <c:v>6.35</c:v>
                </c:pt>
                <c:pt idx="191">
                  <c:v>6.35</c:v>
                </c:pt>
                <c:pt idx="192">
                  <c:v>6.4</c:v>
                </c:pt>
                <c:pt idx="193">
                  <c:v>6.45</c:v>
                </c:pt>
                <c:pt idx="194">
                  <c:v>6.45</c:v>
                </c:pt>
                <c:pt idx="195">
                  <c:v>6.5</c:v>
                </c:pt>
                <c:pt idx="196">
                  <c:v>6.55</c:v>
                </c:pt>
                <c:pt idx="197">
                  <c:v>6.55</c:v>
                </c:pt>
                <c:pt idx="198">
                  <c:v>6.6</c:v>
                </c:pt>
                <c:pt idx="199">
                  <c:v>6.65</c:v>
                </c:pt>
                <c:pt idx="200">
                  <c:v>6.65</c:v>
                </c:pt>
                <c:pt idx="201">
                  <c:v>6.7</c:v>
                </c:pt>
                <c:pt idx="202">
                  <c:v>6.75</c:v>
                </c:pt>
                <c:pt idx="203">
                  <c:v>6.75</c:v>
                </c:pt>
                <c:pt idx="204">
                  <c:v>6.8</c:v>
                </c:pt>
                <c:pt idx="205">
                  <c:v>6.85</c:v>
                </c:pt>
                <c:pt idx="206">
                  <c:v>6.85</c:v>
                </c:pt>
                <c:pt idx="207">
                  <c:v>6.9</c:v>
                </c:pt>
                <c:pt idx="208">
                  <c:v>6.95</c:v>
                </c:pt>
                <c:pt idx="209">
                  <c:v>6.95</c:v>
                </c:pt>
                <c:pt idx="210">
                  <c:v>7</c:v>
                </c:pt>
                <c:pt idx="211">
                  <c:v>7.05</c:v>
                </c:pt>
                <c:pt idx="212">
                  <c:v>7.05</c:v>
                </c:pt>
                <c:pt idx="213">
                  <c:v>7.1</c:v>
                </c:pt>
                <c:pt idx="214">
                  <c:v>7.15</c:v>
                </c:pt>
                <c:pt idx="215">
                  <c:v>7.15</c:v>
                </c:pt>
                <c:pt idx="216">
                  <c:v>7.2</c:v>
                </c:pt>
                <c:pt idx="217">
                  <c:v>7.25</c:v>
                </c:pt>
                <c:pt idx="218">
                  <c:v>7.25</c:v>
                </c:pt>
                <c:pt idx="219">
                  <c:v>7.3</c:v>
                </c:pt>
                <c:pt idx="220">
                  <c:v>7.35</c:v>
                </c:pt>
                <c:pt idx="221">
                  <c:v>7.35</c:v>
                </c:pt>
                <c:pt idx="222">
                  <c:v>7.4</c:v>
                </c:pt>
                <c:pt idx="223">
                  <c:v>7.45</c:v>
                </c:pt>
                <c:pt idx="224">
                  <c:v>7.45</c:v>
                </c:pt>
                <c:pt idx="225">
                  <c:v>7.5</c:v>
                </c:pt>
                <c:pt idx="226">
                  <c:v>7.55</c:v>
                </c:pt>
                <c:pt idx="227">
                  <c:v>7.55</c:v>
                </c:pt>
                <c:pt idx="228">
                  <c:v>7.6</c:v>
                </c:pt>
                <c:pt idx="229">
                  <c:v>7.65</c:v>
                </c:pt>
                <c:pt idx="230">
                  <c:v>7.65</c:v>
                </c:pt>
                <c:pt idx="231">
                  <c:v>7.7</c:v>
                </c:pt>
                <c:pt idx="232">
                  <c:v>7.75</c:v>
                </c:pt>
                <c:pt idx="233">
                  <c:v>7.75</c:v>
                </c:pt>
                <c:pt idx="234">
                  <c:v>7.8</c:v>
                </c:pt>
                <c:pt idx="235">
                  <c:v>7.85</c:v>
                </c:pt>
                <c:pt idx="236">
                  <c:v>7.85</c:v>
                </c:pt>
                <c:pt idx="237">
                  <c:v>7.9</c:v>
                </c:pt>
                <c:pt idx="238">
                  <c:v>7.95</c:v>
                </c:pt>
                <c:pt idx="239">
                  <c:v>7.95</c:v>
                </c:pt>
                <c:pt idx="240">
                  <c:v>8</c:v>
                </c:pt>
                <c:pt idx="241">
                  <c:v>8.05</c:v>
                </c:pt>
                <c:pt idx="242">
                  <c:v>8.05</c:v>
                </c:pt>
                <c:pt idx="243">
                  <c:v>8.1</c:v>
                </c:pt>
                <c:pt idx="244">
                  <c:v>8.15</c:v>
                </c:pt>
                <c:pt idx="245">
                  <c:v>8.15</c:v>
                </c:pt>
                <c:pt idx="246">
                  <c:v>8.2</c:v>
                </c:pt>
                <c:pt idx="247">
                  <c:v>8.25</c:v>
                </c:pt>
                <c:pt idx="248">
                  <c:v>8.25</c:v>
                </c:pt>
                <c:pt idx="249">
                  <c:v>8.3</c:v>
                </c:pt>
                <c:pt idx="250">
                  <c:v>8.35</c:v>
                </c:pt>
                <c:pt idx="251">
                  <c:v>8.35</c:v>
                </c:pt>
                <c:pt idx="252">
                  <c:v>8.4</c:v>
                </c:pt>
                <c:pt idx="253">
                  <c:v>8.45</c:v>
                </c:pt>
                <c:pt idx="254">
                  <c:v>8.45</c:v>
                </c:pt>
                <c:pt idx="255">
                  <c:v>8.5</c:v>
                </c:pt>
                <c:pt idx="256">
                  <c:v>8.55</c:v>
                </c:pt>
                <c:pt idx="257">
                  <c:v>8.55</c:v>
                </c:pt>
                <c:pt idx="258">
                  <c:v>8.6</c:v>
                </c:pt>
                <c:pt idx="259">
                  <c:v>8.65</c:v>
                </c:pt>
                <c:pt idx="260">
                  <c:v>8.65</c:v>
                </c:pt>
                <c:pt idx="261">
                  <c:v>8.7</c:v>
                </c:pt>
                <c:pt idx="262">
                  <c:v>8.75</c:v>
                </c:pt>
                <c:pt idx="263">
                  <c:v>8.75</c:v>
                </c:pt>
                <c:pt idx="264">
                  <c:v>8.8</c:v>
                </c:pt>
                <c:pt idx="265">
                  <c:v>8.85</c:v>
                </c:pt>
                <c:pt idx="266">
                  <c:v>8.85</c:v>
                </c:pt>
                <c:pt idx="267">
                  <c:v>8.9</c:v>
                </c:pt>
                <c:pt idx="268">
                  <c:v>8.95</c:v>
                </c:pt>
                <c:pt idx="269">
                  <c:v>8.95</c:v>
                </c:pt>
                <c:pt idx="270">
                  <c:v>9</c:v>
                </c:pt>
                <c:pt idx="271">
                  <c:v>9.05</c:v>
                </c:pt>
                <c:pt idx="272">
                  <c:v>9.05</c:v>
                </c:pt>
                <c:pt idx="273">
                  <c:v>9.1</c:v>
                </c:pt>
                <c:pt idx="274">
                  <c:v>9.15</c:v>
                </c:pt>
                <c:pt idx="275">
                  <c:v>9.15</c:v>
                </c:pt>
                <c:pt idx="276">
                  <c:v>9.2</c:v>
                </c:pt>
                <c:pt idx="277">
                  <c:v>9.25</c:v>
                </c:pt>
                <c:pt idx="278">
                  <c:v>9.25</c:v>
                </c:pt>
                <c:pt idx="279">
                  <c:v>9.3</c:v>
                </c:pt>
                <c:pt idx="280">
                  <c:v>9.35</c:v>
                </c:pt>
                <c:pt idx="281">
                  <c:v>9.35</c:v>
                </c:pt>
                <c:pt idx="282">
                  <c:v>9.4</c:v>
                </c:pt>
                <c:pt idx="283">
                  <c:v>9.45</c:v>
                </c:pt>
                <c:pt idx="284">
                  <c:v>9.45</c:v>
                </c:pt>
                <c:pt idx="285">
                  <c:v>9.5</c:v>
                </c:pt>
                <c:pt idx="286">
                  <c:v>9.55</c:v>
                </c:pt>
                <c:pt idx="287">
                  <c:v>9.55</c:v>
                </c:pt>
                <c:pt idx="288">
                  <c:v>9.6</c:v>
                </c:pt>
                <c:pt idx="289">
                  <c:v>9.65</c:v>
                </c:pt>
                <c:pt idx="290">
                  <c:v>9.65</c:v>
                </c:pt>
                <c:pt idx="291">
                  <c:v>9.7</c:v>
                </c:pt>
                <c:pt idx="292">
                  <c:v>9.75</c:v>
                </c:pt>
                <c:pt idx="293">
                  <c:v>9.75</c:v>
                </c:pt>
                <c:pt idx="294">
                  <c:v>9.8</c:v>
                </c:pt>
                <c:pt idx="295">
                  <c:v>9.85</c:v>
                </c:pt>
                <c:pt idx="296">
                  <c:v>9.85</c:v>
                </c:pt>
                <c:pt idx="297">
                  <c:v>9.9</c:v>
                </c:pt>
                <c:pt idx="298">
                  <c:v>9.95</c:v>
                </c:pt>
                <c:pt idx="299">
                  <c:v>9.95</c:v>
                </c:pt>
                <c:pt idx="300">
                  <c:v>10</c:v>
                </c:pt>
                <c:pt idx="301">
                  <c:v>10.05</c:v>
                </c:pt>
                <c:pt idx="302">
                  <c:v>10.05</c:v>
                </c:pt>
                <c:pt idx="303">
                  <c:v>10.1</c:v>
                </c:pt>
                <c:pt idx="304">
                  <c:v>10.15</c:v>
                </c:pt>
                <c:pt idx="305">
                  <c:v>10.15</c:v>
                </c:pt>
                <c:pt idx="306">
                  <c:v>10.2</c:v>
                </c:pt>
                <c:pt idx="307">
                  <c:v>10.25</c:v>
                </c:pt>
                <c:pt idx="308">
                  <c:v>10.25</c:v>
                </c:pt>
                <c:pt idx="309">
                  <c:v>10.3</c:v>
                </c:pt>
                <c:pt idx="310">
                  <c:v>10.35</c:v>
                </c:pt>
                <c:pt idx="311">
                  <c:v>10.35</c:v>
                </c:pt>
                <c:pt idx="312">
                  <c:v>10.4</c:v>
                </c:pt>
                <c:pt idx="313">
                  <c:v>10.45</c:v>
                </c:pt>
                <c:pt idx="314">
                  <c:v>10.45</c:v>
                </c:pt>
                <c:pt idx="315">
                  <c:v>10.5</c:v>
                </c:pt>
                <c:pt idx="316">
                  <c:v>10.55</c:v>
                </c:pt>
                <c:pt idx="317">
                  <c:v>10.55</c:v>
                </c:pt>
                <c:pt idx="318">
                  <c:v>10.6</c:v>
                </c:pt>
                <c:pt idx="319">
                  <c:v>10.65</c:v>
                </c:pt>
                <c:pt idx="320">
                  <c:v>10.65</c:v>
                </c:pt>
                <c:pt idx="321">
                  <c:v>10.7</c:v>
                </c:pt>
                <c:pt idx="322">
                  <c:v>10.75</c:v>
                </c:pt>
                <c:pt idx="323">
                  <c:v>10.75</c:v>
                </c:pt>
                <c:pt idx="324">
                  <c:v>10.8</c:v>
                </c:pt>
                <c:pt idx="325">
                  <c:v>10.85</c:v>
                </c:pt>
                <c:pt idx="326">
                  <c:v>10.85</c:v>
                </c:pt>
                <c:pt idx="327">
                  <c:v>10.9</c:v>
                </c:pt>
                <c:pt idx="328">
                  <c:v>10.95</c:v>
                </c:pt>
                <c:pt idx="329">
                  <c:v>10.95</c:v>
                </c:pt>
                <c:pt idx="330">
                  <c:v>11</c:v>
                </c:pt>
                <c:pt idx="331">
                  <c:v>11.05</c:v>
                </c:pt>
                <c:pt idx="332">
                  <c:v>11.05</c:v>
                </c:pt>
                <c:pt idx="333">
                  <c:v>11.1</c:v>
                </c:pt>
                <c:pt idx="334">
                  <c:v>11.15</c:v>
                </c:pt>
                <c:pt idx="335">
                  <c:v>11.15</c:v>
                </c:pt>
                <c:pt idx="336">
                  <c:v>11.2</c:v>
                </c:pt>
                <c:pt idx="337">
                  <c:v>11.25</c:v>
                </c:pt>
                <c:pt idx="338">
                  <c:v>11.25</c:v>
                </c:pt>
                <c:pt idx="339">
                  <c:v>11.3</c:v>
                </c:pt>
                <c:pt idx="340">
                  <c:v>11.35</c:v>
                </c:pt>
                <c:pt idx="341">
                  <c:v>11.35</c:v>
                </c:pt>
                <c:pt idx="342">
                  <c:v>11.4</c:v>
                </c:pt>
                <c:pt idx="343">
                  <c:v>11.45</c:v>
                </c:pt>
                <c:pt idx="344">
                  <c:v>11.45</c:v>
                </c:pt>
                <c:pt idx="345">
                  <c:v>11.5</c:v>
                </c:pt>
                <c:pt idx="346">
                  <c:v>11.55</c:v>
                </c:pt>
                <c:pt idx="347">
                  <c:v>11.55</c:v>
                </c:pt>
                <c:pt idx="348">
                  <c:v>11.6</c:v>
                </c:pt>
                <c:pt idx="349">
                  <c:v>11.65</c:v>
                </c:pt>
                <c:pt idx="350">
                  <c:v>11.65</c:v>
                </c:pt>
                <c:pt idx="351">
                  <c:v>11.7</c:v>
                </c:pt>
                <c:pt idx="352">
                  <c:v>11.75</c:v>
                </c:pt>
                <c:pt idx="353">
                  <c:v>11.75</c:v>
                </c:pt>
                <c:pt idx="354">
                  <c:v>11.8</c:v>
                </c:pt>
                <c:pt idx="355">
                  <c:v>11.85</c:v>
                </c:pt>
                <c:pt idx="356">
                  <c:v>11.85</c:v>
                </c:pt>
                <c:pt idx="357">
                  <c:v>11.9</c:v>
                </c:pt>
                <c:pt idx="358">
                  <c:v>11.95</c:v>
                </c:pt>
                <c:pt idx="359">
                  <c:v>11.95</c:v>
                </c:pt>
                <c:pt idx="360">
                  <c:v>12</c:v>
                </c:pt>
                <c:pt idx="361">
                  <c:v>12.05</c:v>
                </c:pt>
                <c:pt idx="362">
                  <c:v>12.05</c:v>
                </c:pt>
                <c:pt idx="363">
                  <c:v>12.1</c:v>
                </c:pt>
                <c:pt idx="364">
                  <c:v>12.15</c:v>
                </c:pt>
                <c:pt idx="365">
                  <c:v>12.15</c:v>
                </c:pt>
                <c:pt idx="366">
                  <c:v>12.2</c:v>
                </c:pt>
                <c:pt idx="367">
                  <c:v>12.25</c:v>
                </c:pt>
                <c:pt idx="368">
                  <c:v>12.25</c:v>
                </c:pt>
                <c:pt idx="369">
                  <c:v>12.3</c:v>
                </c:pt>
                <c:pt idx="370">
                  <c:v>12.35</c:v>
                </c:pt>
                <c:pt idx="371">
                  <c:v>12.35</c:v>
                </c:pt>
                <c:pt idx="372">
                  <c:v>12.4</c:v>
                </c:pt>
                <c:pt idx="373">
                  <c:v>12.45</c:v>
                </c:pt>
                <c:pt idx="374">
                  <c:v>12.5</c:v>
                </c:pt>
                <c:pt idx="375">
                  <c:v>12.5</c:v>
                </c:pt>
                <c:pt idx="376">
                  <c:v>12.55</c:v>
                </c:pt>
                <c:pt idx="377">
                  <c:v>12.6</c:v>
                </c:pt>
                <c:pt idx="378">
                  <c:v>12.6</c:v>
                </c:pt>
                <c:pt idx="379">
                  <c:v>12.65</c:v>
                </c:pt>
                <c:pt idx="380">
                  <c:v>12.7</c:v>
                </c:pt>
                <c:pt idx="381">
                  <c:v>12.7</c:v>
                </c:pt>
                <c:pt idx="382">
                  <c:v>12.75</c:v>
                </c:pt>
                <c:pt idx="383">
                  <c:v>12.8</c:v>
                </c:pt>
                <c:pt idx="384">
                  <c:v>12.8</c:v>
                </c:pt>
                <c:pt idx="385">
                  <c:v>12.85</c:v>
                </c:pt>
                <c:pt idx="386">
                  <c:v>12.9</c:v>
                </c:pt>
                <c:pt idx="387">
                  <c:v>12.9</c:v>
                </c:pt>
                <c:pt idx="388">
                  <c:v>12.95</c:v>
                </c:pt>
                <c:pt idx="389">
                  <c:v>13</c:v>
                </c:pt>
                <c:pt idx="390">
                  <c:v>13</c:v>
                </c:pt>
                <c:pt idx="391">
                  <c:v>13.05</c:v>
                </c:pt>
                <c:pt idx="392">
                  <c:v>13.1</c:v>
                </c:pt>
                <c:pt idx="393">
                  <c:v>13.1</c:v>
                </c:pt>
                <c:pt idx="394">
                  <c:v>13.15</c:v>
                </c:pt>
                <c:pt idx="395">
                  <c:v>13.2</c:v>
                </c:pt>
                <c:pt idx="396">
                  <c:v>13.2</c:v>
                </c:pt>
                <c:pt idx="397">
                  <c:v>13.25</c:v>
                </c:pt>
                <c:pt idx="398">
                  <c:v>13.3</c:v>
                </c:pt>
                <c:pt idx="399">
                  <c:v>13.3</c:v>
                </c:pt>
                <c:pt idx="400">
                  <c:v>13.35</c:v>
                </c:pt>
                <c:pt idx="401">
                  <c:v>13.4</c:v>
                </c:pt>
                <c:pt idx="402">
                  <c:v>13.4</c:v>
                </c:pt>
                <c:pt idx="403">
                  <c:v>13.45</c:v>
                </c:pt>
                <c:pt idx="404">
                  <c:v>13.5</c:v>
                </c:pt>
                <c:pt idx="405">
                  <c:v>13.5</c:v>
                </c:pt>
                <c:pt idx="406">
                  <c:v>13.55</c:v>
                </c:pt>
                <c:pt idx="407">
                  <c:v>13.6</c:v>
                </c:pt>
                <c:pt idx="408">
                  <c:v>13.6</c:v>
                </c:pt>
                <c:pt idx="409">
                  <c:v>13.65</c:v>
                </c:pt>
                <c:pt idx="410">
                  <c:v>13.7</c:v>
                </c:pt>
                <c:pt idx="411">
                  <c:v>13.7</c:v>
                </c:pt>
                <c:pt idx="412">
                  <c:v>13.75</c:v>
                </c:pt>
                <c:pt idx="413">
                  <c:v>13.8</c:v>
                </c:pt>
                <c:pt idx="414">
                  <c:v>13.8</c:v>
                </c:pt>
                <c:pt idx="415">
                  <c:v>13.85</c:v>
                </c:pt>
                <c:pt idx="416">
                  <c:v>13.9</c:v>
                </c:pt>
                <c:pt idx="417">
                  <c:v>13.9</c:v>
                </c:pt>
                <c:pt idx="418">
                  <c:v>13.95</c:v>
                </c:pt>
                <c:pt idx="419">
                  <c:v>14</c:v>
                </c:pt>
                <c:pt idx="420">
                  <c:v>14</c:v>
                </c:pt>
                <c:pt idx="421">
                  <c:v>14.05</c:v>
                </c:pt>
                <c:pt idx="422">
                  <c:v>14.1</c:v>
                </c:pt>
                <c:pt idx="423">
                  <c:v>14.1</c:v>
                </c:pt>
                <c:pt idx="424">
                  <c:v>14.15</c:v>
                </c:pt>
                <c:pt idx="425">
                  <c:v>14.2</c:v>
                </c:pt>
                <c:pt idx="426">
                  <c:v>14.2</c:v>
                </c:pt>
                <c:pt idx="427">
                  <c:v>14.25</c:v>
                </c:pt>
                <c:pt idx="428">
                  <c:v>14.3</c:v>
                </c:pt>
                <c:pt idx="429">
                  <c:v>14.3</c:v>
                </c:pt>
                <c:pt idx="430">
                  <c:v>14.35</c:v>
                </c:pt>
                <c:pt idx="431">
                  <c:v>14.4</c:v>
                </c:pt>
                <c:pt idx="432">
                  <c:v>14.4</c:v>
                </c:pt>
                <c:pt idx="433">
                  <c:v>14.45</c:v>
                </c:pt>
                <c:pt idx="434">
                  <c:v>14.5</c:v>
                </c:pt>
                <c:pt idx="435">
                  <c:v>14.5</c:v>
                </c:pt>
                <c:pt idx="436">
                  <c:v>14.55</c:v>
                </c:pt>
                <c:pt idx="437">
                  <c:v>14.6</c:v>
                </c:pt>
                <c:pt idx="438">
                  <c:v>14.6</c:v>
                </c:pt>
                <c:pt idx="439">
                  <c:v>14.65</c:v>
                </c:pt>
                <c:pt idx="440">
                  <c:v>14.7</c:v>
                </c:pt>
                <c:pt idx="441">
                  <c:v>14.7</c:v>
                </c:pt>
                <c:pt idx="442">
                  <c:v>14.75</c:v>
                </c:pt>
                <c:pt idx="443">
                  <c:v>14.8</c:v>
                </c:pt>
                <c:pt idx="444">
                  <c:v>14.8</c:v>
                </c:pt>
                <c:pt idx="445">
                  <c:v>14.85</c:v>
                </c:pt>
                <c:pt idx="446">
                  <c:v>14.9</c:v>
                </c:pt>
                <c:pt idx="447">
                  <c:v>14.9</c:v>
                </c:pt>
                <c:pt idx="448">
                  <c:v>14.95</c:v>
                </c:pt>
                <c:pt idx="449">
                  <c:v>15</c:v>
                </c:pt>
                <c:pt idx="450">
                  <c:v>15</c:v>
                </c:pt>
                <c:pt idx="451">
                  <c:v>15.05</c:v>
                </c:pt>
                <c:pt idx="452">
                  <c:v>15.1</c:v>
                </c:pt>
                <c:pt idx="453">
                  <c:v>15.1</c:v>
                </c:pt>
                <c:pt idx="454">
                  <c:v>15.15</c:v>
                </c:pt>
                <c:pt idx="455">
                  <c:v>15.2</c:v>
                </c:pt>
                <c:pt idx="456">
                  <c:v>15.2</c:v>
                </c:pt>
                <c:pt idx="457">
                  <c:v>15.25</c:v>
                </c:pt>
                <c:pt idx="458">
                  <c:v>15.3</c:v>
                </c:pt>
                <c:pt idx="459">
                  <c:v>15.3</c:v>
                </c:pt>
                <c:pt idx="460">
                  <c:v>15.35</c:v>
                </c:pt>
                <c:pt idx="461">
                  <c:v>15.4</c:v>
                </c:pt>
                <c:pt idx="462">
                  <c:v>15.4</c:v>
                </c:pt>
                <c:pt idx="463">
                  <c:v>15.45</c:v>
                </c:pt>
                <c:pt idx="464">
                  <c:v>15.5</c:v>
                </c:pt>
                <c:pt idx="465">
                  <c:v>15.5</c:v>
                </c:pt>
                <c:pt idx="466">
                  <c:v>15.55</c:v>
                </c:pt>
                <c:pt idx="467">
                  <c:v>15.6</c:v>
                </c:pt>
                <c:pt idx="468">
                  <c:v>15.6</c:v>
                </c:pt>
                <c:pt idx="469">
                  <c:v>15.65</c:v>
                </c:pt>
                <c:pt idx="470">
                  <c:v>15.7</c:v>
                </c:pt>
                <c:pt idx="471">
                  <c:v>15.7</c:v>
                </c:pt>
                <c:pt idx="472">
                  <c:v>15.75</c:v>
                </c:pt>
                <c:pt idx="473">
                  <c:v>15.8</c:v>
                </c:pt>
                <c:pt idx="474">
                  <c:v>15.8</c:v>
                </c:pt>
                <c:pt idx="475">
                  <c:v>15.85</c:v>
                </c:pt>
                <c:pt idx="476">
                  <c:v>15.9</c:v>
                </c:pt>
                <c:pt idx="477">
                  <c:v>15.9</c:v>
                </c:pt>
                <c:pt idx="478">
                  <c:v>15.95</c:v>
                </c:pt>
                <c:pt idx="479">
                  <c:v>16</c:v>
                </c:pt>
                <c:pt idx="480">
                  <c:v>16</c:v>
                </c:pt>
                <c:pt idx="481">
                  <c:v>16.05</c:v>
                </c:pt>
                <c:pt idx="482">
                  <c:v>16.1</c:v>
                </c:pt>
                <c:pt idx="483">
                  <c:v>16.1</c:v>
                </c:pt>
                <c:pt idx="484">
                  <c:v>16.15</c:v>
                </c:pt>
                <c:pt idx="485">
                  <c:v>16.2</c:v>
                </c:pt>
                <c:pt idx="486">
                  <c:v>16.2</c:v>
                </c:pt>
                <c:pt idx="487">
                  <c:v>16.25</c:v>
                </c:pt>
                <c:pt idx="488">
                  <c:v>16.3</c:v>
                </c:pt>
                <c:pt idx="489">
                  <c:v>16.3</c:v>
                </c:pt>
                <c:pt idx="490">
                  <c:v>16.35</c:v>
                </c:pt>
                <c:pt idx="491">
                  <c:v>16.4</c:v>
                </c:pt>
                <c:pt idx="492">
                  <c:v>16.4</c:v>
                </c:pt>
                <c:pt idx="493">
                  <c:v>16.45</c:v>
                </c:pt>
                <c:pt idx="494">
                  <c:v>16.5</c:v>
                </c:pt>
                <c:pt idx="495">
                  <c:v>16.5</c:v>
                </c:pt>
                <c:pt idx="496">
                  <c:v>16.55</c:v>
                </c:pt>
                <c:pt idx="497">
                  <c:v>16.6</c:v>
                </c:pt>
                <c:pt idx="498">
                  <c:v>16.6</c:v>
                </c:pt>
                <c:pt idx="499">
                  <c:v>16.65</c:v>
                </c:pt>
                <c:pt idx="500">
                  <c:v>16.7</c:v>
                </c:pt>
                <c:pt idx="501">
                  <c:v>16.7</c:v>
                </c:pt>
                <c:pt idx="502">
                  <c:v>16.75</c:v>
                </c:pt>
                <c:pt idx="503">
                  <c:v>16.8</c:v>
                </c:pt>
                <c:pt idx="504">
                  <c:v>16.8</c:v>
                </c:pt>
                <c:pt idx="505">
                  <c:v>16.85</c:v>
                </c:pt>
                <c:pt idx="506">
                  <c:v>16.9</c:v>
                </c:pt>
                <c:pt idx="507">
                  <c:v>16.9</c:v>
                </c:pt>
                <c:pt idx="508">
                  <c:v>16.95</c:v>
                </c:pt>
                <c:pt idx="509">
                  <c:v>17</c:v>
                </c:pt>
                <c:pt idx="510">
                  <c:v>17</c:v>
                </c:pt>
                <c:pt idx="511">
                  <c:v>17.05</c:v>
                </c:pt>
                <c:pt idx="512">
                  <c:v>17.1</c:v>
                </c:pt>
                <c:pt idx="513">
                  <c:v>17.1</c:v>
                </c:pt>
                <c:pt idx="514">
                  <c:v>17.15</c:v>
                </c:pt>
                <c:pt idx="515">
                  <c:v>17.2</c:v>
                </c:pt>
                <c:pt idx="516">
                  <c:v>17.2</c:v>
                </c:pt>
                <c:pt idx="517">
                  <c:v>17.25</c:v>
                </c:pt>
                <c:pt idx="518">
                  <c:v>17.3</c:v>
                </c:pt>
                <c:pt idx="519">
                  <c:v>17.3</c:v>
                </c:pt>
                <c:pt idx="520">
                  <c:v>17.35</c:v>
                </c:pt>
                <c:pt idx="521">
                  <c:v>17.4</c:v>
                </c:pt>
                <c:pt idx="522">
                  <c:v>17.4</c:v>
                </c:pt>
                <c:pt idx="523">
                  <c:v>17.45</c:v>
                </c:pt>
                <c:pt idx="524">
                  <c:v>17.5</c:v>
                </c:pt>
                <c:pt idx="525">
                  <c:v>17.5</c:v>
                </c:pt>
                <c:pt idx="526">
                  <c:v>17.55</c:v>
                </c:pt>
                <c:pt idx="527">
                  <c:v>17.6</c:v>
                </c:pt>
                <c:pt idx="528">
                  <c:v>17.6</c:v>
                </c:pt>
                <c:pt idx="529">
                  <c:v>17.65</c:v>
                </c:pt>
                <c:pt idx="530">
                  <c:v>17.7</c:v>
                </c:pt>
                <c:pt idx="531">
                  <c:v>17.7</c:v>
                </c:pt>
                <c:pt idx="532">
                  <c:v>17.75</c:v>
                </c:pt>
                <c:pt idx="533">
                  <c:v>17.8</c:v>
                </c:pt>
                <c:pt idx="534">
                  <c:v>17.8</c:v>
                </c:pt>
                <c:pt idx="535">
                  <c:v>17.85</c:v>
                </c:pt>
                <c:pt idx="536">
                  <c:v>17.9</c:v>
                </c:pt>
                <c:pt idx="537">
                  <c:v>17.9</c:v>
                </c:pt>
                <c:pt idx="538">
                  <c:v>17.95</c:v>
                </c:pt>
                <c:pt idx="539">
                  <c:v>18</c:v>
                </c:pt>
                <c:pt idx="540">
                  <c:v>18</c:v>
                </c:pt>
                <c:pt idx="541">
                  <c:v>18.05</c:v>
                </c:pt>
                <c:pt idx="542">
                  <c:v>18.1</c:v>
                </c:pt>
                <c:pt idx="543">
                  <c:v>18.1</c:v>
                </c:pt>
                <c:pt idx="544">
                  <c:v>18.15</c:v>
                </c:pt>
                <c:pt idx="545">
                  <c:v>18.2</c:v>
                </c:pt>
                <c:pt idx="546">
                  <c:v>18.2</c:v>
                </c:pt>
                <c:pt idx="547">
                  <c:v>18.25</c:v>
                </c:pt>
                <c:pt idx="548">
                  <c:v>18.3</c:v>
                </c:pt>
                <c:pt idx="549">
                  <c:v>18.3</c:v>
                </c:pt>
                <c:pt idx="550">
                  <c:v>18.35</c:v>
                </c:pt>
                <c:pt idx="551">
                  <c:v>18.4</c:v>
                </c:pt>
                <c:pt idx="552">
                  <c:v>18.4</c:v>
                </c:pt>
                <c:pt idx="553">
                  <c:v>18.45</c:v>
                </c:pt>
                <c:pt idx="554">
                  <c:v>18.5</c:v>
                </c:pt>
                <c:pt idx="555">
                  <c:v>18.5</c:v>
                </c:pt>
                <c:pt idx="556">
                  <c:v>18.55</c:v>
                </c:pt>
                <c:pt idx="557">
                  <c:v>18.6</c:v>
                </c:pt>
                <c:pt idx="558">
                  <c:v>18.6</c:v>
                </c:pt>
                <c:pt idx="559">
                  <c:v>18.65</c:v>
                </c:pt>
                <c:pt idx="560">
                  <c:v>18.7</c:v>
                </c:pt>
                <c:pt idx="561">
                  <c:v>18.75</c:v>
                </c:pt>
                <c:pt idx="562">
                  <c:v>18.75</c:v>
                </c:pt>
                <c:pt idx="563">
                  <c:v>18.8</c:v>
                </c:pt>
                <c:pt idx="564">
                  <c:v>18.85</c:v>
                </c:pt>
                <c:pt idx="565">
                  <c:v>18.85</c:v>
                </c:pt>
                <c:pt idx="566">
                  <c:v>18.9</c:v>
                </c:pt>
                <c:pt idx="567">
                  <c:v>18.95</c:v>
                </c:pt>
                <c:pt idx="568">
                  <c:v>18.95</c:v>
                </c:pt>
                <c:pt idx="569">
                  <c:v>19</c:v>
                </c:pt>
                <c:pt idx="570">
                  <c:v>19.05</c:v>
                </c:pt>
                <c:pt idx="571">
                  <c:v>19.05</c:v>
                </c:pt>
                <c:pt idx="572">
                  <c:v>19.1</c:v>
                </c:pt>
                <c:pt idx="573">
                  <c:v>19.15</c:v>
                </c:pt>
                <c:pt idx="574">
                  <c:v>19.15</c:v>
                </c:pt>
                <c:pt idx="575">
                  <c:v>19.2</c:v>
                </c:pt>
                <c:pt idx="576">
                  <c:v>19.25</c:v>
                </c:pt>
                <c:pt idx="577">
                  <c:v>19.25</c:v>
                </c:pt>
                <c:pt idx="578">
                  <c:v>19.3</c:v>
                </c:pt>
                <c:pt idx="579">
                  <c:v>19.35</c:v>
                </c:pt>
                <c:pt idx="580">
                  <c:v>19.35</c:v>
                </c:pt>
                <c:pt idx="581">
                  <c:v>19.4</c:v>
                </c:pt>
                <c:pt idx="582">
                  <c:v>19.45</c:v>
                </c:pt>
                <c:pt idx="583">
                  <c:v>19.45</c:v>
                </c:pt>
                <c:pt idx="584">
                  <c:v>19.5</c:v>
                </c:pt>
                <c:pt idx="585">
                  <c:v>19.55</c:v>
                </c:pt>
                <c:pt idx="586">
                  <c:v>19.55</c:v>
                </c:pt>
                <c:pt idx="587">
                  <c:v>19.6</c:v>
                </c:pt>
                <c:pt idx="588">
                  <c:v>19.65</c:v>
                </c:pt>
                <c:pt idx="589">
                  <c:v>19.65</c:v>
                </c:pt>
                <c:pt idx="590">
                  <c:v>19.7</c:v>
                </c:pt>
                <c:pt idx="591">
                  <c:v>19.75</c:v>
                </c:pt>
                <c:pt idx="592">
                  <c:v>19.75</c:v>
                </c:pt>
                <c:pt idx="593">
                  <c:v>19.8</c:v>
                </c:pt>
                <c:pt idx="594">
                  <c:v>19.85</c:v>
                </c:pt>
                <c:pt idx="595">
                  <c:v>19.85</c:v>
                </c:pt>
                <c:pt idx="596">
                  <c:v>19.9</c:v>
                </c:pt>
                <c:pt idx="597">
                  <c:v>19.95</c:v>
                </c:pt>
                <c:pt idx="598">
                  <c:v>19.95</c:v>
                </c:pt>
                <c:pt idx="599">
                  <c:v>20</c:v>
                </c:pt>
                <c:pt idx="600">
                  <c:v>20.05</c:v>
                </c:pt>
                <c:pt idx="601">
                  <c:v>20.05</c:v>
                </c:pt>
                <c:pt idx="602">
                  <c:v>20.1</c:v>
                </c:pt>
                <c:pt idx="603">
                  <c:v>20.15</c:v>
                </c:pt>
                <c:pt idx="604">
                  <c:v>20.15</c:v>
                </c:pt>
                <c:pt idx="605">
                  <c:v>20.2</c:v>
                </c:pt>
                <c:pt idx="606">
                  <c:v>20.25</c:v>
                </c:pt>
                <c:pt idx="607">
                  <c:v>20.25</c:v>
                </c:pt>
                <c:pt idx="608">
                  <c:v>20.3</c:v>
                </c:pt>
                <c:pt idx="609">
                  <c:v>20.35</c:v>
                </c:pt>
                <c:pt idx="610">
                  <c:v>20.35</c:v>
                </c:pt>
                <c:pt idx="611">
                  <c:v>20.4</c:v>
                </c:pt>
                <c:pt idx="612">
                  <c:v>20.45</c:v>
                </c:pt>
                <c:pt idx="613">
                  <c:v>20.45</c:v>
                </c:pt>
                <c:pt idx="614">
                  <c:v>20.5</c:v>
                </c:pt>
                <c:pt idx="615">
                  <c:v>20.55</c:v>
                </c:pt>
                <c:pt idx="616">
                  <c:v>20.55</c:v>
                </c:pt>
                <c:pt idx="617">
                  <c:v>20.6</c:v>
                </c:pt>
                <c:pt idx="618">
                  <c:v>20.65</c:v>
                </c:pt>
                <c:pt idx="619">
                  <c:v>20.65</c:v>
                </c:pt>
                <c:pt idx="620">
                  <c:v>20.7</c:v>
                </c:pt>
                <c:pt idx="621">
                  <c:v>20.75</c:v>
                </c:pt>
                <c:pt idx="622">
                  <c:v>20.75</c:v>
                </c:pt>
                <c:pt idx="623">
                  <c:v>20.8</c:v>
                </c:pt>
                <c:pt idx="624">
                  <c:v>20.85</c:v>
                </c:pt>
                <c:pt idx="625">
                  <c:v>20.85</c:v>
                </c:pt>
                <c:pt idx="626">
                  <c:v>20.9</c:v>
                </c:pt>
                <c:pt idx="627">
                  <c:v>20.95</c:v>
                </c:pt>
                <c:pt idx="628">
                  <c:v>20.95</c:v>
                </c:pt>
                <c:pt idx="629">
                  <c:v>21</c:v>
                </c:pt>
                <c:pt idx="630">
                  <c:v>21.05</c:v>
                </c:pt>
                <c:pt idx="631">
                  <c:v>21.05</c:v>
                </c:pt>
                <c:pt idx="632">
                  <c:v>21.1</c:v>
                </c:pt>
                <c:pt idx="633">
                  <c:v>21.15</c:v>
                </c:pt>
                <c:pt idx="634">
                  <c:v>21.15</c:v>
                </c:pt>
                <c:pt idx="635">
                  <c:v>21.2</c:v>
                </c:pt>
                <c:pt idx="636">
                  <c:v>21.25</c:v>
                </c:pt>
                <c:pt idx="637">
                  <c:v>21.25</c:v>
                </c:pt>
                <c:pt idx="638">
                  <c:v>21.3</c:v>
                </c:pt>
                <c:pt idx="639">
                  <c:v>21.35</c:v>
                </c:pt>
                <c:pt idx="640">
                  <c:v>21.35</c:v>
                </c:pt>
                <c:pt idx="641">
                  <c:v>21.4</c:v>
                </c:pt>
                <c:pt idx="642">
                  <c:v>21.45</c:v>
                </c:pt>
                <c:pt idx="643">
                  <c:v>21.45</c:v>
                </c:pt>
                <c:pt idx="644">
                  <c:v>21.5</c:v>
                </c:pt>
                <c:pt idx="645">
                  <c:v>21.55</c:v>
                </c:pt>
                <c:pt idx="646">
                  <c:v>21.55</c:v>
                </c:pt>
                <c:pt idx="647">
                  <c:v>21.6</c:v>
                </c:pt>
                <c:pt idx="648">
                  <c:v>21.65</c:v>
                </c:pt>
                <c:pt idx="649">
                  <c:v>21.65</c:v>
                </c:pt>
                <c:pt idx="650">
                  <c:v>21.7</c:v>
                </c:pt>
                <c:pt idx="651">
                  <c:v>21.75</c:v>
                </c:pt>
                <c:pt idx="652">
                  <c:v>21.75</c:v>
                </c:pt>
                <c:pt idx="653">
                  <c:v>21.8</c:v>
                </c:pt>
                <c:pt idx="654">
                  <c:v>21.85</c:v>
                </c:pt>
                <c:pt idx="655">
                  <c:v>21.85</c:v>
                </c:pt>
                <c:pt idx="656">
                  <c:v>21.9</c:v>
                </c:pt>
                <c:pt idx="657">
                  <c:v>21.95</c:v>
                </c:pt>
                <c:pt idx="658">
                  <c:v>21.95</c:v>
                </c:pt>
                <c:pt idx="659">
                  <c:v>22</c:v>
                </c:pt>
                <c:pt idx="660">
                  <c:v>22.05</c:v>
                </c:pt>
                <c:pt idx="661">
                  <c:v>22.05</c:v>
                </c:pt>
                <c:pt idx="662">
                  <c:v>22.1</c:v>
                </c:pt>
                <c:pt idx="663">
                  <c:v>22.15</c:v>
                </c:pt>
              </c:numCache>
            </c:numRef>
          </c:cat>
          <c:val>
            <c:numRef>
              <c:f>'常压_b_20 (1)'!$K$4:$K$667</c:f>
              <c:numCache>
                <c:formatCode>General</c:formatCode>
                <c:ptCount val="664"/>
                <c:pt idx="0">
                  <c:v>0.5</c:v>
                </c:pt>
                <c:pt idx="1">
                  <c:v>0.400000000000006</c:v>
                </c:pt>
                <c:pt idx="2">
                  <c:v>0.400000000000006</c:v>
                </c:pt>
                <c:pt idx="3">
                  <c:v>0.400000000000006</c:v>
                </c:pt>
                <c:pt idx="4">
                  <c:v>0.400000000000006</c:v>
                </c:pt>
                <c:pt idx="5">
                  <c:v>0.400000000000006</c:v>
                </c:pt>
                <c:pt idx="6">
                  <c:v>0.400000000000006</c:v>
                </c:pt>
                <c:pt idx="7">
                  <c:v>0.400000000000006</c:v>
                </c:pt>
                <c:pt idx="8">
                  <c:v>0.400000000000006</c:v>
                </c:pt>
                <c:pt idx="9">
                  <c:v>0.400000000000006</c:v>
                </c:pt>
                <c:pt idx="10">
                  <c:v>0.5</c:v>
                </c:pt>
                <c:pt idx="11">
                  <c:v>0.5</c:v>
                </c:pt>
                <c:pt idx="12">
                  <c:v>0.400000000000006</c:v>
                </c:pt>
                <c:pt idx="13">
                  <c:v>0.400000000000006</c:v>
                </c:pt>
                <c:pt idx="14">
                  <c:v>0.400000000000006</c:v>
                </c:pt>
                <c:pt idx="15">
                  <c:v>0.5</c:v>
                </c:pt>
                <c:pt idx="16">
                  <c:v>0.5</c:v>
                </c:pt>
                <c:pt idx="17">
                  <c:v>0.599999999999994</c:v>
                </c:pt>
                <c:pt idx="18">
                  <c:v>0.5</c:v>
                </c:pt>
                <c:pt idx="19">
                  <c:v>0.599999999999994</c:v>
                </c:pt>
                <c:pt idx="20">
                  <c:v>0.599999999999994</c:v>
                </c:pt>
                <c:pt idx="21">
                  <c:v>0.599999999999994</c:v>
                </c:pt>
                <c:pt idx="22">
                  <c:v>0.699999999999989</c:v>
                </c:pt>
                <c:pt idx="23">
                  <c:v>0.699999999999989</c:v>
                </c:pt>
                <c:pt idx="24">
                  <c:v>0.699999999999989</c:v>
                </c:pt>
                <c:pt idx="25">
                  <c:v>0.699999999999989</c:v>
                </c:pt>
                <c:pt idx="26">
                  <c:v>0.800000000000011</c:v>
                </c:pt>
                <c:pt idx="27">
                  <c:v>0.599999999999994</c:v>
                </c:pt>
                <c:pt idx="28">
                  <c:v>0.800000000000011</c:v>
                </c:pt>
                <c:pt idx="29">
                  <c:v>0.800000000000011</c:v>
                </c:pt>
                <c:pt idx="30">
                  <c:v>0.699999999999989</c:v>
                </c:pt>
                <c:pt idx="31">
                  <c:v>0.699999999999989</c:v>
                </c:pt>
                <c:pt idx="32">
                  <c:v>0.599999999999994</c:v>
                </c:pt>
                <c:pt idx="33">
                  <c:v>0.699999999999989</c:v>
                </c:pt>
                <c:pt idx="34">
                  <c:v>0.699999999999989</c:v>
                </c:pt>
                <c:pt idx="35">
                  <c:v>0.699999999999989</c:v>
                </c:pt>
                <c:pt idx="36">
                  <c:v>0.699999999999989</c:v>
                </c:pt>
                <c:pt idx="37">
                  <c:v>0.699999999999989</c:v>
                </c:pt>
                <c:pt idx="38">
                  <c:v>0.699999999999989</c:v>
                </c:pt>
                <c:pt idx="39">
                  <c:v>0.599999999999994</c:v>
                </c:pt>
                <c:pt idx="40">
                  <c:v>0.599999999999994</c:v>
                </c:pt>
                <c:pt idx="41">
                  <c:v>0.599999999999994</c:v>
                </c:pt>
                <c:pt idx="42">
                  <c:v>0.599999999999994</c:v>
                </c:pt>
                <c:pt idx="43">
                  <c:v>0.599999999999994</c:v>
                </c:pt>
                <c:pt idx="44">
                  <c:v>0.599999999999994</c:v>
                </c:pt>
                <c:pt idx="45">
                  <c:v>0.5</c:v>
                </c:pt>
                <c:pt idx="46">
                  <c:v>0.599999999999994</c:v>
                </c:pt>
                <c:pt idx="47">
                  <c:v>0.5</c:v>
                </c:pt>
                <c:pt idx="48">
                  <c:v>0.5</c:v>
                </c:pt>
                <c:pt idx="49">
                  <c:v>0.400000000000006</c:v>
                </c:pt>
                <c:pt idx="50">
                  <c:v>0.5</c:v>
                </c:pt>
                <c:pt idx="51">
                  <c:v>0.400000000000006</c:v>
                </c:pt>
                <c:pt idx="52">
                  <c:v>0.400000000000006</c:v>
                </c:pt>
                <c:pt idx="53">
                  <c:v>0.400000000000006</c:v>
                </c:pt>
                <c:pt idx="54">
                  <c:v>0.400000000000006</c:v>
                </c:pt>
                <c:pt idx="55">
                  <c:v>0.400000000000006</c:v>
                </c:pt>
                <c:pt idx="56">
                  <c:v>0.400000000000006</c:v>
                </c:pt>
                <c:pt idx="57">
                  <c:v>0.400000000000006</c:v>
                </c:pt>
                <c:pt idx="58">
                  <c:v>0.300000000000011</c:v>
                </c:pt>
                <c:pt idx="59">
                  <c:v>0.400000000000006</c:v>
                </c:pt>
                <c:pt idx="60">
                  <c:v>0.199999999999989</c:v>
                </c:pt>
                <c:pt idx="61">
                  <c:v>0.300000000000011</c:v>
                </c:pt>
                <c:pt idx="62">
                  <c:v>0.400000000000006</c:v>
                </c:pt>
                <c:pt idx="63">
                  <c:v>0.400000000000006</c:v>
                </c:pt>
                <c:pt idx="64">
                  <c:v>0.400000000000006</c:v>
                </c:pt>
                <c:pt idx="65">
                  <c:v>0.400000000000006</c:v>
                </c:pt>
                <c:pt idx="66">
                  <c:v>0.400000000000006</c:v>
                </c:pt>
                <c:pt idx="67">
                  <c:v>0.400000000000006</c:v>
                </c:pt>
                <c:pt idx="68">
                  <c:v>0.400000000000006</c:v>
                </c:pt>
                <c:pt idx="69">
                  <c:v>0.400000000000006</c:v>
                </c:pt>
                <c:pt idx="70">
                  <c:v>0.400000000000006</c:v>
                </c:pt>
                <c:pt idx="71">
                  <c:v>0.400000000000006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0.599999999999994</c:v>
                </c:pt>
                <c:pt idx="77">
                  <c:v>0.5</c:v>
                </c:pt>
                <c:pt idx="78">
                  <c:v>0.599999999999994</c:v>
                </c:pt>
                <c:pt idx="79">
                  <c:v>0.599999999999994</c:v>
                </c:pt>
                <c:pt idx="80">
                  <c:v>0.5</c:v>
                </c:pt>
                <c:pt idx="81">
                  <c:v>0.599999999999994</c:v>
                </c:pt>
                <c:pt idx="82">
                  <c:v>0.599999999999994</c:v>
                </c:pt>
                <c:pt idx="83">
                  <c:v>0.599999999999994</c:v>
                </c:pt>
                <c:pt idx="84">
                  <c:v>0.699999999999989</c:v>
                </c:pt>
                <c:pt idx="85">
                  <c:v>0.599999999999994</c:v>
                </c:pt>
                <c:pt idx="86">
                  <c:v>0.699999999999989</c:v>
                </c:pt>
                <c:pt idx="87">
                  <c:v>0.699999999999989</c:v>
                </c:pt>
                <c:pt idx="88">
                  <c:v>0.800000000000011</c:v>
                </c:pt>
                <c:pt idx="89">
                  <c:v>0.800000000000011</c:v>
                </c:pt>
                <c:pt idx="90">
                  <c:v>0.800000000000011</c:v>
                </c:pt>
                <c:pt idx="91">
                  <c:v>0.699999999999989</c:v>
                </c:pt>
                <c:pt idx="92">
                  <c:v>0.599999999999994</c:v>
                </c:pt>
                <c:pt idx="93">
                  <c:v>0.699999999999989</c:v>
                </c:pt>
                <c:pt idx="94">
                  <c:v>0.699999999999989</c:v>
                </c:pt>
                <c:pt idx="95">
                  <c:v>0.599999999999994</c:v>
                </c:pt>
                <c:pt idx="96">
                  <c:v>0.699999999999989</c:v>
                </c:pt>
                <c:pt idx="97">
                  <c:v>0.599999999999994</c:v>
                </c:pt>
                <c:pt idx="98">
                  <c:v>0.699999999999989</c:v>
                </c:pt>
                <c:pt idx="99">
                  <c:v>0.699999999999989</c:v>
                </c:pt>
                <c:pt idx="100">
                  <c:v>0.699999999999989</c:v>
                </c:pt>
                <c:pt idx="101">
                  <c:v>0.599999999999994</c:v>
                </c:pt>
                <c:pt idx="102">
                  <c:v>0.599999999999994</c:v>
                </c:pt>
                <c:pt idx="103">
                  <c:v>0.599999999999994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0.599999999999994</c:v>
                </c:pt>
                <c:pt idx="110">
                  <c:v>0.5</c:v>
                </c:pt>
                <c:pt idx="111">
                  <c:v>0.400000000000006</c:v>
                </c:pt>
                <c:pt idx="112">
                  <c:v>0.400000000000006</c:v>
                </c:pt>
                <c:pt idx="113">
                  <c:v>0.400000000000006</c:v>
                </c:pt>
                <c:pt idx="114">
                  <c:v>0.400000000000006</c:v>
                </c:pt>
                <c:pt idx="115">
                  <c:v>0.400000000000006</c:v>
                </c:pt>
                <c:pt idx="116">
                  <c:v>0.400000000000006</c:v>
                </c:pt>
                <c:pt idx="117">
                  <c:v>0.400000000000006</c:v>
                </c:pt>
                <c:pt idx="118">
                  <c:v>0.400000000000006</c:v>
                </c:pt>
                <c:pt idx="119">
                  <c:v>0.400000000000006</c:v>
                </c:pt>
                <c:pt idx="120">
                  <c:v>0.400000000000006</c:v>
                </c:pt>
                <c:pt idx="121">
                  <c:v>0.400000000000006</c:v>
                </c:pt>
                <c:pt idx="122">
                  <c:v>0.5</c:v>
                </c:pt>
                <c:pt idx="123">
                  <c:v>0.400000000000006</c:v>
                </c:pt>
                <c:pt idx="124">
                  <c:v>0.400000000000006</c:v>
                </c:pt>
                <c:pt idx="125">
                  <c:v>0.400000000000006</c:v>
                </c:pt>
                <c:pt idx="126">
                  <c:v>0.400000000000006</c:v>
                </c:pt>
                <c:pt idx="127">
                  <c:v>0.400000000000006</c:v>
                </c:pt>
                <c:pt idx="128">
                  <c:v>0.400000000000006</c:v>
                </c:pt>
                <c:pt idx="129">
                  <c:v>0.5</c:v>
                </c:pt>
                <c:pt idx="130">
                  <c:v>0.5</c:v>
                </c:pt>
                <c:pt idx="131">
                  <c:v>0.400000000000006</c:v>
                </c:pt>
                <c:pt idx="132">
                  <c:v>0.5</c:v>
                </c:pt>
                <c:pt idx="133">
                  <c:v>0.400000000000006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0.599999999999994</c:v>
                </c:pt>
                <c:pt idx="141">
                  <c:v>0.599999999999994</c:v>
                </c:pt>
                <c:pt idx="142">
                  <c:v>0.699999999999989</c:v>
                </c:pt>
                <c:pt idx="143">
                  <c:v>0.699999999999989</c:v>
                </c:pt>
                <c:pt idx="144">
                  <c:v>0.599999999999994</c:v>
                </c:pt>
                <c:pt idx="145">
                  <c:v>0.800000000000011</c:v>
                </c:pt>
                <c:pt idx="146">
                  <c:v>0.699999999999989</c:v>
                </c:pt>
                <c:pt idx="147">
                  <c:v>0.699999999999989</c:v>
                </c:pt>
                <c:pt idx="148">
                  <c:v>0.699999999999989</c:v>
                </c:pt>
                <c:pt idx="149">
                  <c:v>0.599999999999994</c:v>
                </c:pt>
                <c:pt idx="150">
                  <c:v>0.699999999999989</c:v>
                </c:pt>
                <c:pt idx="151">
                  <c:v>0.599999999999994</c:v>
                </c:pt>
                <c:pt idx="152">
                  <c:v>0.599999999999994</c:v>
                </c:pt>
                <c:pt idx="153">
                  <c:v>0.5</c:v>
                </c:pt>
                <c:pt idx="154">
                  <c:v>0.599999999999994</c:v>
                </c:pt>
                <c:pt idx="155">
                  <c:v>0.5</c:v>
                </c:pt>
                <c:pt idx="156">
                  <c:v>0.400000000000006</c:v>
                </c:pt>
                <c:pt idx="157">
                  <c:v>0.400000000000006</c:v>
                </c:pt>
                <c:pt idx="158">
                  <c:v>0.5</c:v>
                </c:pt>
                <c:pt idx="159">
                  <c:v>0.300000000000011</c:v>
                </c:pt>
                <c:pt idx="160">
                  <c:v>0.400000000000006</c:v>
                </c:pt>
                <c:pt idx="161">
                  <c:v>0.400000000000006</c:v>
                </c:pt>
                <c:pt idx="162">
                  <c:v>0.5</c:v>
                </c:pt>
                <c:pt idx="163">
                  <c:v>0.5</c:v>
                </c:pt>
                <c:pt idx="164">
                  <c:v>0.400000000000006</c:v>
                </c:pt>
                <c:pt idx="165">
                  <c:v>0.400000000000006</c:v>
                </c:pt>
                <c:pt idx="166">
                  <c:v>0.400000000000006</c:v>
                </c:pt>
                <c:pt idx="167">
                  <c:v>0.400000000000006</c:v>
                </c:pt>
                <c:pt idx="168">
                  <c:v>0.400000000000006</c:v>
                </c:pt>
                <c:pt idx="169">
                  <c:v>0.400000000000006</c:v>
                </c:pt>
                <c:pt idx="170">
                  <c:v>0.300000000000011</c:v>
                </c:pt>
                <c:pt idx="171">
                  <c:v>0.400000000000006</c:v>
                </c:pt>
                <c:pt idx="172">
                  <c:v>0.400000000000006</c:v>
                </c:pt>
                <c:pt idx="173">
                  <c:v>0.300000000000011</c:v>
                </c:pt>
                <c:pt idx="174">
                  <c:v>0.300000000000011</c:v>
                </c:pt>
                <c:pt idx="175">
                  <c:v>0.300000000000011</c:v>
                </c:pt>
                <c:pt idx="176">
                  <c:v>0.300000000000011</c:v>
                </c:pt>
                <c:pt idx="177">
                  <c:v>0.400000000000006</c:v>
                </c:pt>
                <c:pt idx="178">
                  <c:v>0.400000000000006</c:v>
                </c:pt>
                <c:pt idx="179">
                  <c:v>0.400000000000006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0.599999999999994</c:v>
                </c:pt>
                <c:pt idx="184">
                  <c:v>0.699999999999989</c:v>
                </c:pt>
                <c:pt idx="185">
                  <c:v>0.699999999999989</c:v>
                </c:pt>
                <c:pt idx="186">
                  <c:v>0.699999999999989</c:v>
                </c:pt>
                <c:pt idx="187">
                  <c:v>0.699999999999989</c:v>
                </c:pt>
                <c:pt idx="188">
                  <c:v>0.800000000000011</c:v>
                </c:pt>
                <c:pt idx="189">
                  <c:v>0.900000000000006</c:v>
                </c:pt>
                <c:pt idx="190">
                  <c:v>0.800000000000011</c:v>
                </c:pt>
                <c:pt idx="191">
                  <c:v>1.30000000000001</c:v>
                </c:pt>
                <c:pt idx="192">
                  <c:v>1.40000000000001</c:v>
                </c:pt>
                <c:pt idx="193">
                  <c:v>1.69999999999999</c:v>
                </c:pt>
                <c:pt idx="194">
                  <c:v>2</c:v>
                </c:pt>
                <c:pt idx="195">
                  <c:v>2</c:v>
                </c:pt>
                <c:pt idx="196">
                  <c:v>2.40000000000001</c:v>
                </c:pt>
                <c:pt idx="197">
                  <c:v>2.90000000000001</c:v>
                </c:pt>
                <c:pt idx="198">
                  <c:v>3.09999999999999</c:v>
                </c:pt>
                <c:pt idx="199">
                  <c:v>3.59999999999999</c:v>
                </c:pt>
                <c:pt idx="200">
                  <c:v>3.80000000000001</c:v>
                </c:pt>
                <c:pt idx="201">
                  <c:v>3.80000000000001</c:v>
                </c:pt>
                <c:pt idx="202">
                  <c:v>3.69999999999999</c:v>
                </c:pt>
                <c:pt idx="203">
                  <c:v>3.90000000000001</c:v>
                </c:pt>
                <c:pt idx="204">
                  <c:v>3.69999999999999</c:v>
                </c:pt>
                <c:pt idx="205">
                  <c:v>3.69999999999999</c:v>
                </c:pt>
                <c:pt idx="206">
                  <c:v>3.69999999999999</c:v>
                </c:pt>
                <c:pt idx="207">
                  <c:v>3.5</c:v>
                </c:pt>
                <c:pt idx="208">
                  <c:v>3.5</c:v>
                </c:pt>
                <c:pt idx="209">
                  <c:v>3.40000000000001</c:v>
                </c:pt>
                <c:pt idx="210">
                  <c:v>3.19999999999999</c:v>
                </c:pt>
                <c:pt idx="211">
                  <c:v>3.09999999999999</c:v>
                </c:pt>
                <c:pt idx="212">
                  <c:v>3</c:v>
                </c:pt>
                <c:pt idx="213">
                  <c:v>2.40000000000001</c:v>
                </c:pt>
                <c:pt idx="214">
                  <c:v>2.19999999999999</c:v>
                </c:pt>
                <c:pt idx="215">
                  <c:v>1.69999999999999</c:v>
                </c:pt>
                <c:pt idx="216">
                  <c:v>1.5</c:v>
                </c:pt>
                <c:pt idx="217">
                  <c:v>1.19999999999999</c:v>
                </c:pt>
                <c:pt idx="218">
                  <c:v>1.09999999999999</c:v>
                </c:pt>
                <c:pt idx="219">
                  <c:v>1.09999999999999</c:v>
                </c:pt>
                <c:pt idx="220">
                  <c:v>0.699999999999989</c:v>
                </c:pt>
                <c:pt idx="221">
                  <c:v>0.599999999999994</c:v>
                </c:pt>
                <c:pt idx="222">
                  <c:v>0.5</c:v>
                </c:pt>
                <c:pt idx="223">
                  <c:v>0.400000000000006</c:v>
                </c:pt>
                <c:pt idx="224">
                  <c:v>0.400000000000006</c:v>
                </c:pt>
                <c:pt idx="225">
                  <c:v>0.300000000000011</c:v>
                </c:pt>
                <c:pt idx="226">
                  <c:v>0.5</c:v>
                </c:pt>
                <c:pt idx="227">
                  <c:v>0.599999999999994</c:v>
                </c:pt>
                <c:pt idx="228">
                  <c:v>0.599999999999994</c:v>
                </c:pt>
                <c:pt idx="229">
                  <c:v>0.800000000000011</c:v>
                </c:pt>
                <c:pt idx="230">
                  <c:v>0.900000000000006</c:v>
                </c:pt>
                <c:pt idx="231">
                  <c:v>1.09999999999999</c:v>
                </c:pt>
                <c:pt idx="232">
                  <c:v>1.5</c:v>
                </c:pt>
                <c:pt idx="233">
                  <c:v>1.80000000000001</c:v>
                </c:pt>
                <c:pt idx="234">
                  <c:v>2.19999999999999</c:v>
                </c:pt>
                <c:pt idx="235">
                  <c:v>2.80000000000001</c:v>
                </c:pt>
                <c:pt idx="236">
                  <c:v>3.19999999999999</c:v>
                </c:pt>
                <c:pt idx="237">
                  <c:v>3.80000000000001</c:v>
                </c:pt>
                <c:pt idx="238">
                  <c:v>4.09999999999999</c:v>
                </c:pt>
                <c:pt idx="239">
                  <c:v>4.59999999999999</c:v>
                </c:pt>
                <c:pt idx="240">
                  <c:v>5</c:v>
                </c:pt>
                <c:pt idx="241">
                  <c:v>5.30000000000001</c:v>
                </c:pt>
                <c:pt idx="242">
                  <c:v>5.80000000000001</c:v>
                </c:pt>
                <c:pt idx="243">
                  <c:v>6.30000000000001</c:v>
                </c:pt>
                <c:pt idx="244">
                  <c:v>6.59999999999999</c:v>
                </c:pt>
                <c:pt idx="245">
                  <c:v>6.69999999999999</c:v>
                </c:pt>
                <c:pt idx="246">
                  <c:v>6.69999999999999</c:v>
                </c:pt>
                <c:pt idx="247">
                  <c:v>6.80000000000001</c:v>
                </c:pt>
                <c:pt idx="248">
                  <c:v>6.69999999999999</c:v>
                </c:pt>
                <c:pt idx="249">
                  <c:v>6.59999999999999</c:v>
                </c:pt>
                <c:pt idx="250">
                  <c:v>6.5</c:v>
                </c:pt>
                <c:pt idx="251">
                  <c:v>6.40000000000001</c:v>
                </c:pt>
                <c:pt idx="252">
                  <c:v>6.09999999999999</c:v>
                </c:pt>
                <c:pt idx="253">
                  <c:v>6</c:v>
                </c:pt>
                <c:pt idx="254">
                  <c:v>5.40000000000001</c:v>
                </c:pt>
                <c:pt idx="255">
                  <c:v>4.80000000000001</c:v>
                </c:pt>
                <c:pt idx="256">
                  <c:v>4.30000000000001</c:v>
                </c:pt>
                <c:pt idx="257">
                  <c:v>4</c:v>
                </c:pt>
                <c:pt idx="258">
                  <c:v>3.59999999999999</c:v>
                </c:pt>
                <c:pt idx="259">
                  <c:v>3</c:v>
                </c:pt>
                <c:pt idx="260">
                  <c:v>2.30000000000001</c:v>
                </c:pt>
                <c:pt idx="261">
                  <c:v>1.80000000000001</c:v>
                </c:pt>
                <c:pt idx="262">
                  <c:v>1.30000000000001</c:v>
                </c:pt>
                <c:pt idx="263">
                  <c:v>1</c:v>
                </c:pt>
                <c:pt idx="264">
                  <c:v>0.599999999999994</c:v>
                </c:pt>
                <c:pt idx="265">
                  <c:v>0.300000000000011</c:v>
                </c:pt>
                <c:pt idx="266">
                  <c:v>0.0999999999999943</c:v>
                </c:pt>
                <c:pt idx="267">
                  <c:v>0.0999999999999943</c:v>
                </c:pt>
                <c:pt idx="268">
                  <c:v>0</c:v>
                </c:pt>
                <c:pt idx="269">
                  <c:v>0.199999999999989</c:v>
                </c:pt>
                <c:pt idx="270">
                  <c:v>0.199999999999989</c:v>
                </c:pt>
                <c:pt idx="271">
                  <c:v>0.400000000000006</c:v>
                </c:pt>
                <c:pt idx="272">
                  <c:v>0.5</c:v>
                </c:pt>
                <c:pt idx="273">
                  <c:v>0.599999999999994</c:v>
                </c:pt>
                <c:pt idx="274">
                  <c:v>0.800000000000011</c:v>
                </c:pt>
                <c:pt idx="275">
                  <c:v>1.09999999999999</c:v>
                </c:pt>
                <c:pt idx="276">
                  <c:v>1.80000000000001</c:v>
                </c:pt>
                <c:pt idx="277">
                  <c:v>2.19999999999999</c:v>
                </c:pt>
                <c:pt idx="278">
                  <c:v>3</c:v>
                </c:pt>
                <c:pt idx="279">
                  <c:v>3.5</c:v>
                </c:pt>
                <c:pt idx="280">
                  <c:v>3.90000000000001</c:v>
                </c:pt>
                <c:pt idx="281">
                  <c:v>4.40000000000001</c:v>
                </c:pt>
                <c:pt idx="282">
                  <c:v>5</c:v>
                </c:pt>
                <c:pt idx="283">
                  <c:v>5.69999999999999</c:v>
                </c:pt>
                <c:pt idx="284">
                  <c:v>6.30000000000001</c:v>
                </c:pt>
                <c:pt idx="285">
                  <c:v>7.09999999999999</c:v>
                </c:pt>
                <c:pt idx="286">
                  <c:v>7.59999999999999</c:v>
                </c:pt>
                <c:pt idx="287">
                  <c:v>8</c:v>
                </c:pt>
                <c:pt idx="288">
                  <c:v>8.40000000000001</c:v>
                </c:pt>
                <c:pt idx="289">
                  <c:v>8.90000000000001</c:v>
                </c:pt>
                <c:pt idx="290">
                  <c:v>8.80000000000001</c:v>
                </c:pt>
                <c:pt idx="291">
                  <c:v>8.69999999999999</c:v>
                </c:pt>
                <c:pt idx="292">
                  <c:v>8.69999999999999</c:v>
                </c:pt>
                <c:pt idx="293">
                  <c:v>8.5</c:v>
                </c:pt>
                <c:pt idx="294">
                  <c:v>8.30000000000001</c:v>
                </c:pt>
                <c:pt idx="295">
                  <c:v>8.09999999999999</c:v>
                </c:pt>
                <c:pt idx="296">
                  <c:v>7.69999999999999</c:v>
                </c:pt>
                <c:pt idx="297">
                  <c:v>7.19999999999999</c:v>
                </c:pt>
                <c:pt idx="298">
                  <c:v>6.5</c:v>
                </c:pt>
                <c:pt idx="299">
                  <c:v>5.80000000000001</c:v>
                </c:pt>
                <c:pt idx="300">
                  <c:v>4.59999999999999</c:v>
                </c:pt>
                <c:pt idx="301">
                  <c:v>4</c:v>
                </c:pt>
                <c:pt idx="302">
                  <c:v>3.19999999999999</c:v>
                </c:pt>
                <c:pt idx="303">
                  <c:v>2.59999999999999</c:v>
                </c:pt>
                <c:pt idx="304">
                  <c:v>2</c:v>
                </c:pt>
                <c:pt idx="305">
                  <c:v>1.19999999999999</c:v>
                </c:pt>
                <c:pt idx="306">
                  <c:v>0.599999999999994</c:v>
                </c:pt>
                <c:pt idx="307">
                  <c:v>0.199999999999989</c:v>
                </c:pt>
                <c:pt idx="308">
                  <c:v>-0.400000000000006</c:v>
                </c:pt>
                <c:pt idx="309">
                  <c:v>-0.800000000000011</c:v>
                </c:pt>
                <c:pt idx="310">
                  <c:v>-0.900000000000006</c:v>
                </c:pt>
                <c:pt idx="311">
                  <c:v>-0.800000000000011</c:v>
                </c:pt>
                <c:pt idx="312">
                  <c:v>-0.800000000000011</c:v>
                </c:pt>
                <c:pt idx="313">
                  <c:v>-0.800000000000011</c:v>
                </c:pt>
                <c:pt idx="314">
                  <c:v>-0.699999999999989</c:v>
                </c:pt>
                <c:pt idx="315">
                  <c:v>-0.5</c:v>
                </c:pt>
                <c:pt idx="316">
                  <c:v>-0.5</c:v>
                </c:pt>
                <c:pt idx="317">
                  <c:v>-0.300000000000011</c:v>
                </c:pt>
                <c:pt idx="318">
                  <c:v>0.0999999999999943</c:v>
                </c:pt>
                <c:pt idx="319">
                  <c:v>0.800000000000011</c:v>
                </c:pt>
                <c:pt idx="320">
                  <c:v>1.30000000000001</c:v>
                </c:pt>
                <c:pt idx="321">
                  <c:v>2.30000000000001</c:v>
                </c:pt>
                <c:pt idx="322">
                  <c:v>3</c:v>
                </c:pt>
                <c:pt idx="323">
                  <c:v>3.59999999999999</c:v>
                </c:pt>
                <c:pt idx="324">
                  <c:v>4.09999999999999</c:v>
                </c:pt>
                <c:pt idx="325">
                  <c:v>5.09999999999999</c:v>
                </c:pt>
                <c:pt idx="326">
                  <c:v>6.5</c:v>
                </c:pt>
                <c:pt idx="327">
                  <c:v>7.40000000000001</c:v>
                </c:pt>
                <c:pt idx="328">
                  <c:v>8.30000000000001</c:v>
                </c:pt>
                <c:pt idx="329">
                  <c:v>9.19999999999999</c:v>
                </c:pt>
                <c:pt idx="330">
                  <c:v>9.69999999999999</c:v>
                </c:pt>
                <c:pt idx="331">
                  <c:v>10.3</c:v>
                </c:pt>
                <c:pt idx="332">
                  <c:v>10.6</c:v>
                </c:pt>
                <c:pt idx="333">
                  <c:v>10.7</c:v>
                </c:pt>
                <c:pt idx="334">
                  <c:v>10.6</c:v>
                </c:pt>
                <c:pt idx="335">
                  <c:v>10.6</c:v>
                </c:pt>
                <c:pt idx="336">
                  <c:v>10.6</c:v>
                </c:pt>
                <c:pt idx="337">
                  <c:v>10.5</c:v>
                </c:pt>
                <c:pt idx="338">
                  <c:v>10.1</c:v>
                </c:pt>
                <c:pt idx="339">
                  <c:v>9.69999999999999</c:v>
                </c:pt>
                <c:pt idx="340">
                  <c:v>9</c:v>
                </c:pt>
                <c:pt idx="341">
                  <c:v>8</c:v>
                </c:pt>
                <c:pt idx="342">
                  <c:v>7.30000000000001</c:v>
                </c:pt>
                <c:pt idx="343">
                  <c:v>6.5</c:v>
                </c:pt>
                <c:pt idx="344">
                  <c:v>4.90000000000001</c:v>
                </c:pt>
                <c:pt idx="345">
                  <c:v>4.09999999999999</c:v>
                </c:pt>
                <c:pt idx="346">
                  <c:v>3.40000000000001</c:v>
                </c:pt>
                <c:pt idx="347">
                  <c:v>2.40000000000001</c:v>
                </c:pt>
                <c:pt idx="348">
                  <c:v>1.69999999999999</c:v>
                </c:pt>
                <c:pt idx="349">
                  <c:v>1</c:v>
                </c:pt>
                <c:pt idx="350">
                  <c:v>0.199999999999989</c:v>
                </c:pt>
                <c:pt idx="351">
                  <c:v>-0.599999999999994</c:v>
                </c:pt>
                <c:pt idx="352">
                  <c:v>-0.800000000000011</c:v>
                </c:pt>
                <c:pt idx="353">
                  <c:v>-1.19999999999999</c:v>
                </c:pt>
                <c:pt idx="354">
                  <c:v>-1.5</c:v>
                </c:pt>
                <c:pt idx="355">
                  <c:v>-1.59999999999999</c:v>
                </c:pt>
                <c:pt idx="356">
                  <c:v>-1.5</c:v>
                </c:pt>
                <c:pt idx="357">
                  <c:v>-1.5</c:v>
                </c:pt>
                <c:pt idx="358">
                  <c:v>-1.5</c:v>
                </c:pt>
                <c:pt idx="359">
                  <c:v>-1.19999999999999</c:v>
                </c:pt>
                <c:pt idx="360">
                  <c:v>-1.09999999999999</c:v>
                </c:pt>
                <c:pt idx="361">
                  <c:v>-0.599999999999994</c:v>
                </c:pt>
                <c:pt idx="362">
                  <c:v>-0.199999999999989</c:v>
                </c:pt>
                <c:pt idx="363">
                  <c:v>0.5</c:v>
                </c:pt>
                <c:pt idx="364">
                  <c:v>1.5</c:v>
                </c:pt>
                <c:pt idx="365">
                  <c:v>2.40000000000001</c:v>
                </c:pt>
                <c:pt idx="366">
                  <c:v>3.19999999999999</c:v>
                </c:pt>
                <c:pt idx="367">
                  <c:v>3.90000000000001</c:v>
                </c:pt>
                <c:pt idx="368">
                  <c:v>5.40000000000001</c:v>
                </c:pt>
                <c:pt idx="369">
                  <c:v>6.59999999999999</c:v>
                </c:pt>
                <c:pt idx="370">
                  <c:v>7.59999999999999</c:v>
                </c:pt>
                <c:pt idx="371">
                  <c:v>8.5</c:v>
                </c:pt>
                <c:pt idx="372">
                  <c:v>9.30000000000001</c:v>
                </c:pt>
                <c:pt idx="373">
                  <c:v>9.90000000000001</c:v>
                </c:pt>
                <c:pt idx="374">
                  <c:v>10</c:v>
                </c:pt>
                <c:pt idx="375">
                  <c:v>10.5</c:v>
                </c:pt>
                <c:pt idx="376">
                  <c:v>10.6</c:v>
                </c:pt>
                <c:pt idx="377">
                  <c:v>10.8</c:v>
                </c:pt>
                <c:pt idx="378">
                  <c:v>10.6</c:v>
                </c:pt>
                <c:pt idx="379">
                  <c:v>10.5</c:v>
                </c:pt>
                <c:pt idx="380">
                  <c:v>10.4</c:v>
                </c:pt>
                <c:pt idx="381">
                  <c:v>10.2</c:v>
                </c:pt>
                <c:pt idx="382">
                  <c:v>10.2</c:v>
                </c:pt>
                <c:pt idx="383">
                  <c:v>9.59999999999999</c:v>
                </c:pt>
                <c:pt idx="384">
                  <c:v>8.09999999999999</c:v>
                </c:pt>
                <c:pt idx="385">
                  <c:v>8</c:v>
                </c:pt>
                <c:pt idx="386">
                  <c:v>6.80000000000001</c:v>
                </c:pt>
                <c:pt idx="387">
                  <c:v>5.5</c:v>
                </c:pt>
                <c:pt idx="388">
                  <c:v>4</c:v>
                </c:pt>
                <c:pt idx="389">
                  <c:v>3.19999999999999</c:v>
                </c:pt>
                <c:pt idx="390">
                  <c:v>2</c:v>
                </c:pt>
                <c:pt idx="391">
                  <c:v>1.40000000000001</c:v>
                </c:pt>
                <c:pt idx="392">
                  <c:v>0.5</c:v>
                </c:pt>
                <c:pt idx="393">
                  <c:v>-0.199999999999989</c:v>
                </c:pt>
                <c:pt idx="394">
                  <c:v>-1.19999999999999</c:v>
                </c:pt>
                <c:pt idx="395">
                  <c:v>-1.69999999999999</c:v>
                </c:pt>
                <c:pt idx="396">
                  <c:v>-1.90000000000001</c:v>
                </c:pt>
                <c:pt idx="397">
                  <c:v>-2</c:v>
                </c:pt>
                <c:pt idx="398">
                  <c:v>-2.09999999999999</c:v>
                </c:pt>
                <c:pt idx="399">
                  <c:v>-2.30000000000001</c:v>
                </c:pt>
                <c:pt idx="400">
                  <c:v>-2.30000000000001</c:v>
                </c:pt>
                <c:pt idx="401">
                  <c:v>-2.19999999999999</c:v>
                </c:pt>
                <c:pt idx="402">
                  <c:v>-1.90000000000001</c:v>
                </c:pt>
                <c:pt idx="403">
                  <c:v>-1.5</c:v>
                </c:pt>
                <c:pt idx="404">
                  <c:v>-1.30000000000001</c:v>
                </c:pt>
                <c:pt idx="405">
                  <c:v>-1.09999999999999</c:v>
                </c:pt>
                <c:pt idx="406">
                  <c:v>0</c:v>
                </c:pt>
                <c:pt idx="407">
                  <c:v>0.800000000000011</c:v>
                </c:pt>
                <c:pt idx="408">
                  <c:v>2.09999999999999</c:v>
                </c:pt>
                <c:pt idx="409">
                  <c:v>3.30000000000001</c:v>
                </c:pt>
                <c:pt idx="410">
                  <c:v>4</c:v>
                </c:pt>
                <c:pt idx="411">
                  <c:v>5.90000000000001</c:v>
                </c:pt>
                <c:pt idx="412">
                  <c:v>6.59999999999999</c:v>
                </c:pt>
                <c:pt idx="413">
                  <c:v>7.90000000000001</c:v>
                </c:pt>
                <c:pt idx="414">
                  <c:v>9.19999999999999</c:v>
                </c:pt>
                <c:pt idx="415">
                  <c:v>9.69999999999999</c:v>
                </c:pt>
                <c:pt idx="416">
                  <c:v>9.90000000000001</c:v>
                </c:pt>
                <c:pt idx="417">
                  <c:v>10.3</c:v>
                </c:pt>
                <c:pt idx="418">
                  <c:v>10.4</c:v>
                </c:pt>
                <c:pt idx="419">
                  <c:v>11</c:v>
                </c:pt>
                <c:pt idx="420">
                  <c:v>11.4</c:v>
                </c:pt>
                <c:pt idx="421">
                  <c:v>11.4</c:v>
                </c:pt>
                <c:pt idx="422">
                  <c:v>11.4</c:v>
                </c:pt>
                <c:pt idx="423">
                  <c:v>11</c:v>
                </c:pt>
                <c:pt idx="424">
                  <c:v>10.7</c:v>
                </c:pt>
                <c:pt idx="425">
                  <c:v>10</c:v>
                </c:pt>
                <c:pt idx="426">
                  <c:v>9.80000000000001</c:v>
                </c:pt>
                <c:pt idx="427">
                  <c:v>9.19999999999999</c:v>
                </c:pt>
                <c:pt idx="428">
                  <c:v>8</c:v>
                </c:pt>
                <c:pt idx="429">
                  <c:v>6.90000000000001</c:v>
                </c:pt>
                <c:pt idx="430">
                  <c:v>5.90000000000001</c:v>
                </c:pt>
                <c:pt idx="431">
                  <c:v>4</c:v>
                </c:pt>
                <c:pt idx="432">
                  <c:v>3.30000000000001</c:v>
                </c:pt>
                <c:pt idx="433">
                  <c:v>2.09999999999999</c:v>
                </c:pt>
                <c:pt idx="434">
                  <c:v>1</c:v>
                </c:pt>
                <c:pt idx="435">
                  <c:v>-0.0999999999999943</c:v>
                </c:pt>
                <c:pt idx="436">
                  <c:v>-1</c:v>
                </c:pt>
                <c:pt idx="437">
                  <c:v>-1.59999999999999</c:v>
                </c:pt>
                <c:pt idx="438">
                  <c:v>-1.69999999999999</c:v>
                </c:pt>
                <c:pt idx="439">
                  <c:v>-2.19999999999999</c:v>
                </c:pt>
                <c:pt idx="440">
                  <c:v>-2.59999999999999</c:v>
                </c:pt>
                <c:pt idx="441">
                  <c:v>-2.69999999999999</c:v>
                </c:pt>
                <c:pt idx="442">
                  <c:v>-2.59999999999999</c:v>
                </c:pt>
                <c:pt idx="443">
                  <c:v>-2.69999999999999</c:v>
                </c:pt>
                <c:pt idx="444">
                  <c:v>-2.5</c:v>
                </c:pt>
                <c:pt idx="445">
                  <c:v>-2.19999999999999</c:v>
                </c:pt>
                <c:pt idx="446">
                  <c:v>-1.80000000000001</c:v>
                </c:pt>
                <c:pt idx="447">
                  <c:v>-1.19999999999999</c:v>
                </c:pt>
                <c:pt idx="448">
                  <c:v>-1.40000000000001</c:v>
                </c:pt>
                <c:pt idx="449">
                  <c:v>-0.900000000000006</c:v>
                </c:pt>
                <c:pt idx="450">
                  <c:v>1.30000000000001</c:v>
                </c:pt>
                <c:pt idx="451">
                  <c:v>2.59999999999999</c:v>
                </c:pt>
                <c:pt idx="452">
                  <c:v>3.5</c:v>
                </c:pt>
                <c:pt idx="453">
                  <c:v>4</c:v>
                </c:pt>
                <c:pt idx="454">
                  <c:v>5.59999999999999</c:v>
                </c:pt>
                <c:pt idx="455">
                  <c:v>7.30000000000001</c:v>
                </c:pt>
                <c:pt idx="456">
                  <c:v>8.19999999999999</c:v>
                </c:pt>
                <c:pt idx="457">
                  <c:v>9.5</c:v>
                </c:pt>
                <c:pt idx="458">
                  <c:v>9.5</c:v>
                </c:pt>
                <c:pt idx="459">
                  <c:v>10.2</c:v>
                </c:pt>
                <c:pt idx="460">
                  <c:v>10.8</c:v>
                </c:pt>
                <c:pt idx="461">
                  <c:v>11.2</c:v>
                </c:pt>
                <c:pt idx="462">
                  <c:v>11.7</c:v>
                </c:pt>
                <c:pt idx="463">
                  <c:v>11.4</c:v>
                </c:pt>
                <c:pt idx="464">
                  <c:v>11.5</c:v>
                </c:pt>
                <c:pt idx="465">
                  <c:v>11.4</c:v>
                </c:pt>
                <c:pt idx="466">
                  <c:v>11.1</c:v>
                </c:pt>
                <c:pt idx="467">
                  <c:v>10.7</c:v>
                </c:pt>
                <c:pt idx="468">
                  <c:v>9.90000000000001</c:v>
                </c:pt>
                <c:pt idx="469">
                  <c:v>9.40000000000001</c:v>
                </c:pt>
                <c:pt idx="470">
                  <c:v>9.19999999999999</c:v>
                </c:pt>
                <c:pt idx="471">
                  <c:v>7.69999999999999</c:v>
                </c:pt>
                <c:pt idx="472">
                  <c:v>6.69999999999999</c:v>
                </c:pt>
                <c:pt idx="473">
                  <c:v>5.09999999999999</c:v>
                </c:pt>
                <c:pt idx="474">
                  <c:v>3.69999999999999</c:v>
                </c:pt>
                <c:pt idx="475">
                  <c:v>3.19999999999999</c:v>
                </c:pt>
                <c:pt idx="476">
                  <c:v>2.19999999999999</c:v>
                </c:pt>
                <c:pt idx="477">
                  <c:v>0.699999999999989</c:v>
                </c:pt>
                <c:pt idx="478">
                  <c:v>-0.400000000000006</c:v>
                </c:pt>
                <c:pt idx="479">
                  <c:v>-1.19999999999999</c:v>
                </c:pt>
                <c:pt idx="480">
                  <c:v>-1.90000000000001</c:v>
                </c:pt>
                <c:pt idx="481">
                  <c:v>-2.30000000000001</c:v>
                </c:pt>
                <c:pt idx="482">
                  <c:v>-2.69999999999999</c:v>
                </c:pt>
                <c:pt idx="483">
                  <c:v>-3.09999999999999</c:v>
                </c:pt>
                <c:pt idx="484">
                  <c:v>-3.5</c:v>
                </c:pt>
                <c:pt idx="485">
                  <c:v>-3.5</c:v>
                </c:pt>
                <c:pt idx="486">
                  <c:v>-3.5</c:v>
                </c:pt>
                <c:pt idx="487">
                  <c:v>-3.30000000000001</c:v>
                </c:pt>
                <c:pt idx="488">
                  <c:v>-3.19999999999999</c:v>
                </c:pt>
                <c:pt idx="489">
                  <c:v>-2.69999999999999</c:v>
                </c:pt>
                <c:pt idx="490">
                  <c:v>-2</c:v>
                </c:pt>
                <c:pt idx="491">
                  <c:v>-1.80000000000001</c:v>
                </c:pt>
                <c:pt idx="492">
                  <c:v>-1.09999999999999</c:v>
                </c:pt>
                <c:pt idx="493">
                  <c:v>-0.800000000000011</c:v>
                </c:pt>
                <c:pt idx="494">
                  <c:v>1.30000000000001</c:v>
                </c:pt>
                <c:pt idx="495">
                  <c:v>2.5</c:v>
                </c:pt>
                <c:pt idx="496">
                  <c:v>3.09999999999999</c:v>
                </c:pt>
                <c:pt idx="497">
                  <c:v>4.5</c:v>
                </c:pt>
                <c:pt idx="498">
                  <c:v>6.09999999999999</c:v>
                </c:pt>
                <c:pt idx="499">
                  <c:v>6.80000000000001</c:v>
                </c:pt>
                <c:pt idx="500">
                  <c:v>8.30000000000001</c:v>
                </c:pt>
                <c:pt idx="501">
                  <c:v>9.30000000000001</c:v>
                </c:pt>
                <c:pt idx="502">
                  <c:v>9.5</c:v>
                </c:pt>
                <c:pt idx="503">
                  <c:v>10.2</c:v>
                </c:pt>
                <c:pt idx="504">
                  <c:v>10.7</c:v>
                </c:pt>
                <c:pt idx="505">
                  <c:v>10.6</c:v>
                </c:pt>
                <c:pt idx="506">
                  <c:v>10.8</c:v>
                </c:pt>
                <c:pt idx="507">
                  <c:v>10.6</c:v>
                </c:pt>
                <c:pt idx="508">
                  <c:v>10.4</c:v>
                </c:pt>
                <c:pt idx="509">
                  <c:v>10.2</c:v>
                </c:pt>
                <c:pt idx="510">
                  <c:v>10.2</c:v>
                </c:pt>
                <c:pt idx="511">
                  <c:v>9.80000000000001</c:v>
                </c:pt>
                <c:pt idx="512">
                  <c:v>9.19999999999999</c:v>
                </c:pt>
                <c:pt idx="513">
                  <c:v>8.80000000000001</c:v>
                </c:pt>
                <c:pt idx="514">
                  <c:v>7.5</c:v>
                </c:pt>
                <c:pt idx="515">
                  <c:v>6.5</c:v>
                </c:pt>
                <c:pt idx="516">
                  <c:v>5</c:v>
                </c:pt>
                <c:pt idx="517">
                  <c:v>3.59999999999999</c:v>
                </c:pt>
                <c:pt idx="518">
                  <c:v>2.69999999999999</c:v>
                </c:pt>
                <c:pt idx="519">
                  <c:v>2</c:v>
                </c:pt>
                <c:pt idx="520">
                  <c:v>0.599999999999994</c:v>
                </c:pt>
                <c:pt idx="521">
                  <c:v>-0.5</c:v>
                </c:pt>
                <c:pt idx="522">
                  <c:v>-1.30000000000001</c:v>
                </c:pt>
                <c:pt idx="523">
                  <c:v>-1.80000000000001</c:v>
                </c:pt>
                <c:pt idx="524">
                  <c:v>-2.40000000000001</c:v>
                </c:pt>
                <c:pt idx="525">
                  <c:v>-2.90000000000001</c:v>
                </c:pt>
                <c:pt idx="526">
                  <c:v>-3.40000000000001</c:v>
                </c:pt>
                <c:pt idx="527">
                  <c:v>-3.5</c:v>
                </c:pt>
                <c:pt idx="528">
                  <c:v>-3.59999999999999</c:v>
                </c:pt>
                <c:pt idx="529">
                  <c:v>-3.5</c:v>
                </c:pt>
                <c:pt idx="530">
                  <c:v>-3.40000000000001</c:v>
                </c:pt>
                <c:pt idx="531">
                  <c:v>-3</c:v>
                </c:pt>
                <c:pt idx="532">
                  <c:v>-2.90000000000001</c:v>
                </c:pt>
                <c:pt idx="533">
                  <c:v>-2.19999999999999</c:v>
                </c:pt>
                <c:pt idx="534">
                  <c:v>-1.59999999999999</c:v>
                </c:pt>
                <c:pt idx="535">
                  <c:v>-1</c:v>
                </c:pt>
                <c:pt idx="536">
                  <c:v>-0.5</c:v>
                </c:pt>
                <c:pt idx="537">
                  <c:v>1</c:v>
                </c:pt>
                <c:pt idx="538">
                  <c:v>2.19999999999999</c:v>
                </c:pt>
                <c:pt idx="539">
                  <c:v>3</c:v>
                </c:pt>
                <c:pt idx="540">
                  <c:v>4.80000000000001</c:v>
                </c:pt>
                <c:pt idx="541">
                  <c:v>6.40000000000001</c:v>
                </c:pt>
                <c:pt idx="542">
                  <c:v>6.90000000000001</c:v>
                </c:pt>
                <c:pt idx="543">
                  <c:v>8.40000000000001</c:v>
                </c:pt>
                <c:pt idx="544">
                  <c:v>9.09999999999999</c:v>
                </c:pt>
                <c:pt idx="545">
                  <c:v>9.90000000000001</c:v>
                </c:pt>
                <c:pt idx="546">
                  <c:v>10.5</c:v>
                </c:pt>
                <c:pt idx="547">
                  <c:v>10.7</c:v>
                </c:pt>
                <c:pt idx="548">
                  <c:v>10.9</c:v>
                </c:pt>
                <c:pt idx="549">
                  <c:v>10.8</c:v>
                </c:pt>
                <c:pt idx="550">
                  <c:v>10.6</c:v>
                </c:pt>
                <c:pt idx="551">
                  <c:v>10.7</c:v>
                </c:pt>
                <c:pt idx="552">
                  <c:v>10.4</c:v>
                </c:pt>
                <c:pt idx="553">
                  <c:v>10.2</c:v>
                </c:pt>
                <c:pt idx="554">
                  <c:v>9.5</c:v>
                </c:pt>
                <c:pt idx="555">
                  <c:v>9.30000000000001</c:v>
                </c:pt>
                <c:pt idx="556">
                  <c:v>8.90000000000001</c:v>
                </c:pt>
                <c:pt idx="557">
                  <c:v>6.80000000000001</c:v>
                </c:pt>
                <c:pt idx="558">
                  <c:v>6.19999999999999</c:v>
                </c:pt>
                <c:pt idx="559">
                  <c:v>4.90000000000001</c:v>
                </c:pt>
                <c:pt idx="560">
                  <c:v>3.5</c:v>
                </c:pt>
                <c:pt idx="561">
                  <c:v>2.59999999999999</c:v>
                </c:pt>
                <c:pt idx="562">
                  <c:v>1.30000000000001</c:v>
                </c:pt>
                <c:pt idx="563">
                  <c:v>0.0999999999999943</c:v>
                </c:pt>
                <c:pt idx="564">
                  <c:v>-1</c:v>
                </c:pt>
                <c:pt idx="565">
                  <c:v>-1.80000000000001</c:v>
                </c:pt>
                <c:pt idx="566">
                  <c:v>-2.30000000000001</c:v>
                </c:pt>
                <c:pt idx="567">
                  <c:v>-3</c:v>
                </c:pt>
                <c:pt idx="568">
                  <c:v>-3.59999999999999</c:v>
                </c:pt>
                <c:pt idx="569">
                  <c:v>-3.90000000000001</c:v>
                </c:pt>
                <c:pt idx="570">
                  <c:v>-3.90000000000001</c:v>
                </c:pt>
                <c:pt idx="571">
                  <c:v>-4</c:v>
                </c:pt>
                <c:pt idx="572">
                  <c:v>-3.80000000000001</c:v>
                </c:pt>
                <c:pt idx="573">
                  <c:v>-3.69999999999999</c:v>
                </c:pt>
                <c:pt idx="574">
                  <c:v>-3.59999999999999</c:v>
                </c:pt>
                <c:pt idx="575">
                  <c:v>-3.40000000000001</c:v>
                </c:pt>
                <c:pt idx="576">
                  <c:v>-3.19999999999999</c:v>
                </c:pt>
                <c:pt idx="577">
                  <c:v>-2.69999999999999</c:v>
                </c:pt>
                <c:pt idx="578">
                  <c:v>-1.90000000000001</c:v>
                </c:pt>
                <c:pt idx="579">
                  <c:v>-1.19999999999999</c:v>
                </c:pt>
                <c:pt idx="580">
                  <c:v>-0.800000000000011</c:v>
                </c:pt>
                <c:pt idx="581">
                  <c:v>0.400000000000006</c:v>
                </c:pt>
                <c:pt idx="582">
                  <c:v>1.69999999999999</c:v>
                </c:pt>
                <c:pt idx="583">
                  <c:v>3.09999999999999</c:v>
                </c:pt>
                <c:pt idx="584">
                  <c:v>3.69999999999999</c:v>
                </c:pt>
                <c:pt idx="585">
                  <c:v>4.90000000000001</c:v>
                </c:pt>
                <c:pt idx="586">
                  <c:v>5.80000000000001</c:v>
                </c:pt>
                <c:pt idx="587">
                  <c:v>6.69999999999999</c:v>
                </c:pt>
                <c:pt idx="588">
                  <c:v>7.40000000000001</c:v>
                </c:pt>
                <c:pt idx="589">
                  <c:v>8.5</c:v>
                </c:pt>
                <c:pt idx="590">
                  <c:v>9.09999999999999</c:v>
                </c:pt>
                <c:pt idx="591">
                  <c:v>9.5</c:v>
                </c:pt>
                <c:pt idx="592">
                  <c:v>9.80000000000001</c:v>
                </c:pt>
                <c:pt idx="593">
                  <c:v>9.80000000000001</c:v>
                </c:pt>
                <c:pt idx="594">
                  <c:v>9.80000000000001</c:v>
                </c:pt>
                <c:pt idx="595">
                  <c:v>9.5</c:v>
                </c:pt>
                <c:pt idx="596">
                  <c:v>9.40000000000001</c:v>
                </c:pt>
                <c:pt idx="597">
                  <c:v>9.30000000000001</c:v>
                </c:pt>
                <c:pt idx="598">
                  <c:v>8.69999999999999</c:v>
                </c:pt>
                <c:pt idx="599">
                  <c:v>7.5</c:v>
                </c:pt>
                <c:pt idx="600">
                  <c:v>6.5</c:v>
                </c:pt>
                <c:pt idx="601">
                  <c:v>5.40000000000001</c:v>
                </c:pt>
                <c:pt idx="602">
                  <c:v>4.59999999999999</c:v>
                </c:pt>
                <c:pt idx="603">
                  <c:v>3.30000000000001</c:v>
                </c:pt>
                <c:pt idx="604">
                  <c:v>2.40000000000001</c:v>
                </c:pt>
                <c:pt idx="605">
                  <c:v>1.40000000000001</c:v>
                </c:pt>
                <c:pt idx="606">
                  <c:v>0.199999999999989</c:v>
                </c:pt>
                <c:pt idx="607">
                  <c:v>-0.699999999999989</c:v>
                </c:pt>
                <c:pt idx="608">
                  <c:v>-1.59999999999999</c:v>
                </c:pt>
                <c:pt idx="609">
                  <c:v>-2.09999999999999</c:v>
                </c:pt>
                <c:pt idx="610">
                  <c:v>-3</c:v>
                </c:pt>
                <c:pt idx="611">
                  <c:v>-3.5</c:v>
                </c:pt>
                <c:pt idx="612">
                  <c:v>-4.19999999999999</c:v>
                </c:pt>
                <c:pt idx="613">
                  <c:v>-4.69999999999999</c:v>
                </c:pt>
                <c:pt idx="614">
                  <c:v>-4.80000000000001</c:v>
                </c:pt>
                <c:pt idx="615">
                  <c:v>-4.90000000000001</c:v>
                </c:pt>
                <c:pt idx="616">
                  <c:v>-4.80000000000001</c:v>
                </c:pt>
                <c:pt idx="617">
                  <c:v>-4.59999999999999</c:v>
                </c:pt>
                <c:pt idx="618">
                  <c:v>-4.40000000000001</c:v>
                </c:pt>
                <c:pt idx="619">
                  <c:v>-4.30000000000001</c:v>
                </c:pt>
                <c:pt idx="620">
                  <c:v>-3.69999999999999</c:v>
                </c:pt>
                <c:pt idx="621">
                  <c:v>-3</c:v>
                </c:pt>
                <c:pt idx="622">
                  <c:v>-2.40000000000001</c:v>
                </c:pt>
                <c:pt idx="623">
                  <c:v>-1.69999999999999</c:v>
                </c:pt>
                <c:pt idx="624">
                  <c:v>-1.09999999999999</c:v>
                </c:pt>
                <c:pt idx="625">
                  <c:v>-0.0999999999999943</c:v>
                </c:pt>
                <c:pt idx="626">
                  <c:v>1.09999999999999</c:v>
                </c:pt>
                <c:pt idx="627">
                  <c:v>2.19999999999999</c:v>
                </c:pt>
                <c:pt idx="628">
                  <c:v>2.59999999999999</c:v>
                </c:pt>
                <c:pt idx="629">
                  <c:v>3.5</c:v>
                </c:pt>
                <c:pt idx="630">
                  <c:v>4.30000000000001</c:v>
                </c:pt>
                <c:pt idx="631">
                  <c:v>6.09999999999999</c:v>
                </c:pt>
                <c:pt idx="632">
                  <c:v>6.59999999999999</c:v>
                </c:pt>
                <c:pt idx="633">
                  <c:v>6.90000000000001</c:v>
                </c:pt>
                <c:pt idx="634">
                  <c:v>7.30000000000001</c:v>
                </c:pt>
                <c:pt idx="635">
                  <c:v>7.80000000000001</c:v>
                </c:pt>
                <c:pt idx="636">
                  <c:v>7.90000000000001</c:v>
                </c:pt>
                <c:pt idx="637">
                  <c:v>8.09999999999999</c:v>
                </c:pt>
                <c:pt idx="638">
                  <c:v>8</c:v>
                </c:pt>
                <c:pt idx="639">
                  <c:v>8.09999999999999</c:v>
                </c:pt>
                <c:pt idx="640">
                  <c:v>7.59999999999999</c:v>
                </c:pt>
                <c:pt idx="641">
                  <c:v>7.19999999999999</c:v>
                </c:pt>
                <c:pt idx="642">
                  <c:v>6.59999999999999</c:v>
                </c:pt>
                <c:pt idx="643">
                  <c:v>5.80000000000001</c:v>
                </c:pt>
                <c:pt idx="644">
                  <c:v>4.40000000000001</c:v>
                </c:pt>
                <c:pt idx="645">
                  <c:v>3.19999999999999</c:v>
                </c:pt>
                <c:pt idx="646">
                  <c:v>2.40000000000001</c:v>
                </c:pt>
                <c:pt idx="647">
                  <c:v>1.69999999999999</c:v>
                </c:pt>
                <c:pt idx="648">
                  <c:v>0.599999999999994</c:v>
                </c:pt>
                <c:pt idx="649">
                  <c:v>-0.300000000000011</c:v>
                </c:pt>
                <c:pt idx="650">
                  <c:v>-1.30000000000001</c:v>
                </c:pt>
                <c:pt idx="651">
                  <c:v>-2</c:v>
                </c:pt>
                <c:pt idx="652">
                  <c:v>-2.90000000000001</c:v>
                </c:pt>
                <c:pt idx="653">
                  <c:v>-3.80000000000001</c:v>
                </c:pt>
                <c:pt idx="654">
                  <c:v>-4.40000000000001</c:v>
                </c:pt>
                <c:pt idx="655">
                  <c:v>-4.80000000000001</c:v>
                </c:pt>
                <c:pt idx="656">
                  <c:v>-5.40000000000001</c:v>
                </c:pt>
                <c:pt idx="657">
                  <c:v>-5.80000000000001</c:v>
                </c:pt>
                <c:pt idx="658">
                  <c:v>-5.69999999999999</c:v>
                </c:pt>
                <c:pt idx="659">
                  <c:v>-5.59999999999999</c:v>
                </c:pt>
                <c:pt idx="660">
                  <c:v>-5.59999999999999</c:v>
                </c:pt>
                <c:pt idx="661">
                  <c:v>-5.5</c:v>
                </c:pt>
                <c:pt idx="662">
                  <c:v>-5.19999999999999</c:v>
                </c:pt>
                <c:pt idx="663">
                  <c:v>-4.59999999999999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'常压_b_20 (1)'!$L$3</c:f>
              <c:strCache>
                <c:ptCount val="1"/>
                <c:pt idx="0">
                  <c:v>luma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'常压_b_20 (1)'!$J$4:$J$667</c:f>
              <c:numCache>
                <c:formatCode>General</c:formatCode>
                <c:ptCount val="664"/>
                <c:pt idx="0">
                  <c:v>0</c:v>
                </c:pt>
                <c:pt idx="1">
                  <c:v>0</c:v>
                </c:pt>
                <c:pt idx="2">
                  <c:v>0.05</c:v>
                </c:pt>
                <c:pt idx="3">
                  <c:v>0.1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0.2</c:v>
                </c:pt>
                <c:pt idx="8">
                  <c:v>0.25</c:v>
                </c:pt>
                <c:pt idx="9">
                  <c:v>0.3</c:v>
                </c:pt>
                <c:pt idx="10">
                  <c:v>0.3</c:v>
                </c:pt>
                <c:pt idx="11">
                  <c:v>0.35</c:v>
                </c:pt>
                <c:pt idx="12">
                  <c:v>0.4</c:v>
                </c:pt>
                <c:pt idx="13">
                  <c:v>0.4</c:v>
                </c:pt>
                <c:pt idx="14">
                  <c:v>0.45</c:v>
                </c:pt>
                <c:pt idx="15">
                  <c:v>0.5</c:v>
                </c:pt>
                <c:pt idx="16">
                  <c:v>0.5</c:v>
                </c:pt>
                <c:pt idx="17">
                  <c:v>0.55</c:v>
                </c:pt>
                <c:pt idx="18">
                  <c:v>0.6</c:v>
                </c:pt>
                <c:pt idx="19">
                  <c:v>0.6</c:v>
                </c:pt>
                <c:pt idx="20">
                  <c:v>0.65</c:v>
                </c:pt>
                <c:pt idx="21">
                  <c:v>0.7</c:v>
                </c:pt>
                <c:pt idx="22">
                  <c:v>0.7</c:v>
                </c:pt>
                <c:pt idx="23">
                  <c:v>0.75</c:v>
                </c:pt>
                <c:pt idx="24">
                  <c:v>0.8</c:v>
                </c:pt>
                <c:pt idx="25">
                  <c:v>0.8</c:v>
                </c:pt>
                <c:pt idx="26">
                  <c:v>0.85</c:v>
                </c:pt>
                <c:pt idx="27">
                  <c:v>0.9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  <c:pt idx="31">
                  <c:v>1</c:v>
                </c:pt>
                <c:pt idx="32">
                  <c:v>1.05</c:v>
                </c:pt>
                <c:pt idx="33">
                  <c:v>1.1</c:v>
                </c:pt>
                <c:pt idx="34">
                  <c:v>1.1</c:v>
                </c:pt>
                <c:pt idx="35">
                  <c:v>1.15</c:v>
                </c:pt>
                <c:pt idx="36">
                  <c:v>1.2</c:v>
                </c:pt>
                <c:pt idx="37">
                  <c:v>1.2</c:v>
                </c:pt>
                <c:pt idx="38">
                  <c:v>1.25</c:v>
                </c:pt>
                <c:pt idx="39">
                  <c:v>1.3</c:v>
                </c:pt>
                <c:pt idx="40">
                  <c:v>1.3</c:v>
                </c:pt>
                <c:pt idx="41">
                  <c:v>1.35</c:v>
                </c:pt>
                <c:pt idx="42">
                  <c:v>1.4</c:v>
                </c:pt>
                <c:pt idx="43">
                  <c:v>1.4</c:v>
                </c:pt>
                <c:pt idx="44">
                  <c:v>1.45</c:v>
                </c:pt>
                <c:pt idx="45">
                  <c:v>1.5</c:v>
                </c:pt>
                <c:pt idx="46">
                  <c:v>1.5</c:v>
                </c:pt>
                <c:pt idx="47">
                  <c:v>1.55</c:v>
                </c:pt>
                <c:pt idx="48">
                  <c:v>1.6</c:v>
                </c:pt>
                <c:pt idx="49">
                  <c:v>1.6</c:v>
                </c:pt>
                <c:pt idx="50">
                  <c:v>1.65</c:v>
                </c:pt>
                <c:pt idx="51">
                  <c:v>1.7</c:v>
                </c:pt>
                <c:pt idx="52">
                  <c:v>1.7</c:v>
                </c:pt>
                <c:pt idx="53">
                  <c:v>1.75</c:v>
                </c:pt>
                <c:pt idx="54">
                  <c:v>1.8</c:v>
                </c:pt>
                <c:pt idx="55">
                  <c:v>1.8</c:v>
                </c:pt>
                <c:pt idx="56">
                  <c:v>1.85</c:v>
                </c:pt>
                <c:pt idx="57">
                  <c:v>1.9</c:v>
                </c:pt>
                <c:pt idx="58">
                  <c:v>1.9</c:v>
                </c:pt>
                <c:pt idx="59">
                  <c:v>1.95</c:v>
                </c:pt>
                <c:pt idx="60">
                  <c:v>2</c:v>
                </c:pt>
                <c:pt idx="61">
                  <c:v>2</c:v>
                </c:pt>
                <c:pt idx="62">
                  <c:v>2.05</c:v>
                </c:pt>
                <c:pt idx="63">
                  <c:v>2.1</c:v>
                </c:pt>
                <c:pt idx="64">
                  <c:v>2.1</c:v>
                </c:pt>
                <c:pt idx="65">
                  <c:v>2.15</c:v>
                </c:pt>
                <c:pt idx="66">
                  <c:v>2.2</c:v>
                </c:pt>
                <c:pt idx="67">
                  <c:v>2.2</c:v>
                </c:pt>
                <c:pt idx="68">
                  <c:v>2.25</c:v>
                </c:pt>
                <c:pt idx="69">
                  <c:v>2.3</c:v>
                </c:pt>
                <c:pt idx="70">
                  <c:v>2.3</c:v>
                </c:pt>
                <c:pt idx="71">
                  <c:v>2.35</c:v>
                </c:pt>
                <c:pt idx="72">
                  <c:v>2.4</c:v>
                </c:pt>
                <c:pt idx="73">
                  <c:v>2.4</c:v>
                </c:pt>
                <c:pt idx="74">
                  <c:v>2.45</c:v>
                </c:pt>
                <c:pt idx="75">
                  <c:v>2.5</c:v>
                </c:pt>
                <c:pt idx="76">
                  <c:v>2.5</c:v>
                </c:pt>
                <c:pt idx="77">
                  <c:v>2.55</c:v>
                </c:pt>
                <c:pt idx="78">
                  <c:v>2.6</c:v>
                </c:pt>
                <c:pt idx="79">
                  <c:v>2.6</c:v>
                </c:pt>
                <c:pt idx="80">
                  <c:v>2.65</c:v>
                </c:pt>
                <c:pt idx="81">
                  <c:v>2.7</c:v>
                </c:pt>
                <c:pt idx="82">
                  <c:v>2.7</c:v>
                </c:pt>
                <c:pt idx="83">
                  <c:v>2.75</c:v>
                </c:pt>
                <c:pt idx="84">
                  <c:v>2.8</c:v>
                </c:pt>
                <c:pt idx="85">
                  <c:v>2.8</c:v>
                </c:pt>
                <c:pt idx="86">
                  <c:v>2.85</c:v>
                </c:pt>
                <c:pt idx="87">
                  <c:v>2.9</c:v>
                </c:pt>
                <c:pt idx="88">
                  <c:v>2.9</c:v>
                </c:pt>
                <c:pt idx="89">
                  <c:v>2.95</c:v>
                </c:pt>
                <c:pt idx="90">
                  <c:v>3</c:v>
                </c:pt>
                <c:pt idx="91">
                  <c:v>3</c:v>
                </c:pt>
                <c:pt idx="92">
                  <c:v>3.05</c:v>
                </c:pt>
                <c:pt idx="93">
                  <c:v>3.1</c:v>
                </c:pt>
                <c:pt idx="94">
                  <c:v>3.1</c:v>
                </c:pt>
                <c:pt idx="95">
                  <c:v>3.15</c:v>
                </c:pt>
                <c:pt idx="96">
                  <c:v>3.2</c:v>
                </c:pt>
                <c:pt idx="97">
                  <c:v>3.2</c:v>
                </c:pt>
                <c:pt idx="98">
                  <c:v>3.25</c:v>
                </c:pt>
                <c:pt idx="99">
                  <c:v>3.3</c:v>
                </c:pt>
                <c:pt idx="100">
                  <c:v>3.3</c:v>
                </c:pt>
                <c:pt idx="101">
                  <c:v>3.35</c:v>
                </c:pt>
                <c:pt idx="102">
                  <c:v>3.4</c:v>
                </c:pt>
                <c:pt idx="103">
                  <c:v>3.4</c:v>
                </c:pt>
                <c:pt idx="104">
                  <c:v>3.45</c:v>
                </c:pt>
                <c:pt idx="105">
                  <c:v>3.5</c:v>
                </c:pt>
                <c:pt idx="106">
                  <c:v>3.5</c:v>
                </c:pt>
                <c:pt idx="107">
                  <c:v>3.55</c:v>
                </c:pt>
                <c:pt idx="108">
                  <c:v>3.6</c:v>
                </c:pt>
                <c:pt idx="109">
                  <c:v>3.6</c:v>
                </c:pt>
                <c:pt idx="110">
                  <c:v>3.65</c:v>
                </c:pt>
                <c:pt idx="111">
                  <c:v>3.7</c:v>
                </c:pt>
                <c:pt idx="112">
                  <c:v>3.7</c:v>
                </c:pt>
                <c:pt idx="113">
                  <c:v>3.75</c:v>
                </c:pt>
                <c:pt idx="114">
                  <c:v>3.8</c:v>
                </c:pt>
                <c:pt idx="115">
                  <c:v>3.8</c:v>
                </c:pt>
                <c:pt idx="116">
                  <c:v>3.85</c:v>
                </c:pt>
                <c:pt idx="117">
                  <c:v>3.9</c:v>
                </c:pt>
                <c:pt idx="118">
                  <c:v>3.9</c:v>
                </c:pt>
                <c:pt idx="119">
                  <c:v>3.95</c:v>
                </c:pt>
                <c:pt idx="120">
                  <c:v>4</c:v>
                </c:pt>
                <c:pt idx="121">
                  <c:v>4</c:v>
                </c:pt>
                <c:pt idx="122">
                  <c:v>4.05</c:v>
                </c:pt>
                <c:pt idx="123">
                  <c:v>4.1</c:v>
                </c:pt>
                <c:pt idx="124">
                  <c:v>4.1</c:v>
                </c:pt>
                <c:pt idx="125">
                  <c:v>4.15</c:v>
                </c:pt>
                <c:pt idx="126">
                  <c:v>4.2</c:v>
                </c:pt>
                <c:pt idx="127">
                  <c:v>4.2</c:v>
                </c:pt>
                <c:pt idx="128">
                  <c:v>4.25</c:v>
                </c:pt>
                <c:pt idx="129">
                  <c:v>4.3</c:v>
                </c:pt>
                <c:pt idx="130">
                  <c:v>4.3</c:v>
                </c:pt>
                <c:pt idx="131">
                  <c:v>4.35</c:v>
                </c:pt>
                <c:pt idx="132">
                  <c:v>4.4</c:v>
                </c:pt>
                <c:pt idx="133">
                  <c:v>4.4</c:v>
                </c:pt>
                <c:pt idx="134">
                  <c:v>4.45</c:v>
                </c:pt>
                <c:pt idx="135">
                  <c:v>4.5</c:v>
                </c:pt>
                <c:pt idx="136">
                  <c:v>4.5</c:v>
                </c:pt>
                <c:pt idx="137">
                  <c:v>4.55</c:v>
                </c:pt>
                <c:pt idx="138">
                  <c:v>4.6</c:v>
                </c:pt>
                <c:pt idx="139">
                  <c:v>4.6</c:v>
                </c:pt>
                <c:pt idx="140">
                  <c:v>4.65</c:v>
                </c:pt>
                <c:pt idx="141">
                  <c:v>4.7</c:v>
                </c:pt>
                <c:pt idx="142">
                  <c:v>4.7</c:v>
                </c:pt>
                <c:pt idx="143">
                  <c:v>4.75</c:v>
                </c:pt>
                <c:pt idx="144">
                  <c:v>4.8</c:v>
                </c:pt>
                <c:pt idx="145">
                  <c:v>4.8</c:v>
                </c:pt>
                <c:pt idx="146">
                  <c:v>4.85</c:v>
                </c:pt>
                <c:pt idx="147">
                  <c:v>4.9</c:v>
                </c:pt>
                <c:pt idx="148">
                  <c:v>4.9</c:v>
                </c:pt>
                <c:pt idx="149">
                  <c:v>4.95</c:v>
                </c:pt>
                <c:pt idx="150">
                  <c:v>5</c:v>
                </c:pt>
                <c:pt idx="151">
                  <c:v>5</c:v>
                </c:pt>
                <c:pt idx="152">
                  <c:v>5.05</c:v>
                </c:pt>
                <c:pt idx="153">
                  <c:v>5.1</c:v>
                </c:pt>
                <c:pt idx="154">
                  <c:v>5.1</c:v>
                </c:pt>
                <c:pt idx="155">
                  <c:v>5.15</c:v>
                </c:pt>
                <c:pt idx="156">
                  <c:v>5.2</c:v>
                </c:pt>
                <c:pt idx="157">
                  <c:v>5.2</c:v>
                </c:pt>
                <c:pt idx="158">
                  <c:v>5.25</c:v>
                </c:pt>
                <c:pt idx="159">
                  <c:v>5.3</c:v>
                </c:pt>
                <c:pt idx="160">
                  <c:v>5.3</c:v>
                </c:pt>
                <c:pt idx="161">
                  <c:v>5.35</c:v>
                </c:pt>
                <c:pt idx="162">
                  <c:v>5.4</c:v>
                </c:pt>
                <c:pt idx="163">
                  <c:v>5.4</c:v>
                </c:pt>
                <c:pt idx="164">
                  <c:v>5.45</c:v>
                </c:pt>
                <c:pt idx="165">
                  <c:v>5.5</c:v>
                </c:pt>
                <c:pt idx="166">
                  <c:v>5.5</c:v>
                </c:pt>
                <c:pt idx="167">
                  <c:v>5.55</c:v>
                </c:pt>
                <c:pt idx="168">
                  <c:v>5.6</c:v>
                </c:pt>
                <c:pt idx="169">
                  <c:v>5.6</c:v>
                </c:pt>
                <c:pt idx="170">
                  <c:v>5.65</c:v>
                </c:pt>
                <c:pt idx="171">
                  <c:v>5.7</c:v>
                </c:pt>
                <c:pt idx="172">
                  <c:v>5.7</c:v>
                </c:pt>
                <c:pt idx="173">
                  <c:v>5.75</c:v>
                </c:pt>
                <c:pt idx="174">
                  <c:v>5.8</c:v>
                </c:pt>
                <c:pt idx="175">
                  <c:v>5.8</c:v>
                </c:pt>
                <c:pt idx="176">
                  <c:v>5.85</c:v>
                </c:pt>
                <c:pt idx="177">
                  <c:v>5.9</c:v>
                </c:pt>
                <c:pt idx="178">
                  <c:v>5.9</c:v>
                </c:pt>
                <c:pt idx="179">
                  <c:v>5.95</c:v>
                </c:pt>
                <c:pt idx="180">
                  <c:v>6</c:v>
                </c:pt>
                <c:pt idx="181">
                  <c:v>6</c:v>
                </c:pt>
                <c:pt idx="182">
                  <c:v>6.05</c:v>
                </c:pt>
                <c:pt idx="183">
                  <c:v>6.1</c:v>
                </c:pt>
                <c:pt idx="184">
                  <c:v>6.15</c:v>
                </c:pt>
                <c:pt idx="185">
                  <c:v>6.15</c:v>
                </c:pt>
                <c:pt idx="186">
                  <c:v>6.2</c:v>
                </c:pt>
                <c:pt idx="187">
                  <c:v>6.25</c:v>
                </c:pt>
                <c:pt idx="188">
                  <c:v>6.25</c:v>
                </c:pt>
                <c:pt idx="189">
                  <c:v>6.3</c:v>
                </c:pt>
                <c:pt idx="190">
                  <c:v>6.35</c:v>
                </c:pt>
                <c:pt idx="191">
                  <c:v>6.35</c:v>
                </c:pt>
                <c:pt idx="192">
                  <c:v>6.4</c:v>
                </c:pt>
                <c:pt idx="193">
                  <c:v>6.45</c:v>
                </c:pt>
                <c:pt idx="194">
                  <c:v>6.45</c:v>
                </c:pt>
                <c:pt idx="195">
                  <c:v>6.5</c:v>
                </c:pt>
                <c:pt idx="196">
                  <c:v>6.55</c:v>
                </c:pt>
                <c:pt idx="197">
                  <c:v>6.55</c:v>
                </c:pt>
                <c:pt idx="198">
                  <c:v>6.6</c:v>
                </c:pt>
                <c:pt idx="199">
                  <c:v>6.65</c:v>
                </c:pt>
                <c:pt idx="200">
                  <c:v>6.65</c:v>
                </c:pt>
                <c:pt idx="201">
                  <c:v>6.7</c:v>
                </c:pt>
                <c:pt idx="202">
                  <c:v>6.75</c:v>
                </c:pt>
                <c:pt idx="203">
                  <c:v>6.75</c:v>
                </c:pt>
                <c:pt idx="204">
                  <c:v>6.8</c:v>
                </c:pt>
                <c:pt idx="205">
                  <c:v>6.85</c:v>
                </c:pt>
                <c:pt idx="206">
                  <c:v>6.85</c:v>
                </c:pt>
                <c:pt idx="207">
                  <c:v>6.9</c:v>
                </c:pt>
                <c:pt idx="208">
                  <c:v>6.95</c:v>
                </c:pt>
                <c:pt idx="209">
                  <c:v>6.95</c:v>
                </c:pt>
                <c:pt idx="210">
                  <c:v>7</c:v>
                </c:pt>
                <c:pt idx="211">
                  <c:v>7.05</c:v>
                </c:pt>
                <c:pt idx="212">
                  <c:v>7.05</c:v>
                </c:pt>
                <c:pt idx="213">
                  <c:v>7.1</c:v>
                </c:pt>
                <c:pt idx="214">
                  <c:v>7.15</c:v>
                </c:pt>
                <c:pt idx="215">
                  <c:v>7.15</c:v>
                </c:pt>
                <c:pt idx="216">
                  <c:v>7.2</c:v>
                </c:pt>
                <c:pt idx="217">
                  <c:v>7.25</c:v>
                </c:pt>
                <c:pt idx="218">
                  <c:v>7.25</c:v>
                </c:pt>
                <c:pt idx="219">
                  <c:v>7.3</c:v>
                </c:pt>
                <c:pt idx="220">
                  <c:v>7.35</c:v>
                </c:pt>
                <c:pt idx="221">
                  <c:v>7.35</c:v>
                </c:pt>
                <c:pt idx="222">
                  <c:v>7.4</c:v>
                </c:pt>
                <c:pt idx="223">
                  <c:v>7.45</c:v>
                </c:pt>
                <c:pt idx="224">
                  <c:v>7.45</c:v>
                </c:pt>
                <c:pt idx="225">
                  <c:v>7.5</c:v>
                </c:pt>
                <c:pt idx="226">
                  <c:v>7.55</c:v>
                </c:pt>
                <c:pt idx="227">
                  <c:v>7.55</c:v>
                </c:pt>
                <c:pt idx="228">
                  <c:v>7.6</c:v>
                </c:pt>
                <c:pt idx="229">
                  <c:v>7.65</c:v>
                </c:pt>
                <c:pt idx="230">
                  <c:v>7.65</c:v>
                </c:pt>
                <c:pt idx="231">
                  <c:v>7.7</c:v>
                </c:pt>
                <c:pt idx="232">
                  <c:v>7.75</c:v>
                </c:pt>
                <c:pt idx="233">
                  <c:v>7.75</c:v>
                </c:pt>
                <c:pt idx="234">
                  <c:v>7.8</c:v>
                </c:pt>
                <c:pt idx="235">
                  <c:v>7.85</c:v>
                </c:pt>
                <c:pt idx="236">
                  <c:v>7.85</c:v>
                </c:pt>
                <c:pt idx="237">
                  <c:v>7.9</c:v>
                </c:pt>
                <c:pt idx="238">
                  <c:v>7.95</c:v>
                </c:pt>
                <c:pt idx="239">
                  <c:v>7.95</c:v>
                </c:pt>
                <c:pt idx="240">
                  <c:v>8</c:v>
                </c:pt>
                <c:pt idx="241">
                  <c:v>8.05</c:v>
                </c:pt>
                <c:pt idx="242">
                  <c:v>8.05</c:v>
                </c:pt>
                <c:pt idx="243">
                  <c:v>8.1</c:v>
                </c:pt>
                <c:pt idx="244">
                  <c:v>8.15</c:v>
                </c:pt>
                <c:pt idx="245">
                  <c:v>8.15</c:v>
                </c:pt>
                <c:pt idx="246">
                  <c:v>8.2</c:v>
                </c:pt>
                <c:pt idx="247">
                  <c:v>8.25</c:v>
                </c:pt>
                <c:pt idx="248">
                  <c:v>8.25</c:v>
                </c:pt>
                <c:pt idx="249">
                  <c:v>8.3</c:v>
                </c:pt>
                <c:pt idx="250">
                  <c:v>8.35</c:v>
                </c:pt>
                <c:pt idx="251">
                  <c:v>8.35</c:v>
                </c:pt>
                <c:pt idx="252">
                  <c:v>8.4</c:v>
                </c:pt>
                <c:pt idx="253">
                  <c:v>8.45</c:v>
                </c:pt>
                <c:pt idx="254">
                  <c:v>8.45</c:v>
                </c:pt>
                <c:pt idx="255">
                  <c:v>8.5</c:v>
                </c:pt>
                <c:pt idx="256">
                  <c:v>8.55</c:v>
                </c:pt>
                <c:pt idx="257">
                  <c:v>8.55</c:v>
                </c:pt>
                <c:pt idx="258">
                  <c:v>8.6</c:v>
                </c:pt>
                <c:pt idx="259">
                  <c:v>8.65</c:v>
                </c:pt>
                <c:pt idx="260">
                  <c:v>8.65</c:v>
                </c:pt>
                <c:pt idx="261">
                  <c:v>8.7</c:v>
                </c:pt>
                <c:pt idx="262">
                  <c:v>8.75</c:v>
                </c:pt>
                <c:pt idx="263">
                  <c:v>8.75</c:v>
                </c:pt>
                <c:pt idx="264">
                  <c:v>8.8</c:v>
                </c:pt>
                <c:pt idx="265">
                  <c:v>8.85</c:v>
                </c:pt>
                <c:pt idx="266">
                  <c:v>8.85</c:v>
                </c:pt>
                <c:pt idx="267">
                  <c:v>8.9</c:v>
                </c:pt>
                <c:pt idx="268">
                  <c:v>8.95</c:v>
                </c:pt>
                <c:pt idx="269">
                  <c:v>8.95</c:v>
                </c:pt>
                <c:pt idx="270">
                  <c:v>9</c:v>
                </c:pt>
                <c:pt idx="271">
                  <c:v>9.05</c:v>
                </c:pt>
                <c:pt idx="272">
                  <c:v>9.05</c:v>
                </c:pt>
                <c:pt idx="273">
                  <c:v>9.1</c:v>
                </c:pt>
                <c:pt idx="274">
                  <c:v>9.15</c:v>
                </c:pt>
                <c:pt idx="275">
                  <c:v>9.15</c:v>
                </c:pt>
                <c:pt idx="276">
                  <c:v>9.2</c:v>
                </c:pt>
                <c:pt idx="277">
                  <c:v>9.25</c:v>
                </c:pt>
                <c:pt idx="278">
                  <c:v>9.25</c:v>
                </c:pt>
                <c:pt idx="279">
                  <c:v>9.3</c:v>
                </c:pt>
                <c:pt idx="280">
                  <c:v>9.35</c:v>
                </c:pt>
                <c:pt idx="281">
                  <c:v>9.35</c:v>
                </c:pt>
                <c:pt idx="282">
                  <c:v>9.4</c:v>
                </c:pt>
                <c:pt idx="283">
                  <c:v>9.45</c:v>
                </c:pt>
                <c:pt idx="284">
                  <c:v>9.45</c:v>
                </c:pt>
                <c:pt idx="285">
                  <c:v>9.5</c:v>
                </c:pt>
                <c:pt idx="286">
                  <c:v>9.55</c:v>
                </c:pt>
                <c:pt idx="287">
                  <c:v>9.55</c:v>
                </c:pt>
                <c:pt idx="288">
                  <c:v>9.6</c:v>
                </c:pt>
                <c:pt idx="289">
                  <c:v>9.65</c:v>
                </c:pt>
                <c:pt idx="290">
                  <c:v>9.65</c:v>
                </c:pt>
                <c:pt idx="291">
                  <c:v>9.7</c:v>
                </c:pt>
                <c:pt idx="292">
                  <c:v>9.75</c:v>
                </c:pt>
                <c:pt idx="293">
                  <c:v>9.75</c:v>
                </c:pt>
                <c:pt idx="294">
                  <c:v>9.8</c:v>
                </c:pt>
                <c:pt idx="295">
                  <c:v>9.85</c:v>
                </c:pt>
                <c:pt idx="296">
                  <c:v>9.85</c:v>
                </c:pt>
                <c:pt idx="297">
                  <c:v>9.9</c:v>
                </c:pt>
                <c:pt idx="298">
                  <c:v>9.95</c:v>
                </c:pt>
                <c:pt idx="299">
                  <c:v>9.95</c:v>
                </c:pt>
                <c:pt idx="300">
                  <c:v>10</c:v>
                </c:pt>
                <c:pt idx="301">
                  <c:v>10.05</c:v>
                </c:pt>
                <c:pt idx="302">
                  <c:v>10.05</c:v>
                </c:pt>
                <c:pt idx="303">
                  <c:v>10.1</c:v>
                </c:pt>
                <c:pt idx="304">
                  <c:v>10.15</c:v>
                </c:pt>
                <c:pt idx="305">
                  <c:v>10.15</c:v>
                </c:pt>
                <c:pt idx="306">
                  <c:v>10.2</c:v>
                </c:pt>
                <c:pt idx="307">
                  <c:v>10.25</c:v>
                </c:pt>
                <c:pt idx="308">
                  <c:v>10.25</c:v>
                </c:pt>
                <c:pt idx="309">
                  <c:v>10.3</c:v>
                </c:pt>
                <c:pt idx="310">
                  <c:v>10.35</c:v>
                </c:pt>
                <c:pt idx="311">
                  <c:v>10.35</c:v>
                </c:pt>
                <c:pt idx="312">
                  <c:v>10.4</c:v>
                </c:pt>
                <c:pt idx="313">
                  <c:v>10.45</c:v>
                </c:pt>
                <c:pt idx="314">
                  <c:v>10.45</c:v>
                </c:pt>
                <c:pt idx="315">
                  <c:v>10.5</c:v>
                </c:pt>
                <c:pt idx="316">
                  <c:v>10.55</c:v>
                </c:pt>
                <c:pt idx="317">
                  <c:v>10.55</c:v>
                </c:pt>
                <c:pt idx="318">
                  <c:v>10.6</c:v>
                </c:pt>
                <c:pt idx="319">
                  <c:v>10.65</c:v>
                </c:pt>
                <c:pt idx="320">
                  <c:v>10.65</c:v>
                </c:pt>
                <c:pt idx="321">
                  <c:v>10.7</c:v>
                </c:pt>
                <c:pt idx="322">
                  <c:v>10.75</c:v>
                </c:pt>
                <c:pt idx="323">
                  <c:v>10.75</c:v>
                </c:pt>
                <c:pt idx="324">
                  <c:v>10.8</c:v>
                </c:pt>
                <c:pt idx="325">
                  <c:v>10.85</c:v>
                </c:pt>
                <c:pt idx="326">
                  <c:v>10.85</c:v>
                </c:pt>
                <c:pt idx="327">
                  <c:v>10.9</c:v>
                </c:pt>
                <c:pt idx="328">
                  <c:v>10.95</c:v>
                </c:pt>
                <c:pt idx="329">
                  <c:v>10.95</c:v>
                </c:pt>
                <c:pt idx="330">
                  <c:v>11</c:v>
                </c:pt>
                <c:pt idx="331">
                  <c:v>11.05</c:v>
                </c:pt>
                <c:pt idx="332">
                  <c:v>11.05</c:v>
                </c:pt>
                <c:pt idx="333">
                  <c:v>11.1</c:v>
                </c:pt>
                <c:pt idx="334">
                  <c:v>11.15</c:v>
                </c:pt>
                <c:pt idx="335">
                  <c:v>11.15</c:v>
                </c:pt>
                <c:pt idx="336">
                  <c:v>11.2</c:v>
                </c:pt>
                <c:pt idx="337">
                  <c:v>11.25</c:v>
                </c:pt>
                <c:pt idx="338">
                  <c:v>11.25</c:v>
                </c:pt>
                <c:pt idx="339">
                  <c:v>11.3</c:v>
                </c:pt>
                <c:pt idx="340">
                  <c:v>11.35</c:v>
                </c:pt>
                <c:pt idx="341">
                  <c:v>11.35</c:v>
                </c:pt>
                <c:pt idx="342">
                  <c:v>11.4</c:v>
                </c:pt>
                <c:pt idx="343">
                  <c:v>11.45</c:v>
                </c:pt>
                <c:pt idx="344">
                  <c:v>11.45</c:v>
                </c:pt>
                <c:pt idx="345">
                  <c:v>11.5</c:v>
                </c:pt>
                <c:pt idx="346">
                  <c:v>11.55</c:v>
                </c:pt>
                <c:pt idx="347">
                  <c:v>11.55</c:v>
                </c:pt>
                <c:pt idx="348">
                  <c:v>11.6</c:v>
                </c:pt>
                <c:pt idx="349">
                  <c:v>11.65</c:v>
                </c:pt>
                <c:pt idx="350">
                  <c:v>11.65</c:v>
                </c:pt>
                <c:pt idx="351">
                  <c:v>11.7</c:v>
                </c:pt>
                <c:pt idx="352">
                  <c:v>11.75</c:v>
                </c:pt>
                <c:pt idx="353">
                  <c:v>11.75</c:v>
                </c:pt>
                <c:pt idx="354">
                  <c:v>11.8</c:v>
                </c:pt>
                <c:pt idx="355">
                  <c:v>11.85</c:v>
                </c:pt>
                <c:pt idx="356">
                  <c:v>11.85</c:v>
                </c:pt>
                <c:pt idx="357">
                  <c:v>11.9</c:v>
                </c:pt>
                <c:pt idx="358">
                  <c:v>11.95</c:v>
                </c:pt>
                <c:pt idx="359">
                  <c:v>11.95</c:v>
                </c:pt>
                <c:pt idx="360">
                  <c:v>12</c:v>
                </c:pt>
                <c:pt idx="361">
                  <c:v>12.05</c:v>
                </c:pt>
                <c:pt idx="362">
                  <c:v>12.05</c:v>
                </c:pt>
                <c:pt idx="363">
                  <c:v>12.1</c:v>
                </c:pt>
                <c:pt idx="364">
                  <c:v>12.15</c:v>
                </c:pt>
                <c:pt idx="365">
                  <c:v>12.15</c:v>
                </c:pt>
                <c:pt idx="366">
                  <c:v>12.2</c:v>
                </c:pt>
                <c:pt idx="367">
                  <c:v>12.25</c:v>
                </c:pt>
                <c:pt idx="368">
                  <c:v>12.25</c:v>
                </c:pt>
                <c:pt idx="369">
                  <c:v>12.3</c:v>
                </c:pt>
                <c:pt idx="370">
                  <c:v>12.35</c:v>
                </c:pt>
                <c:pt idx="371">
                  <c:v>12.35</c:v>
                </c:pt>
                <c:pt idx="372">
                  <c:v>12.4</c:v>
                </c:pt>
                <c:pt idx="373">
                  <c:v>12.45</c:v>
                </c:pt>
                <c:pt idx="374">
                  <c:v>12.5</c:v>
                </c:pt>
                <c:pt idx="375">
                  <c:v>12.5</c:v>
                </c:pt>
                <c:pt idx="376">
                  <c:v>12.55</c:v>
                </c:pt>
                <c:pt idx="377">
                  <c:v>12.6</c:v>
                </c:pt>
                <c:pt idx="378">
                  <c:v>12.6</c:v>
                </c:pt>
                <c:pt idx="379">
                  <c:v>12.65</c:v>
                </c:pt>
                <c:pt idx="380">
                  <c:v>12.7</c:v>
                </c:pt>
                <c:pt idx="381">
                  <c:v>12.7</c:v>
                </c:pt>
                <c:pt idx="382">
                  <c:v>12.75</c:v>
                </c:pt>
                <c:pt idx="383">
                  <c:v>12.8</c:v>
                </c:pt>
                <c:pt idx="384">
                  <c:v>12.8</c:v>
                </c:pt>
                <c:pt idx="385">
                  <c:v>12.85</c:v>
                </c:pt>
                <c:pt idx="386">
                  <c:v>12.9</c:v>
                </c:pt>
                <c:pt idx="387">
                  <c:v>12.9</c:v>
                </c:pt>
                <c:pt idx="388">
                  <c:v>12.95</c:v>
                </c:pt>
                <c:pt idx="389">
                  <c:v>13</c:v>
                </c:pt>
                <c:pt idx="390">
                  <c:v>13</c:v>
                </c:pt>
                <c:pt idx="391">
                  <c:v>13.05</c:v>
                </c:pt>
                <c:pt idx="392">
                  <c:v>13.1</c:v>
                </c:pt>
                <c:pt idx="393">
                  <c:v>13.1</c:v>
                </c:pt>
                <c:pt idx="394">
                  <c:v>13.15</c:v>
                </c:pt>
                <c:pt idx="395">
                  <c:v>13.2</c:v>
                </c:pt>
                <c:pt idx="396">
                  <c:v>13.2</c:v>
                </c:pt>
                <c:pt idx="397">
                  <c:v>13.25</c:v>
                </c:pt>
                <c:pt idx="398">
                  <c:v>13.3</c:v>
                </c:pt>
                <c:pt idx="399">
                  <c:v>13.3</c:v>
                </c:pt>
                <c:pt idx="400">
                  <c:v>13.35</c:v>
                </c:pt>
                <c:pt idx="401">
                  <c:v>13.4</c:v>
                </c:pt>
                <c:pt idx="402">
                  <c:v>13.4</c:v>
                </c:pt>
                <c:pt idx="403">
                  <c:v>13.45</c:v>
                </c:pt>
                <c:pt idx="404">
                  <c:v>13.5</c:v>
                </c:pt>
                <c:pt idx="405">
                  <c:v>13.5</c:v>
                </c:pt>
                <c:pt idx="406">
                  <c:v>13.55</c:v>
                </c:pt>
                <c:pt idx="407">
                  <c:v>13.6</c:v>
                </c:pt>
                <c:pt idx="408">
                  <c:v>13.6</c:v>
                </c:pt>
                <c:pt idx="409">
                  <c:v>13.65</c:v>
                </c:pt>
                <c:pt idx="410">
                  <c:v>13.7</c:v>
                </c:pt>
                <c:pt idx="411">
                  <c:v>13.7</c:v>
                </c:pt>
                <c:pt idx="412">
                  <c:v>13.75</c:v>
                </c:pt>
                <c:pt idx="413">
                  <c:v>13.8</c:v>
                </c:pt>
                <c:pt idx="414">
                  <c:v>13.8</c:v>
                </c:pt>
                <c:pt idx="415">
                  <c:v>13.85</c:v>
                </c:pt>
                <c:pt idx="416">
                  <c:v>13.9</c:v>
                </c:pt>
                <c:pt idx="417">
                  <c:v>13.9</c:v>
                </c:pt>
                <c:pt idx="418">
                  <c:v>13.95</c:v>
                </c:pt>
                <c:pt idx="419">
                  <c:v>14</c:v>
                </c:pt>
                <c:pt idx="420">
                  <c:v>14</c:v>
                </c:pt>
                <c:pt idx="421">
                  <c:v>14.05</c:v>
                </c:pt>
                <c:pt idx="422">
                  <c:v>14.1</c:v>
                </c:pt>
                <c:pt idx="423">
                  <c:v>14.1</c:v>
                </c:pt>
                <c:pt idx="424">
                  <c:v>14.15</c:v>
                </c:pt>
                <c:pt idx="425">
                  <c:v>14.2</c:v>
                </c:pt>
                <c:pt idx="426">
                  <c:v>14.2</c:v>
                </c:pt>
                <c:pt idx="427">
                  <c:v>14.25</c:v>
                </c:pt>
                <c:pt idx="428">
                  <c:v>14.3</c:v>
                </c:pt>
                <c:pt idx="429">
                  <c:v>14.3</c:v>
                </c:pt>
                <c:pt idx="430">
                  <c:v>14.35</c:v>
                </c:pt>
                <c:pt idx="431">
                  <c:v>14.4</c:v>
                </c:pt>
                <c:pt idx="432">
                  <c:v>14.4</c:v>
                </c:pt>
                <c:pt idx="433">
                  <c:v>14.45</c:v>
                </c:pt>
                <c:pt idx="434">
                  <c:v>14.5</c:v>
                </c:pt>
                <c:pt idx="435">
                  <c:v>14.5</c:v>
                </c:pt>
                <c:pt idx="436">
                  <c:v>14.55</c:v>
                </c:pt>
                <c:pt idx="437">
                  <c:v>14.6</c:v>
                </c:pt>
                <c:pt idx="438">
                  <c:v>14.6</c:v>
                </c:pt>
                <c:pt idx="439">
                  <c:v>14.65</c:v>
                </c:pt>
                <c:pt idx="440">
                  <c:v>14.7</c:v>
                </c:pt>
                <c:pt idx="441">
                  <c:v>14.7</c:v>
                </c:pt>
                <c:pt idx="442">
                  <c:v>14.75</c:v>
                </c:pt>
                <c:pt idx="443">
                  <c:v>14.8</c:v>
                </c:pt>
                <c:pt idx="444">
                  <c:v>14.8</c:v>
                </c:pt>
                <c:pt idx="445">
                  <c:v>14.85</c:v>
                </c:pt>
                <c:pt idx="446">
                  <c:v>14.9</c:v>
                </c:pt>
                <c:pt idx="447">
                  <c:v>14.9</c:v>
                </c:pt>
                <c:pt idx="448">
                  <c:v>14.95</c:v>
                </c:pt>
                <c:pt idx="449">
                  <c:v>15</c:v>
                </c:pt>
                <c:pt idx="450">
                  <c:v>15</c:v>
                </c:pt>
                <c:pt idx="451">
                  <c:v>15.05</c:v>
                </c:pt>
                <c:pt idx="452">
                  <c:v>15.1</c:v>
                </c:pt>
                <c:pt idx="453">
                  <c:v>15.1</c:v>
                </c:pt>
                <c:pt idx="454">
                  <c:v>15.15</c:v>
                </c:pt>
                <c:pt idx="455">
                  <c:v>15.2</c:v>
                </c:pt>
                <c:pt idx="456">
                  <c:v>15.2</c:v>
                </c:pt>
                <c:pt idx="457">
                  <c:v>15.25</c:v>
                </c:pt>
                <c:pt idx="458">
                  <c:v>15.3</c:v>
                </c:pt>
                <c:pt idx="459">
                  <c:v>15.3</c:v>
                </c:pt>
                <c:pt idx="460">
                  <c:v>15.35</c:v>
                </c:pt>
                <c:pt idx="461">
                  <c:v>15.4</c:v>
                </c:pt>
                <c:pt idx="462">
                  <c:v>15.4</c:v>
                </c:pt>
                <c:pt idx="463">
                  <c:v>15.45</c:v>
                </c:pt>
                <c:pt idx="464">
                  <c:v>15.5</c:v>
                </c:pt>
                <c:pt idx="465">
                  <c:v>15.5</c:v>
                </c:pt>
                <c:pt idx="466">
                  <c:v>15.55</c:v>
                </c:pt>
                <c:pt idx="467">
                  <c:v>15.6</c:v>
                </c:pt>
                <c:pt idx="468">
                  <c:v>15.6</c:v>
                </c:pt>
                <c:pt idx="469">
                  <c:v>15.65</c:v>
                </c:pt>
                <c:pt idx="470">
                  <c:v>15.7</c:v>
                </c:pt>
                <c:pt idx="471">
                  <c:v>15.7</c:v>
                </c:pt>
                <c:pt idx="472">
                  <c:v>15.75</c:v>
                </c:pt>
                <c:pt idx="473">
                  <c:v>15.8</c:v>
                </c:pt>
                <c:pt idx="474">
                  <c:v>15.8</c:v>
                </c:pt>
                <c:pt idx="475">
                  <c:v>15.85</c:v>
                </c:pt>
                <c:pt idx="476">
                  <c:v>15.9</c:v>
                </c:pt>
                <c:pt idx="477">
                  <c:v>15.9</c:v>
                </c:pt>
                <c:pt idx="478">
                  <c:v>15.95</c:v>
                </c:pt>
                <c:pt idx="479">
                  <c:v>16</c:v>
                </c:pt>
                <c:pt idx="480">
                  <c:v>16</c:v>
                </c:pt>
                <c:pt idx="481">
                  <c:v>16.05</c:v>
                </c:pt>
                <c:pt idx="482">
                  <c:v>16.1</c:v>
                </c:pt>
                <c:pt idx="483">
                  <c:v>16.1</c:v>
                </c:pt>
                <c:pt idx="484">
                  <c:v>16.15</c:v>
                </c:pt>
                <c:pt idx="485">
                  <c:v>16.2</c:v>
                </c:pt>
                <c:pt idx="486">
                  <c:v>16.2</c:v>
                </c:pt>
                <c:pt idx="487">
                  <c:v>16.25</c:v>
                </c:pt>
                <c:pt idx="488">
                  <c:v>16.3</c:v>
                </c:pt>
                <c:pt idx="489">
                  <c:v>16.3</c:v>
                </c:pt>
                <c:pt idx="490">
                  <c:v>16.35</c:v>
                </c:pt>
                <c:pt idx="491">
                  <c:v>16.4</c:v>
                </c:pt>
                <c:pt idx="492">
                  <c:v>16.4</c:v>
                </c:pt>
                <c:pt idx="493">
                  <c:v>16.45</c:v>
                </c:pt>
                <c:pt idx="494">
                  <c:v>16.5</c:v>
                </c:pt>
                <c:pt idx="495">
                  <c:v>16.5</c:v>
                </c:pt>
                <c:pt idx="496">
                  <c:v>16.55</c:v>
                </c:pt>
                <c:pt idx="497">
                  <c:v>16.6</c:v>
                </c:pt>
                <c:pt idx="498">
                  <c:v>16.6</c:v>
                </c:pt>
                <c:pt idx="499">
                  <c:v>16.65</c:v>
                </c:pt>
                <c:pt idx="500">
                  <c:v>16.7</c:v>
                </c:pt>
                <c:pt idx="501">
                  <c:v>16.7</c:v>
                </c:pt>
                <c:pt idx="502">
                  <c:v>16.75</c:v>
                </c:pt>
                <c:pt idx="503">
                  <c:v>16.8</c:v>
                </c:pt>
                <c:pt idx="504">
                  <c:v>16.8</c:v>
                </c:pt>
                <c:pt idx="505">
                  <c:v>16.85</c:v>
                </c:pt>
                <c:pt idx="506">
                  <c:v>16.9</c:v>
                </c:pt>
                <c:pt idx="507">
                  <c:v>16.9</c:v>
                </c:pt>
                <c:pt idx="508">
                  <c:v>16.95</c:v>
                </c:pt>
                <c:pt idx="509">
                  <c:v>17</c:v>
                </c:pt>
                <c:pt idx="510">
                  <c:v>17</c:v>
                </c:pt>
                <c:pt idx="511">
                  <c:v>17.05</c:v>
                </c:pt>
                <c:pt idx="512">
                  <c:v>17.1</c:v>
                </c:pt>
                <c:pt idx="513">
                  <c:v>17.1</c:v>
                </c:pt>
                <c:pt idx="514">
                  <c:v>17.15</c:v>
                </c:pt>
                <c:pt idx="515">
                  <c:v>17.2</c:v>
                </c:pt>
                <c:pt idx="516">
                  <c:v>17.2</c:v>
                </c:pt>
                <c:pt idx="517">
                  <c:v>17.25</c:v>
                </c:pt>
                <c:pt idx="518">
                  <c:v>17.3</c:v>
                </c:pt>
                <c:pt idx="519">
                  <c:v>17.3</c:v>
                </c:pt>
                <c:pt idx="520">
                  <c:v>17.35</c:v>
                </c:pt>
                <c:pt idx="521">
                  <c:v>17.4</c:v>
                </c:pt>
                <c:pt idx="522">
                  <c:v>17.4</c:v>
                </c:pt>
                <c:pt idx="523">
                  <c:v>17.45</c:v>
                </c:pt>
                <c:pt idx="524">
                  <c:v>17.5</c:v>
                </c:pt>
                <c:pt idx="525">
                  <c:v>17.5</c:v>
                </c:pt>
                <c:pt idx="526">
                  <c:v>17.55</c:v>
                </c:pt>
                <c:pt idx="527">
                  <c:v>17.6</c:v>
                </c:pt>
                <c:pt idx="528">
                  <c:v>17.6</c:v>
                </c:pt>
                <c:pt idx="529">
                  <c:v>17.65</c:v>
                </c:pt>
                <c:pt idx="530">
                  <c:v>17.7</c:v>
                </c:pt>
                <c:pt idx="531">
                  <c:v>17.7</c:v>
                </c:pt>
                <c:pt idx="532">
                  <c:v>17.75</c:v>
                </c:pt>
                <c:pt idx="533">
                  <c:v>17.8</c:v>
                </c:pt>
                <c:pt idx="534">
                  <c:v>17.8</c:v>
                </c:pt>
                <c:pt idx="535">
                  <c:v>17.85</c:v>
                </c:pt>
                <c:pt idx="536">
                  <c:v>17.9</c:v>
                </c:pt>
                <c:pt idx="537">
                  <c:v>17.9</c:v>
                </c:pt>
                <c:pt idx="538">
                  <c:v>17.95</c:v>
                </c:pt>
                <c:pt idx="539">
                  <c:v>18</c:v>
                </c:pt>
                <c:pt idx="540">
                  <c:v>18</c:v>
                </c:pt>
                <c:pt idx="541">
                  <c:v>18.05</c:v>
                </c:pt>
                <c:pt idx="542">
                  <c:v>18.1</c:v>
                </c:pt>
                <c:pt idx="543">
                  <c:v>18.1</c:v>
                </c:pt>
                <c:pt idx="544">
                  <c:v>18.15</c:v>
                </c:pt>
                <c:pt idx="545">
                  <c:v>18.2</c:v>
                </c:pt>
                <c:pt idx="546">
                  <c:v>18.2</c:v>
                </c:pt>
                <c:pt idx="547">
                  <c:v>18.25</c:v>
                </c:pt>
                <c:pt idx="548">
                  <c:v>18.3</c:v>
                </c:pt>
                <c:pt idx="549">
                  <c:v>18.3</c:v>
                </c:pt>
                <c:pt idx="550">
                  <c:v>18.35</c:v>
                </c:pt>
                <c:pt idx="551">
                  <c:v>18.4</c:v>
                </c:pt>
                <c:pt idx="552">
                  <c:v>18.4</c:v>
                </c:pt>
                <c:pt idx="553">
                  <c:v>18.45</c:v>
                </c:pt>
                <c:pt idx="554">
                  <c:v>18.5</c:v>
                </c:pt>
                <c:pt idx="555">
                  <c:v>18.5</c:v>
                </c:pt>
                <c:pt idx="556">
                  <c:v>18.55</c:v>
                </c:pt>
                <c:pt idx="557">
                  <c:v>18.6</c:v>
                </c:pt>
                <c:pt idx="558">
                  <c:v>18.6</c:v>
                </c:pt>
                <c:pt idx="559">
                  <c:v>18.65</c:v>
                </c:pt>
                <c:pt idx="560">
                  <c:v>18.7</c:v>
                </c:pt>
                <c:pt idx="561">
                  <c:v>18.75</c:v>
                </c:pt>
                <c:pt idx="562">
                  <c:v>18.75</c:v>
                </c:pt>
                <c:pt idx="563">
                  <c:v>18.8</c:v>
                </c:pt>
                <c:pt idx="564">
                  <c:v>18.85</c:v>
                </c:pt>
                <c:pt idx="565">
                  <c:v>18.85</c:v>
                </c:pt>
                <c:pt idx="566">
                  <c:v>18.9</c:v>
                </c:pt>
                <c:pt idx="567">
                  <c:v>18.95</c:v>
                </c:pt>
                <c:pt idx="568">
                  <c:v>18.95</c:v>
                </c:pt>
                <c:pt idx="569">
                  <c:v>19</c:v>
                </c:pt>
                <c:pt idx="570">
                  <c:v>19.05</c:v>
                </c:pt>
                <c:pt idx="571">
                  <c:v>19.05</c:v>
                </c:pt>
                <c:pt idx="572">
                  <c:v>19.1</c:v>
                </c:pt>
                <c:pt idx="573">
                  <c:v>19.15</c:v>
                </c:pt>
                <c:pt idx="574">
                  <c:v>19.15</c:v>
                </c:pt>
                <c:pt idx="575">
                  <c:v>19.2</c:v>
                </c:pt>
                <c:pt idx="576">
                  <c:v>19.25</c:v>
                </c:pt>
                <c:pt idx="577">
                  <c:v>19.25</c:v>
                </c:pt>
                <c:pt idx="578">
                  <c:v>19.3</c:v>
                </c:pt>
                <c:pt idx="579">
                  <c:v>19.35</c:v>
                </c:pt>
                <c:pt idx="580">
                  <c:v>19.35</c:v>
                </c:pt>
                <c:pt idx="581">
                  <c:v>19.4</c:v>
                </c:pt>
                <c:pt idx="582">
                  <c:v>19.45</c:v>
                </c:pt>
                <c:pt idx="583">
                  <c:v>19.45</c:v>
                </c:pt>
                <c:pt idx="584">
                  <c:v>19.5</c:v>
                </c:pt>
                <c:pt idx="585">
                  <c:v>19.55</c:v>
                </c:pt>
                <c:pt idx="586">
                  <c:v>19.55</c:v>
                </c:pt>
                <c:pt idx="587">
                  <c:v>19.6</c:v>
                </c:pt>
                <c:pt idx="588">
                  <c:v>19.65</c:v>
                </c:pt>
                <c:pt idx="589">
                  <c:v>19.65</c:v>
                </c:pt>
                <c:pt idx="590">
                  <c:v>19.7</c:v>
                </c:pt>
                <c:pt idx="591">
                  <c:v>19.75</c:v>
                </c:pt>
                <c:pt idx="592">
                  <c:v>19.75</c:v>
                </c:pt>
                <c:pt idx="593">
                  <c:v>19.8</c:v>
                </c:pt>
                <c:pt idx="594">
                  <c:v>19.85</c:v>
                </c:pt>
                <c:pt idx="595">
                  <c:v>19.85</c:v>
                </c:pt>
                <c:pt idx="596">
                  <c:v>19.9</c:v>
                </c:pt>
                <c:pt idx="597">
                  <c:v>19.95</c:v>
                </c:pt>
                <c:pt idx="598">
                  <c:v>19.95</c:v>
                </c:pt>
                <c:pt idx="599">
                  <c:v>20</c:v>
                </c:pt>
                <c:pt idx="600">
                  <c:v>20.05</c:v>
                </c:pt>
                <c:pt idx="601">
                  <c:v>20.05</c:v>
                </c:pt>
                <c:pt idx="602">
                  <c:v>20.1</c:v>
                </c:pt>
                <c:pt idx="603">
                  <c:v>20.15</c:v>
                </c:pt>
                <c:pt idx="604">
                  <c:v>20.15</c:v>
                </c:pt>
                <c:pt idx="605">
                  <c:v>20.2</c:v>
                </c:pt>
                <c:pt idx="606">
                  <c:v>20.25</c:v>
                </c:pt>
                <c:pt idx="607">
                  <c:v>20.25</c:v>
                </c:pt>
                <c:pt idx="608">
                  <c:v>20.3</c:v>
                </c:pt>
                <c:pt idx="609">
                  <c:v>20.35</c:v>
                </c:pt>
                <c:pt idx="610">
                  <c:v>20.35</c:v>
                </c:pt>
                <c:pt idx="611">
                  <c:v>20.4</c:v>
                </c:pt>
                <c:pt idx="612">
                  <c:v>20.45</c:v>
                </c:pt>
                <c:pt idx="613">
                  <c:v>20.45</c:v>
                </c:pt>
                <c:pt idx="614">
                  <c:v>20.5</c:v>
                </c:pt>
                <c:pt idx="615">
                  <c:v>20.55</c:v>
                </c:pt>
                <c:pt idx="616">
                  <c:v>20.55</c:v>
                </c:pt>
                <c:pt idx="617">
                  <c:v>20.6</c:v>
                </c:pt>
                <c:pt idx="618">
                  <c:v>20.65</c:v>
                </c:pt>
                <c:pt idx="619">
                  <c:v>20.65</c:v>
                </c:pt>
                <c:pt idx="620">
                  <c:v>20.7</c:v>
                </c:pt>
                <c:pt idx="621">
                  <c:v>20.75</c:v>
                </c:pt>
                <c:pt idx="622">
                  <c:v>20.75</c:v>
                </c:pt>
                <c:pt idx="623">
                  <c:v>20.8</c:v>
                </c:pt>
                <c:pt idx="624">
                  <c:v>20.85</c:v>
                </c:pt>
                <c:pt idx="625">
                  <c:v>20.85</c:v>
                </c:pt>
                <c:pt idx="626">
                  <c:v>20.9</c:v>
                </c:pt>
                <c:pt idx="627">
                  <c:v>20.95</c:v>
                </c:pt>
                <c:pt idx="628">
                  <c:v>20.95</c:v>
                </c:pt>
                <c:pt idx="629">
                  <c:v>21</c:v>
                </c:pt>
                <c:pt idx="630">
                  <c:v>21.05</c:v>
                </c:pt>
                <c:pt idx="631">
                  <c:v>21.05</c:v>
                </c:pt>
                <c:pt idx="632">
                  <c:v>21.1</c:v>
                </c:pt>
                <c:pt idx="633">
                  <c:v>21.15</c:v>
                </c:pt>
                <c:pt idx="634">
                  <c:v>21.15</c:v>
                </c:pt>
                <c:pt idx="635">
                  <c:v>21.2</c:v>
                </c:pt>
                <c:pt idx="636">
                  <c:v>21.25</c:v>
                </c:pt>
                <c:pt idx="637">
                  <c:v>21.25</c:v>
                </c:pt>
                <c:pt idx="638">
                  <c:v>21.3</c:v>
                </c:pt>
                <c:pt idx="639">
                  <c:v>21.35</c:v>
                </c:pt>
                <c:pt idx="640">
                  <c:v>21.35</c:v>
                </c:pt>
                <c:pt idx="641">
                  <c:v>21.4</c:v>
                </c:pt>
                <c:pt idx="642">
                  <c:v>21.45</c:v>
                </c:pt>
                <c:pt idx="643">
                  <c:v>21.45</c:v>
                </c:pt>
                <c:pt idx="644">
                  <c:v>21.5</c:v>
                </c:pt>
                <c:pt idx="645">
                  <c:v>21.55</c:v>
                </c:pt>
                <c:pt idx="646">
                  <c:v>21.55</c:v>
                </c:pt>
                <c:pt idx="647">
                  <c:v>21.6</c:v>
                </c:pt>
                <c:pt idx="648">
                  <c:v>21.65</c:v>
                </c:pt>
                <c:pt idx="649">
                  <c:v>21.65</c:v>
                </c:pt>
                <c:pt idx="650">
                  <c:v>21.7</c:v>
                </c:pt>
                <c:pt idx="651">
                  <c:v>21.75</c:v>
                </c:pt>
                <c:pt idx="652">
                  <c:v>21.75</c:v>
                </c:pt>
                <c:pt idx="653">
                  <c:v>21.8</c:v>
                </c:pt>
                <c:pt idx="654">
                  <c:v>21.85</c:v>
                </c:pt>
                <c:pt idx="655">
                  <c:v>21.85</c:v>
                </c:pt>
                <c:pt idx="656">
                  <c:v>21.9</c:v>
                </c:pt>
                <c:pt idx="657">
                  <c:v>21.95</c:v>
                </c:pt>
                <c:pt idx="658">
                  <c:v>21.95</c:v>
                </c:pt>
                <c:pt idx="659">
                  <c:v>22</c:v>
                </c:pt>
                <c:pt idx="660">
                  <c:v>22.05</c:v>
                </c:pt>
                <c:pt idx="661">
                  <c:v>22.05</c:v>
                </c:pt>
                <c:pt idx="662">
                  <c:v>22.1</c:v>
                </c:pt>
                <c:pt idx="663">
                  <c:v>22.15</c:v>
                </c:pt>
              </c:numCache>
            </c:numRef>
          </c:cat>
          <c:val>
            <c:numRef>
              <c:f>'常压_b_20 (1)'!$L$4:$L$667</c:f>
              <c:numCache>
                <c:formatCode>General</c:formatCode>
                <c:ptCount val="6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5</c:v>
                </c:pt>
                <c:pt idx="310">
                  <c:v>5</c:v>
                </c:pt>
                <c:pt idx="311">
                  <c:v>5</c:v>
                </c:pt>
                <c:pt idx="312">
                  <c:v>5</c:v>
                </c:pt>
                <c:pt idx="313">
                  <c:v>5</c:v>
                </c:pt>
                <c:pt idx="314">
                  <c:v>5</c:v>
                </c:pt>
                <c:pt idx="315">
                  <c:v>5</c:v>
                </c:pt>
                <c:pt idx="316">
                  <c:v>5</c:v>
                </c:pt>
                <c:pt idx="317">
                  <c:v>5</c:v>
                </c:pt>
                <c:pt idx="318">
                  <c:v>5</c:v>
                </c:pt>
                <c:pt idx="319">
                  <c:v>5</c:v>
                </c:pt>
                <c:pt idx="320">
                  <c:v>5</c:v>
                </c:pt>
                <c:pt idx="321">
                  <c:v>5</c:v>
                </c:pt>
                <c:pt idx="322">
                  <c:v>5</c:v>
                </c:pt>
                <c:pt idx="323">
                  <c:v>5</c:v>
                </c:pt>
                <c:pt idx="324">
                  <c:v>5</c:v>
                </c:pt>
                <c:pt idx="325">
                  <c:v>5</c:v>
                </c:pt>
                <c:pt idx="326">
                  <c:v>5</c:v>
                </c:pt>
                <c:pt idx="327">
                  <c:v>5</c:v>
                </c:pt>
                <c:pt idx="328">
                  <c:v>5</c:v>
                </c:pt>
                <c:pt idx="329">
                  <c:v>5</c:v>
                </c:pt>
                <c:pt idx="330">
                  <c:v>5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</c:v>
                </c:pt>
                <c:pt idx="352">
                  <c:v>5</c:v>
                </c:pt>
                <c:pt idx="353">
                  <c:v>5</c:v>
                </c:pt>
                <c:pt idx="354">
                  <c:v>5</c:v>
                </c:pt>
                <c:pt idx="355">
                  <c:v>5</c:v>
                </c:pt>
                <c:pt idx="356">
                  <c:v>5</c:v>
                </c:pt>
                <c:pt idx="357">
                  <c:v>5</c:v>
                </c:pt>
                <c:pt idx="358">
                  <c:v>5</c:v>
                </c:pt>
                <c:pt idx="359">
                  <c:v>5</c:v>
                </c:pt>
                <c:pt idx="360">
                  <c:v>5</c:v>
                </c:pt>
                <c:pt idx="361">
                  <c:v>5</c:v>
                </c:pt>
                <c:pt idx="362">
                  <c:v>5</c:v>
                </c:pt>
                <c:pt idx="363">
                  <c:v>5</c:v>
                </c:pt>
                <c:pt idx="364">
                  <c:v>5</c:v>
                </c:pt>
                <c:pt idx="365">
                  <c:v>5</c:v>
                </c:pt>
                <c:pt idx="366">
                  <c:v>5</c:v>
                </c:pt>
                <c:pt idx="367">
                  <c:v>5</c:v>
                </c:pt>
                <c:pt idx="368">
                  <c:v>5</c:v>
                </c:pt>
                <c:pt idx="369">
                  <c:v>5</c:v>
                </c:pt>
                <c:pt idx="370">
                  <c:v>5</c:v>
                </c:pt>
                <c:pt idx="371">
                  <c:v>5</c:v>
                </c:pt>
                <c:pt idx="372">
                  <c:v>5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5</c:v>
                </c:pt>
                <c:pt idx="394">
                  <c:v>5</c:v>
                </c:pt>
                <c:pt idx="395">
                  <c:v>5</c:v>
                </c:pt>
                <c:pt idx="396">
                  <c:v>5</c:v>
                </c:pt>
                <c:pt idx="397">
                  <c:v>5</c:v>
                </c:pt>
                <c:pt idx="398">
                  <c:v>5</c:v>
                </c:pt>
                <c:pt idx="399">
                  <c:v>5</c:v>
                </c:pt>
                <c:pt idx="400">
                  <c:v>5</c:v>
                </c:pt>
                <c:pt idx="401">
                  <c:v>5</c:v>
                </c:pt>
                <c:pt idx="402">
                  <c:v>5</c:v>
                </c:pt>
                <c:pt idx="403">
                  <c:v>5</c:v>
                </c:pt>
                <c:pt idx="404">
                  <c:v>5</c:v>
                </c:pt>
                <c:pt idx="405">
                  <c:v>5</c:v>
                </c:pt>
                <c:pt idx="406">
                  <c:v>5</c:v>
                </c:pt>
                <c:pt idx="407">
                  <c:v>5</c:v>
                </c:pt>
                <c:pt idx="408">
                  <c:v>5</c:v>
                </c:pt>
                <c:pt idx="409">
                  <c:v>5</c:v>
                </c:pt>
                <c:pt idx="410">
                  <c:v>5</c:v>
                </c:pt>
                <c:pt idx="411">
                  <c:v>5</c:v>
                </c:pt>
                <c:pt idx="412">
                  <c:v>5</c:v>
                </c:pt>
                <c:pt idx="413">
                  <c:v>5</c:v>
                </c:pt>
                <c:pt idx="414">
                  <c:v>5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5</c:v>
                </c:pt>
                <c:pt idx="437">
                  <c:v>5</c:v>
                </c:pt>
                <c:pt idx="438">
                  <c:v>5</c:v>
                </c:pt>
                <c:pt idx="439">
                  <c:v>5</c:v>
                </c:pt>
                <c:pt idx="440">
                  <c:v>5</c:v>
                </c:pt>
                <c:pt idx="441">
                  <c:v>5</c:v>
                </c:pt>
                <c:pt idx="442">
                  <c:v>5</c:v>
                </c:pt>
                <c:pt idx="443">
                  <c:v>5</c:v>
                </c:pt>
                <c:pt idx="444">
                  <c:v>5</c:v>
                </c:pt>
                <c:pt idx="445">
                  <c:v>5</c:v>
                </c:pt>
                <c:pt idx="446">
                  <c:v>5</c:v>
                </c:pt>
                <c:pt idx="447">
                  <c:v>5</c:v>
                </c:pt>
                <c:pt idx="448">
                  <c:v>5</c:v>
                </c:pt>
                <c:pt idx="449">
                  <c:v>5</c:v>
                </c:pt>
                <c:pt idx="450">
                  <c:v>5</c:v>
                </c:pt>
                <c:pt idx="451">
                  <c:v>5</c:v>
                </c:pt>
                <c:pt idx="452">
                  <c:v>5</c:v>
                </c:pt>
                <c:pt idx="453">
                  <c:v>5</c:v>
                </c:pt>
                <c:pt idx="454">
                  <c:v>5</c:v>
                </c:pt>
                <c:pt idx="455">
                  <c:v>5</c:v>
                </c:pt>
                <c:pt idx="456">
                  <c:v>5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5</c:v>
                </c:pt>
                <c:pt idx="478">
                  <c:v>5</c:v>
                </c:pt>
                <c:pt idx="479">
                  <c:v>5</c:v>
                </c:pt>
                <c:pt idx="480">
                  <c:v>5</c:v>
                </c:pt>
                <c:pt idx="481">
                  <c:v>5</c:v>
                </c:pt>
                <c:pt idx="482">
                  <c:v>5</c:v>
                </c:pt>
                <c:pt idx="483">
                  <c:v>5</c:v>
                </c:pt>
                <c:pt idx="484">
                  <c:v>5</c:v>
                </c:pt>
                <c:pt idx="485">
                  <c:v>5</c:v>
                </c:pt>
                <c:pt idx="486">
                  <c:v>5</c:v>
                </c:pt>
                <c:pt idx="487">
                  <c:v>5</c:v>
                </c:pt>
                <c:pt idx="488">
                  <c:v>5</c:v>
                </c:pt>
                <c:pt idx="489">
                  <c:v>5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5</c:v>
                </c:pt>
                <c:pt idx="494">
                  <c:v>5</c:v>
                </c:pt>
                <c:pt idx="495">
                  <c:v>5</c:v>
                </c:pt>
                <c:pt idx="496">
                  <c:v>5</c:v>
                </c:pt>
                <c:pt idx="497">
                  <c:v>5</c:v>
                </c:pt>
                <c:pt idx="498">
                  <c:v>5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5</c:v>
                </c:pt>
                <c:pt idx="521">
                  <c:v>5</c:v>
                </c:pt>
                <c:pt idx="522">
                  <c:v>5</c:v>
                </c:pt>
                <c:pt idx="523">
                  <c:v>5</c:v>
                </c:pt>
                <c:pt idx="524">
                  <c:v>5</c:v>
                </c:pt>
                <c:pt idx="525">
                  <c:v>5</c:v>
                </c:pt>
                <c:pt idx="526">
                  <c:v>5</c:v>
                </c:pt>
                <c:pt idx="527">
                  <c:v>5</c:v>
                </c:pt>
                <c:pt idx="528">
                  <c:v>5</c:v>
                </c:pt>
                <c:pt idx="529">
                  <c:v>5</c:v>
                </c:pt>
                <c:pt idx="530">
                  <c:v>5</c:v>
                </c:pt>
                <c:pt idx="531">
                  <c:v>5</c:v>
                </c:pt>
                <c:pt idx="532">
                  <c:v>5</c:v>
                </c:pt>
                <c:pt idx="533">
                  <c:v>5</c:v>
                </c:pt>
                <c:pt idx="534">
                  <c:v>5</c:v>
                </c:pt>
                <c:pt idx="535">
                  <c:v>5</c:v>
                </c:pt>
                <c:pt idx="536">
                  <c:v>5</c:v>
                </c:pt>
                <c:pt idx="537">
                  <c:v>5</c:v>
                </c:pt>
                <c:pt idx="538">
                  <c:v>5</c:v>
                </c:pt>
                <c:pt idx="539">
                  <c:v>5</c:v>
                </c:pt>
                <c:pt idx="540">
                  <c:v>5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83500204"/>
        <c:axId val="821328015"/>
      </c:lineChart>
      <c:catAx>
        <c:axId val="8835002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1328015"/>
        <c:crosses val="autoZero"/>
        <c:auto val="1"/>
        <c:lblAlgn val="ctr"/>
        <c:lblOffset val="100"/>
        <c:noMultiLvlLbl val="0"/>
      </c:catAx>
      <c:valAx>
        <c:axId val="82132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35002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67ea0dd-8e0f-4255-82a2-dbe8b73dbe5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'常压_b_20 (2)'!$J$3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'常压_b_20 (2)'!$I$4:$I$2085</c:f>
              <c:numCache>
                <c:formatCode>General</c:formatCode>
                <c:ptCount val="2082"/>
                <c:pt idx="0">
                  <c:v>0</c:v>
                </c:pt>
                <c:pt idx="1">
                  <c:v>0</c:v>
                </c:pt>
                <c:pt idx="2">
                  <c:v>0.05</c:v>
                </c:pt>
                <c:pt idx="3">
                  <c:v>0.1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0.2</c:v>
                </c:pt>
                <c:pt idx="8">
                  <c:v>0.25</c:v>
                </c:pt>
                <c:pt idx="9">
                  <c:v>0.3</c:v>
                </c:pt>
                <c:pt idx="10">
                  <c:v>0.3</c:v>
                </c:pt>
                <c:pt idx="11">
                  <c:v>0.35</c:v>
                </c:pt>
                <c:pt idx="12">
                  <c:v>0.4</c:v>
                </c:pt>
                <c:pt idx="13">
                  <c:v>0.4</c:v>
                </c:pt>
                <c:pt idx="14">
                  <c:v>0.45</c:v>
                </c:pt>
                <c:pt idx="15">
                  <c:v>0.5</c:v>
                </c:pt>
                <c:pt idx="16">
                  <c:v>0.5</c:v>
                </c:pt>
                <c:pt idx="17">
                  <c:v>0.55</c:v>
                </c:pt>
                <c:pt idx="18">
                  <c:v>0.6</c:v>
                </c:pt>
                <c:pt idx="19">
                  <c:v>0.6</c:v>
                </c:pt>
                <c:pt idx="20">
                  <c:v>0.65</c:v>
                </c:pt>
                <c:pt idx="21">
                  <c:v>0.7</c:v>
                </c:pt>
                <c:pt idx="22">
                  <c:v>0.7</c:v>
                </c:pt>
                <c:pt idx="23">
                  <c:v>0.75</c:v>
                </c:pt>
                <c:pt idx="24">
                  <c:v>0.8</c:v>
                </c:pt>
                <c:pt idx="25">
                  <c:v>0.8</c:v>
                </c:pt>
                <c:pt idx="26">
                  <c:v>0.85</c:v>
                </c:pt>
                <c:pt idx="27">
                  <c:v>0.9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  <c:pt idx="31">
                  <c:v>1</c:v>
                </c:pt>
                <c:pt idx="32">
                  <c:v>1.05</c:v>
                </c:pt>
                <c:pt idx="33">
                  <c:v>1.1</c:v>
                </c:pt>
                <c:pt idx="34">
                  <c:v>1.1</c:v>
                </c:pt>
                <c:pt idx="35">
                  <c:v>1.15</c:v>
                </c:pt>
                <c:pt idx="36">
                  <c:v>1.2</c:v>
                </c:pt>
                <c:pt idx="37">
                  <c:v>1.2</c:v>
                </c:pt>
                <c:pt idx="38">
                  <c:v>1.25</c:v>
                </c:pt>
                <c:pt idx="39">
                  <c:v>1.3</c:v>
                </c:pt>
                <c:pt idx="40">
                  <c:v>1.3</c:v>
                </c:pt>
                <c:pt idx="41">
                  <c:v>1.35</c:v>
                </c:pt>
                <c:pt idx="42">
                  <c:v>1.4</c:v>
                </c:pt>
                <c:pt idx="43">
                  <c:v>1.4</c:v>
                </c:pt>
                <c:pt idx="44">
                  <c:v>1.45</c:v>
                </c:pt>
                <c:pt idx="45">
                  <c:v>1.5</c:v>
                </c:pt>
                <c:pt idx="46">
                  <c:v>1.5</c:v>
                </c:pt>
                <c:pt idx="47">
                  <c:v>1.55</c:v>
                </c:pt>
                <c:pt idx="48">
                  <c:v>1.6</c:v>
                </c:pt>
                <c:pt idx="49">
                  <c:v>1.6</c:v>
                </c:pt>
                <c:pt idx="50">
                  <c:v>1.65</c:v>
                </c:pt>
                <c:pt idx="51">
                  <c:v>1.7</c:v>
                </c:pt>
                <c:pt idx="52">
                  <c:v>1.7</c:v>
                </c:pt>
                <c:pt idx="53">
                  <c:v>1.75</c:v>
                </c:pt>
                <c:pt idx="54">
                  <c:v>1.8</c:v>
                </c:pt>
                <c:pt idx="55">
                  <c:v>1.8</c:v>
                </c:pt>
                <c:pt idx="56">
                  <c:v>1.85</c:v>
                </c:pt>
                <c:pt idx="57">
                  <c:v>1.9</c:v>
                </c:pt>
                <c:pt idx="58">
                  <c:v>1.9</c:v>
                </c:pt>
                <c:pt idx="59">
                  <c:v>1.95</c:v>
                </c:pt>
                <c:pt idx="60">
                  <c:v>2</c:v>
                </c:pt>
                <c:pt idx="61">
                  <c:v>2</c:v>
                </c:pt>
                <c:pt idx="62">
                  <c:v>2.05</c:v>
                </c:pt>
                <c:pt idx="63">
                  <c:v>2.1</c:v>
                </c:pt>
                <c:pt idx="64">
                  <c:v>2.1</c:v>
                </c:pt>
                <c:pt idx="65">
                  <c:v>2.15</c:v>
                </c:pt>
                <c:pt idx="66">
                  <c:v>2.2</c:v>
                </c:pt>
                <c:pt idx="67">
                  <c:v>2.2</c:v>
                </c:pt>
                <c:pt idx="68">
                  <c:v>2.25</c:v>
                </c:pt>
                <c:pt idx="69">
                  <c:v>2.3</c:v>
                </c:pt>
                <c:pt idx="70">
                  <c:v>2.3</c:v>
                </c:pt>
                <c:pt idx="71">
                  <c:v>2.35</c:v>
                </c:pt>
                <c:pt idx="72">
                  <c:v>2.4</c:v>
                </c:pt>
                <c:pt idx="73">
                  <c:v>2.4</c:v>
                </c:pt>
                <c:pt idx="74">
                  <c:v>2.45</c:v>
                </c:pt>
                <c:pt idx="75">
                  <c:v>2.5</c:v>
                </c:pt>
                <c:pt idx="76">
                  <c:v>2.5</c:v>
                </c:pt>
                <c:pt idx="77">
                  <c:v>2.55</c:v>
                </c:pt>
                <c:pt idx="78">
                  <c:v>2.6</c:v>
                </c:pt>
                <c:pt idx="79">
                  <c:v>2.6</c:v>
                </c:pt>
                <c:pt idx="80">
                  <c:v>2.65</c:v>
                </c:pt>
                <c:pt idx="81">
                  <c:v>2.7</c:v>
                </c:pt>
                <c:pt idx="82">
                  <c:v>2.7</c:v>
                </c:pt>
                <c:pt idx="83">
                  <c:v>2.75</c:v>
                </c:pt>
                <c:pt idx="84">
                  <c:v>2.8</c:v>
                </c:pt>
                <c:pt idx="85">
                  <c:v>2.8</c:v>
                </c:pt>
                <c:pt idx="86">
                  <c:v>2.85</c:v>
                </c:pt>
                <c:pt idx="87">
                  <c:v>2.9</c:v>
                </c:pt>
                <c:pt idx="88">
                  <c:v>2.9</c:v>
                </c:pt>
                <c:pt idx="89">
                  <c:v>2.95</c:v>
                </c:pt>
                <c:pt idx="90">
                  <c:v>3</c:v>
                </c:pt>
                <c:pt idx="91">
                  <c:v>3</c:v>
                </c:pt>
                <c:pt idx="92">
                  <c:v>3.05</c:v>
                </c:pt>
                <c:pt idx="93">
                  <c:v>3.1</c:v>
                </c:pt>
                <c:pt idx="94">
                  <c:v>3.1</c:v>
                </c:pt>
                <c:pt idx="95">
                  <c:v>3.15</c:v>
                </c:pt>
                <c:pt idx="96">
                  <c:v>3.2</c:v>
                </c:pt>
                <c:pt idx="97">
                  <c:v>3.2</c:v>
                </c:pt>
                <c:pt idx="98">
                  <c:v>3.25</c:v>
                </c:pt>
                <c:pt idx="99">
                  <c:v>3.3</c:v>
                </c:pt>
                <c:pt idx="100">
                  <c:v>3.3</c:v>
                </c:pt>
                <c:pt idx="101">
                  <c:v>3.35</c:v>
                </c:pt>
                <c:pt idx="102">
                  <c:v>3.4</c:v>
                </c:pt>
                <c:pt idx="103">
                  <c:v>3.4</c:v>
                </c:pt>
                <c:pt idx="104">
                  <c:v>3.45</c:v>
                </c:pt>
                <c:pt idx="105">
                  <c:v>3.5</c:v>
                </c:pt>
                <c:pt idx="106">
                  <c:v>3.5</c:v>
                </c:pt>
                <c:pt idx="107">
                  <c:v>3.55</c:v>
                </c:pt>
                <c:pt idx="108">
                  <c:v>3.6</c:v>
                </c:pt>
                <c:pt idx="109">
                  <c:v>3.6</c:v>
                </c:pt>
                <c:pt idx="110">
                  <c:v>3.65</c:v>
                </c:pt>
                <c:pt idx="111">
                  <c:v>3.7</c:v>
                </c:pt>
                <c:pt idx="112">
                  <c:v>3.7</c:v>
                </c:pt>
                <c:pt idx="113">
                  <c:v>3.75</c:v>
                </c:pt>
                <c:pt idx="114">
                  <c:v>3.8</c:v>
                </c:pt>
                <c:pt idx="115">
                  <c:v>3.8</c:v>
                </c:pt>
                <c:pt idx="116">
                  <c:v>3.85</c:v>
                </c:pt>
                <c:pt idx="117">
                  <c:v>3.9</c:v>
                </c:pt>
                <c:pt idx="118">
                  <c:v>3.9</c:v>
                </c:pt>
                <c:pt idx="119">
                  <c:v>3.95</c:v>
                </c:pt>
                <c:pt idx="120">
                  <c:v>4</c:v>
                </c:pt>
                <c:pt idx="121">
                  <c:v>4</c:v>
                </c:pt>
                <c:pt idx="122">
                  <c:v>4.05</c:v>
                </c:pt>
                <c:pt idx="123">
                  <c:v>4.1</c:v>
                </c:pt>
                <c:pt idx="124">
                  <c:v>4.1</c:v>
                </c:pt>
                <c:pt idx="125">
                  <c:v>4.15</c:v>
                </c:pt>
                <c:pt idx="126">
                  <c:v>4.2</c:v>
                </c:pt>
                <c:pt idx="127">
                  <c:v>4.2</c:v>
                </c:pt>
                <c:pt idx="128">
                  <c:v>4.25</c:v>
                </c:pt>
                <c:pt idx="129">
                  <c:v>4.3</c:v>
                </c:pt>
                <c:pt idx="130">
                  <c:v>4.3</c:v>
                </c:pt>
                <c:pt idx="131">
                  <c:v>4.35</c:v>
                </c:pt>
                <c:pt idx="132">
                  <c:v>4.4</c:v>
                </c:pt>
                <c:pt idx="133">
                  <c:v>4.4</c:v>
                </c:pt>
                <c:pt idx="134">
                  <c:v>4.45</c:v>
                </c:pt>
                <c:pt idx="135">
                  <c:v>4.5</c:v>
                </c:pt>
                <c:pt idx="136">
                  <c:v>4.5</c:v>
                </c:pt>
                <c:pt idx="137">
                  <c:v>4.55</c:v>
                </c:pt>
                <c:pt idx="138">
                  <c:v>4.6</c:v>
                </c:pt>
                <c:pt idx="139">
                  <c:v>4.6</c:v>
                </c:pt>
                <c:pt idx="140">
                  <c:v>4.65</c:v>
                </c:pt>
                <c:pt idx="141">
                  <c:v>4.7</c:v>
                </c:pt>
                <c:pt idx="142">
                  <c:v>4.7</c:v>
                </c:pt>
                <c:pt idx="143">
                  <c:v>4.75</c:v>
                </c:pt>
                <c:pt idx="144">
                  <c:v>4.8</c:v>
                </c:pt>
                <c:pt idx="145">
                  <c:v>4.8</c:v>
                </c:pt>
                <c:pt idx="146">
                  <c:v>4.85</c:v>
                </c:pt>
                <c:pt idx="147">
                  <c:v>4.9</c:v>
                </c:pt>
                <c:pt idx="148">
                  <c:v>4.9</c:v>
                </c:pt>
                <c:pt idx="149">
                  <c:v>4.95</c:v>
                </c:pt>
                <c:pt idx="150">
                  <c:v>5</c:v>
                </c:pt>
                <c:pt idx="151">
                  <c:v>5</c:v>
                </c:pt>
                <c:pt idx="152">
                  <c:v>5.05</c:v>
                </c:pt>
                <c:pt idx="153">
                  <c:v>5.1</c:v>
                </c:pt>
                <c:pt idx="154">
                  <c:v>5.1</c:v>
                </c:pt>
                <c:pt idx="155">
                  <c:v>5.15</c:v>
                </c:pt>
                <c:pt idx="156">
                  <c:v>5.2</c:v>
                </c:pt>
                <c:pt idx="157">
                  <c:v>5.2</c:v>
                </c:pt>
                <c:pt idx="158">
                  <c:v>5.25</c:v>
                </c:pt>
                <c:pt idx="159">
                  <c:v>5.3</c:v>
                </c:pt>
                <c:pt idx="160">
                  <c:v>5.3</c:v>
                </c:pt>
                <c:pt idx="161">
                  <c:v>5.35</c:v>
                </c:pt>
                <c:pt idx="162">
                  <c:v>5.4</c:v>
                </c:pt>
                <c:pt idx="163">
                  <c:v>5.4</c:v>
                </c:pt>
                <c:pt idx="164">
                  <c:v>5.45</c:v>
                </c:pt>
                <c:pt idx="165">
                  <c:v>5.5</c:v>
                </c:pt>
                <c:pt idx="166">
                  <c:v>5.5</c:v>
                </c:pt>
                <c:pt idx="167">
                  <c:v>5.55</c:v>
                </c:pt>
                <c:pt idx="168">
                  <c:v>5.6</c:v>
                </c:pt>
                <c:pt idx="169">
                  <c:v>5.65</c:v>
                </c:pt>
                <c:pt idx="170">
                  <c:v>5.65</c:v>
                </c:pt>
                <c:pt idx="171">
                  <c:v>5.7</c:v>
                </c:pt>
                <c:pt idx="172">
                  <c:v>5.75</c:v>
                </c:pt>
                <c:pt idx="173">
                  <c:v>5.75</c:v>
                </c:pt>
                <c:pt idx="174">
                  <c:v>5.8</c:v>
                </c:pt>
                <c:pt idx="175">
                  <c:v>5.85</c:v>
                </c:pt>
                <c:pt idx="176">
                  <c:v>5.85</c:v>
                </c:pt>
                <c:pt idx="177">
                  <c:v>5.9</c:v>
                </c:pt>
                <c:pt idx="178">
                  <c:v>5.95</c:v>
                </c:pt>
                <c:pt idx="179">
                  <c:v>5.95</c:v>
                </c:pt>
                <c:pt idx="180">
                  <c:v>6</c:v>
                </c:pt>
                <c:pt idx="181">
                  <c:v>6.05</c:v>
                </c:pt>
                <c:pt idx="182">
                  <c:v>6.05</c:v>
                </c:pt>
                <c:pt idx="183">
                  <c:v>6.1</c:v>
                </c:pt>
                <c:pt idx="184">
                  <c:v>6.15</c:v>
                </c:pt>
                <c:pt idx="185">
                  <c:v>6.15</c:v>
                </c:pt>
                <c:pt idx="186">
                  <c:v>6.2</c:v>
                </c:pt>
                <c:pt idx="187">
                  <c:v>6.25</c:v>
                </c:pt>
                <c:pt idx="188">
                  <c:v>6.25</c:v>
                </c:pt>
                <c:pt idx="189">
                  <c:v>6.3</c:v>
                </c:pt>
                <c:pt idx="190">
                  <c:v>6.35</c:v>
                </c:pt>
                <c:pt idx="191">
                  <c:v>6.35</c:v>
                </c:pt>
                <c:pt idx="192">
                  <c:v>6.4</c:v>
                </c:pt>
                <c:pt idx="193">
                  <c:v>6.45</c:v>
                </c:pt>
                <c:pt idx="194">
                  <c:v>6.45</c:v>
                </c:pt>
                <c:pt idx="195">
                  <c:v>6.5</c:v>
                </c:pt>
                <c:pt idx="196">
                  <c:v>6.55</c:v>
                </c:pt>
                <c:pt idx="197">
                  <c:v>6.55</c:v>
                </c:pt>
                <c:pt idx="198">
                  <c:v>6.6</c:v>
                </c:pt>
                <c:pt idx="199">
                  <c:v>6.65</c:v>
                </c:pt>
                <c:pt idx="200">
                  <c:v>6.65</c:v>
                </c:pt>
                <c:pt idx="201">
                  <c:v>6.7</c:v>
                </c:pt>
                <c:pt idx="202">
                  <c:v>6.75</c:v>
                </c:pt>
                <c:pt idx="203">
                  <c:v>6.75</c:v>
                </c:pt>
                <c:pt idx="204">
                  <c:v>6.8</c:v>
                </c:pt>
                <c:pt idx="205">
                  <c:v>6.85</c:v>
                </c:pt>
                <c:pt idx="206">
                  <c:v>6.85</c:v>
                </c:pt>
                <c:pt idx="207">
                  <c:v>6.9</c:v>
                </c:pt>
                <c:pt idx="208">
                  <c:v>6.95</c:v>
                </c:pt>
                <c:pt idx="209">
                  <c:v>6.95</c:v>
                </c:pt>
                <c:pt idx="210">
                  <c:v>7</c:v>
                </c:pt>
                <c:pt idx="211">
                  <c:v>7.05</c:v>
                </c:pt>
                <c:pt idx="212">
                  <c:v>7.05</c:v>
                </c:pt>
                <c:pt idx="213">
                  <c:v>7.1</c:v>
                </c:pt>
                <c:pt idx="214">
                  <c:v>7.15</c:v>
                </c:pt>
                <c:pt idx="215">
                  <c:v>7.15</c:v>
                </c:pt>
                <c:pt idx="216">
                  <c:v>7.2</c:v>
                </c:pt>
                <c:pt idx="217">
                  <c:v>7.25</c:v>
                </c:pt>
                <c:pt idx="218">
                  <c:v>7.25</c:v>
                </c:pt>
                <c:pt idx="219">
                  <c:v>7.3</c:v>
                </c:pt>
                <c:pt idx="220">
                  <c:v>7.35</c:v>
                </c:pt>
                <c:pt idx="221">
                  <c:v>7.35</c:v>
                </c:pt>
                <c:pt idx="222">
                  <c:v>7.4</c:v>
                </c:pt>
                <c:pt idx="223">
                  <c:v>7.45</c:v>
                </c:pt>
                <c:pt idx="224">
                  <c:v>7.45</c:v>
                </c:pt>
                <c:pt idx="225">
                  <c:v>7.5</c:v>
                </c:pt>
                <c:pt idx="226">
                  <c:v>7.55</c:v>
                </c:pt>
                <c:pt idx="227">
                  <c:v>7.55</c:v>
                </c:pt>
                <c:pt idx="228">
                  <c:v>7.6</c:v>
                </c:pt>
                <c:pt idx="229">
                  <c:v>7.65</c:v>
                </c:pt>
                <c:pt idx="230">
                  <c:v>7.65</c:v>
                </c:pt>
                <c:pt idx="231">
                  <c:v>7.7</c:v>
                </c:pt>
                <c:pt idx="232">
                  <c:v>7.75</c:v>
                </c:pt>
                <c:pt idx="233">
                  <c:v>7.75</c:v>
                </c:pt>
                <c:pt idx="234">
                  <c:v>7.8</c:v>
                </c:pt>
                <c:pt idx="235">
                  <c:v>7.85</c:v>
                </c:pt>
                <c:pt idx="236">
                  <c:v>7.85</c:v>
                </c:pt>
                <c:pt idx="237">
                  <c:v>7.9</c:v>
                </c:pt>
                <c:pt idx="238">
                  <c:v>7.95</c:v>
                </c:pt>
                <c:pt idx="239">
                  <c:v>7.95</c:v>
                </c:pt>
                <c:pt idx="240">
                  <c:v>8</c:v>
                </c:pt>
                <c:pt idx="241">
                  <c:v>8.05</c:v>
                </c:pt>
                <c:pt idx="242">
                  <c:v>8.05</c:v>
                </c:pt>
                <c:pt idx="243">
                  <c:v>8.1</c:v>
                </c:pt>
                <c:pt idx="244">
                  <c:v>8.15</c:v>
                </c:pt>
                <c:pt idx="245">
                  <c:v>8.15</c:v>
                </c:pt>
                <c:pt idx="246">
                  <c:v>8.2</c:v>
                </c:pt>
                <c:pt idx="247">
                  <c:v>8.25</c:v>
                </c:pt>
                <c:pt idx="248">
                  <c:v>8.25</c:v>
                </c:pt>
                <c:pt idx="249">
                  <c:v>8.3</c:v>
                </c:pt>
                <c:pt idx="250">
                  <c:v>8.35</c:v>
                </c:pt>
                <c:pt idx="251">
                  <c:v>8.35</c:v>
                </c:pt>
                <c:pt idx="252">
                  <c:v>8.4</c:v>
                </c:pt>
                <c:pt idx="253">
                  <c:v>8.45</c:v>
                </c:pt>
                <c:pt idx="254">
                  <c:v>8.45</c:v>
                </c:pt>
                <c:pt idx="255">
                  <c:v>8.5</c:v>
                </c:pt>
                <c:pt idx="256">
                  <c:v>8.55</c:v>
                </c:pt>
                <c:pt idx="257">
                  <c:v>8.55</c:v>
                </c:pt>
                <c:pt idx="258">
                  <c:v>8.6</c:v>
                </c:pt>
                <c:pt idx="259">
                  <c:v>8.65</c:v>
                </c:pt>
                <c:pt idx="260">
                  <c:v>8.65</c:v>
                </c:pt>
                <c:pt idx="261">
                  <c:v>8.7</c:v>
                </c:pt>
                <c:pt idx="262">
                  <c:v>8.75</c:v>
                </c:pt>
                <c:pt idx="263">
                  <c:v>8.75</c:v>
                </c:pt>
                <c:pt idx="264">
                  <c:v>8.8</c:v>
                </c:pt>
                <c:pt idx="265">
                  <c:v>8.85</c:v>
                </c:pt>
                <c:pt idx="266">
                  <c:v>8.85</c:v>
                </c:pt>
                <c:pt idx="267">
                  <c:v>8.9</c:v>
                </c:pt>
                <c:pt idx="268">
                  <c:v>8.95</c:v>
                </c:pt>
                <c:pt idx="269">
                  <c:v>8.95</c:v>
                </c:pt>
                <c:pt idx="270">
                  <c:v>9</c:v>
                </c:pt>
                <c:pt idx="271">
                  <c:v>9.05</c:v>
                </c:pt>
                <c:pt idx="272">
                  <c:v>9.05</c:v>
                </c:pt>
                <c:pt idx="273">
                  <c:v>9.1</c:v>
                </c:pt>
                <c:pt idx="274">
                  <c:v>9.15</c:v>
                </c:pt>
                <c:pt idx="275">
                  <c:v>9.15</c:v>
                </c:pt>
                <c:pt idx="276">
                  <c:v>9.2</c:v>
                </c:pt>
                <c:pt idx="277">
                  <c:v>9.25</c:v>
                </c:pt>
                <c:pt idx="278">
                  <c:v>9.25</c:v>
                </c:pt>
                <c:pt idx="279">
                  <c:v>9.3</c:v>
                </c:pt>
                <c:pt idx="280">
                  <c:v>9.35</c:v>
                </c:pt>
                <c:pt idx="281">
                  <c:v>9.35</c:v>
                </c:pt>
                <c:pt idx="282">
                  <c:v>9.4</c:v>
                </c:pt>
                <c:pt idx="283">
                  <c:v>9.45</c:v>
                </c:pt>
                <c:pt idx="284">
                  <c:v>9.45</c:v>
                </c:pt>
                <c:pt idx="285">
                  <c:v>9.5</c:v>
                </c:pt>
                <c:pt idx="286">
                  <c:v>9.55</c:v>
                </c:pt>
                <c:pt idx="287">
                  <c:v>9.55</c:v>
                </c:pt>
                <c:pt idx="288">
                  <c:v>9.6</c:v>
                </c:pt>
                <c:pt idx="289">
                  <c:v>9.65</c:v>
                </c:pt>
                <c:pt idx="290">
                  <c:v>9.65</c:v>
                </c:pt>
                <c:pt idx="291">
                  <c:v>9.7</c:v>
                </c:pt>
                <c:pt idx="292">
                  <c:v>9.75</c:v>
                </c:pt>
                <c:pt idx="293">
                  <c:v>9.75</c:v>
                </c:pt>
                <c:pt idx="294">
                  <c:v>9.8</c:v>
                </c:pt>
                <c:pt idx="295">
                  <c:v>9.85</c:v>
                </c:pt>
                <c:pt idx="296">
                  <c:v>9.85</c:v>
                </c:pt>
                <c:pt idx="297">
                  <c:v>9.9</c:v>
                </c:pt>
                <c:pt idx="298">
                  <c:v>9.95</c:v>
                </c:pt>
                <c:pt idx="299">
                  <c:v>9.95</c:v>
                </c:pt>
                <c:pt idx="300">
                  <c:v>10</c:v>
                </c:pt>
                <c:pt idx="301">
                  <c:v>10.05</c:v>
                </c:pt>
                <c:pt idx="302">
                  <c:v>10.05</c:v>
                </c:pt>
                <c:pt idx="303">
                  <c:v>10.1</c:v>
                </c:pt>
                <c:pt idx="304">
                  <c:v>10.15</c:v>
                </c:pt>
                <c:pt idx="305">
                  <c:v>10.15</c:v>
                </c:pt>
                <c:pt idx="306">
                  <c:v>10.2</c:v>
                </c:pt>
                <c:pt idx="307">
                  <c:v>10.25</c:v>
                </c:pt>
                <c:pt idx="308">
                  <c:v>10.25</c:v>
                </c:pt>
                <c:pt idx="309">
                  <c:v>10.3</c:v>
                </c:pt>
                <c:pt idx="310">
                  <c:v>10.35</c:v>
                </c:pt>
                <c:pt idx="311">
                  <c:v>10.35</c:v>
                </c:pt>
                <c:pt idx="312">
                  <c:v>10.4</c:v>
                </c:pt>
                <c:pt idx="313">
                  <c:v>10.45</c:v>
                </c:pt>
                <c:pt idx="314">
                  <c:v>10.45</c:v>
                </c:pt>
                <c:pt idx="315">
                  <c:v>10.5</c:v>
                </c:pt>
                <c:pt idx="316">
                  <c:v>10.55</c:v>
                </c:pt>
                <c:pt idx="317">
                  <c:v>10.55</c:v>
                </c:pt>
                <c:pt idx="318">
                  <c:v>10.6</c:v>
                </c:pt>
                <c:pt idx="319">
                  <c:v>10.65</c:v>
                </c:pt>
                <c:pt idx="320">
                  <c:v>10.65</c:v>
                </c:pt>
                <c:pt idx="321">
                  <c:v>10.7</c:v>
                </c:pt>
                <c:pt idx="322">
                  <c:v>10.75</c:v>
                </c:pt>
                <c:pt idx="323">
                  <c:v>10.75</c:v>
                </c:pt>
                <c:pt idx="324">
                  <c:v>10.8</c:v>
                </c:pt>
                <c:pt idx="325">
                  <c:v>10.85</c:v>
                </c:pt>
                <c:pt idx="326">
                  <c:v>10.85</c:v>
                </c:pt>
                <c:pt idx="327">
                  <c:v>10.9</c:v>
                </c:pt>
                <c:pt idx="328">
                  <c:v>10.95</c:v>
                </c:pt>
                <c:pt idx="329">
                  <c:v>10.95</c:v>
                </c:pt>
                <c:pt idx="330">
                  <c:v>11</c:v>
                </c:pt>
                <c:pt idx="331">
                  <c:v>11.05</c:v>
                </c:pt>
                <c:pt idx="332">
                  <c:v>11.05</c:v>
                </c:pt>
                <c:pt idx="333">
                  <c:v>11.1</c:v>
                </c:pt>
                <c:pt idx="334">
                  <c:v>11.15</c:v>
                </c:pt>
                <c:pt idx="335">
                  <c:v>11.15</c:v>
                </c:pt>
                <c:pt idx="336">
                  <c:v>11.2</c:v>
                </c:pt>
                <c:pt idx="337">
                  <c:v>11.25</c:v>
                </c:pt>
                <c:pt idx="338">
                  <c:v>11.25</c:v>
                </c:pt>
                <c:pt idx="339">
                  <c:v>11.3</c:v>
                </c:pt>
                <c:pt idx="340">
                  <c:v>11.35</c:v>
                </c:pt>
                <c:pt idx="341">
                  <c:v>11.4</c:v>
                </c:pt>
                <c:pt idx="342">
                  <c:v>11.4</c:v>
                </c:pt>
                <c:pt idx="343">
                  <c:v>11.45</c:v>
                </c:pt>
                <c:pt idx="344">
                  <c:v>11.5</c:v>
                </c:pt>
                <c:pt idx="345">
                  <c:v>11.5</c:v>
                </c:pt>
                <c:pt idx="346">
                  <c:v>11.55</c:v>
                </c:pt>
                <c:pt idx="347">
                  <c:v>11.6</c:v>
                </c:pt>
                <c:pt idx="348">
                  <c:v>11.6</c:v>
                </c:pt>
                <c:pt idx="349">
                  <c:v>11.65</c:v>
                </c:pt>
                <c:pt idx="350">
                  <c:v>11.7</c:v>
                </c:pt>
                <c:pt idx="351">
                  <c:v>11.7</c:v>
                </c:pt>
                <c:pt idx="352">
                  <c:v>11.75</c:v>
                </c:pt>
                <c:pt idx="353">
                  <c:v>11.8</c:v>
                </c:pt>
                <c:pt idx="354">
                  <c:v>11.8</c:v>
                </c:pt>
                <c:pt idx="355">
                  <c:v>11.85</c:v>
                </c:pt>
                <c:pt idx="356">
                  <c:v>11.9</c:v>
                </c:pt>
                <c:pt idx="357">
                  <c:v>11.9</c:v>
                </c:pt>
                <c:pt idx="358">
                  <c:v>11.95</c:v>
                </c:pt>
                <c:pt idx="359">
                  <c:v>12</c:v>
                </c:pt>
                <c:pt idx="360">
                  <c:v>12</c:v>
                </c:pt>
                <c:pt idx="361">
                  <c:v>12.05</c:v>
                </c:pt>
                <c:pt idx="362">
                  <c:v>12.1</c:v>
                </c:pt>
                <c:pt idx="363">
                  <c:v>12.1</c:v>
                </c:pt>
                <c:pt idx="364">
                  <c:v>12.15</c:v>
                </c:pt>
                <c:pt idx="365">
                  <c:v>12.2</c:v>
                </c:pt>
                <c:pt idx="366">
                  <c:v>12.2</c:v>
                </c:pt>
                <c:pt idx="367">
                  <c:v>12.25</c:v>
                </c:pt>
                <c:pt idx="368">
                  <c:v>12.3</c:v>
                </c:pt>
                <c:pt idx="369">
                  <c:v>12.3</c:v>
                </c:pt>
                <c:pt idx="370">
                  <c:v>12.35</c:v>
                </c:pt>
                <c:pt idx="371">
                  <c:v>12.4</c:v>
                </c:pt>
                <c:pt idx="372">
                  <c:v>12.4</c:v>
                </c:pt>
                <c:pt idx="373">
                  <c:v>12.45</c:v>
                </c:pt>
                <c:pt idx="374">
                  <c:v>12.5</c:v>
                </c:pt>
                <c:pt idx="375">
                  <c:v>12.5</c:v>
                </c:pt>
                <c:pt idx="376">
                  <c:v>12.55</c:v>
                </c:pt>
                <c:pt idx="377">
                  <c:v>12.6</c:v>
                </c:pt>
                <c:pt idx="378">
                  <c:v>12.6</c:v>
                </c:pt>
                <c:pt idx="379">
                  <c:v>12.65</c:v>
                </c:pt>
                <c:pt idx="380">
                  <c:v>12.7</c:v>
                </c:pt>
                <c:pt idx="381">
                  <c:v>12.7</c:v>
                </c:pt>
                <c:pt idx="382">
                  <c:v>12.75</c:v>
                </c:pt>
                <c:pt idx="383">
                  <c:v>12.8</c:v>
                </c:pt>
                <c:pt idx="384">
                  <c:v>12.8</c:v>
                </c:pt>
                <c:pt idx="385">
                  <c:v>12.85</c:v>
                </c:pt>
                <c:pt idx="386">
                  <c:v>12.9</c:v>
                </c:pt>
                <c:pt idx="387">
                  <c:v>12.9</c:v>
                </c:pt>
                <c:pt idx="388">
                  <c:v>12.95</c:v>
                </c:pt>
                <c:pt idx="389">
                  <c:v>13</c:v>
                </c:pt>
                <c:pt idx="390">
                  <c:v>13</c:v>
                </c:pt>
                <c:pt idx="391">
                  <c:v>13.05</c:v>
                </c:pt>
                <c:pt idx="392">
                  <c:v>13.1</c:v>
                </c:pt>
                <c:pt idx="393">
                  <c:v>13.1</c:v>
                </c:pt>
                <c:pt idx="394">
                  <c:v>13.15</c:v>
                </c:pt>
                <c:pt idx="395">
                  <c:v>13.2</c:v>
                </c:pt>
                <c:pt idx="396">
                  <c:v>13.2</c:v>
                </c:pt>
                <c:pt idx="397">
                  <c:v>13.25</c:v>
                </c:pt>
                <c:pt idx="398">
                  <c:v>13.3</c:v>
                </c:pt>
                <c:pt idx="399">
                  <c:v>13.3</c:v>
                </c:pt>
                <c:pt idx="400">
                  <c:v>13.35</c:v>
                </c:pt>
                <c:pt idx="401">
                  <c:v>13.4</c:v>
                </c:pt>
                <c:pt idx="402">
                  <c:v>13.4</c:v>
                </c:pt>
                <c:pt idx="403">
                  <c:v>13.45</c:v>
                </c:pt>
                <c:pt idx="404">
                  <c:v>13.5</c:v>
                </c:pt>
                <c:pt idx="405">
                  <c:v>13.5</c:v>
                </c:pt>
                <c:pt idx="406">
                  <c:v>13.55</c:v>
                </c:pt>
                <c:pt idx="407">
                  <c:v>13.6</c:v>
                </c:pt>
                <c:pt idx="408">
                  <c:v>13.6</c:v>
                </c:pt>
                <c:pt idx="409">
                  <c:v>13.65</c:v>
                </c:pt>
                <c:pt idx="410">
                  <c:v>13.7</c:v>
                </c:pt>
                <c:pt idx="411">
                  <c:v>13.7</c:v>
                </c:pt>
                <c:pt idx="412">
                  <c:v>13.75</c:v>
                </c:pt>
                <c:pt idx="413">
                  <c:v>13.8</c:v>
                </c:pt>
                <c:pt idx="414">
                  <c:v>13.8</c:v>
                </c:pt>
                <c:pt idx="415">
                  <c:v>13.85</c:v>
                </c:pt>
                <c:pt idx="416">
                  <c:v>13.9</c:v>
                </c:pt>
                <c:pt idx="417">
                  <c:v>13.9</c:v>
                </c:pt>
                <c:pt idx="418">
                  <c:v>13.95</c:v>
                </c:pt>
                <c:pt idx="419">
                  <c:v>14</c:v>
                </c:pt>
                <c:pt idx="420">
                  <c:v>14</c:v>
                </c:pt>
                <c:pt idx="421">
                  <c:v>14.05</c:v>
                </c:pt>
                <c:pt idx="422">
                  <c:v>14.1</c:v>
                </c:pt>
                <c:pt idx="423">
                  <c:v>14.1</c:v>
                </c:pt>
                <c:pt idx="424">
                  <c:v>14.15</c:v>
                </c:pt>
                <c:pt idx="425">
                  <c:v>14.2</c:v>
                </c:pt>
                <c:pt idx="426">
                  <c:v>14.2</c:v>
                </c:pt>
                <c:pt idx="427">
                  <c:v>14.25</c:v>
                </c:pt>
                <c:pt idx="428">
                  <c:v>14.3</c:v>
                </c:pt>
                <c:pt idx="429">
                  <c:v>14.3</c:v>
                </c:pt>
                <c:pt idx="430">
                  <c:v>14.35</c:v>
                </c:pt>
                <c:pt idx="431">
                  <c:v>14.4</c:v>
                </c:pt>
                <c:pt idx="432">
                  <c:v>14.4</c:v>
                </c:pt>
                <c:pt idx="433">
                  <c:v>14.45</c:v>
                </c:pt>
                <c:pt idx="434">
                  <c:v>14.5</c:v>
                </c:pt>
                <c:pt idx="435">
                  <c:v>14.5</c:v>
                </c:pt>
                <c:pt idx="436">
                  <c:v>14.55</c:v>
                </c:pt>
                <c:pt idx="437">
                  <c:v>14.6</c:v>
                </c:pt>
                <c:pt idx="438">
                  <c:v>14.6</c:v>
                </c:pt>
                <c:pt idx="439">
                  <c:v>14.65</c:v>
                </c:pt>
                <c:pt idx="440">
                  <c:v>14.7</c:v>
                </c:pt>
                <c:pt idx="441">
                  <c:v>14.7</c:v>
                </c:pt>
                <c:pt idx="442">
                  <c:v>14.75</c:v>
                </c:pt>
                <c:pt idx="443">
                  <c:v>14.8</c:v>
                </c:pt>
                <c:pt idx="444">
                  <c:v>14.8</c:v>
                </c:pt>
                <c:pt idx="445">
                  <c:v>14.85</c:v>
                </c:pt>
                <c:pt idx="446">
                  <c:v>14.9</c:v>
                </c:pt>
                <c:pt idx="447">
                  <c:v>14.9</c:v>
                </c:pt>
                <c:pt idx="448">
                  <c:v>14.95</c:v>
                </c:pt>
                <c:pt idx="449">
                  <c:v>15</c:v>
                </c:pt>
                <c:pt idx="450">
                  <c:v>15</c:v>
                </c:pt>
                <c:pt idx="451">
                  <c:v>15.05</c:v>
                </c:pt>
                <c:pt idx="452">
                  <c:v>15.1</c:v>
                </c:pt>
                <c:pt idx="453">
                  <c:v>15.1</c:v>
                </c:pt>
                <c:pt idx="454">
                  <c:v>15.15</c:v>
                </c:pt>
                <c:pt idx="455">
                  <c:v>15.2</c:v>
                </c:pt>
                <c:pt idx="456">
                  <c:v>15.2</c:v>
                </c:pt>
                <c:pt idx="457">
                  <c:v>15.25</c:v>
                </c:pt>
                <c:pt idx="458">
                  <c:v>15.3</c:v>
                </c:pt>
                <c:pt idx="459">
                  <c:v>15.3</c:v>
                </c:pt>
                <c:pt idx="460">
                  <c:v>15.35</c:v>
                </c:pt>
                <c:pt idx="461">
                  <c:v>15.4</c:v>
                </c:pt>
                <c:pt idx="462">
                  <c:v>15.4</c:v>
                </c:pt>
                <c:pt idx="463">
                  <c:v>15.45</c:v>
                </c:pt>
                <c:pt idx="464">
                  <c:v>15.5</c:v>
                </c:pt>
                <c:pt idx="465">
                  <c:v>15.5</c:v>
                </c:pt>
                <c:pt idx="466">
                  <c:v>15.55</c:v>
                </c:pt>
                <c:pt idx="467">
                  <c:v>15.6</c:v>
                </c:pt>
                <c:pt idx="468">
                  <c:v>15.6</c:v>
                </c:pt>
                <c:pt idx="469">
                  <c:v>15.65</c:v>
                </c:pt>
                <c:pt idx="470">
                  <c:v>15.7</c:v>
                </c:pt>
                <c:pt idx="471">
                  <c:v>15.7</c:v>
                </c:pt>
                <c:pt idx="472">
                  <c:v>15.75</c:v>
                </c:pt>
                <c:pt idx="473">
                  <c:v>15.8</c:v>
                </c:pt>
                <c:pt idx="474">
                  <c:v>15.8</c:v>
                </c:pt>
                <c:pt idx="475">
                  <c:v>15.85</c:v>
                </c:pt>
                <c:pt idx="476">
                  <c:v>15.9</c:v>
                </c:pt>
                <c:pt idx="477">
                  <c:v>15.9</c:v>
                </c:pt>
                <c:pt idx="478">
                  <c:v>15.95</c:v>
                </c:pt>
                <c:pt idx="479">
                  <c:v>16</c:v>
                </c:pt>
                <c:pt idx="480">
                  <c:v>16</c:v>
                </c:pt>
                <c:pt idx="481">
                  <c:v>16.05</c:v>
                </c:pt>
                <c:pt idx="482">
                  <c:v>16.1</c:v>
                </c:pt>
                <c:pt idx="483">
                  <c:v>16.1</c:v>
                </c:pt>
                <c:pt idx="484">
                  <c:v>16.15</c:v>
                </c:pt>
                <c:pt idx="485">
                  <c:v>16.2</c:v>
                </c:pt>
                <c:pt idx="486">
                  <c:v>16.2</c:v>
                </c:pt>
                <c:pt idx="487">
                  <c:v>16.25</c:v>
                </c:pt>
                <c:pt idx="488">
                  <c:v>16.3</c:v>
                </c:pt>
                <c:pt idx="489">
                  <c:v>16.3</c:v>
                </c:pt>
                <c:pt idx="490">
                  <c:v>16.35</c:v>
                </c:pt>
                <c:pt idx="491">
                  <c:v>16.4</c:v>
                </c:pt>
                <c:pt idx="492">
                  <c:v>16.4</c:v>
                </c:pt>
                <c:pt idx="493">
                  <c:v>16.45</c:v>
                </c:pt>
                <c:pt idx="494">
                  <c:v>16.5</c:v>
                </c:pt>
                <c:pt idx="495">
                  <c:v>16.5</c:v>
                </c:pt>
                <c:pt idx="496">
                  <c:v>16.55</c:v>
                </c:pt>
                <c:pt idx="497">
                  <c:v>16.6</c:v>
                </c:pt>
                <c:pt idx="498">
                  <c:v>16.6</c:v>
                </c:pt>
                <c:pt idx="499">
                  <c:v>16.65</c:v>
                </c:pt>
                <c:pt idx="500">
                  <c:v>16.7</c:v>
                </c:pt>
                <c:pt idx="501">
                  <c:v>16.7</c:v>
                </c:pt>
                <c:pt idx="502">
                  <c:v>16.75</c:v>
                </c:pt>
                <c:pt idx="503">
                  <c:v>16.8</c:v>
                </c:pt>
                <c:pt idx="504">
                  <c:v>16.8</c:v>
                </c:pt>
                <c:pt idx="505">
                  <c:v>16.85</c:v>
                </c:pt>
                <c:pt idx="506">
                  <c:v>16.9</c:v>
                </c:pt>
                <c:pt idx="507">
                  <c:v>16.9</c:v>
                </c:pt>
                <c:pt idx="508">
                  <c:v>16.95</c:v>
                </c:pt>
                <c:pt idx="509">
                  <c:v>17</c:v>
                </c:pt>
                <c:pt idx="510">
                  <c:v>17</c:v>
                </c:pt>
                <c:pt idx="511">
                  <c:v>17.05</c:v>
                </c:pt>
                <c:pt idx="512">
                  <c:v>17.1</c:v>
                </c:pt>
                <c:pt idx="513">
                  <c:v>17.15</c:v>
                </c:pt>
                <c:pt idx="514">
                  <c:v>17.15</c:v>
                </c:pt>
                <c:pt idx="515">
                  <c:v>17.2</c:v>
                </c:pt>
                <c:pt idx="516">
                  <c:v>17.25</c:v>
                </c:pt>
                <c:pt idx="517">
                  <c:v>17.25</c:v>
                </c:pt>
                <c:pt idx="518">
                  <c:v>17.3</c:v>
                </c:pt>
                <c:pt idx="519">
                  <c:v>17.35</c:v>
                </c:pt>
                <c:pt idx="520">
                  <c:v>17.35</c:v>
                </c:pt>
                <c:pt idx="521">
                  <c:v>17.4</c:v>
                </c:pt>
                <c:pt idx="522">
                  <c:v>17.45</c:v>
                </c:pt>
                <c:pt idx="523">
                  <c:v>17.45</c:v>
                </c:pt>
                <c:pt idx="524">
                  <c:v>17.5</c:v>
                </c:pt>
                <c:pt idx="525">
                  <c:v>17.55</c:v>
                </c:pt>
                <c:pt idx="526">
                  <c:v>17.55</c:v>
                </c:pt>
                <c:pt idx="527">
                  <c:v>17.6</c:v>
                </c:pt>
                <c:pt idx="528">
                  <c:v>17.65</c:v>
                </c:pt>
                <c:pt idx="529">
                  <c:v>17.65</c:v>
                </c:pt>
                <c:pt idx="530">
                  <c:v>17.7</c:v>
                </c:pt>
                <c:pt idx="531">
                  <c:v>17.75</c:v>
                </c:pt>
                <c:pt idx="532">
                  <c:v>17.75</c:v>
                </c:pt>
                <c:pt idx="533">
                  <c:v>17.8</c:v>
                </c:pt>
                <c:pt idx="534">
                  <c:v>17.85</c:v>
                </c:pt>
                <c:pt idx="535">
                  <c:v>17.85</c:v>
                </c:pt>
                <c:pt idx="536">
                  <c:v>17.9</c:v>
                </c:pt>
                <c:pt idx="537">
                  <c:v>17.95</c:v>
                </c:pt>
                <c:pt idx="538">
                  <c:v>17.95</c:v>
                </c:pt>
                <c:pt idx="539">
                  <c:v>18</c:v>
                </c:pt>
                <c:pt idx="540">
                  <c:v>18.05</c:v>
                </c:pt>
                <c:pt idx="541">
                  <c:v>18.05</c:v>
                </c:pt>
                <c:pt idx="542">
                  <c:v>18.1</c:v>
                </c:pt>
                <c:pt idx="543">
                  <c:v>18.15</c:v>
                </c:pt>
                <c:pt idx="544">
                  <c:v>18.15</c:v>
                </c:pt>
                <c:pt idx="545">
                  <c:v>18.2</c:v>
                </c:pt>
                <c:pt idx="546">
                  <c:v>18.25</c:v>
                </c:pt>
                <c:pt idx="547">
                  <c:v>18.25</c:v>
                </c:pt>
                <c:pt idx="548">
                  <c:v>18.3</c:v>
                </c:pt>
                <c:pt idx="549">
                  <c:v>18.35</c:v>
                </c:pt>
                <c:pt idx="550">
                  <c:v>18.35</c:v>
                </c:pt>
                <c:pt idx="551">
                  <c:v>18.4</c:v>
                </c:pt>
                <c:pt idx="552">
                  <c:v>18.45</c:v>
                </c:pt>
                <c:pt idx="553">
                  <c:v>18.45</c:v>
                </c:pt>
                <c:pt idx="554">
                  <c:v>18.5</c:v>
                </c:pt>
                <c:pt idx="555">
                  <c:v>18.55</c:v>
                </c:pt>
                <c:pt idx="556">
                  <c:v>18.55</c:v>
                </c:pt>
                <c:pt idx="557">
                  <c:v>18.6</c:v>
                </c:pt>
                <c:pt idx="558">
                  <c:v>18.65</c:v>
                </c:pt>
                <c:pt idx="559">
                  <c:v>18.65</c:v>
                </c:pt>
                <c:pt idx="560">
                  <c:v>18.7</c:v>
                </c:pt>
                <c:pt idx="561">
                  <c:v>18.75</c:v>
                </c:pt>
                <c:pt idx="562">
                  <c:v>18.75</c:v>
                </c:pt>
                <c:pt idx="563">
                  <c:v>18.8</c:v>
                </c:pt>
                <c:pt idx="564">
                  <c:v>18.85</c:v>
                </c:pt>
                <c:pt idx="565">
                  <c:v>18.85</c:v>
                </c:pt>
                <c:pt idx="566">
                  <c:v>18.9</c:v>
                </c:pt>
                <c:pt idx="567">
                  <c:v>18.95</c:v>
                </c:pt>
                <c:pt idx="568">
                  <c:v>18.95</c:v>
                </c:pt>
                <c:pt idx="569">
                  <c:v>19</c:v>
                </c:pt>
                <c:pt idx="570">
                  <c:v>19.05</c:v>
                </c:pt>
                <c:pt idx="571">
                  <c:v>19.05</c:v>
                </c:pt>
                <c:pt idx="572">
                  <c:v>19.1</c:v>
                </c:pt>
                <c:pt idx="573">
                  <c:v>19.15</c:v>
                </c:pt>
                <c:pt idx="574">
                  <c:v>19.15</c:v>
                </c:pt>
                <c:pt idx="575">
                  <c:v>19.2</c:v>
                </c:pt>
                <c:pt idx="576">
                  <c:v>19.25</c:v>
                </c:pt>
                <c:pt idx="577">
                  <c:v>19.25</c:v>
                </c:pt>
                <c:pt idx="578">
                  <c:v>19.3</c:v>
                </c:pt>
                <c:pt idx="579">
                  <c:v>19.35</c:v>
                </c:pt>
                <c:pt idx="580">
                  <c:v>19.35</c:v>
                </c:pt>
                <c:pt idx="581">
                  <c:v>19.4</c:v>
                </c:pt>
                <c:pt idx="582">
                  <c:v>19.45</c:v>
                </c:pt>
                <c:pt idx="583">
                  <c:v>19.45</c:v>
                </c:pt>
                <c:pt idx="584">
                  <c:v>19.5</c:v>
                </c:pt>
                <c:pt idx="585">
                  <c:v>19.55</c:v>
                </c:pt>
                <c:pt idx="586">
                  <c:v>19.55</c:v>
                </c:pt>
                <c:pt idx="587">
                  <c:v>19.6</c:v>
                </c:pt>
                <c:pt idx="588">
                  <c:v>19.65</c:v>
                </c:pt>
                <c:pt idx="589">
                  <c:v>19.65</c:v>
                </c:pt>
                <c:pt idx="590">
                  <c:v>19.7</c:v>
                </c:pt>
                <c:pt idx="591">
                  <c:v>19.75</c:v>
                </c:pt>
                <c:pt idx="592">
                  <c:v>19.75</c:v>
                </c:pt>
                <c:pt idx="593">
                  <c:v>19.8</c:v>
                </c:pt>
                <c:pt idx="594">
                  <c:v>19.85</c:v>
                </c:pt>
                <c:pt idx="595">
                  <c:v>19.85</c:v>
                </c:pt>
                <c:pt idx="596">
                  <c:v>19.9</c:v>
                </c:pt>
                <c:pt idx="597">
                  <c:v>19.95</c:v>
                </c:pt>
                <c:pt idx="598">
                  <c:v>19.95</c:v>
                </c:pt>
                <c:pt idx="599">
                  <c:v>20</c:v>
                </c:pt>
                <c:pt idx="600">
                  <c:v>20.05</c:v>
                </c:pt>
                <c:pt idx="601">
                  <c:v>20.05</c:v>
                </c:pt>
                <c:pt idx="602">
                  <c:v>20.1</c:v>
                </c:pt>
                <c:pt idx="603">
                  <c:v>20.15</c:v>
                </c:pt>
                <c:pt idx="604">
                  <c:v>20.15</c:v>
                </c:pt>
                <c:pt idx="605">
                  <c:v>20.2</c:v>
                </c:pt>
                <c:pt idx="606">
                  <c:v>20.25</c:v>
                </c:pt>
                <c:pt idx="607">
                  <c:v>20.25</c:v>
                </c:pt>
                <c:pt idx="608">
                  <c:v>20.3</c:v>
                </c:pt>
                <c:pt idx="609">
                  <c:v>20.35</c:v>
                </c:pt>
                <c:pt idx="610">
                  <c:v>20.35</c:v>
                </c:pt>
                <c:pt idx="611">
                  <c:v>20.4</c:v>
                </c:pt>
                <c:pt idx="612">
                  <c:v>20.45</c:v>
                </c:pt>
                <c:pt idx="613">
                  <c:v>20.45</c:v>
                </c:pt>
                <c:pt idx="614">
                  <c:v>20.5</c:v>
                </c:pt>
                <c:pt idx="615">
                  <c:v>20.55</c:v>
                </c:pt>
                <c:pt idx="616">
                  <c:v>20.55</c:v>
                </c:pt>
                <c:pt idx="617">
                  <c:v>20.6</c:v>
                </c:pt>
                <c:pt idx="618">
                  <c:v>20.65</c:v>
                </c:pt>
                <c:pt idx="619">
                  <c:v>20.65</c:v>
                </c:pt>
                <c:pt idx="620">
                  <c:v>20.7</c:v>
                </c:pt>
                <c:pt idx="621">
                  <c:v>20.75</c:v>
                </c:pt>
                <c:pt idx="622">
                  <c:v>20.75</c:v>
                </c:pt>
                <c:pt idx="623">
                  <c:v>20.8</c:v>
                </c:pt>
                <c:pt idx="624">
                  <c:v>20.85</c:v>
                </c:pt>
                <c:pt idx="625">
                  <c:v>20.85</c:v>
                </c:pt>
                <c:pt idx="626">
                  <c:v>20.9</c:v>
                </c:pt>
                <c:pt idx="627">
                  <c:v>20.95</c:v>
                </c:pt>
                <c:pt idx="628">
                  <c:v>20.95</c:v>
                </c:pt>
                <c:pt idx="629">
                  <c:v>21</c:v>
                </c:pt>
                <c:pt idx="630">
                  <c:v>21.05</c:v>
                </c:pt>
                <c:pt idx="631">
                  <c:v>21.05</c:v>
                </c:pt>
                <c:pt idx="632">
                  <c:v>21.1</c:v>
                </c:pt>
                <c:pt idx="633">
                  <c:v>21.15</c:v>
                </c:pt>
                <c:pt idx="634">
                  <c:v>21.15</c:v>
                </c:pt>
                <c:pt idx="635">
                  <c:v>21.2</c:v>
                </c:pt>
                <c:pt idx="636">
                  <c:v>21.25</c:v>
                </c:pt>
                <c:pt idx="637">
                  <c:v>21.25</c:v>
                </c:pt>
                <c:pt idx="638">
                  <c:v>21.3</c:v>
                </c:pt>
                <c:pt idx="639">
                  <c:v>21.35</c:v>
                </c:pt>
                <c:pt idx="640">
                  <c:v>21.35</c:v>
                </c:pt>
                <c:pt idx="641">
                  <c:v>21.4</c:v>
                </c:pt>
                <c:pt idx="642">
                  <c:v>21.45</c:v>
                </c:pt>
                <c:pt idx="643">
                  <c:v>21.45</c:v>
                </c:pt>
                <c:pt idx="644">
                  <c:v>21.5</c:v>
                </c:pt>
                <c:pt idx="645">
                  <c:v>21.55</c:v>
                </c:pt>
                <c:pt idx="646">
                  <c:v>21.55</c:v>
                </c:pt>
                <c:pt idx="647">
                  <c:v>21.6</c:v>
                </c:pt>
                <c:pt idx="648">
                  <c:v>21.65</c:v>
                </c:pt>
                <c:pt idx="649">
                  <c:v>21.65</c:v>
                </c:pt>
                <c:pt idx="650">
                  <c:v>21.7</c:v>
                </c:pt>
                <c:pt idx="651">
                  <c:v>21.75</c:v>
                </c:pt>
                <c:pt idx="652">
                  <c:v>21.75</c:v>
                </c:pt>
                <c:pt idx="653">
                  <c:v>21.8</c:v>
                </c:pt>
                <c:pt idx="654">
                  <c:v>21.85</c:v>
                </c:pt>
                <c:pt idx="655">
                  <c:v>21.85</c:v>
                </c:pt>
                <c:pt idx="656">
                  <c:v>21.9</c:v>
                </c:pt>
                <c:pt idx="657">
                  <c:v>21.95</c:v>
                </c:pt>
                <c:pt idx="658">
                  <c:v>21.95</c:v>
                </c:pt>
                <c:pt idx="659">
                  <c:v>22</c:v>
                </c:pt>
                <c:pt idx="660">
                  <c:v>22.05</c:v>
                </c:pt>
                <c:pt idx="661">
                  <c:v>22.05</c:v>
                </c:pt>
                <c:pt idx="662">
                  <c:v>22.1</c:v>
                </c:pt>
                <c:pt idx="663">
                  <c:v>22.15</c:v>
                </c:pt>
                <c:pt idx="664">
                  <c:v>22.15</c:v>
                </c:pt>
                <c:pt idx="665">
                  <c:v>22.2</c:v>
                </c:pt>
                <c:pt idx="666">
                  <c:v>22.25</c:v>
                </c:pt>
                <c:pt idx="667">
                  <c:v>22.25</c:v>
                </c:pt>
                <c:pt idx="668">
                  <c:v>22.3</c:v>
                </c:pt>
                <c:pt idx="669">
                  <c:v>22.35</c:v>
                </c:pt>
                <c:pt idx="670">
                  <c:v>22.35</c:v>
                </c:pt>
                <c:pt idx="671">
                  <c:v>22.4</c:v>
                </c:pt>
                <c:pt idx="672">
                  <c:v>22.45</c:v>
                </c:pt>
                <c:pt idx="673">
                  <c:v>22.45</c:v>
                </c:pt>
                <c:pt idx="674">
                  <c:v>22.5</c:v>
                </c:pt>
                <c:pt idx="675">
                  <c:v>22.55</c:v>
                </c:pt>
                <c:pt idx="676">
                  <c:v>22.55</c:v>
                </c:pt>
                <c:pt idx="677">
                  <c:v>22.6</c:v>
                </c:pt>
                <c:pt idx="678">
                  <c:v>22.65</c:v>
                </c:pt>
                <c:pt idx="679">
                  <c:v>22.65</c:v>
                </c:pt>
                <c:pt idx="680">
                  <c:v>22.7</c:v>
                </c:pt>
                <c:pt idx="681">
                  <c:v>22.75</c:v>
                </c:pt>
                <c:pt idx="682">
                  <c:v>22.75</c:v>
                </c:pt>
                <c:pt idx="683">
                  <c:v>22.8</c:v>
                </c:pt>
                <c:pt idx="684">
                  <c:v>22.85</c:v>
                </c:pt>
                <c:pt idx="685">
                  <c:v>22.9</c:v>
                </c:pt>
                <c:pt idx="686">
                  <c:v>22.9</c:v>
                </c:pt>
                <c:pt idx="687">
                  <c:v>22.95</c:v>
                </c:pt>
                <c:pt idx="688">
                  <c:v>23</c:v>
                </c:pt>
                <c:pt idx="689">
                  <c:v>23</c:v>
                </c:pt>
                <c:pt idx="690">
                  <c:v>23.05</c:v>
                </c:pt>
                <c:pt idx="691">
                  <c:v>23.1</c:v>
                </c:pt>
                <c:pt idx="692">
                  <c:v>23.1</c:v>
                </c:pt>
                <c:pt idx="693">
                  <c:v>23.15</c:v>
                </c:pt>
                <c:pt idx="694">
                  <c:v>23.2</c:v>
                </c:pt>
                <c:pt idx="695">
                  <c:v>23.2</c:v>
                </c:pt>
                <c:pt idx="696">
                  <c:v>23.25</c:v>
                </c:pt>
                <c:pt idx="697">
                  <c:v>23.3</c:v>
                </c:pt>
                <c:pt idx="698">
                  <c:v>23.3</c:v>
                </c:pt>
                <c:pt idx="699">
                  <c:v>23.35</c:v>
                </c:pt>
                <c:pt idx="700">
                  <c:v>23.4</c:v>
                </c:pt>
                <c:pt idx="701">
                  <c:v>23.4</c:v>
                </c:pt>
                <c:pt idx="702">
                  <c:v>23.45</c:v>
                </c:pt>
                <c:pt idx="703">
                  <c:v>23.5</c:v>
                </c:pt>
                <c:pt idx="704">
                  <c:v>23.5</c:v>
                </c:pt>
                <c:pt idx="705">
                  <c:v>23.55</c:v>
                </c:pt>
                <c:pt idx="706">
                  <c:v>23.6</c:v>
                </c:pt>
                <c:pt idx="707">
                  <c:v>23.6</c:v>
                </c:pt>
                <c:pt idx="708">
                  <c:v>23.65</c:v>
                </c:pt>
                <c:pt idx="709">
                  <c:v>23.7</c:v>
                </c:pt>
                <c:pt idx="710">
                  <c:v>23.7</c:v>
                </c:pt>
                <c:pt idx="711">
                  <c:v>23.75</c:v>
                </c:pt>
                <c:pt idx="712">
                  <c:v>23.8</c:v>
                </c:pt>
                <c:pt idx="713">
                  <c:v>23.8</c:v>
                </c:pt>
                <c:pt idx="714">
                  <c:v>23.85</c:v>
                </c:pt>
                <c:pt idx="715">
                  <c:v>23.9</c:v>
                </c:pt>
                <c:pt idx="716">
                  <c:v>23.9</c:v>
                </c:pt>
                <c:pt idx="717">
                  <c:v>23.95</c:v>
                </c:pt>
                <c:pt idx="718">
                  <c:v>24</c:v>
                </c:pt>
                <c:pt idx="719">
                  <c:v>24</c:v>
                </c:pt>
                <c:pt idx="720">
                  <c:v>24.05</c:v>
                </c:pt>
                <c:pt idx="721">
                  <c:v>24.1</c:v>
                </c:pt>
                <c:pt idx="722">
                  <c:v>24.1</c:v>
                </c:pt>
                <c:pt idx="723">
                  <c:v>24.15</c:v>
                </c:pt>
                <c:pt idx="724">
                  <c:v>24.2</c:v>
                </c:pt>
                <c:pt idx="725">
                  <c:v>24.2</c:v>
                </c:pt>
                <c:pt idx="726">
                  <c:v>24.25</c:v>
                </c:pt>
                <c:pt idx="727">
                  <c:v>24.3</c:v>
                </c:pt>
                <c:pt idx="728">
                  <c:v>24.3</c:v>
                </c:pt>
                <c:pt idx="729">
                  <c:v>24.35</c:v>
                </c:pt>
                <c:pt idx="730">
                  <c:v>24.4</c:v>
                </c:pt>
                <c:pt idx="731">
                  <c:v>24.4</c:v>
                </c:pt>
                <c:pt idx="732">
                  <c:v>24.45</c:v>
                </c:pt>
                <c:pt idx="733">
                  <c:v>24.5</c:v>
                </c:pt>
                <c:pt idx="734">
                  <c:v>24.5</c:v>
                </c:pt>
                <c:pt idx="735">
                  <c:v>24.55</c:v>
                </c:pt>
                <c:pt idx="736">
                  <c:v>24.6</c:v>
                </c:pt>
                <c:pt idx="737">
                  <c:v>24.6</c:v>
                </c:pt>
                <c:pt idx="738">
                  <c:v>24.65</c:v>
                </c:pt>
                <c:pt idx="739">
                  <c:v>24.7</c:v>
                </c:pt>
                <c:pt idx="740">
                  <c:v>24.7</c:v>
                </c:pt>
                <c:pt idx="741">
                  <c:v>24.75</c:v>
                </c:pt>
                <c:pt idx="742">
                  <c:v>24.8</c:v>
                </c:pt>
                <c:pt idx="743">
                  <c:v>24.8</c:v>
                </c:pt>
                <c:pt idx="744">
                  <c:v>24.85</c:v>
                </c:pt>
                <c:pt idx="745">
                  <c:v>24.9</c:v>
                </c:pt>
                <c:pt idx="746">
                  <c:v>24.9</c:v>
                </c:pt>
                <c:pt idx="747">
                  <c:v>24.95</c:v>
                </c:pt>
                <c:pt idx="748">
                  <c:v>25</c:v>
                </c:pt>
                <c:pt idx="749">
                  <c:v>25</c:v>
                </c:pt>
                <c:pt idx="750">
                  <c:v>25.05</c:v>
                </c:pt>
                <c:pt idx="751">
                  <c:v>25.1</c:v>
                </c:pt>
                <c:pt idx="752">
                  <c:v>25.1</c:v>
                </c:pt>
                <c:pt idx="753">
                  <c:v>25.15</c:v>
                </c:pt>
                <c:pt idx="754">
                  <c:v>25.2</c:v>
                </c:pt>
                <c:pt idx="755">
                  <c:v>25.2</c:v>
                </c:pt>
                <c:pt idx="756">
                  <c:v>25.25</c:v>
                </c:pt>
                <c:pt idx="757">
                  <c:v>25.3</c:v>
                </c:pt>
                <c:pt idx="758">
                  <c:v>25.3</c:v>
                </c:pt>
                <c:pt idx="759">
                  <c:v>25.35</c:v>
                </c:pt>
                <c:pt idx="760">
                  <c:v>25.4</c:v>
                </c:pt>
                <c:pt idx="761">
                  <c:v>25.4</c:v>
                </c:pt>
                <c:pt idx="762">
                  <c:v>25.45</c:v>
                </c:pt>
                <c:pt idx="763">
                  <c:v>25.5</c:v>
                </c:pt>
                <c:pt idx="764">
                  <c:v>25.5</c:v>
                </c:pt>
                <c:pt idx="765">
                  <c:v>25.55</c:v>
                </c:pt>
                <c:pt idx="766">
                  <c:v>25.6</c:v>
                </c:pt>
                <c:pt idx="767">
                  <c:v>25.6</c:v>
                </c:pt>
                <c:pt idx="768">
                  <c:v>25.65</c:v>
                </c:pt>
                <c:pt idx="769">
                  <c:v>25.7</c:v>
                </c:pt>
                <c:pt idx="770">
                  <c:v>25.7</c:v>
                </c:pt>
                <c:pt idx="771">
                  <c:v>25.75</c:v>
                </c:pt>
                <c:pt idx="772">
                  <c:v>25.8</c:v>
                </c:pt>
                <c:pt idx="773">
                  <c:v>25.8</c:v>
                </c:pt>
                <c:pt idx="774">
                  <c:v>25.85</c:v>
                </c:pt>
                <c:pt idx="775">
                  <c:v>25.9</c:v>
                </c:pt>
                <c:pt idx="776">
                  <c:v>25.9</c:v>
                </c:pt>
                <c:pt idx="777">
                  <c:v>25.95</c:v>
                </c:pt>
                <c:pt idx="778">
                  <c:v>26</c:v>
                </c:pt>
                <c:pt idx="779">
                  <c:v>26</c:v>
                </c:pt>
                <c:pt idx="780">
                  <c:v>26.05</c:v>
                </c:pt>
                <c:pt idx="781">
                  <c:v>26.1</c:v>
                </c:pt>
                <c:pt idx="782">
                  <c:v>26.1</c:v>
                </c:pt>
                <c:pt idx="783">
                  <c:v>26.15</c:v>
                </c:pt>
                <c:pt idx="784">
                  <c:v>26.2</c:v>
                </c:pt>
                <c:pt idx="785">
                  <c:v>26.2</c:v>
                </c:pt>
                <c:pt idx="786">
                  <c:v>26.25</c:v>
                </c:pt>
                <c:pt idx="787">
                  <c:v>26.3</c:v>
                </c:pt>
                <c:pt idx="788">
                  <c:v>26.3</c:v>
                </c:pt>
                <c:pt idx="789">
                  <c:v>26.35</c:v>
                </c:pt>
                <c:pt idx="790">
                  <c:v>26.4</c:v>
                </c:pt>
                <c:pt idx="791">
                  <c:v>26.4</c:v>
                </c:pt>
                <c:pt idx="792">
                  <c:v>26.45</c:v>
                </c:pt>
                <c:pt idx="793">
                  <c:v>26.5</c:v>
                </c:pt>
                <c:pt idx="794">
                  <c:v>26.5</c:v>
                </c:pt>
                <c:pt idx="795">
                  <c:v>26.55</c:v>
                </c:pt>
                <c:pt idx="796">
                  <c:v>26.6</c:v>
                </c:pt>
                <c:pt idx="797">
                  <c:v>26.6</c:v>
                </c:pt>
                <c:pt idx="798">
                  <c:v>26.65</c:v>
                </c:pt>
                <c:pt idx="799">
                  <c:v>26.7</c:v>
                </c:pt>
                <c:pt idx="800">
                  <c:v>26.7</c:v>
                </c:pt>
                <c:pt idx="801">
                  <c:v>26.75</c:v>
                </c:pt>
                <c:pt idx="802">
                  <c:v>26.8</c:v>
                </c:pt>
                <c:pt idx="803">
                  <c:v>26.8</c:v>
                </c:pt>
                <c:pt idx="804">
                  <c:v>26.85</c:v>
                </c:pt>
                <c:pt idx="805">
                  <c:v>26.9</c:v>
                </c:pt>
                <c:pt idx="806">
                  <c:v>26.9</c:v>
                </c:pt>
                <c:pt idx="807">
                  <c:v>26.95</c:v>
                </c:pt>
                <c:pt idx="808">
                  <c:v>27</c:v>
                </c:pt>
                <c:pt idx="809">
                  <c:v>27</c:v>
                </c:pt>
                <c:pt idx="810">
                  <c:v>27.05</c:v>
                </c:pt>
                <c:pt idx="811">
                  <c:v>27.1</c:v>
                </c:pt>
                <c:pt idx="812">
                  <c:v>27.1</c:v>
                </c:pt>
                <c:pt idx="813">
                  <c:v>27.15</c:v>
                </c:pt>
                <c:pt idx="814">
                  <c:v>27.2</c:v>
                </c:pt>
                <c:pt idx="815">
                  <c:v>27.2</c:v>
                </c:pt>
                <c:pt idx="816">
                  <c:v>27.25</c:v>
                </c:pt>
                <c:pt idx="817">
                  <c:v>27.3</c:v>
                </c:pt>
                <c:pt idx="818">
                  <c:v>27.3</c:v>
                </c:pt>
                <c:pt idx="819">
                  <c:v>27.35</c:v>
                </c:pt>
                <c:pt idx="820">
                  <c:v>27.4</c:v>
                </c:pt>
                <c:pt idx="821">
                  <c:v>27.4</c:v>
                </c:pt>
                <c:pt idx="822">
                  <c:v>27.45</c:v>
                </c:pt>
                <c:pt idx="823">
                  <c:v>27.5</c:v>
                </c:pt>
                <c:pt idx="824">
                  <c:v>27.5</c:v>
                </c:pt>
                <c:pt idx="825">
                  <c:v>27.55</c:v>
                </c:pt>
                <c:pt idx="826">
                  <c:v>27.6</c:v>
                </c:pt>
                <c:pt idx="827">
                  <c:v>27.6</c:v>
                </c:pt>
                <c:pt idx="828">
                  <c:v>27.65</c:v>
                </c:pt>
                <c:pt idx="829">
                  <c:v>27.7</c:v>
                </c:pt>
                <c:pt idx="830">
                  <c:v>27.7</c:v>
                </c:pt>
                <c:pt idx="831">
                  <c:v>27.75</c:v>
                </c:pt>
                <c:pt idx="832">
                  <c:v>27.8</c:v>
                </c:pt>
                <c:pt idx="833">
                  <c:v>27.8</c:v>
                </c:pt>
                <c:pt idx="834">
                  <c:v>27.85</c:v>
                </c:pt>
                <c:pt idx="835">
                  <c:v>27.9</c:v>
                </c:pt>
                <c:pt idx="836">
                  <c:v>27.9</c:v>
                </c:pt>
                <c:pt idx="837">
                  <c:v>27.95</c:v>
                </c:pt>
                <c:pt idx="838">
                  <c:v>28</c:v>
                </c:pt>
                <c:pt idx="839">
                  <c:v>28</c:v>
                </c:pt>
                <c:pt idx="840">
                  <c:v>28.05</c:v>
                </c:pt>
                <c:pt idx="841">
                  <c:v>28.1</c:v>
                </c:pt>
                <c:pt idx="842">
                  <c:v>28.1</c:v>
                </c:pt>
                <c:pt idx="843">
                  <c:v>28.15</c:v>
                </c:pt>
                <c:pt idx="844">
                  <c:v>28.2</c:v>
                </c:pt>
                <c:pt idx="845">
                  <c:v>28.2</c:v>
                </c:pt>
                <c:pt idx="846">
                  <c:v>28.25</c:v>
                </c:pt>
                <c:pt idx="847">
                  <c:v>28.3</c:v>
                </c:pt>
                <c:pt idx="848">
                  <c:v>28.3</c:v>
                </c:pt>
                <c:pt idx="849">
                  <c:v>28.35</c:v>
                </c:pt>
                <c:pt idx="850">
                  <c:v>28.4</c:v>
                </c:pt>
                <c:pt idx="851">
                  <c:v>28.4</c:v>
                </c:pt>
                <c:pt idx="852">
                  <c:v>28.45</c:v>
                </c:pt>
                <c:pt idx="853">
                  <c:v>28.5</c:v>
                </c:pt>
                <c:pt idx="854">
                  <c:v>28.5</c:v>
                </c:pt>
                <c:pt idx="855">
                  <c:v>28.55</c:v>
                </c:pt>
                <c:pt idx="856">
                  <c:v>28.6</c:v>
                </c:pt>
                <c:pt idx="857">
                  <c:v>28.65</c:v>
                </c:pt>
                <c:pt idx="858">
                  <c:v>28.65</c:v>
                </c:pt>
                <c:pt idx="859">
                  <c:v>28.7</c:v>
                </c:pt>
                <c:pt idx="860">
                  <c:v>28.75</c:v>
                </c:pt>
                <c:pt idx="861">
                  <c:v>28.75</c:v>
                </c:pt>
                <c:pt idx="862">
                  <c:v>28.8</c:v>
                </c:pt>
                <c:pt idx="863">
                  <c:v>28.85</c:v>
                </c:pt>
                <c:pt idx="864">
                  <c:v>28.85</c:v>
                </c:pt>
                <c:pt idx="865">
                  <c:v>28.9</c:v>
                </c:pt>
                <c:pt idx="866">
                  <c:v>28.95</c:v>
                </c:pt>
                <c:pt idx="867">
                  <c:v>28.95</c:v>
                </c:pt>
                <c:pt idx="868">
                  <c:v>29</c:v>
                </c:pt>
                <c:pt idx="869">
                  <c:v>29.05</c:v>
                </c:pt>
                <c:pt idx="870">
                  <c:v>29.05</c:v>
                </c:pt>
                <c:pt idx="871">
                  <c:v>29.1</c:v>
                </c:pt>
                <c:pt idx="872">
                  <c:v>29.15</c:v>
                </c:pt>
                <c:pt idx="873">
                  <c:v>29.15</c:v>
                </c:pt>
                <c:pt idx="874">
                  <c:v>29.2</c:v>
                </c:pt>
                <c:pt idx="875">
                  <c:v>29.25</c:v>
                </c:pt>
                <c:pt idx="876">
                  <c:v>29.25</c:v>
                </c:pt>
                <c:pt idx="877">
                  <c:v>29.3</c:v>
                </c:pt>
                <c:pt idx="878">
                  <c:v>29.35</c:v>
                </c:pt>
                <c:pt idx="879">
                  <c:v>29.35</c:v>
                </c:pt>
                <c:pt idx="880">
                  <c:v>29.4</c:v>
                </c:pt>
                <c:pt idx="881">
                  <c:v>29.45</c:v>
                </c:pt>
                <c:pt idx="882">
                  <c:v>29.45</c:v>
                </c:pt>
                <c:pt idx="883">
                  <c:v>29.5</c:v>
                </c:pt>
                <c:pt idx="884">
                  <c:v>29.55</c:v>
                </c:pt>
                <c:pt idx="885">
                  <c:v>29.55</c:v>
                </c:pt>
                <c:pt idx="886">
                  <c:v>29.6</c:v>
                </c:pt>
                <c:pt idx="887">
                  <c:v>29.65</c:v>
                </c:pt>
                <c:pt idx="888">
                  <c:v>29.65</c:v>
                </c:pt>
                <c:pt idx="889">
                  <c:v>29.7</c:v>
                </c:pt>
                <c:pt idx="890">
                  <c:v>29.75</c:v>
                </c:pt>
                <c:pt idx="891">
                  <c:v>29.75</c:v>
                </c:pt>
                <c:pt idx="892">
                  <c:v>29.8</c:v>
                </c:pt>
                <c:pt idx="893">
                  <c:v>29.85</c:v>
                </c:pt>
                <c:pt idx="894">
                  <c:v>29.85</c:v>
                </c:pt>
                <c:pt idx="895">
                  <c:v>29.9</c:v>
                </c:pt>
                <c:pt idx="896">
                  <c:v>29.95</c:v>
                </c:pt>
                <c:pt idx="897">
                  <c:v>29.95</c:v>
                </c:pt>
                <c:pt idx="898">
                  <c:v>30</c:v>
                </c:pt>
                <c:pt idx="899">
                  <c:v>30.05</c:v>
                </c:pt>
                <c:pt idx="900">
                  <c:v>30.05</c:v>
                </c:pt>
                <c:pt idx="901">
                  <c:v>30.1</c:v>
                </c:pt>
                <c:pt idx="902">
                  <c:v>30.15</c:v>
                </c:pt>
                <c:pt idx="903">
                  <c:v>30.15</c:v>
                </c:pt>
                <c:pt idx="904">
                  <c:v>30.2</c:v>
                </c:pt>
                <c:pt idx="905">
                  <c:v>30.25</c:v>
                </c:pt>
                <c:pt idx="906">
                  <c:v>30.25</c:v>
                </c:pt>
                <c:pt idx="907">
                  <c:v>30.3</c:v>
                </c:pt>
                <c:pt idx="908">
                  <c:v>30.35</c:v>
                </c:pt>
                <c:pt idx="909">
                  <c:v>30.35</c:v>
                </c:pt>
                <c:pt idx="910">
                  <c:v>30.4</c:v>
                </c:pt>
                <c:pt idx="911">
                  <c:v>30.45</c:v>
                </c:pt>
                <c:pt idx="912">
                  <c:v>30.45</c:v>
                </c:pt>
                <c:pt idx="913">
                  <c:v>30.5</c:v>
                </c:pt>
                <c:pt idx="914">
                  <c:v>30.55</c:v>
                </c:pt>
                <c:pt idx="915">
                  <c:v>30.55</c:v>
                </c:pt>
                <c:pt idx="916">
                  <c:v>30.6</c:v>
                </c:pt>
                <c:pt idx="917">
                  <c:v>30.65</c:v>
                </c:pt>
                <c:pt idx="918">
                  <c:v>30.65</c:v>
                </c:pt>
                <c:pt idx="919">
                  <c:v>30.7</c:v>
                </c:pt>
                <c:pt idx="920">
                  <c:v>30.75</c:v>
                </c:pt>
                <c:pt idx="921">
                  <c:v>30.75</c:v>
                </c:pt>
                <c:pt idx="922">
                  <c:v>30.8</c:v>
                </c:pt>
                <c:pt idx="923">
                  <c:v>30.85</c:v>
                </c:pt>
                <c:pt idx="924">
                  <c:v>30.85</c:v>
                </c:pt>
                <c:pt idx="925">
                  <c:v>30.9</c:v>
                </c:pt>
                <c:pt idx="926">
                  <c:v>30.95</c:v>
                </c:pt>
                <c:pt idx="927">
                  <c:v>30.95</c:v>
                </c:pt>
                <c:pt idx="928">
                  <c:v>31</c:v>
                </c:pt>
                <c:pt idx="929">
                  <c:v>31.05</c:v>
                </c:pt>
                <c:pt idx="930">
                  <c:v>31.05</c:v>
                </c:pt>
                <c:pt idx="931">
                  <c:v>31.1</c:v>
                </c:pt>
                <c:pt idx="932">
                  <c:v>31.15</c:v>
                </c:pt>
                <c:pt idx="933">
                  <c:v>31.15</c:v>
                </c:pt>
                <c:pt idx="934">
                  <c:v>31.2</c:v>
                </c:pt>
                <c:pt idx="935">
                  <c:v>31.25</c:v>
                </c:pt>
                <c:pt idx="936">
                  <c:v>31.25</c:v>
                </c:pt>
                <c:pt idx="937">
                  <c:v>31.3</c:v>
                </c:pt>
                <c:pt idx="938">
                  <c:v>31.35</c:v>
                </c:pt>
                <c:pt idx="939">
                  <c:v>31.35</c:v>
                </c:pt>
                <c:pt idx="940">
                  <c:v>31.4</c:v>
                </c:pt>
                <c:pt idx="941">
                  <c:v>31.45</c:v>
                </c:pt>
                <c:pt idx="942">
                  <c:v>31.45</c:v>
                </c:pt>
                <c:pt idx="943">
                  <c:v>31.5</c:v>
                </c:pt>
                <c:pt idx="944">
                  <c:v>31.55</c:v>
                </c:pt>
                <c:pt idx="945">
                  <c:v>31.55</c:v>
                </c:pt>
                <c:pt idx="946">
                  <c:v>31.6</c:v>
                </c:pt>
                <c:pt idx="947">
                  <c:v>31.65</c:v>
                </c:pt>
                <c:pt idx="948">
                  <c:v>31.65</c:v>
                </c:pt>
                <c:pt idx="949">
                  <c:v>31.7</c:v>
                </c:pt>
                <c:pt idx="950">
                  <c:v>31.75</c:v>
                </c:pt>
                <c:pt idx="951">
                  <c:v>31.75</c:v>
                </c:pt>
                <c:pt idx="952">
                  <c:v>31.8</c:v>
                </c:pt>
                <c:pt idx="953">
                  <c:v>31.85</c:v>
                </c:pt>
                <c:pt idx="954">
                  <c:v>31.85</c:v>
                </c:pt>
                <c:pt idx="955">
                  <c:v>31.9</c:v>
                </c:pt>
                <c:pt idx="956">
                  <c:v>31.95</c:v>
                </c:pt>
                <c:pt idx="957">
                  <c:v>31.95</c:v>
                </c:pt>
                <c:pt idx="958">
                  <c:v>32</c:v>
                </c:pt>
                <c:pt idx="959">
                  <c:v>32.05</c:v>
                </c:pt>
                <c:pt idx="960">
                  <c:v>32.05</c:v>
                </c:pt>
                <c:pt idx="961">
                  <c:v>32.1</c:v>
                </c:pt>
                <c:pt idx="962">
                  <c:v>32.15</c:v>
                </c:pt>
                <c:pt idx="963">
                  <c:v>32.15</c:v>
                </c:pt>
                <c:pt idx="964">
                  <c:v>32.2</c:v>
                </c:pt>
                <c:pt idx="965">
                  <c:v>32.25</c:v>
                </c:pt>
                <c:pt idx="966">
                  <c:v>32.25</c:v>
                </c:pt>
                <c:pt idx="967">
                  <c:v>32.3</c:v>
                </c:pt>
                <c:pt idx="968">
                  <c:v>32.35</c:v>
                </c:pt>
                <c:pt idx="969">
                  <c:v>32.35</c:v>
                </c:pt>
                <c:pt idx="970">
                  <c:v>32.4</c:v>
                </c:pt>
                <c:pt idx="971">
                  <c:v>32.45</c:v>
                </c:pt>
                <c:pt idx="972">
                  <c:v>32.45</c:v>
                </c:pt>
                <c:pt idx="973">
                  <c:v>32.5</c:v>
                </c:pt>
                <c:pt idx="974">
                  <c:v>32.55</c:v>
                </c:pt>
                <c:pt idx="975">
                  <c:v>32.55</c:v>
                </c:pt>
                <c:pt idx="976">
                  <c:v>32.6</c:v>
                </c:pt>
                <c:pt idx="977">
                  <c:v>32.65</c:v>
                </c:pt>
                <c:pt idx="978">
                  <c:v>32.65</c:v>
                </c:pt>
                <c:pt idx="979">
                  <c:v>32.7</c:v>
                </c:pt>
                <c:pt idx="980">
                  <c:v>32.75</c:v>
                </c:pt>
                <c:pt idx="981">
                  <c:v>32.75</c:v>
                </c:pt>
                <c:pt idx="982">
                  <c:v>32.8</c:v>
                </c:pt>
                <c:pt idx="983">
                  <c:v>32.85</c:v>
                </c:pt>
                <c:pt idx="984">
                  <c:v>32.85</c:v>
                </c:pt>
                <c:pt idx="985">
                  <c:v>32.9</c:v>
                </c:pt>
                <c:pt idx="986">
                  <c:v>32.95</c:v>
                </c:pt>
                <c:pt idx="987">
                  <c:v>32.95</c:v>
                </c:pt>
                <c:pt idx="988">
                  <c:v>33</c:v>
                </c:pt>
                <c:pt idx="989">
                  <c:v>33.05</c:v>
                </c:pt>
                <c:pt idx="990">
                  <c:v>33.05</c:v>
                </c:pt>
                <c:pt idx="991">
                  <c:v>33.1</c:v>
                </c:pt>
                <c:pt idx="992">
                  <c:v>33.15</c:v>
                </c:pt>
                <c:pt idx="993">
                  <c:v>33.15</c:v>
                </c:pt>
                <c:pt idx="994">
                  <c:v>33.2</c:v>
                </c:pt>
                <c:pt idx="995">
                  <c:v>33.25</c:v>
                </c:pt>
                <c:pt idx="996">
                  <c:v>33.25</c:v>
                </c:pt>
                <c:pt idx="997">
                  <c:v>33.3</c:v>
                </c:pt>
                <c:pt idx="998">
                  <c:v>33.35</c:v>
                </c:pt>
                <c:pt idx="999">
                  <c:v>33.35</c:v>
                </c:pt>
                <c:pt idx="1000">
                  <c:v>33.4</c:v>
                </c:pt>
                <c:pt idx="1001">
                  <c:v>33.45</c:v>
                </c:pt>
                <c:pt idx="1002">
                  <c:v>33.45</c:v>
                </c:pt>
                <c:pt idx="1003">
                  <c:v>33.5</c:v>
                </c:pt>
                <c:pt idx="1004">
                  <c:v>33.55</c:v>
                </c:pt>
                <c:pt idx="1005">
                  <c:v>33.55</c:v>
                </c:pt>
                <c:pt idx="1006">
                  <c:v>33.6</c:v>
                </c:pt>
                <c:pt idx="1007">
                  <c:v>33.65</c:v>
                </c:pt>
                <c:pt idx="1008">
                  <c:v>33.65</c:v>
                </c:pt>
                <c:pt idx="1009">
                  <c:v>33.7</c:v>
                </c:pt>
                <c:pt idx="1010">
                  <c:v>33.75</c:v>
                </c:pt>
                <c:pt idx="1011">
                  <c:v>33.75</c:v>
                </c:pt>
                <c:pt idx="1012">
                  <c:v>33.8</c:v>
                </c:pt>
                <c:pt idx="1013">
                  <c:v>33.85</c:v>
                </c:pt>
                <c:pt idx="1014">
                  <c:v>33.85</c:v>
                </c:pt>
                <c:pt idx="1015">
                  <c:v>33.9</c:v>
                </c:pt>
                <c:pt idx="1016">
                  <c:v>33.95</c:v>
                </c:pt>
                <c:pt idx="1017">
                  <c:v>33.95</c:v>
                </c:pt>
                <c:pt idx="1018">
                  <c:v>34</c:v>
                </c:pt>
                <c:pt idx="1019">
                  <c:v>34.05</c:v>
                </c:pt>
                <c:pt idx="1020">
                  <c:v>34.05</c:v>
                </c:pt>
                <c:pt idx="1021">
                  <c:v>34.1</c:v>
                </c:pt>
                <c:pt idx="1022">
                  <c:v>34.15</c:v>
                </c:pt>
                <c:pt idx="1023">
                  <c:v>34.15</c:v>
                </c:pt>
                <c:pt idx="1024">
                  <c:v>34.2</c:v>
                </c:pt>
                <c:pt idx="1025">
                  <c:v>34.25</c:v>
                </c:pt>
                <c:pt idx="1026">
                  <c:v>34.25</c:v>
                </c:pt>
                <c:pt idx="1027">
                  <c:v>34.3</c:v>
                </c:pt>
                <c:pt idx="1028">
                  <c:v>34.35</c:v>
                </c:pt>
                <c:pt idx="1029">
                  <c:v>34.4</c:v>
                </c:pt>
                <c:pt idx="1030">
                  <c:v>34.4</c:v>
                </c:pt>
                <c:pt idx="1031">
                  <c:v>34.45</c:v>
                </c:pt>
                <c:pt idx="1032">
                  <c:v>34.5</c:v>
                </c:pt>
                <c:pt idx="1033">
                  <c:v>34.5</c:v>
                </c:pt>
                <c:pt idx="1034">
                  <c:v>34.55</c:v>
                </c:pt>
                <c:pt idx="1035">
                  <c:v>34.6</c:v>
                </c:pt>
                <c:pt idx="1036">
                  <c:v>34.6</c:v>
                </c:pt>
                <c:pt idx="1037">
                  <c:v>34.65</c:v>
                </c:pt>
                <c:pt idx="1038">
                  <c:v>34.7</c:v>
                </c:pt>
                <c:pt idx="1039">
                  <c:v>34.7</c:v>
                </c:pt>
                <c:pt idx="1040">
                  <c:v>34.75</c:v>
                </c:pt>
                <c:pt idx="1041">
                  <c:v>34.8</c:v>
                </c:pt>
                <c:pt idx="1042">
                  <c:v>34.8</c:v>
                </c:pt>
                <c:pt idx="1043">
                  <c:v>34.85</c:v>
                </c:pt>
                <c:pt idx="1044">
                  <c:v>34.9</c:v>
                </c:pt>
                <c:pt idx="1045">
                  <c:v>34.9</c:v>
                </c:pt>
                <c:pt idx="1046">
                  <c:v>34.95</c:v>
                </c:pt>
                <c:pt idx="1047">
                  <c:v>35</c:v>
                </c:pt>
                <c:pt idx="1048">
                  <c:v>35</c:v>
                </c:pt>
                <c:pt idx="1049">
                  <c:v>35.05</c:v>
                </c:pt>
                <c:pt idx="1050">
                  <c:v>35.1</c:v>
                </c:pt>
                <c:pt idx="1051">
                  <c:v>35.1</c:v>
                </c:pt>
                <c:pt idx="1052">
                  <c:v>35.15</c:v>
                </c:pt>
                <c:pt idx="1053">
                  <c:v>35.2</c:v>
                </c:pt>
                <c:pt idx="1054">
                  <c:v>35.2</c:v>
                </c:pt>
                <c:pt idx="1055">
                  <c:v>35.25</c:v>
                </c:pt>
                <c:pt idx="1056">
                  <c:v>35.3</c:v>
                </c:pt>
                <c:pt idx="1057">
                  <c:v>35.3</c:v>
                </c:pt>
                <c:pt idx="1058">
                  <c:v>35.35</c:v>
                </c:pt>
                <c:pt idx="1059">
                  <c:v>35.4</c:v>
                </c:pt>
                <c:pt idx="1060">
                  <c:v>35.4</c:v>
                </c:pt>
                <c:pt idx="1061">
                  <c:v>35.45</c:v>
                </c:pt>
                <c:pt idx="1062">
                  <c:v>35.5</c:v>
                </c:pt>
                <c:pt idx="1063">
                  <c:v>35.5</c:v>
                </c:pt>
                <c:pt idx="1064">
                  <c:v>35.55</c:v>
                </c:pt>
                <c:pt idx="1065">
                  <c:v>35.6</c:v>
                </c:pt>
                <c:pt idx="1066">
                  <c:v>35.6</c:v>
                </c:pt>
                <c:pt idx="1067">
                  <c:v>35.65</c:v>
                </c:pt>
                <c:pt idx="1068">
                  <c:v>35.7</c:v>
                </c:pt>
                <c:pt idx="1069">
                  <c:v>35.7</c:v>
                </c:pt>
                <c:pt idx="1070">
                  <c:v>35.75</c:v>
                </c:pt>
                <c:pt idx="1071">
                  <c:v>35.8</c:v>
                </c:pt>
                <c:pt idx="1072">
                  <c:v>35.8</c:v>
                </c:pt>
                <c:pt idx="1073">
                  <c:v>35.85</c:v>
                </c:pt>
                <c:pt idx="1074">
                  <c:v>35.9</c:v>
                </c:pt>
                <c:pt idx="1075">
                  <c:v>35.9</c:v>
                </c:pt>
                <c:pt idx="1076">
                  <c:v>35.95</c:v>
                </c:pt>
                <c:pt idx="1077">
                  <c:v>36</c:v>
                </c:pt>
                <c:pt idx="1078">
                  <c:v>36</c:v>
                </c:pt>
                <c:pt idx="1079">
                  <c:v>36.05</c:v>
                </c:pt>
                <c:pt idx="1080">
                  <c:v>36.1</c:v>
                </c:pt>
                <c:pt idx="1081">
                  <c:v>36.1</c:v>
                </c:pt>
                <c:pt idx="1082">
                  <c:v>36.15</c:v>
                </c:pt>
                <c:pt idx="1083">
                  <c:v>36.2</c:v>
                </c:pt>
                <c:pt idx="1084">
                  <c:v>36.2</c:v>
                </c:pt>
                <c:pt idx="1085">
                  <c:v>36.25</c:v>
                </c:pt>
                <c:pt idx="1086">
                  <c:v>36.3</c:v>
                </c:pt>
                <c:pt idx="1087">
                  <c:v>36.3</c:v>
                </c:pt>
                <c:pt idx="1088">
                  <c:v>36.35</c:v>
                </c:pt>
                <c:pt idx="1089">
                  <c:v>36.4</c:v>
                </c:pt>
                <c:pt idx="1090">
                  <c:v>36.4</c:v>
                </c:pt>
                <c:pt idx="1091">
                  <c:v>36.45</c:v>
                </c:pt>
                <c:pt idx="1092">
                  <c:v>36.5</c:v>
                </c:pt>
                <c:pt idx="1093">
                  <c:v>36.5</c:v>
                </c:pt>
                <c:pt idx="1094">
                  <c:v>36.55</c:v>
                </c:pt>
                <c:pt idx="1095">
                  <c:v>36.6</c:v>
                </c:pt>
                <c:pt idx="1096">
                  <c:v>36.6</c:v>
                </c:pt>
                <c:pt idx="1097">
                  <c:v>36.65</c:v>
                </c:pt>
                <c:pt idx="1098">
                  <c:v>36.7</c:v>
                </c:pt>
                <c:pt idx="1099">
                  <c:v>36.7</c:v>
                </c:pt>
                <c:pt idx="1100">
                  <c:v>36.75</c:v>
                </c:pt>
                <c:pt idx="1101">
                  <c:v>36.8</c:v>
                </c:pt>
                <c:pt idx="1102">
                  <c:v>36.8</c:v>
                </c:pt>
                <c:pt idx="1103">
                  <c:v>36.85</c:v>
                </c:pt>
                <c:pt idx="1104">
                  <c:v>36.9</c:v>
                </c:pt>
                <c:pt idx="1105">
                  <c:v>36.9</c:v>
                </c:pt>
                <c:pt idx="1106">
                  <c:v>36.95</c:v>
                </c:pt>
                <c:pt idx="1107">
                  <c:v>37</c:v>
                </c:pt>
                <c:pt idx="1108">
                  <c:v>37</c:v>
                </c:pt>
                <c:pt idx="1109">
                  <c:v>37.05</c:v>
                </c:pt>
                <c:pt idx="1110">
                  <c:v>37.1</c:v>
                </c:pt>
                <c:pt idx="1111">
                  <c:v>37.1</c:v>
                </c:pt>
                <c:pt idx="1112">
                  <c:v>37.15</c:v>
                </c:pt>
                <c:pt idx="1113">
                  <c:v>37.2</c:v>
                </c:pt>
                <c:pt idx="1114">
                  <c:v>37.2</c:v>
                </c:pt>
                <c:pt idx="1115">
                  <c:v>37.25</c:v>
                </c:pt>
                <c:pt idx="1116">
                  <c:v>37.3</c:v>
                </c:pt>
                <c:pt idx="1117">
                  <c:v>37.3</c:v>
                </c:pt>
                <c:pt idx="1118">
                  <c:v>37.35</c:v>
                </c:pt>
                <c:pt idx="1119">
                  <c:v>37.4</c:v>
                </c:pt>
                <c:pt idx="1120">
                  <c:v>37.4</c:v>
                </c:pt>
                <c:pt idx="1121">
                  <c:v>37.45</c:v>
                </c:pt>
                <c:pt idx="1122">
                  <c:v>37.5</c:v>
                </c:pt>
                <c:pt idx="1123">
                  <c:v>37.5</c:v>
                </c:pt>
                <c:pt idx="1124">
                  <c:v>37.55</c:v>
                </c:pt>
                <c:pt idx="1125">
                  <c:v>37.6</c:v>
                </c:pt>
                <c:pt idx="1126">
                  <c:v>37.6</c:v>
                </c:pt>
                <c:pt idx="1127">
                  <c:v>37.65</c:v>
                </c:pt>
                <c:pt idx="1128">
                  <c:v>37.7</c:v>
                </c:pt>
                <c:pt idx="1129">
                  <c:v>37.7</c:v>
                </c:pt>
                <c:pt idx="1130">
                  <c:v>37.75</c:v>
                </c:pt>
                <c:pt idx="1131">
                  <c:v>37.8</c:v>
                </c:pt>
                <c:pt idx="1132">
                  <c:v>37.8</c:v>
                </c:pt>
                <c:pt idx="1133">
                  <c:v>37.85</c:v>
                </c:pt>
                <c:pt idx="1134">
                  <c:v>37.9</c:v>
                </c:pt>
                <c:pt idx="1135">
                  <c:v>37.9</c:v>
                </c:pt>
                <c:pt idx="1136">
                  <c:v>37.95</c:v>
                </c:pt>
                <c:pt idx="1137">
                  <c:v>38</c:v>
                </c:pt>
                <c:pt idx="1138">
                  <c:v>38</c:v>
                </c:pt>
                <c:pt idx="1139">
                  <c:v>38.05</c:v>
                </c:pt>
                <c:pt idx="1140">
                  <c:v>38.1</c:v>
                </c:pt>
                <c:pt idx="1141">
                  <c:v>38.1</c:v>
                </c:pt>
                <c:pt idx="1142">
                  <c:v>38.15</c:v>
                </c:pt>
                <c:pt idx="1143">
                  <c:v>38.2</c:v>
                </c:pt>
                <c:pt idx="1144">
                  <c:v>38.2</c:v>
                </c:pt>
                <c:pt idx="1145">
                  <c:v>38.25</c:v>
                </c:pt>
                <c:pt idx="1146">
                  <c:v>38.3</c:v>
                </c:pt>
                <c:pt idx="1147">
                  <c:v>38.3</c:v>
                </c:pt>
                <c:pt idx="1148">
                  <c:v>38.35</c:v>
                </c:pt>
                <c:pt idx="1149">
                  <c:v>38.4</c:v>
                </c:pt>
                <c:pt idx="1150">
                  <c:v>38.4</c:v>
                </c:pt>
                <c:pt idx="1151">
                  <c:v>38.45</c:v>
                </c:pt>
                <c:pt idx="1152">
                  <c:v>38.5</c:v>
                </c:pt>
                <c:pt idx="1153">
                  <c:v>38.5</c:v>
                </c:pt>
                <c:pt idx="1154">
                  <c:v>38.55</c:v>
                </c:pt>
                <c:pt idx="1155">
                  <c:v>38.6</c:v>
                </c:pt>
                <c:pt idx="1156">
                  <c:v>38.6</c:v>
                </c:pt>
                <c:pt idx="1157">
                  <c:v>38.65</c:v>
                </c:pt>
                <c:pt idx="1158">
                  <c:v>38.7</c:v>
                </c:pt>
                <c:pt idx="1159">
                  <c:v>38.7</c:v>
                </c:pt>
                <c:pt idx="1160">
                  <c:v>38.75</c:v>
                </c:pt>
                <c:pt idx="1161">
                  <c:v>38.8</c:v>
                </c:pt>
                <c:pt idx="1162">
                  <c:v>38.8</c:v>
                </c:pt>
                <c:pt idx="1163">
                  <c:v>38.85</c:v>
                </c:pt>
                <c:pt idx="1164">
                  <c:v>38.9</c:v>
                </c:pt>
                <c:pt idx="1165">
                  <c:v>38.9</c:v>
                </c:pt>
                <c:pt idx="1166">
                  <c:v>38.95</c:v>
                </c:pt>
                <c:pt idx="1167">
                  <c:v>39</c:v>
                </c:pt>
                <c:pt idx="1168">
                  <c:v>39</c:v>
                </c:pt>
                <c:pt idx="1169">
                  <c:v>39.05</c:v>
                </c:pt>
                <c:pt idx="1170">
                  <c:v>39.1</c:v>
                </c:pt>
                <c:pt idx="1171">
                  <c:v>39.1</c:v>
                </c:pt>
                <c:pt idx="1172">
                  <c:v>39.15</c:v>
                </c:pt>
                <c:pt idx="1173">
                  <c:v>39.2</c:v>
                </c:pt>
                <c:pt idx="1174">
                  <c:v>39.2</c:v>
                </c:pt>
                <c:pt idx="1175">
                  <c:v>39.25</c:v>
                </c:pt>
                <c:pt idx="1176">
                  <c:v>39.3</c:v>
                </c:pt>
                <c:pt idx="1177">
                  <c:v>39.3</c:v>
                </c:pt>
                <c:pt idx="1178">
                  <c:v>39.35</c:v>
                </c:pt>
                <c:pt idx="1179">
                  <c:v>39.4</c:v>
                </c:pt>
                <c:pt idx="1180">
                  <c:v>39.4</c:v>
                </c:pt>
                <c:pt idx="1181">
                  <c:v>39.45</c:v>
                </c:pt>
                <c:pt idx="1182">
                  <c:v>39.5</c:v>
                </c:pt>
                <c:pt idx="1183">
                  <c:v>39.5</c:v>
                </c:pt>
                <c:pt idx="1184">
                  <c:v>39.55</c:v>
                </c:pt>
                <c:pt idx="1185">
                  <c:v>39.6</c:v>
                </c:pt>
                <c:pt idx="1186">
                  <c:v>39.6</c:v>
                </c:pt>
                <c:pt idx="1187">
                  <c:v>39.65</c:v>
                </c:pt>
                <c:pt idx="1188">
                  <c:v>39.7</c:v>
                </c:pt>
                <c:pt idx="1189">
                  <c:v>39.7</c:v>
                </c:pt>
                <c:pt idx="1190">
                  <c:v>39.75</c:v>
                </c:pt>
                <c:pt idx="1191">
                  <c:v>39.8</c:v>
                </c:pt>
                <c:pt idx="1192">
                  <c:v>39.8</c:v>
                </c:pt>
                <c:pt idx="1193">
                  <c:v>39.85</c:v>
                </c:pt>
                <c:pt idx="1194">
                  <c:v>39.9</c:v>
                </c:pt>
                <c:pt idx="1195">
                  <c:v>39.9</c:v>
                </c:pt>
                <c:pt idx="1196">
                  <c:v>39.95</c:v>
                </c:pt>
                <c:pt idx="1197">
                  <c:v>40</c:v>
                </c:pt>
                <c:pt idx="1198">
                  <c:v>40</c:v>
                </c:pt>
                <c:pt idx="1199">
                  <c:v>40.05</c:v>
                </c:pt>
                <c:pt idx="1200">
                  <c:v>40.1</c:v>
                </c:pt>
                <c:pt idx="1201">
                  <c:v>40.15</c:v>
                </c:pt>
                <c:pt idx="1202">
                  <c:v>40.15</c:v>
                </c:pt>
                <c:pt idx="1203">
                  <c:v>40.2</c:v>
                </c:pt>
                <c:pt idx="1204">
                  <c:v>40.25</c:v>
                </c:pt>
                <c:pt idx="1205">
                  <c:v>40.25</c:v>
                </c:pt>
                <c:pt idx="1206">
                  <c:v>40.3</c:v>
                </c:pt>
                <c:pt idx="1207">
                  <c:v>40.35</c:v>
                </c:pt>
                <c:pt idx="1208">
                  <c:v>40.35</c:v>
                </c:pt>
                <c:pt idx="1209">
                  <c:v>40.4</c:v>
                </c:pt>
                <c:pt idx="1210">
                  <c:v>40.45</c:v>
                </c:pt>
                <c:pt idx="1211">
                  <c:v>40.45</c:v>
                </c:pt>
                <c:pt idx="1212">
                  <c:v>40.5</c:v>
                </c:pt>
                <c:pt idx="1213">
                  <c:v>40.55</c:v>
                </c:pt>
                <c:pt idx="1214">
                  <c:v>40.55</c:v>
                </c:pt>
                <c:pt idx="1215">
                  <c:v>40.6</c:v>
                </c:pt>
                <c:pt idx="1216">
                  <c:v>40.65</c:v>
                </c:pt>
                <c:pt idx="1217">
                  <c:v>40.65</c:v>
                </c:pt>
                <c:pt idx="1218">
                  <c:v>40.7</c:v>
                </c:pt>
                <c:pt idx="1219">
                  <c:v>40.75</c:v>
                </c:pt>
                <c:pt idx="1220">
                  <c:v>40.75</c:v>
                </c:pt>
                <c:pt idx="1221">
                  <c:v>40.8</c:v>
                </c:pt>
                <c:pt idx="1222">
                  <c:v>40.85</c:v>
                </c:pt>
                <c:pt idx="1223">
                  <c:v>40.85</c:v>
                </c:pt>
                <c:pt idx="1224">
                  <c:v>40.9</c:v>
                </c:pt>
                <c:pt idx="1225">
                  <c:v>40.95</c:v>
                </c:pt>
                <c:pt idx="1226">
                  <c:v>40.95</c:v>
                </c:pt>
                <c:pt idx="1227">
                  <c:v>41</c:v>
                </c:pt>
                <c:pt idx="1228">
                  <c:v>41.05</c:v>
                </c:pt>
                <c:pt idx="1229">
                  <c:v>41.05</c:v>
                </c:pt>
                <c:pt idx="1230">
                  <c:v>41.1</c:v>
                </c:pt>
                <c:pt idx="1231">
                  <c:v>41.15</c:v>
                </c:pt>
                <c:pt idx="1232">
                  <c:v>41.15</c:v>
                </c:pt>
                <c:pt idx="1233">
                  <c:v>41.2</c:v>
                </c:pt>
                <c:pt idx="1234">
                  <c:v>41.25</c:v>
                </c:pt>
                <c:pt idx="1235">
                  <c:v>41.25</c:v>
                </c:pt>
                <c:pt idx="1236">
                  <c:v>41.3</c:v>
                </c:pt>
                <c:pt idx="1237">
                  <c:v>41.35</c:v>
                </c:pt>
                <c:pt idx="1238">
                  <c:v>41.35</c:v>
                </c:pt>
                <c:pt idx="1239">
                  <c:v>41.4</c:v>
                </c:pt>
                <c:pt idx="1240">
                  <c:v>41.45</c:v>
                </c:pt>
                <c:pt idx="1241">
                  <c:v>41.45</c:v>
                </c:pt>
                <c:pt idx="1242">
                  <c:v>41.5</c:v>
                </c:pt>
                <c:pt idx="1243">
                  <c:v>41.55</c:v>
                </c:pt>
                <c:pt idx="1244">
                  <c:v>41.55</c:v>
                </c:pt>
                <c:pt idx="1245">
                  <c:v>41.6</c:v>
                </c:pt>
                <c:pt idx="1246">
                  <c:v>41.65</c:v>
                </c:pt>
                <c:pt idx="1247">
                  <c:v>41.65</c:v>
                </c:pt>
                <c:pt idx="1248">
                  <c:v>41.7</c:v>
                </c:pt>
                <c:pt idx="1249">
                  <c:v>41.75</c:v>
                </c:pt>
                <c:pt idx="1250">
                  <c:v>41.75</c:v>
                </c:pt>
                <c:pt idx="1251">
                  <c:v>41.8</c:v>
                </c:pt>
                <c:pt idx="1252">
                  <c:v>41.85</c:v>
                </c:pt>
                <c:pt idx="1253">
                  <c:v>41.85</c:v>
                </c:pt>
                <c:pt idx="1254">
                  <c:v>41.9</c:v>
                </c:pt>
                <c:pt idx="1255">
                  <c:v>41.95</c:v>
                </c:pt>
                <c:pt idx="1256">
                  <c:v>41.95</c:v>
                </c:pt>
                <c:pt idx="1257">
                  <c:v>42</c:v>
                </c:pt>
                <c:pt idx="1258">
                  <c:v>42.05</c:v>
                </c:pt>
                <c:pt idx="1259">
                  <c:v>42.05</c:v>
                </c:pt>
                <c:pt idx="1260">
                  <c:v>42.1</c:v>
                </c:pt>
                <c:pt idx="1261">
                  <c:v>42.15</c:v>
                </c:pt>
                <c:pt idx="1262">
                  <c:v>42.15</c:v>
                </c:pt>
                <c:pt idx="1263">
                  <c:v>42.2</c:v>
                </c:pt>
                <c:pt idx="1264">
                  <c:v>42.25</c:v>
                </c:pt>
                <c:pt idx="1265">
                  <c:v>42.25</c:v>
                </c:pt>
                <c:pt idx="1266">
                  <c:v>42.3</c:v>
                </c:pt>
                <c:pt idx="1267">
                  <c:v>42.35</c:v>
                </c:pt>
                <c:pt idx="1268">
                  <c:v>42.35</c:v>
                </c:pt>
                <c:pt idx="1269">
                  <c:v>42.4</c:v>
                </c:pt>
                <c:pt idx="1270">
                  <c:v>42.45</c:v>
                </c:pt>
                <c:pt idx="1271">
                  <c:v>42.45</c:v>
                </c:pt>
                <c:pt idx="1272">
                  <c:v>42.5</c:v>
                </c:pt>
                <c:pt idx="1273">
                  <c:v>42.55</c:v>
                </c:pt>
                <c:pt idx="1274">
                  <c:v>42.55</c:v>
                </c:pt>
                <c:pt idx="1275">
                  <c:v>42.6</c:v>
                </c:pt>
                <c:pt idx="1276">
                  <c:v>42.65</c:v>
                </c:pt>
                <c:pt idx="1277">
                  <c:v>42.65</c:v>
                </c:pt>
                <c:pt idx="1278">
                  <c:v>42.7</c:v>
                </c:pt>
                <c:pt idx="1279">
                  <c:v>42.75</c:v>
                </c:pt>
                <c:pt idx="1280">
                  <c:v>42.75</c:v>
                </c:pt>
                <c:pt idx="1281">
                  <c:v>42.8</c:v>
                </c:pt>
                <c:pt idx="1282">
                  <c:v>42.85</c:v>
                </c:pt>
                <c:pt idx="1283">
                  <c:v>42.85</c:v>
                </c:pt>
                <c:pt idx="1284">
                  <c:v>42.9</c:v>
                </c:pt>
                <c:pt idx="1285">
                  <c:v>42.95</c:v>
                </c:pt>
                <c:pt idx="1286">
                  <c:v>42.95</c:v>
                </c:pt>
                <c:pt idx="1287">
                  <c:v>43</c:v>
                </c:pt>
                <c:pt idx="1288">
                  <c:v>43.05</c:v>
                </c:pt>
                <c:pt idx="1289">
                  <c:v>43.05</c:v>
                </c:pt>
                <c:pt idx="1290">
                  <c:v>43.1</c:v>
                </c:pt>
                <c:pt idx="1291">
                  <c:v>43.15</c:v>
                </c:pt>
                <c:pt idx="1292">
                  <c:v>43.15</c:v>
                </c:pt>
                <c:pt idx="1293">
                  <c:v>43.2</c:v>
                </c:pt>
                <c:pt idx="1294">
                  <c:v>43.25</c:v>
                </c:pt>
                <c:pt idx="1295">
                  <c:v>43.25</c:v>
                </c:pt>
                <c:pt idx="1296">
                  <c:v>43.3</c:v>
                </c:pt>
                <c:pt idx="1297">
                  <c:v>43.35</c:v>
                </c:pt>
                <c:pt idx="1298">
                  <c:v>43.35</c:v>
                </c:pt>
                <c:pt idx="1299">
                  <c:v>43.4</c:v>
                </c:pt>
                <c:pt idx="1300">
                  <c:v>43.45</c:v>
                </c:pt>
                <c:pt idx="1301">
                  <c:v>43.45</c:v>
                </c:pt>
                <c:pt idx="1302">
                  <c:v>43.5</c:v>
                </c:pt>
                <c:pt idx="1303">
                  <c:v>43.55</c:v>
                </c:pt>
                <c:pt idx="1304">
                  <c:v>43.55</c:v>
                </c:pt>
                <c:pt idx="1305">
                  <c:v>43.6</c:v>
                </c:pt>
                <c:pt idx="1306">
                  <c:v>43.65</c:v>
                </c:pt>
                <c:pt idx="1307">
                  <c:v>43.65</c:v>
                </c:pt>
                <c:pt idx="1308">
                  <c:v>43.7</c:v>
                </c:pt>
                <c:pt idx="1309">
                  <c:v>43.75</c:v>
                </c:pt>
                <c:pt idx="1310">
                  <c:v>43.75</c:v>
                </c:pt>
                <c:pt idx="1311">
                  <c:v>43.8</c:v>
                </c:pt>
                <c:pt idx="1312">
                  <c:v>43.85</c:v>
                </c:pt>
                <c:pt idx="1313">
                  <c:v>43.85</c:v>
                </c:pt>
                <c:pt idx="1314">
                  <c:v>43.9</c:v>
                </c:pt>
                <c:pt idx="1315">
                  <c:v>43.95</c:v>
                </c:pt>
                <c:pt idx="1316">
                  <c:v>43.95</c:v>
                </c:pt>
                <c:pt idx="1317">
                  <c:v>44</c:v>
                </c:pt>
                <c:pt idx="1318">
                  <c:v>44.05</c:v>
                </c:pt>
                <c:pt idx="1319">
                  <c:v>44.05</c:v>
                </c:pt>
                <c:pt idx="1320">
                  <c:v>44.1</c:v>
                </c:pt>
                <c:pt idx="1321">
                  <c:v>44.15</c:v>
                </c:pt>
                <c:pt idx="1322">
                  <c:v>44.15</c:v>
                </c:pt>
                <c:pt idx="1323">
                  <c:v>44.2</c:v>
                </c:pt>
                <c:pt idx="1324">
                  <c:v>44.25</c:v>
                </c:pt>
                <c:pt idx="1325">
                  <c:v>44.25</c:v>
                </c:pt>
                <c:pt idx="1326">
                  <c:v>44.3</c:v>
                </c:pt>
                <c:pt idx="1327">
                  <c:v>44.35</c:v>
                </c:pt>
                <c:pt idx="1328">
                  <c:v>44.35</c:v>
                </c:pt>
                <c:pt idx="1329">
                  <c:v>44.4</c:v>
                </c:pt>
                <c:pt idx="1330">
                  <c:v>44.45</c:v>
                </c:pt>
                <c:pt idx="1331">
                  <c:v>44.45</c:v>
                </c:pt>
                <c:pt idx="1332">
                  <c:v>44.5</c:v>
                </c:pt>
                <c:pt idx="1333">
                  <c:v>44.55</c:v>
                </c:pt>
                <c:pt idx="1334">
                  <c:v>44.55</c:v>
                </c:pt>
                <c:pt idx="1335">
                  <c:v>44.6</c:v>
                </c:pt>
                <c:pt idx="1336">
                  <c:v>44.65</c:v>
                </c:pt>
                <c:pt idx="1337">
                  <c:v>44.65</c:v>
                </c:pt>
                <c:pt idx="1338">
                  <c:v>44.7</c:v>
                </c:pt>
                <c:pt idx="1339">
                  <c:v>44.75</c:v>
                </c:pt>
                <c:pt idx="1340">
                  <c:v>44.75</c:v>
                </c:pt>
                <c:pt idx="1341">
                  <c:v>44.8</c:v>
                </c:pt>
                <c:pt idx="1342">
                  <c:v>44.85</c:v>
                </c:pt>
                <c:pt idx="1343">
                  <c:v>44.85</c:v>
                </c:pt>
                <c:pt idx="1344">
                  <c:v>44.9</c:v>
                </c:pt>
                <c:pt idx="1345">
                  <c:v>44.95</c:v>
                </c:pt>
                <c:pt idx="1346">
                  <c:v>44.95</c:v>
                </c:pt>
                <c:pt idx="1347">
                  <c:v>45</c:v>
                </c:pt>
                <c:pt idx="1348">
                  <c:v>45.05</c:v>
                </c:pt>
                <c:pt idx="1349">
                  <c:v>45.05</c:v>
                </c:pt>
                <c:pt idx="1350">
                  <c:v>45.1</c:v>
                </c:pt>
                <c:pt idx="1351">
                  <c:v>45.15</c:v>
                </c:pt>
                <c:pt idx="1352">
                  <c:v>45.15</c:v>
                </c:pt>
                <c:pt idx="1353">
                  <c:v>45.2</c:v>
                </c:pt>
                <c:pt idx="1354">
                  <c:v>45.25</c:v>
                </c:pt>
                <c:pt idx="1355">
                  <c:v>45.25</c:v>
                </c:pt>
                <c:pt idx="1356">
                  <c:v>45.3</c:v>
                </c:pt>
                <c:pt idx="1357">
                  <c:v>45.35</c:v>
                </c:pt>
                <c:pt idx="1358">
                  <c:v>45.35</c:v>
                </c:pt>
                <c:pt idx="1359">
                  <c:v>45.4</c:v>
                </c:pt>
                <c:pt idx="1360">
                  <c:v>45.45</c:v>
                </c:pt>
                <c:pt idx="1361">
                  <c:v>45.45</c:v>
                </c:pt>
                <c:pt idx="1362">
                  <c:v>45.5</c:v>
                </c:pt>
                <c:pt idx="1363">
                  <c:v>45.55</c:v>
                </c:pt>
                <c:pt idx="1364">
                  <c:v>45.55</c:v>
                </c:pt>
                <c:pt idx="1365">
                  <c:v>45.6</c:v>
                </c:pt>
                <c:pt idx="1366">
                  <c:v>45.65</c:v>
                </c:pt>
                <c:pt idx="1367">
                  <c:v>45.65</c:v>
                </c:pt>
                <c:pt idx="1368">
                  <c:v>45.7</c:v>
                </c:pt>
                <c:pt idx="1369">
                  <c:v>45.75</c:v>
                </c:pt>
                <c:pt idx="1370">
                  <c:v>45.75</c:v>
                </c:pt>
                <c:pt idx="1371">
                  <c:v>45.8</c:v>
                </c:pt>
                <c:pt idx="1372">
                  <c:v>45.85</c:v>
                </c:pt>
                <c:pt idx="1373">
                  <c:v>45.9</c:v>
                </c:pt>
                <c:pt idx="1374">
                  <c:v>45.9</c:v>
                </c:pt>
                <c:pt idx="1375">
                  <c:v>45.95</c:v>
                </c:pt>
                <c:pt idx="1376">
                  <c:v>46</c:v>
                </c:pt>
                <c:pt idx="1377">
                  <c:v>46</c:v>
                </c:pt>
                <c:pt idx="1378">
                  <c:v>46.05</c:v>
                </c:pt>
                <c:pt idx="1379">
                  <c:v>46.1</c:v>
                </c:pt>
                <c:pt idx="1380">
                  <c:v>46.1</c:v>
                </c:pt>
                <c:pt idx="1381">
                  <c:v>46.15</c:v>
                </c:pt>
                <c:pt idx="1382">
                  <c:v>46.2</c:v>
                </c:pt>
                <c:pt idx="1383">
                  <c:v>46.2</c:v>
                </c:pt>
                <c:pt idx="1384">
                  <c:v>46.25</c:v>
                </c:pt>
                <c:pt idx="1385">
                  <c:v>46.3</c:v>
                </c:pt>
                <c:pt idx="1386">
                  <c:v>46.3</c:v>
                </c:pt>
                <c:pt idx="1387">
                  <c:v>46.35</c:v>
                </c:pt>
                <c:pt idx="1388">
                  <c:v>46.4</c:v>
                </c:pt>
                <c:pt idx="1389">
                  <c:v>46.4</c:v>
                </c:pt>
                <c:pt idx="1390">
                  <c:v>46.45</c:v>
                </c:pt>
                <c:pt idx="1391">
                  <c:v>46.5</c:v>
                </c:pt>
                <c:pt idx="1392">
                  <c:v>46.5</c:v>
                </c:pt>
                <c:pt idx="1393">
                  <c:v>46.55</c:v>
                </c:pt>
                <c:pt idx="1394">
                  <c:v>46.6</c:v>
                </c:pt>
                <c:pt idx="1395">
                  <c:v>46.6</c:v>
                </c:pt>
                <c:pt idx="1396">
                  <c:v>46.65</c:v>
                </c:pt>
                <c:pt idx="1397">
                  <c:v>46.7</c:v>
                </c:pt>
                <c:pt idx="1398">
                  <c:v>46.7</c:v>
                </c:pt>
                <c:pt idx="1399">
                  <c:v>46.75</c:v>
                </c:pt>
                <c:pt idx="1400">
                  <c:v>46.8</c:v>
                </c:pt>
                <c:pt idx="1401">
                  <c:v>46.8</c:v>
                </c:pt>
                <c:pt idx="1402">
                  <c:v>46.85</c:v>
                </c:pt>
                <c:pt idx="1403">
                  <c:v>46.9</c:v>
                </c:pt>
                <c:pt idx="1404">
                  <c:v>46.9</c:v>
                </c:pt>
                <c:pt idx="1405">
                  <c:v>46.95</c:v>
                </c:pt>
                <c:pt idx="1406">
                  <c:v>47</c:v>
                </c:pt>
                <c:pt idx="1407">
                  <c:v>47</c:v>
                </c:pt>
                <c:pt idx="1408">
                  <c:v>47.05</c:v>
                </c:pt>
                <c:pt idx="1409">
                  <c:v>47.1</c:v>
                </c:pt>
                <c:pt idx="1410">
                  <c:v>47.1</c:v>
                </c:pt>
                <c:pt idx="1411">
                  <c:v>47.15</c:v>
                </c:pt>
                <c:pt idx="1412">
                  <c:v>47.2</c:v>
                </c:pt>
                <c:pt idx="1413">
                  <c:v>47.2</c:v>
                </c:pt>
                <c:pt idx="1414">
                  <c:v>47.25</c:v>
                </c:pt>
                <c:pt idx="1415">
                  <c:v>47.3</c:v>
                </c:pt>
                <c:pt idx="1416">
                  <c:v>47.3</c:v>
                </c:pt>
                <c:pt idx="1417">
                  <c:v>47.35</c:v>
                </c:pt>
                <c:pt idx="1418">
                  <c:v>47.4</c:v>
                </c:pt>
                <c:pt idx="1419">
                  <c:v>47.4</c:v>
                </c:pt>
                <c:pt idx="1420">
                  <c:v>47.45</c:v>
                </c:pt>
                <c:pt idx="1421">
                  <c:v>47.5</c:v>
                </c:pt>
                <c:pt idx="1422">
                  <c:v>47.5</c:v>
                </c:pt>
                <c:pt idx="1423">
                  <c:v>47.55</c:v>
                </c:pt>
                <c:pt idx="1424">
                  <c:v>47.6</c:v>
                </c:pt>
                <c:pt idx="1425">
                  <c:v>47.6</c:v>
                </c:pt>
                <c:pt idx="1426">
                  <c:v>47.65</c:v>
                </c:pt>
                <c:pt idx="1427">
                  <c:v>47.7</c:v>
                </c:pt>
                <c:pt idx="1428">
                  <c:v>47.7</c:v>
                </c:pt>
                <c:pt idx="1429">
                  <c:v>47.75</c:v>
                </c:pt>
                <c:pt idx="1430">
                  <c:v>47.8</c:v>
                </c:pt>
                <c:pt idx="1431">
                  <c:v>47.8</c:v>
                </c:pt>
                <c:pt idx="1432">
                  <c:v>47.85</c:v>
                </c:pt>
                <c:pt idx="1433">
                  <c:v>47.9</c:v>
                </c:pt>
                <c:pt idx="1434">
                  <c:v>47.9</c:v>
                </c:pt>
                <c:pt idx="1435">
                  <c:v>47.95</c:v>
                </c:pt>
                <c:pt idx="1436">
                  <c:v>48</c:v>
                </c:pt>
                <c:pt idx="1437">
                  <c:v>48</c:v>
                </c:pt>
                <c:pt idx="1438">
                  <c:v>48.05</c:v>
                </c:pt>
                <c:pt idx="1439">
                  <c:v>48.1</c:v>
                </c:pt>
                <c:pt idx="1440">
                  <c:v>48.1</c:v>
                </c:pt>
                <c:pt idx="1441">
                  <c:v>48.15</c:v>
                </c:pt>
                <c:pt idx="1442">
                  <c:v>48.2</c:v>
                </c:pt>
                <c:pt idx="1443">
                  <c:v>48.2</c:v>
                </c:pt>
                <c:pt idx="1444">
                  <c:v>48.25</c:v>
                </c:pt>
                <c:pt idx="1445">
                  <c:v>48.3</c:v>
                </c:pt>
                <c:pt idx="1446">
                  <c:v>48.3</c:v>
                </c:pt>
                <c:pt idx="1447">
                  <c:v>48.35</c:v>
                </c:pt>
                <c:pt idx="1448">
                  <c:v>48.4</c:v>
                </c:pt>
                <c:pt idx="1449">
                  <c:v>48.4</c:v>
                </c:pt>
                <c:pt idx="1450">
                  <c:v>48.45</c:v>
                </c:pt>
                <c:pt idx="1451">
                  <c:v>48.5</c:v>
                </c:pt>
                <c:pt idx="1452">
                  <c:v>48.5</c:v>
                </c:pt>
                <c:pt idx="1453">
                  <c:v>48.55</c:v>
                </c:pt>
                <c:pt idx="1454">
                  <c:v>48.6</c:v>
                </c:pt>
                <c:pt idx="1455">
                  <c:v>48.6</c:v>
                </c:pt>
                <c:pt idx="1456">
                  <c:v>48.65</c:v>
                </c:pt>
                <c:pt idx="1457">
                  <c:v>48.7</c:v>
                </c:pt>
                <c:pt idx="1458">
                  <c:v>48.7</c:v>
                </c:pt>
                <c:pt idx="1459">
                  <c:v>48.75</c:v>
                </c:pt>
                <c:pt idx="1460">
                  <c:v>48.8</c:v>
                </c:pt>
                <c:pt idx="1461">
                  <c:v>48.8</c:v>
                </c:pt>
                <c:pt idx="1462">
                  <c:v>48.85</c:v>
                </c:pt>
                <c:pt idx="1463">
                  <c:v>48.9</c:v>
                </c:pt>
                <c:pt idx="1464">
                  <c:v>48.9</c:v>
                </c:pt>
                <c:pt idx="1465">
                  <c:v>48.95</c:v>
                </c:pt>
                <c:pt idx="1466">
                  <c:v>49</c:v>
                </c:pt>
                <c:pt idx="1467">
                  <c:v>49</c:v>
                </c:pt>
                <c:pt idx="1468">
                  <c:v>49.05</c:v>
                </c:pt>
                <c:pt idx="1469">
                  <c:v>49.1</c:v>
                </c:pt>
                <c:pt idx="1470">
                  <c:v>49.1</c:v>
                </c:pt>
                <c:pt idx="1471">
                  <c:v>49.15</c:v>
                </c:pt>
                <c:pt idx="1472">
                  <c:v>49.2</c:v>
                </c:pt>
                <c:pt idx="1473">
                  <c:v>49.2</c:v>
                </c:pt>
                <c:pt idx="1474">
                  <c:v>49.25</c:v>
                </c:pt>
                <c:pt idx="1475">
                  <c:v>49.3</c:v>
                </c:pt>
                <c:pt idx="1476">
                  <c:v>49.3</c:v>
                </c:pt>
                <c:pt idx="1477">
                  <c:v>49.35</c:v>
                </c:pt>
                <c:pt idx="1478">
                  <c:v>49.4</c:v>
                </c:pt>
                <c:pt idx="1479">
                  <c:v>49.4</c:v>
                </c:pt>
                <c:pt idx="1480">
                  <c:v>49.45</c:v>
                </c:pt>
                <c:pt idx="1481">
                  <c:v>49.5</c:v>
                </c:pt>
                <c:pt idx="1482">
                  <c:v>49.5</c:v>
                </c:pt>
                <c:pt idx="1483">
                  <c:v>49.55</c:v>
                </c:pt>
                <c:pt idx="1484">
                  <c:v>49.6</c:v>
                </c:pt>
                <c:pt idx="1485">
                  <c:v>49.6</c:v>
                </c:pt>
                <c:pt idx="1486">
                  <c:v>49.65</c:v>
                </c:pt>
                <c:pt idx="1487">
                  <c:v>49.7</c:v>
                </c:pt>
                <c:pt idx="1488">
                  <c:v>49.7</c:v>
                </c:pt>
                <c:pt idx="1489">
                  <c:v>49.75</c:v>
                </c:pt>
                <c:pt idx="1490">
                  <c:v>49.8</c:v>
                </c:pt>
                <c:pt idx="1491">
                  <c:v>49.8</c:v>
                </c:pt>
                <c:pt idx="1492">
                  <c:v>49.85</c:v>
                </c:pt>
                <c:pt idx="1493">
                  <c:v>49.9</c:v>
                </c:pt>
                <c:pt idx="1494">
                  <c:v>49.9</c:v>
                </c:pt>
                <c:pt idx="1495">
                  <c:v>49.95</c:v>
                </c:pt>
                <c:pt idx="1496">
                  <c:v>50</c:v>
                </c:pt>
                <c:pt idx="1497">
                  <c:v>50</c:v>
                </c:pt>
                <c:pt idx="1498">
                  <c:v>50.05</c:v>
                </c:pt>
                <c:pt idx="1499">
                  <c:v>50.1</c:v>
                </c:pt>
                <c:pt idx="1500">
                  <c:v>50.1</c:v>
                </c:pt>
                <c:pt idx="1501">
                  <c:v>50.15</c:v>
                </c:pt>
                <c:pt idx="1502">
                  <c:v>50.2</c:v>
                </c:pt>
                <c:pt idx="1503">
                  <c:v>50.2</c:v>
                </c:pt>
                <c:pt idx="1504">
                  <c:v>50.25</c:v>
                </c:pt>
                <c:pt idx="1505">
                  <c:v>50.3</c:v>
                </c:pt>
                <c:pt idx="1506">
                  <c:v>50.3</c:v>
                </c:pt>
                <c:pt idx="1507">
                  <c:v>50.35</c:v>
                </c:pt>
                <c:pt idx="1508">
                  <c:v>50.4</c:v>
                </c:pt>
                <c:pt idx="1509">
                  <c:v>50.4</c:v>
                </c:pt>
                <c:pt idx="1510">
                  <c:v>50.45</c:v>
                </c:pt>
                <c:pt idx="1511">
                  <c:v>50.5</c:v>
                </c:pt>
                <c:pt idx="1512">
                  <c:v>50.5</c:v>
                </c:pt>
                <c:pt idx="1513">
                  <c:v>50.55</c:v>
                </c:pt>
                <c:pt idx="1514">
                  <c:v>50.6</c:v>
                </c:pt>
                <c:pt idx="1515">
                  <c:v>50.6</c:v>
                </c:pt>
                <c:pt idx="1516">
                  <c:v>50.65</c:v>
                </c:pt>
                <c:pt idx="1517">
                  <c:v>50.7</c:v>
                </c:pt>
                <c:pt idx="1518">
                  <c:v>50.7</c:v>
                </c:pt>
                <c:pt idx="1519">
                  <c:v>50.75</c:v>
                </c:pt>
                <c:pt idx="1520">
                  <c:v>50.8</c:v>
                </c:pt>
                <c:pt idx="1521">
                  <c:v>50.8</c:v>
                </c:pt>
                <c:pt idx="1522">
                  <c:v>50.85</c:v>
                </c:pt>
                <c:pt idx="1523">
                  <c:v>50.9</c:v>
                </c:pt>
                <c:pt idx="1524">
                  <c:v>50.9</c:v>
                </c:pt>
                <c:pt idx="1525">
                  <c:v>50.95</c:v>
                </c:pt>
                <c:pt idx="1526">
                  <c:v>51</c:v>
                </c:pt>
                <c:pt idx="1527">
                  <c:v>51</c:v>
                </c:pt>
                <c:pt idx="1528">
                  <c:v>51.05</c:v>
                </c:pt>
                <c:pt idx="1529">
                  <c:v>51.1</c:v>
                </c:pt>
                <c:pt idx="1530">
                  <c:v>51.1</c:v>
                </c:pt>
                <c:pt idx="1531">
                  <c:v>51.15</c:v>
                </c:pt>
                <c:pt idx="1532">
                  <c:v>51.2</c:v>
                </c:pt>
                <c:pt idx="1533">
                  <c:v>51.2</c:v>
                </c:pt>
                <c:pt idx="1534">
                  <c:v>51.25</c:v>
                </c:pt>
                <c:pt idx="1535">
                  <c:v>51.3</c:v>
                </c:pt>
                <c:pt idx="1536">
                  <c:v>51.3</c:v>
                </c:pt>
                <c:pt idx="1537">
                  <c:v>51.35</c:v>
                </c:pt>
                <c:pt idx="1538">
                  <c:v>51.4</c:v>
                </c:pt>
                <c:pt idx="1539">
                  <c:v>51.4</c:v>
                </c:pt>
                <c:pt idx="1540">
                  <c:v>51.45</c:v>
                </c:pt>
                <c:pt idx="1541">
                  <c:v>51.5</c:v>
                </c:pt>
                <c:pt idx="1542">
                  <c:v>51.5</c:v>
                </c:pt>
                <c:pt idx="1543">
                  <c:v>51.55</c:v>
                </c:pt>
                <c:pt idx="1544">
                  <c:v>51.6</c:v>
                </c:pt>
                <c:pt idx="1545">
                  <c:v>51.65</c:v>
                </c:pt>
                <c:pt idx="1546">
                  <c:v>51.65</c:v>
                </c:pt>
                <c:pt idx="1547">
                  <c:v>51.7</c:v>
                </c:pt>
                <c:pt idx="1548">
                  <c:v>51.75</c:v>
                </c:pt>
                <c:pt idx="1549">
                  <c:v>51.75</c:v>
                </c:pt>
                <c:pt idx="1550">
                  <c:v>51.8</c:v>
                </c:pt>
                <c:pt idx="1551">
                  <c:v>51.85</c:v>
                </c:pt>
                <c:pt idx="1552">
                  <c:v>51.85</c:v>
                </c:pt>
                <c:pt idx="1553">
                  <c:v>51.9</c:v>
                </c:pt>
                <c:pt idx="1554">
                  <c:v>51.95</c:v>
                </c:pt>
                <c:pt idx="1555">
                  <c:v>51.95</c:v>
                </c:pt>
                <c:pt idx="1556">
                  <c:v>52</c:v>
                </c:pt>
                <c:pt idx="1557">
                  <c:v>52.05</c:v>
                </c:pt>
                <c:pt idx="1558">
                  <c:v>52.05</c:v>
                </c:pt>
                <c:pt idx="1559">
                  <c:v>52.1</c:v>
                </c:pt>
                <c:pt idx="1560">
                  <c:v>52.15</c:v>
                </c:pt>
                <c:pt idx="1561">
                  <c:v>52.15</c:v>
                </c:pt>
                <c:pt idx="1562">
                  <c:v>52.2</c:v>
                </c:pt>
                <c:pt idx="1563">
                  <c:v>52.25</c:v>
                </c:pt>
                <c:pt idx="1564">
                  <c:v>52.25</c:v>
                </c:pt>
                <c:pt idx="1565">
                  <c:v>52.3</c:v>
                </c:pt>
                <c:pt idx="1566">
                  <c:v>52.35</c:v>
                </c:pt>
                <c:pt idx="1567">
                  <c:v>52.35</c:v>
                </c:pt>
                <c:pt idx="1568">
                  <c:v>52.4</c:v>
                </c:pt>
                <c:pt idx="1569">
                  <c:v>52.45</c:v>
                </c:pt>
                <c:pt idx="1570">
                  <c:v>52.45</c:v>
                </c:pt>
                <c:pt idx="1571">
                  <c:v>52.5</c:v>
                </c:pt>
                <c:pt idx="1572">
                  <c:v>52.55</c:v>
                </c:pt>
                <c:pt idx="1573">
                  <c:v>52.55</c:v>
                </c:pt>
                <c:pt idx="1574">
                  <c:v>52.6</c:v>
                </c:pt>
                <c:pt idx="1575">
                  <c:v>52.65</c:v>
                </c:pt>
                <c:pt idx="1576">
                  <c:v>52.65</c:v>
                </c:pt>
                <c:pt idx="1577">
                  <c:v>52.7</c:v>
                </c:pt>
                <c:pt idx="1578">
                  <c:v>52.75</c:v>
                </c:pt>
                <c:pt idx="1579">
                  <c:v>52.75</c:v>
                </c:pt>
                <c:pt idx="1580">
                  <c:v>52.8</c:v>
                </c:pt>
                <c:pt idx="1581">
                  <c:v>52.85</c:v>
                </c:pt>
                <c:pt idx="1582">
                  <c:v>52.85</c:v>
                </c:pt>
                <c:pt idx="1583">
                  <c:v>52.9</c:v>
                </c:pt>
                <c:pt idx="1584">
                  <c:v>52.95</c:v>
                </c:pt>
                <c:pt idx="1585">
                  <c:v>52.95</c:v>
                </c:pt>
                <c:pt idx="1586">
                  <c:v>53</c:v>
                </c:pt>
                <c:pt idx="1587">
                  <c:v>53.05</c:v>
                </c:pt>
                <c:pt idx="1588">
                  <c:v>53.05</c:v>
                </c:pt>
                <c:pt idx="1589">
                  <c:v>53.1</c:v>
                </c:pt>
                <c:pt idx="1590">
                  <c:v>53.15</c:v>
                </c:pt>
                <c:pt idx="1591">
                  <c:v>53.15</c:v>
                </c:pt>
                <c:pt idx="1592">
                  <c:v>53.2</c:v>
                </c:pt>
                <c:pt idx="1593">
                  <c:v>53.25</c:v>
                </c:pt>
                <c:pt idx="1594">
                  <c:v>53.25</c:v>
                </c:pt>
                <c:pt idx="1595">
                  <c:v>53.3</c:v>
                </c:pt>
                <c:pt idx="1596">
                  <c:v>53.35</c:v>
                </c:pt>
                <c:pt idx="1597">
                  <c:v>53.35</c:v>
                </c:pt>
                <c:pt idx="1598">
                  <c:v>53.4</c:v>
                </c:pt>
                <c:pt idx="1599">
                  <c:v>53.45</c:v>
                </c:pt>
                <c:pt idx="1600">
                  <c:v>53.45</c:v>
                </c:pt>
                <c:pt idx="1601">
                  <c:v>53.5</c:v>
                </c:pt>
                <c:pt idx="1602">
                  <c:v>53.55</c:v>
                </c:pt>
                <c:pt idx="1603">
                  <c:v>53.55</c:v>
                </c:pt>
                <c:pt idx="1604">
                  <c:v>53.6</c:v>
                </c:pt>
                <c:pt idx="1605">
                  <c:v>53.65</c:v>
                </c:pt>
                <c:pt idx="1606">
                  <c:v>53.65</c:v>
                </c:pt>
                <c:pt idx="1607">
                  <c:v>53.7</c:v>
                </c:pt>
                <c:pt idx="1608">
                  <c:v>53.75</c:v>
                </c:pt>
                <c:pt idx="1609">
                  <c:v>53.75</c:v>
                </c:pt>
                <c:pt idx="1610">
                  <c:v>53.8</c:v>
                </c:pt>
                <c:pt idx="1611">
                  <c:v>53.85</c:v>
                </c:pt>
                <c:pt idx="1612">
                  <c:v>53.85</c:v>
                </c:pt>
                <c:pt idx="1613">
                  <c:v>53.9</c:v>
                </c:pt>
                <c:pt idx="1614">
                  <c:v>53.95</c:v>
                </c:pt>
                <c:pt idx="1615">
                  <c:v>53.95</c:v>
                </c:pt>
                <c:pt idx="1616">
                  <c:v>54</c:v>
                </c:pt>
                <c:pt idx="1617">
                  <c:v>54.05</c:v>
                </c:pt>
                <c:pt idx="1618">
                  <c:v>54.05</c:v>
                </c:pt>
                <c:pt idx="1619">
                  <c:v>54.1</c:v>
                </c:pt>
                <c:pt idx="1620">
                  <c:v>54.15</c:v>
                </c:pt>
                <c:pt idx="1621">
                  <c:v>54.15</c:v>
                </c:pt>
                <c:pt idx="1622">
                  <c:v>54.2</c:v>
                </c:pt>
                <c:pt idx="1623">
                  <c:v>54.25</c:v>
                </c:pt>
                <c:pt idx="1624">
                  <c:v>54.25</c:v>
                </c:pt>
                <c:pt idx="1625">
                  <c:v>54.3</c:v>
                </c:pt>
                <c:pt idx="1626">
                  <c:v>54.35</c:v>
                </c:pt>
                <c:pt idx="1627">
                  <c:v>54.35</c:v>
                </c:pt>
                <c:pt idx="1628">
                  <c:v>54.4</c:v>
                </c:pt>
                <c:pt idx="1629">
                  <c:v>54.45</c:v>
                </c:pt>
                <c:pt idx="1630">
                  <c:v>54.45</c:v>
                </c:pt>
                <c:pt idx="1631">
                  <c:v>54.5</c:v>
                </c:pt>
                <c:pt idx="1632">
                  <c:v>54.55</c:v>
                </c:pt>
                <c:pt idx="1633">
                  <c:v>54.55</c:v>
                </c:pt>
                <c:pt idx="1634">
                  <c:v>54.6</c:v>
                </c:pt>
                <c:pt idx="1635">
                  <c:v>54.65</c:v>
                </c:pt>
                <c:pt idx="1636">
                  <c:v>54.65</c:v>
                </c:pt>
                <c:pt idx="1637">
                  <c:v>54.7</c:v>
                </c:pt>
                <c:pt idx="1638">
                  <c:v>54.75</c:v>
                </c:pt>
                <c:pt idx="1639">
                  <c:v>54.75</c:v>
                </c:pt>
                <c:pt idx="1640">
                  <c:v>54.8</c:v>
                </c:pt>
                <c:pt idx="1641">
                  <c:v>54.85</c:v>
                </c:pt>
                <c:pt idx="1642">
                  <c:v>54.85</c:v>
                </c:pt>
                <c:pt idx="1643">
                  <c:v>54.9</c:v>
                </c:pt>
                <c:pt idx="1644">
                  <c:v>54.95</c:v>
                </c:pt>
                <c:pt idx="1645">
                  <c:v>54.95</c:v>
                </c:pt>
                <c:pt idx="1646">
                  <c:v>55</c:v>
                </c:pt>
                <c:pt idx="1647">
                  <c:v>55.05</c:v>
                </c:pt>
                <c:pt idx="1648">
                  <c:v>55.05</c:v>
                </c:pt>
                <c:pt idx="1649">
                  <c:v>55.1</c:v>
                </c:pt>
                <c:pt idx="1650">
                  <c:v>55.15</c:v>
                </c:pt>
                <c:pt idx="1651">
                  <c:v>55.15</c:v>
                </c:pt>
                <c:pt idx="1652">
                  <c:v>55.2</c:v>
                </c:pt>
                <c:pt idx="1653">
                  <c:v>55.25</c:v>
                </c:pt>
                <c:pt idx="1654">
                  <c:v>55.25</c:v>
                </c:pt>
                <c:pt idx="1655">
                  <c:v>55.3</c:v>
                </c:pt>
                <c:pt idx="1656">
                  <c:v>55.35</c:v>
                </c:pt>
                <c:pt idx="1657">
                  <c:v>55.35</c:v>
                </c:pt>
                <c:pt idx="1658">
                  <c:v>55.4</c:v>
                </c:pt>
                <c:pt idx="1659">
                  <c:v>55.45</c:v>
                </c:pt>
                <c:pt idx="1660">
                  <c:v>55.45</c:v>
                </c:pt>
                <c:pt idx="1661">
                  <c:v>55.5</c:v>
                </c:pt>
                <c:pt idx="1662">
                  <c:v>55.55</c:v>
                </c:pt>
                <c:pt idx="1663">
                  <c:v>55.55</c:v>
                </c:pt>
                <c:pt idx="1664">
                  <c:v>55.6</c:v>
                </c:pt>
                <c:pt idx="1665">
                  <c:v>55.65</c:v>
                </c:pt>
                <c:pt idx="1666">
                  <c:v>55.65</c:v>
                </c:pt>
                <c:pt idx="1667">
                  <c:v>55.7</c:v>
                </c:pt>
                <c:pt idx="1668">
                  <c:v>55.75</c:v>
                </c:pt>
                <c:pt idx="1669">
                  <c:v>55.75</c:v>
                </c:pt>
                <c:pt idx="1670">
                  <c:v>55.8</c:v>
                </c:pt>
                <c:pt idx="1671">
                  <c:v>55.85</c:v>
                </c:pt>
                <c:pt idx="1672">
                  <c:v>55.85</c:v>
                </c:pt>
                <c:pt idx="1673">
                  <c:v>55.9</c:v>
                </c:pt>
                <c:pt idx="1674">
                  <c:v>55.95</c:v>
                </c:pt>
                <c:pt idx="1675">
                  <c:v>55.95</c:v>
                </c:pt>
                <c:pt idx="1676">
                  <c:v>56</c:v>
                </c:pt>
                <c:pt idx="1677">
                  <c:v>56.05</c:v>
                </c:pt>
                <c:pt idx="1678">
                  <c:v>56.05</c:v>
                </c:pt>
                <c:pt idx="1679">
                  <c:v>56.1</c:v>
                </c:pt>
                <c:pt idx="1680">
                  <c:v>56.15</c:v>
                </c:pt>
                <c:pt idx="1681">
                  <c:v>56.15</c:v>
                </c:pt>
                <c:pt idx="1682">
                  <c:v>56.2</c:v>
                </c:pt>
                <c:pt idx="1683">
                  <c:v>56.25</c:v>
                </c:pt>
                <c:pt idx="1684">
                  <c:v>56.25</c:v>
                </c:pt>
                <c:pt idx="1685">
                  <c:v>56.3</c:v>
                </c:pt>
                <c:pt idx="1686">
                  <c:v>56.35</c:v>
                </c:pt>
                <c:pt idx="1687">
                  <c:v>56.35</c:v>
                </c:pt>
                <c:pt idx="1688">
                  <c:v>56.4</c:v>
                </c:pt>
                <c:pt idx="1689">
                  <c:v>56.45</c:v>
                </c:pt>
                <c:pt idx="1690">
                  <c:v>56.45</c:v>
                </c:pt>
                <c:pt idx="1691">
                  <c:v>56.5</c:v>
                </c:pt>
                <c:pt idx="1692">
                  <c:v>56.55</c:v>
                </c:pt>
                <c:pt idx="1693">
                  <c:v>56.55</c:v>
                </c:pt>
                <c:pt idx="1694">
                  <c:v>56.6</c:v>
                </c:pt>
                <c:pt idx="1695">
                  <c:v>56.65</c:v>
                </c:pt>
                <c:pt idx="1696">
                  <c:v>56.65</c:v>
                </c:pt>
                <c:pt idx="1697">
                  <c:v>56.7</c:v>
                </c:pt>
                <c:pt idx="1698">
                  <c:v>56.75</c:v>
                </c:pt>
                <c:pt idx="1699">
                  <c:v>56.75</c:v>
                </c:pt>
                <c:pt idx="1700">
                  <c:v>56.8</c:v>
                </c:pt>
                <c:pt idx="1701">
                  <c:v>56.85</c:v>
                </c:pt>
                <c:pt idx="1702">
                  <c:v>56.85</c:v>
                </c:pt>
                <c:pt idx="1703">
                  <c:v>56.9</c:v>
                </c:pt>
                <c:pt idx="1704">
                  <c:v>56.95</c:v>
                </c:pt>
                <c:pt idx="1705">
                  <c:v>56.95</c:v>
                </c:pt>
                <c:pt idx="1706">
                  <c:v>57</c:v>
                </c:pt>
                <c:pt idx="1707">
                  <c:v>57.05</c:v>
                </c:pt>
                <c:pt idx="1708">
                  <c:v>57.05</c:v>
                </c:pt>
                <c:pt idx="1709">
                  <c:v>57.1</c:v>
                </c:pt>
                <c:pt idx="1710">
                  <c:v>57.15</c:v>
                </c:pt>
                <c:pt idx="1711">
                  <c:v>57.15</c:v>
                </c:pt>
                <c:pt idx="1712">
                  <c:v>57.2</c:v>
                </c:pt>
                <c:pt idx="1713">
                  <c:v>57.25</c:v>
                </c:pt>
                <c:pt idx="1714">
                  <c:v>57.25</c:v>
                </c:pt>
                <c:pt idx="1715">
                  <c:v>57.3</c:v>
                </c:pt>
                <c:pt idx="1716">
                  <c:v>57.35</c:v>
                </c:pt>
                <c:pt idx="1717">
                  <c:v>57.4</c:v>
                </c:pt>
                <c:pt idx="1718">
                  <c:v>57.4</c:v>
                </c:pt>
                <c:pt idx="1719">
                  <c:v>57.45</c:v>
                </c:pt>
                <c:pt idx="1720">
                  <c:v>57.5</c:v>
                </c:pt>
                <c:pt idx="1721">
                  <c:v>57.5</c:v>
                </c:pt>
                <c:pt idx="1722">
                  <c:v>57.55</c:v>
                </c:pt>
                <c:pt idx="1723">
                  <c:v>57.6</c:v>
                </c:pt>
                <c:pt idx="1724">
                  <c:v>57.6</c:v>
                </c:pt>
                <c:pt idx="1725">
                  <c:v>57.65</c:v>
                </c:pt>
                <c:pt idx="1726">
                  <c:v>57.7</c:v>
                </c:pt>
                <c:pt idx="1727">
                  <c:v>57.7</c:v>
                </c:pt>
                <c:pt idx="1728">
                  <c:v>57.75</c:v>
                </c:pt>
                <c:pt idx="1729">
                  <c:v>57.8</c:v>
                </c:pt>
                <c:pt idx="1730">
                  <c:v>57.8</c:v>
                </c:pt>
                <c:pt idx="1731">
                  <c:v>57.85</c:v>
                </c:pt>
                <c:pt idx="1732">
                  <c:v>57.9</c:v>
                </c:pt>
                <c:pt idx="1733">
                  <c:v>57.9</c:v>
                </c:pt>
                <c:pt idx="1734">
                  <c:v>57.95</c:v>
                </c:pt>
                <c:pt idx="1735">
                  <c:v>58</c:v>
                </c:pt>
                <c:pt idx="1736">
                  <c:v>58</c:v>
                </c:pt>
                <c:pt idx="1737">
                  <c:v>58.05</c:v>
                </c:pt>
                <c:pt idx="1738">
                  <c:v>58.1</c:v>
                </c:pt>
                <c:pt idx="1739">
                  <c:v>58.1</c:v>
                </c:pt>
                <c:pt idx="1740">
                  <c:v>58.15</c:v>
                </c:pt>
                <c:pt idx="1741">
                  <c:v>58.2</c:v>
                </c:pt>
                <c:pt idx="1742">
                  <c:v>58.2</c:v>
                </c:pt>
                <c:pt idx="1743">
                  <c:v>58.25</c:v>
                </c:pt>
                <c:pt idx="1744">
                  <c:v>58.3</c:v>
                </c:pt>
                <c:pt idx="1745">
                  <c:v>58.3</c:v>
                </c:pt>
                <c:pt idx="1746">
                  <c:v>58.35</c:v>
                </c:pt>
                <c:pt idx="1747">
                  <c:v>58.4</c:v>
                </c:pt>
                <c:pt idx="1748">
                  <c:v>58.4</c:v>
                </c:pt>
                <c:pt idx="1749">
                  <c:v>58.45</c:v>
                </c:pt>
                <c:pt idx="1750">
                  <c:v>58.5</c:v>
                </c:pt>
                <c:pt idx="1751">
                  <c:v>58.5</c:v>
                </c:pt>
                <c:pt idx="1752">
                  <c:v>58.55</c:v>
                </c:pt>
                <c:pt idx="1753">
                  <c:v>58.6</c:v>
                </c:pt>
                <c:pt idx="1754">
                  <c:v>58.6</c:v>
                </c:pt>
                <c:pt idx="1755">
                  <c:v>58.65</c:v>
                </c:pt>
                <c:pt idx="1756">
                  <c:v>58.7</c:v>
                </c:pt>
                <c:pt idx="1757">
                  <c:v>58.7</c:v>
                </c:pt>
                <c:pt idx="1758">
                  <c:v>58.75</c:v>
                </c:pt>
                <c:pt idx="1759">
                  <c:v>58.8</c:v>
                </c:pt>
                <c:pt idx="1760">
                  <c:v>58.8</c:v>
                </c:pt>
                <c:pt idx="1761">
                  <c:v>58.85</c:v>
                </c:pt>
                <c:pt idx="1762">
                  <c:v>58.9</c:v>
                </c:pt>
                <c:pt idx="1763">
                  <c:v>58.9</c:v>
                </c:pt>
                <c:pt idx="1764">
                  <c:v>58.95</c:v>
                </c:pt>
                <c:pt idx="1765">
                  <c:v>59</c:v>
                </c:pt>
                <c:pt idx="1766">
                  <c:v>59</c:v>
                </c:pt>
                <c:pt idx="1767">
                  <c:v>59.05</c:v>
                </c:pt>
                <c:pt idx="1768">
                  <c:v>59.1</c:v>
                </c:pt>
                <c:pt idx="1769">
                  <c:v>59.1</c:v>
                </c:pt>
                <c:pt idx="1770">
                  <c:v>59.15</c:v>
                </c:pt>
                <c:pt idx="1771">
                  <c:v>59.2</c:v>
                </c:pt>
                <c:pt idx="1772">
                  <c:v>59.2</c:v>
                </c:pt>
                <c:pt idx="1773">
                  <c:v>59.25</c:v>
                </c:pt>
                <c:pt idx="1774">
                  <c:v>59.3</c:v>
                </c:pt>
                <c:pt idx="1775">
                  <c:v>59.3</c:v>
                </c:pt>
                <c:pt idx="1776">
                  <c:v>59.35</c:v>
                </c:pt>
                <c:pt idx="1777">
                  <c:v>59.4</c:v>
                </c:pt>
                <c:pt idx="1778">
                  <c:v>59.4</c:v>
                </c:pt>
                <c:pt idx="1779">
                  <c:v>59.45</c:v>
                </c:pt>
                <c:pt idx="1780">
                  <c:v>59.5</c:v>
                </c:pt>
                <c:pt idx="1781">
                  <c:v>59.5</c:v>
                </c:pt>
                <c:pt idx="1782">
                  <c:v>59.55</c:v>
                </c:pt>
                <c:pt idx="1783">
                  <c:v>59.6</c:v>
                </c:pt>
                <c:pt idx="1784">
                  <c:v>59.6</c:v>
                </c:pt>
                <c:pt idx="1785">
                  <c:v>59.65</c:v>
                </c:pt>
                <c:pt idx="1786">
                  <c:v>59.7</c:v>
                </c:pt>
                <c:pt idx="1787">
                  <c:v>59.7</c:v>
                </c:pt>
                <c:pt idx="1788">
                  <c:v>59.75</c:v>
                </c:pt>
                <c:pt idx="1789">
                  <c:v>59.8</c:v>
                </c:pt>
                <c:pt idx="1790">
                  <c:v>59.8</c:v>
                </c:pt>
                <c:pt idx="1791">
                  <c:v>59.85</c:v>
                </c:pt>
                <c:pt idx="1792">
                  <c:v>59.9</c:v>
                </c:pt>
                <c:pt idx="1793">
                  <c:v>59.9</c:v>
                </c:pt>
                <c:pt idx="1794">
                  <c:v>59.95</c:v>
                </c:pt>
                <c:pt idx="1795">
                  <c:v>60</c:v>
                </c:pt>
                <c:pt idx="1796">
                  <c:v>60</c:v>
                </c:pt>
                <c:pt idx="1797">
                  <c:v>60.05</c:v>
                </c:pt>
                <c:pt idx="1798">
                  <c:v>60.1</c:v>
                </c:pt>
                <c:pt idx="1799">
                  <c:v>60.1</c:v>
                </c:pt>
                <c:pt idx="1800">
                  <c:v>60.15</c:v>
                </c:pt>
                <c:pt idx="1801">
                  <c:v>60.2</c:v>
                </c:pt>
                <c:pt idx="1802">
                  <c:v>60.2</c:v>
                </c:pt>
                <c:pt idx="1803">
                  <c:v>60.25</c:v>
                </c:pt>
                <c:pt idx="1804">
                  <c:v>60.3</c:v>
                </c:pt>
                <c:pt idx="1805">
                  <c:v>60.3</c:v>
                </c:pt>
                <c:pt idx="1806">
                  <c:v>60.35</c:v>
                </c:pt>
                <c:pt idx="1807">
                  <c:v>60.4</c:v>
                </c:pt>
                <c:pt idx="1808">
                  <c:v>60.4</c:v>
                </c:pt>
                <c:pt idx="1809">
                  <c:v>60.45</c:v>
                </c:pt>
                <c:pt idx="1810">
                  <c:v>60.5</c:v>
                </c:pt>
                <c:pt idx="1811">
                  <c:v>60.5</c:v>
                </c:pt>
                <c:pt idx="1812">
                  <c:v>60.55</c:v>
                </c:pt>
                <c:pt idx="1813">
                  <c:v>60.6</c:v>
                </c:pt>
                <c:pt idx="1814">
                  <c:v>60.6</c:v>
                </c:pt>
                <c:pt idx="1815">
                  <c:v>60.65</c:v>
                </c:pt>
                <c:pt idx="1816">
                  <c:v>60.7</c:v>
                </c:pt>
                <c:pt idx="1817">
                  <c:v>60.7</c:v>
                </c:pt>
                <c:pt idx="1818">
                  <c:v>60.75</c:v>
                </c:pt>
                <c:pt idx="1819">
                  <c:v>60.8</c:v>
                </c:pt>
                <c:pt idx="1820">
                  <c:v>60.8</c:v>
                </c:pt>
                <c:pt idx="1821">
                  <c:v>60.85</c:v>
                </c:pt>
                <c:pt idx="1822">
                  <c:v>60.9</c:v>
                </c:pt>
                <c:pt idx="1823">
                  <c:v>60.9</c:v>
                </c:pt>
                <c:pt idx="1824">
                  <c:v>60.95</c:v>
                </c:pt>
                <c:pt idx="1825">
                  <c:v>61</c:v>
                </c:pt>
                <c:pt idx="1826">
                  <c:v>61</c:v>
                </c:pt>
                <c:pt idx="1827">
                  <c:v>61.05</c:v>
                </c:pt>
                <c:pt idx="1828">
                  <c:v>61.1</c:v>
                </c:pt>
                <c:pt idx="1829">
                  <c:v>61.1</c:v>
                </c:pt>
                <c:pt idx="1830">
                  <c:v>61.15</c:v>
                </c:pt>
                <c:pt idx="1831">
                  <c:v>61.2</c:v>
                </c:pt>
                <c:pt idx="1832">
                  <c:v>61.2</c:v>
                </c:pt>
                <c:pt idx="1833">
                  <c:v>61.25</c:v>
                </c:pt>
                <c:pt idx="1834">
                  <c:v>61.3</c:v>
                </c:pt>
                <c:pt idx="1835">
                  <c:v>61.3</c:v>
                </c:pt>
                <c:pt idx="1836">
                  <c:v>61.35</c:v>
                </c:pt>
                <c:pt idx="1837">
                  <c:v>61.4</c:v>
                </c:pt>
                <c:pt idx="1838">
                  <c:v>61.4</c:v>
                </c:pt>
                <c:pt idx="1839">
                  <c:v>61.45</c:v>
                </c:pt>
                <c:pt idx="1840">
                  <c:v>61.5</c:v>
                </c:pt>
                <c:pt idx="1841">
                  <c:v>61.5</c:v>
                </c:pt>
                <c:pt idx="1842">
                  <c:v>61.55</c:v>
                </c:pt>
                <c:pt idx="1843">
                  <c:v>61.6</c:v>
                </c:pt>
                <c:pt idx="1844">
                  <c:v>61.6</c:v>
                </c:pt>
                <c:pt idx="1845">
                  <c:v>61.65</c:v>
                </c:pt>
                <c:pt idx="1846">
                  <c:v>61.7</c:v>
                </c:pt>
                <c:pt idx="1847">
                  <c:v>61.7</c:v>
                </c:pt>
                <c:pt idx="1848">
                  <c:v>61.75</c:v>
                </c:pt>
                <c:pt idx="1849">
                  <c:v>61.8</c:v>
                </c:pt>
                <c:pt idx="1850">
                  <c:v>61.8</c:v>
                </c:pt>
                <c:pt idx="1851">
                  <c:v>61.85</c:v>
                </c:pt>
                <c:pt idx="1852">
                  <c:v>61.9</c:v>
                </c:pt>
                <c:pt idx="1853">
                  <c:v>61.9</c:v>
                </c:pt>
                <c:pt idx="1854">
                  <c:v>61.95</c:v>
                </c:pt>
                <c:pt idx="1855">
                  <c:v>62</c:v>
                </c:pt>
                <c:pt idx="1856">
                  <c:v>62</c:v>
                </c:pt>
                <c:pt idx="1857">
                  <c:v>62.05</c:v>
                </c:pt>
                <c:pt idx="1858">
                  <c:v>62.1</c:v>
                </c:pt>
                <c:pt idx="1859">
                  <c:v>62.1</c:v>
                </c:pt>
                <c:pt idx="1860">
                  <c:v>62.15</c:v>
                </c:pt>
                <c:pt idx="1861">
                  <c:v>62.2</c:v>
                </c:pt>
                <c:pt idx="1862">
                  <c:v>62.2</c:v>
                </c:pt>
                <c:pt idx="1863">
                  <c:v>62.25</c:v>
                </c:pt>
                <c:pt idx="1864">
                  <c:v>62.3</c:v>
                </c:pt>
                <c:pt idx="1865">
                  <c:v>62.3</c:v>
                </c:pt>
                <c:pt idx="1866">
                  <c:v>62.35</c:v>
                </c:pt>
                <c:pt idx="1867">
                  <c:v>62.4</c:v>
                </c:pt>
                <c:pt idx="1868">
                  <c:v>62.4</c:v>
                </c:pt>
                <c:pt idx="1869">
                  <c:v>62.45</c:v>
                </c:pt>
                <c:pt idx="1870">
                  <c:v>62.5</c:v>
                </c:pt>
                <c:pt idx="1871">
                  <c:v>62.5</c:v>
                </c:pt>
                <c:pt idx="1872">
                  <c:v>62.55</c:v>
                </c:pt>
                <c:pt idx="1873">
                  <c:v>62.6</c:v>
                </c:pt>
                <c:pt idx="1874">
                  <c:v>62.6</c:v>
                </c:pt>
                <c:pt idx="1875">
                  <c:v>62.65</c:v>
                </c:pt>
                <c:pt idx="1876">
                  <c:v>62.7</c:v>
                </c:pt>
                <c:pt idx="1877">
                  <c:v>62.7</c:v>
                </c:pt>
                <c:pt idx="1878">
                  <c:v>62.75</c:v>
                </c:pt>
                <c:pt idx="1879">
                  <c:v>62.8</c:v>
                </c:pt>
                <c:pt idx="1880">
                  <c:v>62.8</c:v>
                </c:pt>
                <c:pt idx="1881">
                  <c:v>62.85</c:v>
                </c:pt>
                <c:pt idx="1882">
                  <c:v>62.9</c:v>
                </c:pt>
                <c:pt idx="1883">
                  <c:v>62.9</c:v>
                </c:pt>
                <c:pt idx="1884">
                  <c:v>62.95</c:v>
                </c:pt>
                <c:pt idx="1885">
                  <c:v>63</c:v>
                </c:pt>
                <c:pt idx="1886">
                  <c:v>63</c:v>
                </c:pt>
                <c:pt idx="1887">
                  <c:v>63.05</c:v>
                </c:pt>
                <c:pt idx="1888">
                  <c:v>63.1</c:v>
                </c:pt>
                <c:pt idx="1889">
                  <c:v>63.15</c:v>
                </c:pt>
                <c:pt idx="1890">
                  <c:v>63.15</c:v>
                </c:pt>
                <c:pt idx="1891">
                  <c:v>63.2</c:v>
                </c:pt>
                <c:pt idx="1892">
                  <c:v>63.25</c:v>
                </c:pt>
                <c:pt idx="1893">
                  <c:v>63.25</c:v>
                </c:pt>
                <c:pt idx="1894">
                  <c:v>63.3</c:v>
                </c:pt>
                <c:pt idx="1895">
                  <c:v>63.35</c:v>
                </c:pt>
                <c:pt idx="1896">
                  <c:v>63.35</c:v>
                </c:pt>
                <c:pt idx="1897">
                  <c:v>63.4</c:v>
                </c:pt>
                <c:pt idx="1898">
                  <c:v>63.45</c:v>
                </c:pt>
                <c:pt idx="1899">
                  <c:v>63.45</c:v>
                </c:pt>
                <c:pt idx="1900">
                  <c:v>63.5</c:v>
                </c:pt>
                <c:pt idx="1901">
                  <c:v>63.55</c:v>
                </c:pt>
                <c:pt idx="1902">
                  <c:v>63.55</c:v>
                </c:pt>
                <c:pt idx="1903">
                  <c:v>63.6</c:v>
                </c:pt>
                <c:pt idx="1904">
                  <c:v>63.65</c:v>
                </c:pt>
                <c:pt idx="1905">
                  <c:v>63.65</c:v>
                </c:pt>
                <c:pt idx="1906">
                  <c:v>63.7</c:v>
                </c:pt>
                <c:pt idx="1907">
                  <c:v>63.75</c:v>
                </c:pt>
                <c:pt idx="1908">
                  <c:v>63.75</c:v>
                </c:pt>
                <c:pt idx="1909">
                  <c:v>63.8</c:v>
                </c:pt>
                <c:pt idx="1910">
                  <c:v>63.85</c:v>
                </c:pt>
                <c:pt idx="1911">
                  <c:v>63.85</c:v>
                </c:pt>
                <c:pt idx="1912">
                  <c:v>63.9</c:v>
                </c:pt>
                <c:pt idx="1913">
                  <c:v>63.95</c:v>
                </c:pt>
                <c:pt idx="1914">
                  <c:v>63.95</c:v>
                </c:pt>
                <c:pt idx="1915">
                  <c:v>64</c:v>
                </c:pt>
                <c:pt idx="1916">
                  <c:v>64.05</c:v>
                </c:pt>
                <c:pt idx="1917">
                  <c:v>64.05</c:v>
                </c:pt>
                <c:pt idx="1918">
                  <c:v>64.1</c:v>
                </c:pt>
                <c:pt idx="1919">
                  <c:v>64.15</c:v>
                </c:pt>
                <c:pt idx="1920">
                  <c:v>64.15</c:v>
                </c:pt>
                <c:pt idx="1921">
                  <c:v>64.2</c:v>
                </c:pt>
                <c:pt idx="1922">
                  <c:v>64.25</c:v>
                </c:pt>
                <c:pt idx="1923">
                  <c:v>64.25</c:v>
                </c:pt>
                <c:pt idx="1924">
                  <c:v>64.3</c:v>
                </c:pt>
                <c:pt idx="1925">
                  <c:v>64.35</c:v>
                </c:pt>
                <c:pt idx="1926">
                  <c:v>64.35</c:v>
                </c:pt>
                <c:pt idx="1927">
                  <c:v>64.4</c:v>
                </c:pt>
                <c:pt idx="1928">
                  <c:v>64.45</c:v>
                </c:pt>
                <c:pt idx="1929">
                  <c:v>64.45</c:v>
                </c:pt>
                <c:pt idx="1930">
                  <c:v>64.5</c:v>
                </c:pt>
                <c:pt idx="1931">
                  <c:v>64.55</c:v>
                </c:pt>
                <c:pt idx="1932">
                  <c:v>64.55</c:v>
                </c:pt>
                <c:pt idx="1933">
                  <c:v>64.6</c:v>
                </c:pt>
                <c:pt idx="1934">
                  <c:v>64.65</c:v>
                </c:pt>
                <c:pt idx="1935">
                  <c:v>64.65</c:v>
                </c:pt>
                <c:pt idx="1936">
                  <c:v>64.7</c:v>
                </c:pt>
                <c:pt idx="1937">
                  <c:v>64.75</c:v>
                </c:pt>
                <c:pt idx="1938">
                  <c:v>64.75</c:v>
                </c:pt>
                <c:pt idx="1939">
                  <c:v>64.8</c:v>
                </c:pt>
                <c:pt idx="1940">
                  <c:v>64.85</c:v>
                </c:pt>
                <c:pt idx="1941">
                  <c:v>64.85</c:v>
                </c:pt>
                <c:pt idx="1942">
                  <c:v>64.9</c:v>
                </c:pt>
                <c:pt idx="1943">
                  <c:v>64.95</c:v>
                </c:pt>
                <c:pt idx="1944">
                  <c:v>64.95</c:v>
                </c:pt>
                <c:pt idx="1945">
                  <c:v>65</c:v>
                </c:pt>
                <c:pt idx="1946">
                  <c:v>65.05</c:v>
                </c:pt>
                <c:pt idx="1947">
                  <c:v>65.05</c:v>
                </c:pt>
                <c:pt idx="1948">
                  <c:v>65.1</c:v>
                </c:pt>
                <c:pt idx="1949">
                  <c:v>65.15</c:v>
                </c:pt>
                <c:pt idx="1950">
                  <c:v>65.15</c:v>
                </c:pt>
                <c:pt idx="1951">
                  <c:v>65.2</c:v>
                </c:pt>
                <c:pt idx="1952">
                  <c:v>65.25</c:v>
                </c:pt>
                <c:pt idx="1953">
                  <c:v>65.25</c:v>
                </c:pt>
                <c:pt idx="1954">
                  <c:v>65.3</c:v>
                </c:pt>
                <c:pt idx="1955">
                  <c:v>65.35</c:v>
                </c:pt>
                <c:pt idx="1956">
                  <c:v>65.35</c:v>
                </c:pt>
                <c:pt idx="1957">
                  <c:v>65.4</c:v>
                </c:pt>
                <c:pt idx="1958">
                  <c:v>65.45</c:v>
                </c:pt>
                <c:pt idx="1959">
                  <c:v>65.45</c:v>
                </c:pt>
                <c:pt idx="1960">
                  <c:v>65.5</c:v>
                </c:pt>
                <c:pt idx="1961">
                  <c:v>65.55</c:v>
                </c:pt>
                <c:pt idx="1962">
                  <c:v>65.55</c:v>
                </c:pt>
                <c:pt idx="1963">
                  <c:v>65.6</c:v>
                </c:pt>
                <c:pt idx="1964">
                  <c:v>65.65</c:v>
                </c:pt>
                <c:pt idx="1965">
                  <c:v>65.65</c:v>
                </c:pt>
                <c:pt idx="1966">
                  <c:v>65.7</c:v>
                </c:pt>
                <c:pt idx="1967">
                  <c:v>65.75</c:v>
                </c:pt>
                <c:pt idx="1968">
                  <c:v>65.75</c:v>
                </c:pt>
                <c:pt idx="1969">
                  <c:v>65.8</c:v>
                </c:pt>
                <c:pt idx="1970">
                  <c:v>65.85</c:v>
                </c:pt>
                <c:pt idx="1971">
                  <c:v>65.85</c:v>
                </c:pt>
                <c:pt idx="1972">
                  <c:v>65.9</c:v>
                </c:pt>
                <c:pt idx="1973">
                  <c:v>65.95</c:v>
                </c:pt>
                <c:pt idx="1974">
                  <c:v>65.95</c:v>
                </c:pt>
                <c:pt idx="1975">
                  <c:v>66</c:v>
                </c:pt>
                <c:pt idx="1976">
                  <c:v>66.05</c:v>
                </c:pt>
                <c:pt idx="1977">
                  <c:v>66.05</c:v>
                </c:pt>
                <c:pt idx="1978">
                  <c:v>66.1</c:v>
                </c:pt>
                <c:pt idx="1979">
                  <c:v>66.15</c:v>
                </c:pt>
                <c:pt idx="1980">
                  <c:v>66.15</c:v>
                </c:pt>
                <c:pt idx="1981">
                  <c:v>66.2</c:v>
                </c:pt>
                <c:pt idx="1982">
                  <c:v>66.25</c:v>
                </c:pt>
                <c:pt idx="1983">
                  <c:v>66.25</c:v>
                </c:pt>
                <c:pt idx="1984">
                  <c:v>66.3</c:v>
                </c:pt>
                <c:pt idx="1985">
                  <c:v>66.35</c:v>
                </c:pt>
                <c:pt idx="1986">
                  <c:v>66.35</c:v>
                </c:pt>
                <c:pt idx="1987">
                  <c:v>66.4</c:v>
                </c:pt>
                <c:pt idx="1988">
                  <c:v>66.45</c:v>
                </c:pt>
                <c:pt idx="1989">
                  <c:v>66.45</c:v>
                </c:pt>
                <c:pt idx="1990">
                  <c:v>66.5</c:v>
                </c:pt>
                <c:pt idx="1991">
                  <c:v>66.55</c:v>
                </c:pt>
                <c:pt idx="1992">
                  <c:v>66.55</c:v>
                </c:pt>
                <c:pt idx="1993">
                  <c:v>66.6</c:v>
                </c:pt>
                <c:pt idx="1994">
                  <c:v>66.65</c:v>
                </c:pt>
                <c:pt idx="1995">
                  <c:v>66.65</c:v>
                </c:pt>
                <c:pt idx="1996">
                  <c:v>66.7</c:v>
                </c:pt>
                <c:pt idx="1997">
                  <c:v>66.75</c:v>
                </c:pt>
                <c:pt idx="1998">
                  <c:v>66.75</c:v>
                </c:pt>
                <c:pt idx="1999">
                  <c:v>66.8</c:v>
                </c:pt>
                <c:pt idx="2000">
                  <c:v>66.85</c:v>
                </c:pt>
                <c:pt idx="2001">
                  <c:v>66.85</c:v>
                </c:pt>
                <c:pt idx="2002">
                  <c:v>66.9</c:v>
                </c:pt>
                <c:pt idx="2003">
                  <c:v>66.95</c:v>
                </c:pt>
                <c:pt idx="2004">
                  <c:v>66.95</c:v>
                </c:pt>
                <c:pt idx="2005">
                  <c:v>67</c:v>
                </c:pt>
                <c:pt idx="2006">
                  <c:v>67.05</c:v>
                </c:pt>
                <c:pt idx="2007">
                  <c:v>67.05</c:v>
                </c:pt>
                <c:pt idx="2008">
                  <c:v>67.1</c:v>
                </c:pt>
                <c:pt idx="2009">
                  <c:v>67.15</c:v>
                </c:pt>
                <c:pt idx="2010">
                  <c:v>67.15</c:v>
                </c:pt>
                <c:pt idx="2011">
                  <c:v>67.2</c:v>
                </c:pt>
                <c:pt idx="2012">
                  <c:v>67.25</c:v>
                </c:pt>
                <c:pt idx="2013">
                  <c:v>67.25</c:v>
                </c:pt>
                <c:pt idx="2014">
                  <c:v>67.3</c:v>
                </c:pt>
                <c:pt idx="2015">
                  <c:v>67.35</c:v>
                </c:pt>
                <c:pt idx="2016">
                  <c:v>67.35</c:v>
                </c:pt>
                <c:pt idx="2017">
                  <c:v>67.4</c:v>
                </c:pt>
                <c:pt idx="2018">
                  <c:v>67.45</c:v>
                </c:pt>
                <c:pt idx="2019">
                  <c:v>67.45</c:v>
                </c:pt>
                <c:pt idx="2020">
                  <c:v>67.5</c:v>
                </c:pt>
                <c:pt idx="2021">
                  <c:v>67.55</c:v>
                </c:pt>
                <c:pt idx="2022">
                  <c:v>67.55</c:v>
                </c:pt>
                <c:pt idx="2023">
                  <c:v>67.6</c:v>
                </c:pt>
                <c:pt idx="2024">
                  <c:v>67.65</c:v>
                </c:pt>
                <c:pt idx="2025">
                  <c:v>67.65</c:v>
                </c:pt>
                <c:pt idx="2026">
                  <c:v>67.7</c:v>
                </c:pt>
                <c:pt idx="2027">
                  <c:v>67.75</c:v>
                </c:pt>
                <c:pt idx="2028">
                  <c:v>67.75</c:v>
                </c:pt>
                <c:pt idx="2029">
                  <c:v>67.8</c:v>
                </c:pt>
                <c:pt idx="2030">
                  <c:v>67.85</c:v>
                </c:pt>
                <c:pt idx="2031">
                  <c:v>67.85</c:v>
                </c:pt>
                <c:pt idx="2032">
                  <c:v>67.9</c:v>
                </c:pt>
                <c:pt idx="2033">
                  <c:v>67.95</c:v>
                </c:pt>
                <c:pt idx="2034">
                  <c:v>67.95</c:v>
                </c:pt>
                <c:pt idx="2035">
                  <c:v>68</c:v>
                </c:pt>
                <c:pt idx="2036">
                  <c:v>68.05</c:v>
                </c:pt>
                <c:pt idx="2037">
                  <c:v>68.05</c:v>
                </c:pt>
                <c:pt idx="2038">
                  <c:v>68.1</c:v>
                </c:pt>
                <c:pt idx="2039">
                  <c:v>68.15</c:v>
                </c:pt>
                <c:pt idx="2040">
                  <c:v>68.15</c:v>
                </c:pt>
                <c:pt idx="2041">
                  <c:v>68.2</c:v>
                </c:pt>
                <c:pt idx="2042">
                  <c:v>68.25</c:v>
                </c:pt>
                <c:pt idx="2043">
                  <c:v>68.25</c:v>
                </c:pt>
                <c:pt idx="2044">
                  <c:v>68.3</c:v>
                </c:pt>
                <c:pt idx="2045">
                  <c:v>68.35</c:v>
                </c:pt>
                <c:pt idx="2046">
                  <c:v>68.35</c:v>
                </c:pt>
                <c:pt idx="2047">
                  <c:v>68.4</c:v>
                </c:pt>
                <c:pt idx="2048">
                  <c:v>68.45</c:v>
                </c:pt>
                <c:pt idx="2049">
                  <c:v>68.45</c:v>
                </c:pt>
                <c:pt idx="2050">
                  <c:v>68.5</c:v>
                </c:pt>
                <c:pt idx="2051">
                  <c:v>68.55</c:v>
                </c:pt>
                <c:pt idx="2052">
                  <c:v>68.55</c:v>
                </c:pt>
                <c:pt idx="2053">
                  <c:v>68.6</c:v>
                </c:pt>
                <c:pt idx="2054">
                  <c:v>68.65</c:v>
                </c:pt>
                <c:pt idx="2055">
                  <c:v>68.65</c:v>
                </c:pt>
                <c:pt idx="2056">
                  <c:v>68.7</c:v>
                </c:pt>
                <c:pt idx="2057">
                  <c:v>68.75</c:v>
                </c:pt>
                <c:pt idx="2058">
                  <c:v>68.75</c:v>
                </c:pt>
                <c:pt idx="2059">
                  <c:v>68.8</c:v>
                </c:pt>
                <c:pt idx="2060">
                  <c:v>68.85</c:v>
                </c:pt>
                <c:pt idx="2061">
                  <c:v>68.9</c:v>
                </c:pt>
                <c:pt idx="2062">
                  <c:v>68.9</c:v>
                </c:pt>
                <c:pt idx="2063">
                  <c:v>68.95</c:v>
                </c:pt>
                <c:pt idx="2064">
                  <c:v>69</c:v>
                </c:pt>
                <c:pt idx="2065">
                  <c:v>69</c:v>
                </c:pt>
                <c:pt idx="2066">
                  <c:v>69.05</c:v>
                </c:pt>
                <c:pt idx="2067">
                  <c:v>69.1</c:v>
                </c:pt>
                <c:pt idx="2068">
                  <c:v>69.1</c:v>
                </c:pt>
                <c:pt idx="2069">
                  <c:v>69.15</c:v>
                </c:pt>
                <c:pt idx="2070">
                  <c:v>69.2</c:v>
                </c:pt>
                <c:pt idx="2071">
                  <c:v>69.2</c:v>
                </c:pt>
                <c:pt idx="2072">
                  <c:v>69.25</c:v>
                </c:pt>
                <c:pt idx="2073">
                  <c:v>69.3</c:v>
                </c:pt>
                <c:pt idx="2074">
                  <c:v>69.3</c:v>
                </c:pt>
                <c:pt idx="2075">
                  <c:v>69.35</c:v>
                </c:pt>
                <c:pt idx="2076">
                  <c:v>69.4</c:v>
                </c:pt>
                <c:pt idx="2077">
                  <c:v>69.4</c:v>
                </c:pt>
                <c:pt idx="2078">
                  <c:v>69.45</c:v>
                </c:pt>
                <c:pt idx="2079">
                  <c:v>69.5</c:v>
                </c:pt>
                <c:pt idx="2080">
                  <c:v>69.5</c:v>
                </c:pt>
                <c:pt idx="2081">
                  <c:v>69.55</c:v>
                </c:pt>
              </c:numCache>
            </c:numRef>
          </c:cat>
          <c:val>
            <c:numRef>
              <c:f>'常压_b_20 (2)'!$J$4:$J$2085</c:f>
              <c:numCache>
                <c:formatCode>General</c:formatCode>
                <c:ptCount val="2082"/>
                <c:pt idx="0">
                  <c:v>0.199999999999989</c:v>
                </c:pt>
                <c:pt idx="1">
                  <c:v>0.199999999999989</c:v>
                </c:pt>
                <c:pt idx="2">
                  <c:v>0.199999999999989</c:v>
                </c:pt>
                <c:pt idx="3">
                  <c:v>0.300000000000011</c:v>
                </c:pt>
                <c:pt idx="4">
                  <c:v>0.300000000000011</c:v>
                </c:pt>
                <c:pt idx="5">
                  <c:v>0.300000000000011</c:v>
                </c:pt>
                <c:pt idx="6">
                  <c:v>0.199999999999989</c:v>
                </c:pt>
                <c:pt idx="7">
                  <c:v>0.300000000000011</c:v>
                </c:pt>
                <c:pt idx="8">
                  <c:v>0.199999999999989</c:v>
                </c:pt>
                <c:pt idx="9">
                  <c:v>0.300000000000011</c:v>
                </c:pt>
                <c:pt idx="10">
                  <c:v>0.300000000000011</c:v>
                </c:pt>
                <c:pt idx="11">
                  <c:v>0.300000000000011</c:v>
                </c:pt>
                <c:pt idx="12">
                  <c:v>0.199999999999989</c:v>
                </c:pt>
                <c:pt idx="13">
                  <c:v>0.199999999999989</c:v>
                </c:pt>
                <c:pt idx="14">
                  <c:v>0.199999999999989</c:v>
                </c:pt>
                <c:pt idx="15">
                  <c:v>0.300000000000011</c:v>
                </c:pt>
                <c:pt idx="16">
                  <c:v>0.300000000000011</c:v>
                </c:pt>
                <c:pt idx="17">
                  <c:v>0.199999999999989</c:v>
                </c:pt>
                <c:pt idx="18">
                  <c:v>0.199999999999989</c:v>
                </c:pt>
                <c:pt idx="19">
                  <c:v>0.300000000000011</c:v>
                </c:pt>
                <c:pt idx="20">
                  <c:v>0.300000000000011</c:v>
                </c:pt>
                <c:pt idx="21">
                  <c:v>0.300000000000011</c:v>
                </c:pt>
                <c:pt idx="22">
                  <c:v>0.300000000000011</c:v>
                </c:pt>
                <c:pt idx="23">
                  <c:v>0.199999999999989</c:v>
                </c:pt>
                <c:pt idx="24">
                  <c:v>0.199999999999989</c:v>
                </c:pt>
                <c:pt idx="25">
                  <c:v>0.199999999999989</c:v>
                </c:pt>
                <c:pt idx="26">
                  <c:v>0.199999999999989</c:v>
                </c:pt>
                <c:pt idx="27">
                  <c:v>0.300000000000011</c:v>
                </c:pt>
                <c:pt idx="28">
                  <c:v>0.300000000000011</c:v>
                </c:pt>
                <c:pt idx="29">
                  <c:v>0.300000000000011</c:v>
                </c:pt>
                <c:pt idx="30">
                  <c:v>0.300000000000011</c:v>
                </c:pt>
                <c:pt idx="31">
                  <c:v>0.199999999999989</c:v>
                </c:pt>
                <c:pt idx="32">
                  <c:v>0.300000000000011</c:v>
                </c:pt>
                <c:pt idx="33">
                  <c:v>0.300000000000011</c:v>
                </c:pt>
                <c:pt idx="34">
                  <c:v>0.300000000000011</c:v>
                </c:pt>
                <c:pt idx="35">
                  <c:v>0.300000000000011</c:v>
                </c:pt>
                <c:pt idx="36">
                  <c:v>0.199999999999989</c:v>
                </c:pt>
                <c:pt idx="37">
                  <c:v>0.300000000000011</c:v>
                </c:pt>
                <c:pt idx="38">
                  <c:v>0.300000000000011</c:v>
                </c:pt>
                <c:pt idx="39">
                  <c:v>0.300000000000011</c:v>
                </c:pt>
                <c:pt idx="40">
                  <c:v>0.300000000000011</c:v>
                </c:pt>
                <c:pt idx="41">
                  <c:v>0.300000000000011</c:v>
                </c:pt>
                <c:pt idx="42">
                  <c:v>0.300000000000011</c:v>
                </c:pt>
                <c:pt idx="43">
                  <c:v>0.199999999999989</c:v>
                </c:pt>
                <c:pt idx="44">
                  <c:v>0.300000000000011</c:v>
                </c:pt>
                <c:pt idx="45">
                  <c:v>0.199999999999989</c:v>
                </c:pt>
                <c:pt idx="46">
                  <c:v>0.300000000000011</c:v>
                </c:pt>
                <c:pt idx="47">
                  <c:v>0.300000000000011</c:v>
                </c:pt>
                <c:pt idx="48">
                  <c:v>0.300000000000011</c:v>
                </c:pt>
                <c:pt idx="49">
                  <c:v>0.199999999999989</c:v>
                </c:pt>
                <c:pt idx="50">
                  <c:v>0.300000000000011</c:v>
                </c:pt>
                <c:pt idx="51">
                  <c:v>0.300000000000011</c:v>
                </c:pt>
                <c:pt idx="52">
                  <c:v>0.300000000000011</c:v>
                </c:pt>
                <c:pt idx="53">
                  <c:v>0.300000000000011</c:v>
                </c:pt>
                <c:pt idx="54">
                  <c:v>0.199999999999989</c:v>
                </c:pt>
                <c:pt idx="55">
                  <c:v>0.300000000000011</c:v>
                </c:pt>
                <c:pt idx="56">
                  <c:v>0.300000000000011</c:v>
                </c:pt>
                <c:pt idx="57">
                  <c:v>0.199999999999989</c:v>
                </c:pt>
                <c:pt idx="58">
                  <c:v>0.300000000000011</c:v>
                </c:pt>
                <c:pt idx="59">
                  <c:v>0.199999999999989</c:v>
                </c:pt>
                <c:pt idx="60">
                  <c:v>0.300000000000011</c:v>
                </c:pt>
                <c:pt idx="61">
                  <c:v>0.300000000000011</c:v>
                </c:pt>
                <c:pt idx="62">
                  <c:v>0.300000000000011</c:v>
                </c:pt>
                <c:pt idx="63">
                  <c:v>0.300000000000011</c:v>
                </c:pt>
                <c:pt idx="64">
                  <c:v>0.300000000000011</c:v>
                </c:pt>
                <c:pt idx="65">
                  <c:v>0.300000000000011</c:v>
                </c:pt>
                <c:pt idx="66">
                  <c:v>0.199999999999989</c:v>
                </c:pt>
                <c:pt idx="67">
                  <c:v>0.199999999999989</c:v>
                </c:pt>
                <c:pt idx="68">
                  <c:v>0.300000000000011</c:v>
                </c:pt>
                <c:pt idx="69">
                  <c:v>0.300000000000011</c:v>
                </c:pt>
                <c:pt idx="70">
                  <c:v>0.199999999999989</c:v>
                </c:pt>
                <c:pt idx="71">
                  <c:v>0.199999999999989</c:v>
                </c:pt>
                <c:pt idx="72">
                  <c:v>0.300000000000011</c:v>
                </c:pt>
                <c:pt idx="73">
                  <c:v>0.300000000000011</c:v>
                </c:pt>
                <c:pt idx="74">
                  <c:v>0.199999999999989</c:v>
                </c:pt>
                <c:pt idx="75">
                  <c:v>0.300000000000011</c:v>
                </c:pt>
                <c:pt idx="76">
                  <c:v>0.300000000000011</c:v>
                </c:pt>
                <c:pt idx="77">
                  <c:v>0.300000000000011</c:v>
                </c:pt>
                <c:pt idx="78">
                  <c:v>0.300000000000011</c:v>
                </c:pt>
                <c:pt idx="79">
                  <c:v>0.300000000000011</c:v>
                </c:pt>
                <c:pt idx="80">
                  <c:v>0.300000000000011</c:v>
                </c:pt>
                <c:pt idx="81">
                  <c:v>0.400000000000006</c:v>
                </c:pt>
                <c:pt idx="82">
                  <c:v>0.300000000000011</c:v>
                </c:pt>
                <c:pt idx="83">
                  <c:v>0.400000000000006</c:v>
                </c:pt>
                <c:pt idx="84">
                  <c:v>0.5</c:v>
                </c:pt>
                <c:pt idx="85">
                  <c:v>0.599999999999994</c:v>
                </c:pt>
                <c:pt idx="86">
                  <c:v>0.5</c:v>
                </c:pt>
                <c:pt idx="87">
                  <c:v>0.599999999999994</c:v>
                </c:pt>
                <c:pt idx="88">
                  <c:v>0.599999999999994</c:v>
                </c:pt>
                <c:pt idx="89">
                  <c:v>0.699999999999989</c:v>
                </c:pt>
                <c:pt idx="90">
                  <c:v>0.599999999999994</c:v>
                </c:pt>
                <c:pt idx="91">
                  <c:v>0.800000000000011</c:v>
                </c:pt>
                <c:pt idx="92">
                  <c:v>1</c:v>
                </c:pt>
                <c:pt idx="93">
                  <c:v>1.19999999999999</c:v>
                </c:pt>
                <c:pt idx="94">
                  <c:v>1.19999999999999</c:v>
                </c:pt>
                <c:pt idx="95">
                  <c:v>1.30000000000001</c:v>
                </c:pt>
                <c:pt idx="96">
                  <c:v>1.30000000000001</c:v>
                </c:pt>
                <c:pt idx="97">
                  <c:v>1.30000000000001</c:v>
                </c:pt>
                <c:pt idx="98">
                  <c:v>1.30000000000001</c:v>
                </c:pt>
                <c:pt idx="99">
                  <c:v>1.30000000000001</c:v>
                </c:pt>
                <c:pt idx="100">
                  <c:v>1.40000000000001</c:v>
                </c:pt>
                <c:pt idx="101">
                  <c:v>1.40000000000001</c:v>
                </c:pt>
                <c:pt idx="102">
                  <c:v>1.30000000000001</c:v>
                </c:pt>
                <c:pt idx="103">
                  <c:v>1.30000000000001</c:v>
                </c:pt>
                <c:pt idx="104">
                  <c:v>1.30000000000001</c:v>
                </c:pt>
                <c:pt idx="105">
                  <c:v>1.30000000000001</c:v>
                </c:pt>
                <c:pt idx="106">
                  <c:v>1.30000000000001</c:v>
                </c:pt>
                <c:pt idx="107">
                  <c:v>1.19999999999999</c:v>
                </c:pt>
                <c:pt idx="108">
                  <c:v>1.30000000000001</c:v>
                </c:pt>
                <c:pt idx="109">
                  <c:v>1.19999999999999</c:v>
                </c:pt>
                <c:pt idx="110">
                  <c:v>1.19999999999999</c:v>
                </c:pt>
                <c:pt idx="111">
                  <c:v>1.30000000000001</c:v>
                </c:pt>
                <c:pt idx="112">
                  <c:v>1.19999999999999</c:v>
                </c:pt>
                <c:pt idx="113">
                  <c:v>1.19999999999999</c:v>
                </c:pt>
                <c:pt idx="114">
                  <c:v>1.19999999999999</c:v>
                </c:pt>
                <c:pt idx="115">
                  <c:v>1.30000000000001</c:v>
                </c:pt>
                <c:pt idx="116">
                  <c:v>1.19999999999999</c:v>
                </c:pt>
                <c:pt idx="117">
                  <c:v>1.19999999999999</c:v>
                </c:pt>
                <c:pt idx="118">
                  <c:v>1.19999999999999</c:v>
                </c:pt>
                <c:pt idx="119">
                  <c:v>1.19999999999999</c:v>
                </c:pt>
                <c:pt idx="120">
                  <c:v>1.19999999999999</c:v>
                </c:pt>
                <c:pt idx="121">
                  <c:v>1.19999999999999</c:v>
                </c:pt>
                <c:pt idx="122">
                  <c:v>1.19999999999999</c:v>
                </c:pt>
                <c:pt idx="123">
                  <c:v>1.19999999999999</c:v>
                </c:pt>
                <c:pt idx="124">
                  <c:v>1.19999999999999</c:v>
                </c:pt>
                <c:pt idx="125">
                  <c:v>1.40000000000001</c:v>
                </c:pt>
                <c:pt idx="126">
                  <c:v>1.40000000000001</c:v>
                </c:pt>
                <c:pt idx="127">
                  <c:v>1.40000000000001</c:v>
                </c:pt>
                <c:pt idx="128">
                  <c:v>1.40000000000001</c:v>
                </c:pt>
                <c:pt idx="129">
                  <c:v>1.40000000000001</c:v>
                </c:pt>
                <c:pt idx="130">
                  <c:v>1.5</c:v>
                </c:pt>
                <c:pt idx="131">
                  <c:v>1.40000000000001</c:v>
                </c:pt>
                <c:pt idx="132">
                  <c:v>1.5</c:v>
                </c:pt>
                <c:pt idx="133">
                  <c:v>1.59999999999999</c:v>
                </c:pt>
                <c:pt idx="134">
                  <c:v>1.59999999999999</c:v>
                </c:pt>
                <c:pt idx="135">
                  <c:v>1.59999999999999</c:v>
                </c:pt>
                <c:pt idx="136">
                  <c:v>1.59999999999999</c:v>
                </c:pt>
                <c:pt idx="137">
                  <c:v>1.69999999999999</c:v>
                </c:pt>
                <c:pt idx="138">
                  <c:v>1.69999999999999</c:v>
                </c:pt>
                <c:pt idx="139">
                  <c:v>1.59999999999999</c:v>
                </c:pt>
                <c:pt idx="140">
                  <c:v>1.5</c:v>
                </c:pt>
                <c:pt idx="141">
                  <c:v>1.59999999999999</c:v>
                </c:pt>
                <c:pt idx="142">
                  <c:v>1.5</c:v>
                </c:pt>
                <c:pt idx="143">
                  <c:v>1.5</c:v>
                </c:pt>
                <c:pt idx="144">
                  <c:v>1.40000000000001</c:v>
                </c:pt>
                <c:pt idx="145">
                  <c:v>1.40000000000001</c:v>
                </c:pt>
                <c:pt idx="146">
                  <c:v>1.40000000000001</c:v>
                </c:pt>
                <c:pt idx="147">
                  <c:v>1.30000000000001</c:v>
                </c:pt>
                <c:pt idx="148">
                  <c:v>1.19999999999999</c:v>
                </c:pt>
                <c:pt idx="149">
                  <c:v>1.19999999999999</c:v>
                </c:pt>
                <c:pt idx="150">
                  <c:v>1.09999999999999</c:v>
                </c:pt>
                <c:pt idx="151">
                  <c:v>1</c:v>
                </c:pt>
                <c:pt idx="152">
                  <c:v>0.900000000000006</c:v>
                </c:pt>
                <c:pt idx="153">
                  <c:v>0.800000000000011</c:v>
                </c:pt>
                <c:pt idx="154">
                  <c:v>0.800000000000011</c:v>
                </c:pt>
                <c:pt idx="155">
                  <c:v>0.699999999999989</c:v>
                </c:pt>
                <c:pt idx="156">
                  <c:v>0.5</c:v>
                </c:pt>
                <c:pt idx="157">
                  <c:v>0.199999999999989</c:v>
                </c:pt>
                <c:pt idx="158">
                  <c:v>0</c:v>
                </c:pt>
                <c:pt idx="159">
                  <c:v>-0.0999999999999943</c:v>
                </c:pt>
                <c:pt idx="160">
                  <c:v>-0.199999999999989</c:v>
                </c:pt>
                <c:pt idx="161">
                  <c:v>-0.0999999999999943</c:v>
                </c:pt>
                <c:pt idx="162">
                  <c:v>0</c:v>
                </c:pt>
                <c:pt idx="163">
                  <c:v>0</c:v>
                </c:pt>
                <c:pt idx="164">
                  <c:v>-0.199999999999989</c:v>
                </c:pt>
                <c:pt idx="165">
                  <c:v>0</c:v>
                </c:pt>
                <c:pt idx="166">
                  <c:v>0</c:v>
                </c:pt>
                <c:pt idx="167">
                  <c:v>0.0999999999999943</c:v>
                </c:pt>
                <c:pt idx="168">
                  <c:v>0.199999999999989</c:v>
                </c:pt>
                <c:pt idx="169">
                  <c:v>0.300000000000011</c:v>
                </c:pt>
                <c:pt idx="170">
                  <c:v>0.300000000000011</c:v>
                </c:pt>
                <c:pt idx="171">
                  <c:v>0.400000000000006</c:v>
                </c:pt>
                <c:pt idx="172">
                  <c:v>0.400000000000006</c:v>
                </c:pt>
                <c:pt idx="173">
                  <c:v>0.5</c:v>
                </c:pt>
                <c:pt idx="174">
                  <c:v>0.599999999999994</c:v>
                </c:pt>
                <c:pt idx="175">
                  <c:v>0.599999999999994</c:v>
                </c:pt>
                <c:pt idx="176">
                  <c:v>0.599999999999994</c:v>
                </c:pt>
                <c:pt idx="177">
                  <c:v>0.699999999999989</c:v>
                </c:pt>
                <c:pt idx="178">
                  <c:v>0.699999999999989</c:v>
                </c:pt>
                <c:pt idx="179">
                  <c:v>0.699999999999989</c:v>
                </c:pt>
                <c:pt idx="180">
                  <c:v>0.900000000000006</c:v>
                </c:pt>
                <c:pt idx="181">
                  <c:v>1.40000000000001</c:v>
                </c:pt>
                <c:pt idx="182">
                  <c:v>1.69999999999999</c:v>
                </c:pt>
                <c:pt idx="183">
                  <c:v>1.80000000000001</c:v>
                </c:pt>
                <c:pt idx="184">
                  <c:v>2.30000000000001</c:v>
                </c:pt>
                <c:pt idx="185">
                  <c:v>2.30000000000001</c:v>
                </c:pt>
                <c:pt idx="186">
                  <c:v>2.40000000000001</c:v>
                </c:pt>
                <c:pt idx="187">
                  <c:v>2.40000000000001</c:v>
                </c:pt>
                <c:pt idx="188">
                  <c:v>2.40000000000001</c:v>
                </c:pt>
                <c:pt idx="189">
                  <c:v>2.40000000000001</c:v>
                </c:pt>
                <c:pt idx="190">
                  <c:v>2.30000000000001</c:v>
                </c:pt>
                <c:pt idx="191">
                  <c:v>2.30000000000001</c:v>
                </c:pt>
                <c:pt idx="192">
                  <c:v>2.09999999999999</c:v>
                </c:pt>
                <c:pt idx="193">
                  <c:v>1.90000000000001</c:v>
                </c:pt>
                <c:pt idx="194">
                  <c:v>1.90000000000001</c:v>
                </c:pt>
                <c:pt idx="195">
                  <c:v>1.59999999999999</c:v>
                </c:pt>
                <c:pt idx="196">
                  <c:v>1.19999999999999</c:v>
                </c:pt>
                <c:pt idx="197">
                  <c:v>0.800000000000011</c:v>
                </c:pt>
                <c:pt idx="198">
                  <c:v>0.400000000000006</c:v>
                </c:pt>
                <c:pt idx="199">
                  <c:v>0</c:v>
                </c:pt>
                <c:pt idx="200">
                  <c:v>-0.300000000000011</c:v>
                </c:pt>
                <c:pt idx="201">
                  <c:v>-1</c:v>
                </c:pt>
                <c:pt idx="202">
                  <c:v>-1.30000000000001</c:v>
                </c:pt>
                <c:pt idx="203">
                  <c:v>-1.69999999999999</c:v>
                </c:pt>
                <c:pt idx="204">
                  <c:v>-2</c:v>
                </c:pt>
                <c:pt idx="205">
                  <c:v>-2.09999999999999</c:v>
                </c:pt>
                <c:pt idx="206">
                  <c:v>-2.5</c:v>
                </c:pt>
                <c:pt idx="207">
                  <c:v>-2.90000000000001</c:v>
                </c:pt>
                <c:pt idx="208">
                  <c:v>-3.19999999999999</c:v>
                </c:pt>
                <c:pt idx="209">
                  <c:v>-3.30000000000001</c:v>
                </c:pt>
                <c:pt idx="210">
                  <c:v>-3.40000000000001</c:v>
                </c:pt>
                <c:pt idx="211">
                  <c:v>-3.59999999999999</c:v>
                </c:pt>
                <c:pt idx="212">
                  <c:v>-3.59999999999999</c:v>
                </c:pt>
                <c:pt idx="213">
                  <c:v>-3.59999999999999</c:v>
                </c:pt>
                <c:pt idx="214">
                  <c:v>-3.5</c:v>
                </c:pt>
                <c:pt idx="215">
                  <c:v>-3.5</c:v>
                </c:pt>
                <c:pt idx="216">
                  <c:v>-3.30000000000001</c:v>
                </c:pt>
                <c:pt idx="217">
                  <c:v>-2.90000000000001</c:v>
                </c:pt>
                <c:pt idx="218">
                  <c:v>-2.5</c:v>
                </c:pt>
                <c:pt idx="219">
                  <c:v>-2.30000000000001</c:v>
                </c:pt>
                <c:pt idx="220">
                  <c:v>-2.19999999999999</c:v>
                </c:pt>
                <c:pt idx="221">
                  <c:v>-1.40000000000001</c:v>
                </c:pt>
                <c:pt idx="222">
                  <c:v>-0.900000000000006</c:v>
                </c:pt>
                <c:pt idx="223">
                  <c:v>-0.599999999999994</c:v>
                </c:pt>
                <c:pt idx="224">
                  <c:v>0</c:v>
                </c:pt>
                <c:pt idx="225">
                  <c:v>0.5</c:v>
                </c:pt>
                <c:pt idx="226">
                  <c:v>1.19999999999999</c:v>
                </c:pt>
                <c:pt idx="227">
                  <c:v>1.5</c:v>
                </c:pt>
                <c:pt idx="228">
                  <c:v>1.90000000000001</c:v>
                </c:pt>
                <c:pt idx="229">
                  <c:v>2.59999999999999</c:v>
                </c:pt>
                <c:pt idx="230">
                  <c:v>2.59999999999999</c:v>
                </c:pt>
                <c:pt idx="231">
                  <c:v>2.80000000000001</c:v>
                </c:pt>
                <c:pt idx="232">
                  <c:v>3.09999999999999</c:v>
                </c:pt>
                <c:pt idx="233">
                  <c:v>3.19999999999999</c:v>
                </c:pt>
                <c:pt idx="234">
                  <c:v>3.30000000000001</c:v>
                </c:pt>
                <c:pt idx="235">
                  <c:v>3.09999999999999</c:v>
                </c:pt>
                <c:pt idx="236">
                  <c:v>3</c:v>
                </c:pt>
                <c:pt idx="237">
                  <c:v>2.90000000000001</c:v>
                </c:pt>
                <c:pt idx="238">
                  <c:v>2.80000000000001</c:v>
                </c:pt>
                <c:pt idx="239">
                  <c:v>2.5</c:v>
                </c:pt>
                <c:pt idx="240">
                  <c:v>2.09999999999999</c:v>
                </c:pt>
                <c:pt idx="241">
                  <c:v>1.59999999999999</c:v>
                </c:pt>
                <c:pt idx="242">
                  <c:v>0.900000000000006</c:v>
                </c:pt>
                <c:pt idx="243">
                  <c:v>0.300000000000011</c:v>
                </c:pt>
                <c:pt idx="244">
                  <c:v>-1</c:v>
                </c:pt>
                <c:pt idx="245">
                  <c:v>-1.5</c:v>
                </c:pt>
                <c:pt idx="246">
                  <c:v>-2.09999999999999</c:v>
                </c:pt>
                <c:pt idx="247">
                  <c:v>-2.30000000000001</c:v>
                </c:pt>
                <c:pt idx="248">
                  <c:v>-2.90000000000001</c:v>
                </c:pt>
                <c:pt idx="249">
                  <c:v>-3.40000000000001</c:v>
                </c:pt>
                <c:pt idx="250">
                  <c:v>-4.09999999999999</c:v>
                </c:pt>
                <c:pt idx="251">
                  <c:v>-4.5</c:v>
                </c:pt>
                <c:pt idx="252">
                  <c:v>-5</c:v>
                </c:pt>
                <c:pt idx="253">
                  <c:v>-4.90000000000001</c:v>
                </c:pt>
                <c:pt idx="254">
                  <c:v>-5</c:v>
                </c:pt>
                <c:pt idx="255">
                  <c:v>-5.09999999999999</c:v>
                </c:pt>
                <c:pt idx="256">
                  <c:v>-5</c:v>
                </c:pt>
                <c:pt idx="257">
                  <c:v>-4.80000000000001</c:v>
                </c:pt>
                <c:pt idx="258">
                  <c:v>-4.69999999999999</c:v>
                </c:pt>
                <c:pt idx="259">
                  <c:v>-4.59999999999999</c:v>
                </c:pt>
                <c:pt idx="260">
                  <c:v>-4.5</c:v>
                </c:pt>
                <c:pt idx="261">
                  <c:v>-4.19999999999999</c:v>
                </c:pt>
                <c:pt idx="262">
                  <c:v>-3.5</c:v>
                </c:pt>
                <c:pt idx="263">
                  <c:v>-2.80000000000001</c:v>
                </c:pt>
                <c:pt idx="264">
                  <c:v>-2.5</c:v>
                </c:pt>
                <c:pt idx="265">
                  <c:v>-2</c:v>
                </c:pt>
                <c:pt idx="266">
                  <c:v>-1.30000000000001</c:v>
                </c:pt>
                <c:pt idx="267">
                  <c:v>-0.900000000000006</c:v>
                </c:pt>
                <c:pt idx="268">
                  <c:v>-0.0999999999999943</c:v>
                </c:pt>
                <c:pt idx="269">
                  <c:v>0.5</c:v>
                </c:pt>
                <c:pt idx="270">
                  <c:v>1.59999999999999</c:v>
                </c:pt>
                <c:pt idx="271">
                  <c:v>2.30000000000001</c:v>
                </c:pt>
                <c:pt idx="272">
                  <c:v>2.69999999999999</c:v>
                </c:pt>
                <c:pt idx="273">
                  <c:v>3</c:v>
                </c:pt>
                <c:pt idx="274">
                  <c:v>3.40000000000001</c:v>
                </c:pt>
                <c:pt idx="275">
                  <c:v>3.59999999999999</c:v>
                </c:pt>
                <c:pt idx="276">
                  <c:v>3.59999999999999</c:v>
                </c:pt>
                <c:pt idx="277">
                  <c:v>3.59999999999999</c:v>
                </c:pt>
                <c:pt idx="278">
                  <c:v>3.5</c:v>
                </c:pt>
                <c:pt idx="279">
                  <c:v>3.5</c:v>
                </c:pt>
                <c:pt idx="280">
                  <c:v>3.30000000000001</c:v>
                </c:pt>
                <c:pt idx="281">
                  <c:v>3.09999999999999</c:v>
                </c:pt>
                <c:pt idx="282">
                  <c:v>3</c:v>
                </c:pt>
                <c:pt idx="283">
                  <c:v>2.90000000000001</c:v>
                </c:pt>
                <c:pt idx="284">
                  <c:v>2.5</c:v>
                </c:pt>
                <c:pt idx="285">
                  <c:v>1.80000000000001</c:v>
                </c:pt>
                <c:pt idx="286">
                  <c:v>1.40000000000001</c:v>
                </c:pt>
                <c:pt idx="287">
                  <c:v>0.300000000000011</c:v>
                </c:pt>
                <c:pt idx="288">
                  <c:v>-0.699999999999989</c:v>
                </c:pt>
                <c:pt idx="289">
                  <c:v>-1.40000000000001</c:v>
                </c:pt>
                <c:pt idx="290">
                  <c:v>-2.30000000000001</c:v>
                </c:pt>
                <c:pt idx="291">
                  <c:v>-2.90000000000001</c:v>
                </c:pt>
                <c:pt idx="292">
                  <c:v>-3.59999999999999</c:v>
                </c:pt>
                <c:pt idx="293">
                  <c:v>-4.5</c:v>
                </c:pt>
                <c:pt idx="294">
                  <c:v>-5.09999999999999</c:v>
                </c:pt>
                <c:pt idx="295">
                  <c:v>-5.40000000000001</c:v>
                </c:pt>
                <c:pt idx="296">
                  <c:v>-5.80000000000001</c:v>
                </c:pt>
                <c:pt idx="297">
                  <c:v>-6</c:v>
                </c:pt>
                <c:pt idx="298">
                  <c:v>-6</c:v>
                </c:pt>
                <c:pt idx="299">
                  <c:v>-6</c:v>
                </c:pt>
                <c:pt idx="300">
                  <c:v>-6.09999999999999</c:v>
                </c:pt>
                <c:pt idx="301">
                  <c:v>-5.90000000000001</c:v>
                </c:pt>
                <c:pt idx="302">
                  <c:v>-5.80000000000001</c:v>
                </c:pt>
                <c:pt idx="303">
                  <c:v>-5.69999999999999</c:v>
                </c:pt>
                <c:pt idx="304">
                  <c:v>-5.59999999999999</c:v>
                </c:pt>
                <c:pt idx="305">
                  <c:v>-5.5</c:v>
                </c:pt>
                <c:pt idx="306">
                  <c:v>-5.19999999999999</c:v>
                </c:pt>
                <c:pt idx="307">
                  <c:v>-4.5</c:v>
                </c:pt>
                <c:pt idx="308">
                  <c:v>-3.69999999999999</c:v>
                </c:pt>
                <c:pt idx="309">
                  <c:v>-2.90000000000001</c:v>
                </c:pt>
                <c:pt idx="310">
                  <c:v>-2.19999999999999</c:v>
                </c:pt>
                <c:pt idx="311">
                  <c:v>-1.30000000000001</c:v>
                </c:pt>
                <c:pt idx="312">
                  <c:v>-0.800000000000011</c:v>
                </c:pt>
                <c:pt idx="313">
                  <c:v>0.0999999999999943</c:v>
                </c:pt>
                <c:pt idx="314">
                  <c:v>1.59999999999999</c:v>
                </c:pt>
                <c:pt idx="315">
                  <c:v>2.5</c:v>
                </c:pt>
                <c:pt idx="316">
                  <c:v>2.90000000000001</c:v>
                </c:pt>
                <c:pt idx="317">
                  <c:v>3.5</c:v>
                </c:pt>
                <c:pt idx="318">
                  <c:v>3.80000000000001</c:v>
                </c:pt>
                <c:pt idx="319">
                  <c:v>4.40000000000001</c:v>
                </c:pt>
                <c:pt idx="320">
                  <c:v>4.59999999999999</c:v>
                </c:pt>
                <c:pt idx="321">
                  <c:v>4.80000000000001</c:v>
                </c:pt>
                <c:pt idx="322">
                  <c:v>5.19999999999999</c:v>
                </c:pt>
                <c:pt idx="323">
                  <c:v>5.19999999999999</c:v>
                </c:pt>
                <c:pt idx="324">
                  <c:v>5.19999999999999</c:v>
                </c:pt>
                <c:pt idx="325">
                  <c:v>5</c:v>
                </c:pt>
                <c:pt idx="326">
                  <c:v>4.90000000000001</c:v>
                </c:pt>
                <c:pt idx="327">
                  <c:v>4.69999999999999</c:v>
                </c:pt>
                <c:pt idx="328">
                  <c:v>3.90000000000001</c:v>
                </c:pt>
                <c:pt idx="329">
                  <c:v>3.19999999999999</c:v>
                </c:pt>
                <c:pt idx="330">
                  <c:v>2.5</c:v>
                </c:pt>
                <c:pt idx="331">
                  <c:v>1.5</c:v>
                </c:pt>
                <c:pt idx="332">
                  <c:v>0.400000000000006</c:v>
                </c:pt>
                <c:pt idx="333">
                  <c:v>-0.5</c:v>
                </c:pt>
                <c:pt idx="334">
                  <c:v>-1.09999999999999</c:v>
                </c:pt>
                <c:pt idx="335">
                  <c:v>-1.69999999999999</c:v>
                </c:pt>
                <c:pt idx="336">
                  <c:v>-2.90000000000001</c:v>
                </c:pt>
                <c:pt idx="337">
                  <c:v>-3.90000000000001</c:v>
                </c:pt>
                <c:pt idx="338">
                  <c:v>-4.80000000000001</c:v>
                </c:pt>
                <c:pt idx="339">
                  <c:v>-5.19999999999999</c:v>
                </c:pt>
                <c:pt idx="340">
                  <c:v>-5.5</c:v>
                </c:pt>
                <c:pt idx="341">
                  <c:v>-5.80000000000001</c:v>
                </c:pt>
                <c:pt idx="342">
                  <c:v>-6.09999999999999</c:v>
                </c:pt>
                <c:pt idx="343">
                  <c:v>-6.30000000000001</c:v>
                </c:pt>
                <c:pt idx="344">
                  <c:v>-6.59999999999999</c:v>
                </c:pt>
                <c:pt idx="345">
                  <c:v>-6.69999999999999</c:v>
                </c:pt>
                <c:pt idx="346">
                  <c:v>-6.69999999999999</c:v>
                </c:pt>
                <c:pt idx="347">
                  <c:v>-6.40000000000001</c:v>
                </c:pt>
                <c:pt idx="348">
                  <c:v>-6.09999999999999</c:v>
                </c:pt>
                <c:pt idx="349">
                  <c:v>-5.59999999999999</c:v>
                </c:pt>
                <c:pt idx="350">
                  <c:v>-5.40000000000001</c:v>
                </c:pt>
                <c:pt idx="351">
                  <c:v>-5.09999999999999</c:v>
                </c:pt>
                <c:pt idx="352">
                  <c:v>-4.40000000000001</c:v>
                </c:pt>
                <c:pt idx="353">
                  <c:v>-3.40000000000001</c:v>
                </c:pt>
                <c:pt idx="354">
                  <c:v>-2.5</c:v>
                </c:pt>
                <c:pt idx="355">
                  <c:v>-1.90000000000001</c:v>
                </c:pt>
                <c:pt idx="356">
                  <c:v>-1.09999999999999</c:v>
                </c:pt>
                <c:pt idx="357">
                  <c:v>-0.0999999999999943</c:v>
                </c:pt>
                <c:pt idx="358">
                  <c:v>1.59999999999999</c:v>
                </c:pt>
                <c:pt idx="359">
                  <c:v>2.40000000000001</c:v>
                </c:pt>
                <c:pt idx="360">
                  <c:v>3.19999999999999</c:v>
                </c:pt>
                <c:pt idx="361">
                  <c:v>3.80000000000001</c:v>
                </c:pt>
                <c:pt idx="362">
                  <c:v>4.40000000000001</c:v>
                </c:pt>
                <c:pt idx="363">
                  <c:v>5</c:v>
                </c:pt>
                <c:pt idx="364">
                  <c:v>5.5</c:v>
                </c:pt>
                <c:pt idx="365">
                  <c:v>5.90000000000001</c:v>
                </c:pt>
                <c:pt idx="366">
                  <c:v>6.19999999999999</c:v>
                </c:pt>
                <c:pt idx="367">
                  <c:v>6.40000000000001</c:v>
                </c:pt>
                <c:pt idx="368">
                  <c:v>6.30000000000001</c:v>
                </c:pt>
                <c:pt idx="369">
                  <c:v>6.09999999999999</c:v>
                </c:pt>
                <c:pt idx="370">
                  <c:v>5.90000000000001</c:v>
                </c:pt>
                <c:pt idx="371">
                  <c:v>5.40000000000001</c:v>
                </c:pt>
                <c:pt idx="372">
                  <c:v>4.80000000000001</c:v>
                </c:pt>
                <c:pt idx="373">
                  <c:v>4.19999999999999</c:v>
                </c:pt>
                <c:pt idx="374">
                  <c:v>3.30000000000001</c:v>
                </c:pt>
                <c:pt idx="375">
                  <c:v>2.59999999999999</c:v>
                </c:pt>
                <c:pt idx="376">
                  <c:v>1.59999999999999</c:v>
                </c:pt>
                <c:pt idx="377">
                  <c:v>0.800000000000011</c:v>
                </c:pt>
                <c:pt idx="378">
                  <c:v>-0.0999999999999943</c:v>
                </c:pt>
                <c:pt idx="379">
                  <c:v>-0.699999999999989</c:v>
                </c:pt>
                <c:pt idx="380">
                  <c:v>-1.90000000000001</c:v>
                </c:pt>
                <c:pt idx="381">
                  <c:v>-3.30000000000001</c:v>
                </c:pt>
                <c:pt idx="382">
                  <c:v>-4.5</c:v>
                </c:pt>
                <c:pt idx="383">
                  <c:v>-5.09999999999999</c:v>
                </c:pt>
                <c:pt idx="384">
                  <c:v>-5.19999999999999</c:v>
                </c:pt>
                <c:pt idx="385">
                  <c:v>-5.80000000000001</c:v>
                </c:pt>
                <c:pt idx="386">
                  <c:v>-6.30000000000001</c:v>
                </c:pt>
                <c:pt idx="387">
                  <c:v>-6.90000000000001</c:v>
                </c:pt>
                <c:pt idx="388">
                  <c:v>-6.80000000000001</c:v>
                </c:pt>
                <c:pt idx="389">
                  <c:v>-6.80000000000001</c:v>
                </c:pt>
                <c:pt idx="390">
                  <c:v>-6.69999999999999</c:v>
                </c:pt>
                <c:pt idx="391">
                  <c:v>-6.69999999999999</c:v>
                </c:pt>
                <c:pt idx="392">
                  <c:v>-6.59999999999999</c:v>
                </c:pt>
                <c:pt idx="393">
                  <c:v>-6.30000000000001</c:v>
                </c:pt>
                <c:pt idx="394">
                  <c:v>-5.90000000000001</c:v>
                </c:pt>
                <c:pt idx="395">
                  <c:v>-5.09999999999999</c:v>
                </c:pt>
                <c:pt idx="396">
                  <c:v>-4.69999999999999</c:v>
                </c:pt>
                <c:pt idx="397">
                  <c:v>-3.90000000000001</c:v>
                </c:pt>
                <c:pt idx="398">
                  <c:v>-2.90000000000001</c:v>
                </c:pt>
                <c:pt idx="399">
                  <c:v>-1.30000000000001</c:v>
                </c:pt>
                <c:pt idx="400">
                  <c:v>-0.699999999999989</c:v>
                </c:pt>
                <c:pt idx="401">
                  <c:v>0.0999999999999943</c:v>
                </c:pt>
                <c:pt idx="402">
                  <c:v>1</c:v>
                </c:pt>
                <c:pt idx="403">
                  <c:v>1.90000000000001</c:v>
                </c:pt>
                <c:pt idx="404">
                  <c:v>3</c:v>
                </c:pt>
                <c:pt idx="405">
                  <c:v>4</c:v>
                </c:pt>
                <c:pt idx="406">
                  <c:v>4.69999999999999</c:v>
                </c:pt>
                <c:pt idx="407">
                  <c:v>5.30000000000001</c:v>
                </c:pt>
                <c:pt idx="408">
                  <c:v>6</c:v>
                </c:pt>
                <c:pt idx="409">
                  <c:v>7.40000000000001</c:v>
                </c:pt>
                <c:pt idx="410">
                  <c:v>7.5</c:v>
                </c:pt>
                <c:pt idx="411">
                  <c:v>7.59999999999999</c:v>
                </c:pt>
                <c:pt idx="412">
                  <c:v>7.5</c:v>
                </c:pt>
                <c:pt idx="413">
                  <c:v>7.30000000000001</c:v>
                </c:pt>
                <c:pt idx="414">
                  <c:v>7.19999999999999</c:v>
                </c:pt>
                <c:pt idx="415">
                  <c:v>6.90000000000001</c:v>
                </c:pt>
                <c:pt idx="416">
                  <c:v>6.40000000000001</c:v>
                </c:pt>
                <c:pt idx="417">
                  <c:v>5.40000000000001</c:v>
                </c:pt>
                <c:pt idx="418">
                  <c:v>4.5</c:v>
                </c:pt>
                <c:pt idx="419">
                  <c:v>3.5</c:v>
                </c:pt>
                <c:pt idx="420">
                  <c:v>2.30000000000001</c:v>
                </c:pt>
                <c:pt idx="421">
                  <c:v>1.19999999999999</c:v>
                </c:pt>
                <c:pt idx="422">
                  <c:v>0.400000000000006</c:v>
                </c:pt>
                <c:pt idx="423">
                  <c:v>-0.599999999999994</c:v>
                </c:pt>
                <c:pt idx="424">
                  <c:v>-1.30000000000001</c:v>
                </c:pt>
                <c:pt idx="425">
                  <c:v>-3</c:v>
                </c:pt>
                <c:pt idx="426">
                  <c:v>-4.09999999999999</c:v>
                </c:pt>
                <c:pt idx="427">
                  <c:v>-4.69999999999999</c:v>
                </c:pt>
                <c:pt idx="428">
                  <c:v>-5.19999999999999</c:v>
                </c:pt>
                <c:pt idx="429">
                  <c:v>-5.69999999999999</c:v>
                </c:pt>
                <c:pt idx="430">
                  <c:v>-6.40000000000001</c:v>
                </c:pt>
                <c:pt idx="431">
                  <c:v>-6.80000000000001</c:v>
                </c:pt>
                <c:pt idx="432">
                  <c:v>-6.80000000000001</c:v>
                </c:pt>
                <c:pt idx="433">
                  <c:v>-6.80000000000001</c:v>
                </c:pt>
                <c:pt idx="434">
                  <c:v>-6.80000000000001</c:v>
                </c:pt>
                <c:pt idx="435">
                  <c:v>-6.69999999999999</c:v>
                </c:pt>
                <c:pt idx="436">
                  <c:v>-6.69999999999999</c:v>
                </c:pt>
                <c:pt idx="437">
                  <c:v>-6.59999999999999</c:v>
                </c:pt>
                <c:pt idx="438">
                  <c:v>-6.40000000000001</c:v>
                </c:pt>
                <c:pt idx="439">
                  <c:v>-6</c:v>
                </c:pt>
                <c:pt idx="440">
                  <c:v>-5.09999999999999</c:v>
                </c:pt>
                <c:pt idx="441">
                  <c:v>-4.69999999999999</c:v>
                </c:pt>
                <c:pt idx="442">
                  <c:v>-3.69999999999999</c:v>
                </c:pt>
                <c:pt idx="443">
                  <c:v>-2.80000000000001</c:v>
                </c:pt>
                <c:pt idx="444">
                  <c:v>-1.19999999999999</c:v>
                </c:pt>
                <c:pt idx="445">
                  <c:v>-0.199999999999989</c:v>
                </c:pt>
                <c:pt idx="446">
                  <c:v>0.900000000000006</c:v>
                </c:pt>
                <c:pt idx="447">
                  <c:v>1.90000000000001</c:v>
                </c:pt>
                <c:pt idx="448">
                  <c:v>2.59999999999999</c:v>
                </c:pt>
                <c:pt idx="449">
                  <c:v>3.5</c:v>
                </c:pt>
                <c:pt idx="450">
                  <c:v>4.30000000000001</c:v>
                </c:pt>
                <c:pt idx="451">
                  <c:v>5.5</c:v>
                </c:pt>
                <c:pt idx="452">
                  <c:v>6.09999999999999</c:v>
                </c:pt>
                <c:pt idx="453">
                  <c:v>6.90000000000001</c:v>
                </c:pt>
                <c:pt idx="454">
                  <c:v>7.30000000000001</c:v>
                </c:pt>
                <c:pt idx="455">
                  <c:v>7.59999999999999</c:v>
                </c:pt>
                <c:pt idx="456">
                  <c:v>7.69999999999999</c:v>
                </c:pt>
                <c:pt idx="457">
                  <c:v>7.5</c:v>
                </c:pt>
                <c:pt idx="458">
                  <c:v>7.30000000000001</c:v>
                </c:pt>
                <c:pt idx="459">
                  <c:v>7.09999999999999</c:v>
                </c:pt>
                <c:pt idx="460">
                  <c:v>6.80000000000001</c:v>
                </c:pt>
                <c:pt idx="461">
                  <c:v>6.30000000000001</c:v>
                </c:pt>
                <c:pt idx="462">
                  <c:v>5.30000000000001</c:v>
                </c:pt>
                <c:pt idx="463">
                  <c:v>4.40000000000001</c:v>
                </c:pt>
                <c:pt idx="464">
                  <c:v>3</c:v>
                </c:pt>
                <c:pt idx="465">
                  <c:v>2.09999999999999</c:v>
                </c:pt>
                <c:pt idx="466">
                  <c:v>1.09999999999999</c:v>
                </c:pt>
                <c:pt idx="467">
                  <c:v>0.400000000000006</c:v>
                </c:pt>
                <c:pt idx="468">
                  <c:v>-0.599999999999994</c:v>
                </c:pt>
                <c:pt idx="469">
                  <c:v>-1.80000000000001</c:v>
                </c:pt>
                <c:pt idx="470">
                  <c:v>-3.90000000000001</c:v>
                </c:pt>
                <c:pt idx="471">
                  <c:v>-4.90000000000001</c:v>
                </c:pt>
                <c:pt idx="472">
                  <c:v>-5.5</c:v>
                </c:pt>
                <c:pt idx="473">
                  <c:v>-6.69999999999999</c:v>
                </c:pt>
                <c:pt idx="474">
                  <c:v>-7.30000000000001</c:v>
                </c:pt>
                <c:pt idx="475">
                  <c:v>-7.90000000000001</c:v>
                </c:pt>
                <c:pt idx="476">
                  <c:v>-8.09999999999999</c:v>
                </c:pt>
                <c:pt idx="477">
                  <c:v>-8.19999999999999</c:v>
                </c:pt>
                <c:pt idx="478">
                  <c:v>-8.09999999999999</c:v>
                </c:pt>
                <c:pt idx="479">
                  <c:v>-8.09999999999999</c:v>
                </c:pt>
                <c:pt idx="480">
                  <c:v>-7.80000000000001</c:v>
                </c:pt>
                <c:pt idx="481">
                  <c:v>-7.69999999999999</c:v>
                </c:pt>
                <c:pt idx="482">
                  <c:v>-7.5</c:v>
                </c:pt>
                <c:pt idx="483">
                  <c:v>-7.40000000000001</c:v>
                </c:pt>
                <c:pt idx="484">
                  <c:v>-6.80000000000001</c:v>
                </c:pt>
                <c:pt idx="485">
                  <c:v>-5.80000000000001</c:v>
                </c:pt>
                <c:pt idx="486">
                  <c:v>-5.19999999999999</c:v>
                </c:pt>
                <c:pt idx="487">
                  <c:v>-4.09999999999999</c:v>
                </c:pt>
                <c:pt idx="488">
                  <c:v>-2.59999999999999</c:v>
                </c:pt>
                <c:pt idx="489">
                  <c:v>-1.19999999999999</c:v>
                </c:pt>
                <c:pt idx="490">
                  <c:v>-0.300000000000011</c:v>
                </c:pt>
                <c:pt idx="491">
                  <c:v>0.5</c:v>
                </c:pt>
                <c:pt idx="492">
                  <c:v>1.5</c:v>
                </c:pt>
                <c:pt idx="493">
                  <c:v>2.40000000000001</c:v>
                </c:pt>
                <c:pt idx="494">
                  <c:v>3.59999999999999</c:v>
                </c:pt>
                <c:pt idx="495">
                  <c:v>4.5</c:v>
                </c:pt>
                <c:pt idx="496">
                  <c:v>5.19999999999999</c:v>
                </c:pt>
                <c:pt idx="497">
                  <c:v>6.69999999999999</c:v>
                </c:pt>
                <c:pt idx="498">
                  <c:v>7.30000000000001</c:v>
                </c:pt>
                <c:pt idx="499">
                  <c:v>7.80000000000001</c:v>
                </c:pt>
                <c:pt idx="500">
                  <c:v>8.19999999999999</c:v>
                </c:pt>
                <c:pt idx="501">
                  <c:v>8.40000000000001</c:v>
                </c:pt>
                <c:pt idx="502">
                  <c:v>8.30000000000001</c:v>
                </c:pt>
                <c:pt idx="503">
                  <c:v>8.19999999999999</c:v>
                </c:pt>
                <c:pt idx="504">
                  <c:v>7.90000000000001</c:v>
                </c:pt>
                <c:pt idx="505">
                  <c:v>7.5</c:v>
                </c:pt>
                <c:pt idx="506">
                  <c:v>6.80000000000001</c:v>
                </c:pt>
                <c:pt idx="507">
                  <c:v>5.80000000000001</c:v>
                </c:pt>
                <c:pt idx="508">
                  <c:v>4.5</c:v>
                </c:pt>
                <c:pt idx="509">
                  <c:v>3.40000000000001</c:v>
                </c:pt>
                <c:pt idx="510">
                  <c:v>2.30000000000001</c:v>
                </c:pt>
                <c:pt idx="511">
                  <c:v>1.19999999999999</c:v>
                </c:pt>
                <c:pt idx="512">
                  <c:v>0.400000000000006</c:v>
                </c:pt>
                <c:pt idx="513">
                  <c:v>-1.5</c:v>
                </c:pt>
                <c:pt idx="514">
                  <c:v>-3</c:v>
                </c:pt>
                <c:pt idx="515">
                  <c:v>-4.09999999999999</c:v>
                </c:pt>
                <c:pt idx="516">
                  <c:v>-5.19999999999999</c:v>
                </c:pt>
                <c:pt idx="517">
                  <c:v>-6</c:v>
                </c:pt>
                <c:pt idx="518">
                  <c:v>-6.80000000000001</c:v>
                </c:pt>
                <c:pt idx="519">
                  <c:v>-7.59999999999999</c:v>
                </c:pt>
                <c:pt idx="520">
                  <c:v>-8.09999999999999</c:v>
                </c:pt>
                <c:pt idx="521">
                  <c:v>-8.30000000000001</c:v>
                </c:pt>
                <c:pt idx="522">
                  <c:v>-9</c:v>
                </c:pt>
                <c:pt idx="523">
                  <c:v>-8.69999999999999</c:v>
                </c:pt>
                <c:pt idx="524">
                  <c:v>-8.80000000000001</c:v>
                </c:pt>
                <c:pt idx="525">
                  <c:v>-8.80000000000001</c:v>
                </c:pt>
                <c:pt idx="526">
                  <c:v>-8.59999999999999</c:v>
                </c:pt>
                <c:pt idx="527">
                  <c:v>-8.30000000000001</c:v>
                </c:pt>
                <c:pt idx="528">
                  <c:v>-7.80000000000001</c:v>
                </c:pt>
                <c:pt idx="529">
                  <c:v>-7</c:v>
                </c:pt>
                <c:pt idx="530">
                  <c:v>-6.09999999999999</c:v>
                </c:pt>
                <c:pt idx="531">
                  <c:v>-5.30000000000001</c:v>
                </c:pt>
                <c:pt idx="532">
                  <c:v>-4.40000000000001</c:v>
                </c:pt>
                <c:pt idx="533">
                  <c:v>-3.09999999999999</c:v>
                </c:pt>
                <c:pt idx="534">
                  <c:v>-1.40000000000001</c:v>
                </c:pt>
                <c:pt idx="535">
                  <c:v>-0.699999999999989</c:v>
                </c:pt>
                <c:pt idx="536">
                  <c:v>0.400000000000006</c:v>
                </c:pt>
                <c:pt idx="537">
                  <c:v>1.40000000000001</c:v>
                </c:pt>
                <c:pt idx="538">
                  <c:v>3.09999999999999</c:v>
                </c:pt>
                <c:pt idx="539">
                  <c:v>4.09999999999999</c:v>
                </c:pt>
                <c:pt idx="540">
                  <c:v>5</c:v>
                </c:pt>
                <c:pt idx="541">
                  <c:v>6.19999999999999</c:v>
                </c:pt>
                <c:pt idx="542">
                  <c:v>7.09999999999999</c:v>
                </c:pt>
                <c:pt idx="543">
                  <c:v>7.90000000000001</c:v>
                </c:pt>
                <c:pt idx="544">
                  <c:v>8.59999999999999</c:v>
                </c:pt>
                <c:pt idx="545">
                  <c:v>8.69999999999999</c:v>
                </c:pt>
                <c:pt idx="546">
                  <c:v>8.59999999999999</c:v>
                </c:pt>
                <c:pt idx="547">
                  <c:v>8.5</c:v>
                </c:pt>
                <c:pt idx="548">
                  <c:v>8.40000000000001</c:v>
                </c:pt>
                <c:pt idx="549">
                  <c:v>8</c:v>
                </c:pt>
                <c:pt idx="550">
                  <c:v>7.69999999999999</c:v>
                </c:pt>
                <c:pt idx="551">
                  <c:v>6.59999999999999</c:v>
                </c:pt>
                <c:pt idx="552">
                  <c:v>5.30000000000001</c:v>
                </c:pt>
                <c:pt idx="553">
                  <c:v>4</c:v>
                </c:pt>
                <c:pt idx="554">
                  <c:v>3</c:v>
                </c:pt>
                <c:pt idx="555">
                  <c:v>2.09999999999999</c:v>
                </c:pt>
                <c:pt idx="556">
                  <c:v>0.0999999999999943</c:v>
                </c:pt>
                <c:pt idx="557">
                  <c:v>-1</c:v>
                </c:pt>
                <c:pt idx="558">
                  <c:v>-2.09999999999999</c:v>
                </c:pt>
                <c:pt idx="559">
                  <c:v>-3.5</c:v>
                </c:pt>
                <c:pt idx="560">
                  <c:v>-4.80000000000001</c:v>
                </c:pt>
                <c:pt idx="561">
                  <c:v>-5.59999999999999</c:v>
                </c:pt>
                <c:pt idx="562">
                  <c:v>-6.59999999999999</c:v>
                </c:pt>
                <c:pt idx="563">
                  <c:v>-7.40000000000001</c:v>
                </c:pt>
                <c:pt idx="564">
                  <c:v>-8</c:v>
                </c:pt>
                <c:pt idx="565">
                  <c:v>-8.80000000000001</c:v>
                </c:pt>
                <c:pt idx="566">
                  <c:v>-9</c:v>
                </c:pt>
                <c:pt idx="567">
                  <c:v>-9.19999999999999</c:v>
                </c:pt>
                <c:pt idx="568">
                  <c:v>-9.09999999999999</c:v>
                </c:pt>
                <c:pt idx="569">
                  <c:v>-9</c:v>
                </c:pt>
                <c:pt idx="570">
                  <c:v>-8.69999999999999</c:v>
                </c:pt>
                <c:pt idx="571">
                  <c:v>-8.69999999999999</c:v>
                </c:pt>
                <c:pt idx="572">
                  <c:v>-8.59999999999999</c:v>
                </c:pt>
                <c:pt idx="573">
                  <c:v>-7.69999999999999</c:v>
                </c:pt>
                <c:pt idx="574">
                  <c:v>-7.09999999999999</c:v>
                </c:pt>
                <c:pt idx="575">
                  <c:v>-5.80000000000001</c:v>
                </c:pt>
                <c:pt idx="576">
                  <c:v>-4.80000000000001</c:v>
                </c:pt>
                <c:pt idx="577">
                  <c:v>-3.90000000000001</c:v>
                </c:pt>
                <c:pt idx="578">
                  <c:v>-2.19999999999999</c:v>
                </c:pt>
                <c:pt idx="579">
                  <c:v>-0.800000000000011</c:v>
                </c:pt>
                <c:pt idx="580">
                  <c:v>0.199999999999989</c:v>
                </c:pt>
                <c:pt idx="581">
                  <c:v>1.30000000000001</c:v>
                </c:pt>
                <c:pt idx="582">
                  <c:v>3.30000000000001</c:v>
                </c:pt>
                <c:pt idx="583">
                  <c:v>4.40000000000001</c:v>
                </c:pt>
                <c:pt idx="584">
                  <c:v>5.40000000000001</c:v>
                </c:pt>
                <c:pt idx="585">
                  <c:v>6.5</c:v>
                </c:pt>
                <c:pt idx="586">
                  <c:v>7.59999999999999</c:v>
                </c:pt>
                <c:pt idx="587">
                  <c:v>8.5</c:v>
                </c:pt>
                <c:pt idx="588">
                  <c:v>8.80000000000001</c:v>
                </c:pt>
                <c:pt idx="589">
                  <c:v>9.59999999999999</c:v>
                </c:pt>
                <c:pt idx="590">
                  <c:v>9.59999999999999</c:v>
                </c:pt>
                <c:pt idx="591">
                  <c:v>9.59999999999999</c:v>
                </c:pt>
                <c:pt idx="592">
                  <c:v>9.40000000000001</c:v>
                </c:pt>
                <c:pt idx="593">
                  <c:v>9.19999999999999</c:v>
                </c:pt>
                <c:pt idx="594">
                  <c:v>8.90000000000001</c:v>
                </c:pt>
                <c:pt idx="595">
                  <c:v>8.5</c:v>
                </c:pt>
                <c:pt idx="596">
                  <c:v>7.59999999999999</c:v>
                </c:pt>
                <c:pt idx="597">
                  <c:v>6.40000000000001</c:v>
                </c:pt>
                <c:pt idx="598">
                  <c:v>4.59999999999999</c:v>
                </c:pt>
                <c:pt idx="599">
                  <c:v>3.5</c:v>
                </c:pt>
                <c:pt idx="600">
                  <c:v>2.30000000000001</c:v>
                </c:pt>
                <c:pt idx="601">
                  <c:v>0.400000000000006</c:v>
                </c:pt>
                <c:pt idx="602">
                  <c:v>-0.800000000000011</c:v>
                </c:pt>
                <c:pt idx="603">
                  <c:v>-1.80000000000001</c:v>
                </c:pt>
                <c:pt idx="604">
                  <c:v>-3.59999999999999</c:v>
                </c:pt>
                <c:pt idx="605">
                  <c:v>-4.90000000000001</c:v>
                </c:pt>
                <c:pt idx="606">
                  <c:v>-6.09999999999999</c:v>
                </c:pt>
                <c:pt idx="607">
                  <c:v>-7.09999999999999</c:v>
                </c:pt>
                <c:pt idx="608">
                  <c:v>-7.59999999999999</c:v>
                </c:pt>
                <c:pt idx="609">
                  <c:v>-9.90000000000001</c:v>
                </c:pt>
                <c:pt idx="610">
                  <c:v>-10.1</c:v>
                </c:pt>
                <c:pt idx="611">
                  <c:v>-10.5</c:v>
                </c:pt>
                <c:pt idx="612">
                  <c:v>-11</c:v>
                </c:pt>
                <c:pt idx="613">
                  <c:v>-11.2</c:v>
                </c:pt>
                <c:pt idx="614">
                  <c:v>-11</c:v>
                </c:pt>
                <c:pt idx="615">
                  <c:v>-10.7</c:v>
                </c:pt>
                <c:pt idx="616">
                  <c:v>-10.5</c:v>
                </c:pt>
                <c:pt idx="617">
                  <c:v>-10.3</c:v>
                </c:pt>
                <c:pt idx="618">
                  <c:v>-9.80000000000001</c:v>
                </c:pt>
                <c:pt idx="619">
                  <c:v>-8.59999999999999</c:v>
                </c:pt>
                <c:pt idx="620">
                  <c:v>-7.40000000000001</c:v>
                </c:pt>
                <c:pt idx="621">
                  <c:v>-6.09999999999999</c:v>
                </c:pt>
                <c:pt idx="622">
                  <c:v>-5</c:v>
                </c:pt>
                <c:pt idx="623">
                  <c:v>-3.30000000000001</c:v>
                </c:pt>
                <c:pt idx="624">
                  <c:v>-2</c:v>
                </c:pt>
                <c:pt idx="625">
                  <c:v>-0.800000000000011</c:v>
                </c:pt>
                <c:pt idx="626">
                  <c:v>0.300000000000011</c:v>
                </c:pt>
                <c:pt idx="627">
                  <c:v>2.19999999999999</c:v>
                </c:pt>
                <c:pt idx="628">
                  <c:v>3.59999999999999</c:v>
                </c:pt>
                <c:pt idx="629">
                  <c:v>4.69999999999999</c:v>
                </c:pt>
                <c:pt idx="630">
                  <c:v>6</c:v>
                </c:pt>
                <c:pt idx="631">
                  <c:v>7.09999999999999</c:v>
                </c:pt>
                <c:pt idx="632">
                  <c:v>8.09999999999999</c:v>
                </c:pt>
                <c:pt idx="633">
                  <c:v>8.80000000000001</c:v>
                </c:pt>
                <c:pt idx="634">
                  <c:v>9.30000000000001</c:v>
                </c:pt>
                <c:pt idx="635">
                  <c:v>9.59999999999999</c:v>
                </c:pt>
                <c:pt idx="636">
                  <c:v>9.5</c:v>
                </c:pt>
                <c:pt idx="637">
                  <c:v>9.5</c:v>
                </c:pt>
                <c:pt idx="638">
                  <c:v>9.19999999999999</c:v>
                </c:pt>
                <c:pt idx="639">
                  <c:v>9</c:v>
                </c:pt>
                <c:pt idx="640">
                  <c:v>8.19999999999999</c:v>
                </c:pt>
                <c:pt idx="641">
                  <c:v>7.30000000000001</c:v>
                </c:pt>
                <c:pt idx="642">
                  <c:v>6.40000000000001</c:v>
                </c:pt>
                <c:pt idx="643">
                  <c:v>4.5</c:v>
                </c:pt>
                <c:pt idx="644">
                  <c:v>3.09999999999999</c:v>
                </c:pt>
                <c:pt idx="645">
                  <c:v>1.59999999999999</c:v>
                </c:pt>
                <c:pt idx="646">
                  <c:v>0.0999999999999943</c:v>
                </c:pt>
                <c:pt idx="647">
                  <c:v>-1</c:v>
                </c:pt>
                <c:pt idx="648">
                  <c:v>-2.40000000000001</c:v>
                </c:pt>
                <c:pt idx="649">
                  <c:v>-4</c:v>
                </c:pt>
                <c:pt idx="650">
                  <c:v>-5.19999999999999</c:v>
                </c:pt>
                <c:pt idx="651">
                  <c:v>-6.5</c:v>
                </c:pt>
                <c:pt idx="652">
                  <c:v>-7.40000000000001</c:v>
                </c:pt>
                <c:pt idx="653">
                  <c:v>-8.69999999999999</c:v>
                </c:pt>
                <c:pt idx="654">
                  <c:v>-9.59999999999999</c:v>
                </c:pt>
                <c:pt idx="655">
                  <c:v>-10.7</c:v>
                </c:pt>
                <c:pt idx="656">
                  <c:v>-11.5</c:v>
                </c:pt>
                <c:pt idx="657">
                  <c:v>-11.8</c:v>
                </c:pt>
                <c:pt idx="658">
                  <c:v>-11.9</c:v>
                </c:pt>
                <c:pt idx="659">
                  <c:v>-11.9</c:v>
                </c:pt>
                <c:pt idx="660">
                  <c:v>-11.7</c:v>
                </c:pt>
                <c:pt idx="661">
                  <c:v>-11.5</c:v>
                </c:pt>
                <c:pt idx="662">
                  <c:v>-11</c:v>
                </c:pt>
                <c:pt idx="663">
                  <c:v>-10.3</c:v>
                </c:pt>
                <c:pt idx="664">
                  <c:v>-9.5</c:v>
                </c:pt>
                <c:pt idx="665">
                  <c:v>-8.09999999999999</c:v>
                </c:pt>
                <c:pt idx="666">
                  <c:v>-6.90000000000001</c:v>
                </c:pt>
                <c:pt idx="667">
                  <c:v>-5.30000000000001</c:v>
                </c:pt>
                <c:pt idx="668">
                  <c:v>-3.5</c:v>
                </c:pt>
                <c:pt idx="669">
                  <c:v>-2.19999999999999</c:v>
                </c:pt>
                <c:pt idx="670">
                  <c:v>-0.800000000000011</c:v>
                </c:pt>
                <c:pt idx="671">
                  <c:v>0.199999999999989</c:v>
                </c:pt>
                <c:pt idx="672">
                  <c:v>2.09999999999999</c:v>
                </c:pt>
                <c:pt idx="673">
                  <c:v>3.69999999999999</c:v>
                </c:pt>
                <c:pt idx="674">
                  <c:v>5.30000000000001</c:v>
                </c:pt>
                <c:pt idx="675">
                  <c:v>6.40000000000001</c:v>
                </c:pt>
                <c:pt idx="676">
                  <c:v>7.19999999999999</c:v>
                </c:pt>
                <c:pt idx="677">
                  <c:v>8.19999999999999</c:v>
                </c:pt>
                <c:pt idx="678">
                  <c:v>9</c:v>
                </c:pt>
                <c:pt idx="679">
                  <c:v>9.40000000000001</c:v>
                </c:pt>
                <c:pt idx="680">
                  <c:v>9.69999999999999</c:v>
                </c:pt>
                <c:pt idx="681">
                  <c:v>9.59999999999999</c:v>
                </c:pt>
                <c:pt idx="682">
                  <c:v>9.5</c:v>
                </c:pt>
                <c:pt idx="683">
                  <c:v>9.30000000000001</c:v>
                </c:pt>
                <c:pt idx="684">
                  <c:v>9.09999999999999</c:v>
                </c:pt>
                <c:pt idx="685">
                  <c:v>8.5</c:v>
                </c:pt>
                <c:pt idx="686">
                  <c:v>7.5</c:v>
                </c:pt>
                <c:pt idx="687">
                  <c:v>6.40000000000001</c:v>
                </c:pt>
                <c:pt idx="688">
                  <c:v>5</c:v>
                </c:pt>
                <c:pt idx="689">
                  <c:v>3.59999999999999</c:v>
                </c:pt>
                <c:pt idx="690">
                  <c:v>1.40000000000001</c:v>
                </c:pt>
                <c:pt idx="691">
                  <c:v>0.0999999999999943</c:v>
                </c:pt>
                <c:pt idx="692">
                  <c:v>-1.19999999999999</c:v>
                </c:pt>
                <c:pt idx="693">
                  <c:v>-2.5</c:v>
                </c:pt>
                <c:pt idx="694">
                  <c:v>-4</c:v>
                </c:pt>
                <c:pt idx="695">
                  <c:v>-5.69999999999999</c:v>
                </c:pt>
                <c:pt idx="696">
                  <c:v>-7.09999999999999</c:v>
                </c:pt>
                <c:pt idx="697">
                  <c:v>-8.09999999999999</c:v>
                </c:pt>
                <c:pt idx="698">
                  <c:v>-8.90000000000001</c:v>
                </c:pt>
                <c:pt idx="699">
                  <c:v>-9.90000000000001</c:v>
                </c:pt>
                <c:pt idx="700">
                  <c:v>-10.5</c:v>
                </c:pt>
                <c:pt idx="701">
                  <c:v>-11.3</c:v>
                </c:pt>
                <c:pt idx="702">
                  <c:v>-11.8</c:v>
                </c:pt>
                <c:pt idx="703">
                  <c:v>-11.8</c:v>
                </c:pt>
                <c:pt idx="704">
                  <c:v>-11.8</c:v>
                </c:pt>
                <c:pt idx="705">
                  <c:v>-11.7</c:v>
                </c:pt>
                <c:pt idx="706">
                  <c:v>-11.5</c:v>
                </c:pt>
                <c:pt idx="707">
                  <c:v>-10.7</c:v>
                </c:pt>
                <c:pt idx="708">
                  <c:v>-10</c:v>
                </c:pt>
                <c:pt idx="709">
                  <c:v>-9.19999999999999</c:v>
                </c:pt>
                <c:pt idx="710">
                  <c:v>-7.80000000000001</c:v>
                </c:pt>
                <c:pt idx="711">
                  <c:v>-6.40000000000001</c:v>
                </c:pt>
                <c:pt idx="712">
                  <c:v>-5</c:v>
                </c:pt>
                <c:pt idx="713">
                  <c:v>-3.09999999999999</c:v>
                </c:pt>
                <c:pt idx="714">
                  <c:v>-1.69999999999999</c:v>
                </c:pt>
                <c:pt idx="715">
                  <c:v>-0.300000000000011</c:v>
                </c:pt>
                <c:pt idx="716">
                  <c:v>1.40000000000001</c:v>
                </c:pt>
                <c:pt idx="717">
                  <c:v>2.59999999999999</c:v>
                </c:pt>
                <c:pt idx="718">
                  <c:v>4.30000000000001</c:v>
                </c:pt>
                <c:pt idx="719">
                  <c:v>6</c:v>
                </c:pt>
                <c:pt idx="720">
                  <c:v>7</c:v>
                </c:pt>
                <c:pt idx="721">
                  <c:v>7.90000000000001</c:v>
                </c:pt>
                <c:pt idx="722">
                  <c:v>9</c:v>
                </c:pt>
                <c:pt idx="723">
                  <c:v>9.80000000000001</c:v>
                </c:pt>
                <c:pt idx="724">
                  <c:v>10.3</c:v>
                </c:pt>
                <c:pt idx="725">
                  <c:v>10.5</c:v>
                </c:pt>
                <c:pt idx="726">
                  <c:v>10.7</c:v>
                </c:pt>
                <c:pt idx="727">
                  <c:v>10.4</c:v>
                </c:pt>
                <c:pt idx="728">
                  <c:v>10.2</c:v>
                </c:pt>
                <c:pt idx="729">
                  <c:v>9.90000000000001</c:v>
                </c:pt>
                <c:pt idx="730">
                  <c:v>9.59999999999999</c:v>
                </c:pt>
                <c:pt idx="731">
                  <c:v>8.59999999999999</c:v>
                </c:pt>
                <c:pt idx="732">
                  <c:v>7.30000000000001</c:v>
                </c:pt>
                <c:pt idx="733">
                  <c:v>6.30000000000001</c:v>
                </c:pt>
                <c:pt idx="734">
                  <c:v>4.5</c:v>
                </c:pt>
                <c:pt idx="735">
                  <c:v>2.59999999999999</c:v>
                </c:pt>
                <c:pt idx="736">
                  <c:v>0.599999999999994</c:v>
                </c:pt>
                <c:pt idx="737">
                  <c:v>-0.800000000000011</c:v>
                </c:pt>
                <c:pt idx="738">
                  <c:v>-1.90000000000001</c:v>
                </c:pt>
                <c:pt idx="739">
                  <c:v>-3.69999999999999</c:v>
                </c:pt>
                <c:pt idx="740">
                  <c:v>-5.30000000000001</c:v>
                </c:pt>
                <c:pt idx="741">
                  <c:v>-6.80000000000001</c:v>
                </c:pt>
                <c:pt idx="742">
                  <c:v>-7.69999999999999</c:v>
                </c:pt>
                <c:pt idx="743">
                  <c:v>-8.80000000000001</c:v>
                </c:pt>
                <c:pt idx="744">
                  <c:v>-10.3</c:v>
                </c:pt>
                <c:pt idx="745">
                  <c:v>-11</c:v>
                </c:pt>
                <c:pt idx="746">
                  <c:v>-11.7</c:v>
                </c:pt>
                <c:pt idx="747">
                  <c:v>-12</c:v>
                </c:pt>
                <c:pt idx="748">
                  <c:v>-12.1</c:v>
                </c:pt>
                <c:pt idx="749">
                  <c:v>-12</c:v>
                </c:pt>
                <c:pt idx="750">
                  <c:v>-11.8</c:v>
                </c:pt>
                <c:pt idx="751">
                  <c:v>-11.6</c:v>
                </c:pt>
                <c:pt idx="752">
                  <c:v>-11.1</c:v>
                </c:pt>
                <c:pt idx="753">
                  <c:v>-10.1</c:v>
                </c:pt>
                <c:pt idx="754">
                  <c:v>-9.40000000000001</c:v>
                </c:pt>
                <c:pt idx="755">
                  <c:v>-8.40000000000001</c:v>
                </c:pt>
                <c:pt idx="756">
                  <c:v>-7.09999999999999</c:v>
                </c:pt>
                <c:pt idx="757">
                  <c:v>-5</c:v>
                </c:pt>
                <c:pt idx="758">
                  <c:v>-3.59999999999999</c:v>
                </c:pt>
                <c:pt idx="759">
                  <c:v>-2</c:v>
                </c:pt>
                <c:pt idx="760">
                  <c:v>-0.699999999999989</c:v>
                </c:pt>
                <c:pt idx="761">
                  <c:v>0.800000000000011</c:v>
                </c:pt>
                <c:pt idx="762">
                  <c:v>2.90000000000001</c:v>
                </c:pt>
                <c:pt idx="763">
                  <c:v>4.90000000000001</c:v>
                </c:pt>
                <c:pt idx="764">
                  <c:v>6.5</c:v>
                </c:pt>
                <c:pt idx="765">
                  <c:v>7.40000000000001</c:v>
                </c:pt>
                <c:pt idx="766">
                  <c:v>8.69999999999999</c:v>
                </c:pt>
                <c:pt idx="767">
                  <c:v>9.19999999999999</c:v>
                </c:pt>
                <c:pt idx="768">
                  <c:v>9.59999999999999</c:v>
                </c:pt>
                <c:pt idx="769">
                  <c:v>10</c:v>
                </c:pt>
                <c:pt idx="770">
                  <c:v>10.3</c:v>
                </c:pt>
                <c:pt idx="771">
                  <c:v>10.4</c:v>
                </c:pt>
                <c:pt idx="772">
                  <c:v>10.4</c:v>
                </c:pt>
                <c:pt idx="773">
                  <c:v>10.2</c:v>
                </c:pt>
                <c:pt idx="774">
                  <c:v>9.90000000000001</c:v>
                </c:pt>
                <c:pt idx="775">
                  <c:v>9.40000000000001</c:v>
                </c:pt>
                <c:pt idx="776">
                  <c:v>9</c:v>
                </c:pt>
                <c:pt idx="777">
                  <c:v>7.40000000000001</c:v>
                </c:pt>
                <c:pt idx="778">
                  <c:v>6.40000000000001</c:v>
                </c:pt>
                <c:pt idx="779">
                  <c:v>4.69999999999999</c:v>
                </c:pt>
                <c:pt idx="780">
                  <c:v>2.80000000000001</c:v>
                </c:pt>
                <c:pt idx="781">
                  <c:v>1.09999999999999</c:v>
                </c:pt>
                <c:pt idx="782">
                  <c:v>-0.300000000000011</c:v>
                </c:pt>
                <c:pt idx="783">
                  <c:v>-1.30000000000001</c:v>
                </c:pt>
                <c:pt idx="784">
                  <c:v>-3.59999999999999</c:v>
                </c:pt>
                <c:pt idx="785">
                  <c:v>-5.19999999999999</c:v>
                </c:pt>
                <c:pt idx="786">
                  <c:v>-6.5</c:v>
                </c:pt>
                <c:pt idx="787">
                  <c:v>-7.80000000000001</c:v>
                </c:pt>
                <c:pt idx="788">
                  <c:v>-9.30000000000001</c:v>
                </c:pt>
                <c:pt idx="789">
                  <c:v>-9.90000000000001</c:v>
                </c:pt>
                <c:pt idx="790">
                  <c:v>-11.3</c:v>
                </c:pt>
                <c:pt idx="791">
                  <c:v>-12.2</c:v>
                </c:pt>
                <c:pt idx="792">
                  <c:v>-12.4</c:v>
                </c:pt>
                <c:pt idx="793">
                  <c:v>-12.7</c:v>
                </c:pt>
                <c:pt idx="794">
                  <c:v>-12.7</c:v>
                </c:pt>
                <c:pt idx="795">
                  <c:v>-12.6</c:v>
                </c:pt>
                <c:pt idx="796">
                  <c:v>-12.4</c:v>
                </c:pt>
                <c:pt idx="797">
                  <c:v>-11.8</c:v>
                </c:pt>
                <c:pt idx="798">
                  <c:v>-10.1</c:v>
                </c:pt>
                <c:pt idx="799">
                  <c:v>-9.40000000000001</c:v>
                </c:pt>
                <c:pt idx="800">
                  <c:v>-8.80000000000001</c:v>
                </c:pt>
                <c:pt idx="801">
                  <c:v>-7.40000000000001</c:v>
                </c:pt>
                <c:pt idx="802">
                  <c:v>-5.19999999999999</c:v>
                </c:pt>
                <c:pt idx="803">
                  <c:v>-4.09999999999999</c:v>
                </c:pt>
                <c:pt idx="804">
                  <c:v>-2.19999999999999</c:v>
                </c:pt>
                <c:pt idx="805">
                  <c:v>-0.5</c:v>
                </c:pt>
                <c:pt idx="806">
                  <c:v>0.699999999999989</c:v>
                </c:pt>
                <c:pt idx="807">
                  <c:v>2.90000000000001</c:v>
                </c:pt>
                <c:pt idx="808">
                  <c:v>4.80000000000001</c:v>
                </c:pt>
                <c:pt idx="809">
                  <c:v>6.40000000000001</c:v>
                </c:pt>
                <c:pt idx="810">
                  <c:v>7.40000000000001</c:v>
                </c:pt>
                <c:pt idx="811">
                  <c:v>8.69999999999999</c:v>
                </c:pt>
                <c:pt idx="812">
                  <c:v>9.40000000000001</c:v>
                </c:pt>
                <c:pt idx="813">
                  <c:v>9.80000000000001</c:v>
                </c:pt>
                <c:pt idx="814">
                  <c:v>10.4</c:v>
                </c:pt>
                <c:pt idx="815">
                  <c:v>10.6</c:v>
                </c:pt>
                <c:pt idx="816">
                  <c:v>10.8</c:v>
                </c:pt>
                <c:pt idx="817">
                  <c:v>10.7</c:v>
                </c:pt>
                <c:pt idx="818">
                  <c:v>10.4</c:v>
                </c:pt>
                <c:pt idx="819">
                  <c:v>10.1</c:v>
                </c:pt>
                <c:pt idx="820">
                  <c:v>9.69999999999999</c:v>
                </c:pt>
                <c:pt idx="821">
                  <c:v>9.09999999999999</c:v>
                </c:pt>
                <c:pt idx="822">
                  <c:v>7.80000000000001</c:v>
                </c:pt>
                <c:pt idx="823">
                  <c:v>6.59999999999999</c:v>
                </c:pt>
                <c:pt idx="824">
                  <c:v>5</c:v>
                </c:pt>
                <c:pt idx="825">
                  <c:v>3.09999999999999</c:v>
                </c:pt>
                <c:pt idx="826">
                  <c:v>1.59999999999999</c:v>
                </c:pt>
                <c:pt idx="827">
                  <c:v>-0.0999999999999943</c:v>
                </c:pt>
                <c:pt idx="828">
                  <c:v>-1.40000000000001</c:v>
                </c:pt>
                <c:pt idx="829">
                  <c:v>-3.30000000000001</c:v>
                </c:pt>
                <c:pt idx="830">
                  <c:v>-5</c:v>
                </c:pt>
                <c:pt idx="831">
                  <c:v>-6</c:v>
                </c:pt>
                <c:pt idx="832">
                  <c:v>-7</c:v>
                </c:pt>
                <c:pt idx="833">
                  <c:v>-7.90000000000001</c:v>
                </c:pt>
                <c:pt idx="834">
                  <c:v>-9.19999999999999</c:v>
                </c:pt>
                <c:pt idx="835">
                  <c:v>-9.80000000000001</c:v>
                </c:pt>
                <c:pt idx="836">
                  <c:v>-10.1</c:v>
                </c:pt>
                <c:pt idx="837">
                  <c:v>-10.1</c:v>
                </c:pt>
                <c:pt idx="838">
                  <c:v>-10</c:v>
                </c:pt>
                <c:pt idx="839">
                  <c:v>-9.80000000000001</c:v>
                </c:pt>
                <c:pt idx="840">
                  <c:v>-9.80000000000001</c:v>
                </c:pt>
                <c:pt idx="841">
                  <c:v>-9.69999999999999</c:v>
                </c:pt>
                <c:pt idx="842">
                  <c:v>-9.59999999999999</c:v>
                </c:pt>
                <c:pt idx="843">
                  <c:v>-9.09999999999999</c:v>
                </c:pt>
                <c:pt idx="844">
                  <c:v>-7.69999999999999</c:v>
                </c:pt>
                <c:pt idx="845">
                  <c:v>-7</c:v>
                </c:pt>
                <c:pt idx="846">
                  <c:v>-5.19999999999999</c:v>
                </c:pt>
                <c:pt idx="847">
                  <c:v>-3.69999999999999</c:v>
                </c:pt>
                <c:pt idx="848">
                  <c:v>-2.40000000000001</c:v>
                </c:pt>
                <c:pt idx="849">
                  <c:v>-0.5</c:v>
                </c:pt>
                <c:pt idx="850">
                  <c:v>1</c:v>
                </c:pt>
                <c:pt idx="851">
                  <c:v>2.30000000000001</c:v>
                </c:pt>
                <c:pt idx="852">
                  <c:v>4.40000000000001</c:v>
                </c:pt>
                <c:pt idx="853">
                  <c:v>6.09999999999999</c:v>
                </c:pt>
                <c:pt idx="854">
                  <c:v>7.80000000000001</c:v>
                </c:pt>
                <c:pt idx="855">
                  <c:v>8.80000000000001</c:v>
                </c:pt>
                <c:pt idx="856">
                  <c:v>10.1</c:v>
                </c:pt>
                <c:pt idx="857">
                  <c:v>10.8</c:v>
                </c:pt>
                <c:pt idx="858">
                  <c:v>12.6</c:v>
                </c:pt>
                <c:pt idx="859">
                  <c:v>13</c:v>
                </c:pt>
                <c:pt idx="860">
                  <c:v>13.4</c:v>
                </c:pt>
                <c:pt idx="861">
                  <c:v>13.6</c:v>
                </c:pt>
                <c:pt idx="862">
                  <c:v>13.4</c:v>
                </c:pt>
                <c:pt idx="863">
                  <c:v>13.2</c:v>
                </c:pt>
                <c:pt idx="864">
                  <c:v>13</c:v>
                </c:pt>
                <c:pt idx="865">
                  <c:v>12.8</c:v>
                </c:pt>
                <c:pt idx="866">
                  <c:v>12.2</c:v>
                </c:pt>
                <c:pt idx="867">
                  <c:v>9.59999999999999</c:v>
                </c:pt>
                <c:pt idx="868">
                  <c:v>8.5</c:v>
                </c:pt>
                <c:pt idx="869">
                  <c:v>7.30000000000001</c:v>
                </c:pt>
                <c:pt idx="870">
                  <c:v>5.30000000000001</c:v>
                </c:pt>
                <c:pt idx="871">
                  <c:v>3.09999999999999</c:v>
                </c:pt>
                <c:pt idx="872">
                  <c:v>1.80000000000001</c:v>
                </c:pt>
                <c:pt idx="873">
                  <c:v>0.300000000000011</c:v>
                </c:pt>
                <c:pt idx="874">
                  <c:v>-1.30000000000001</c:v>
                </c:pt>
                <c:pt idx="875">
                  <c:v>-3.30000000000001</c:v>
                </c:pt>
                <c:pt idx="876">
                  <c:v>-4.19999999999999</c:v>
                </c:pt>
                <c:pt idx="877">
                  <c:v>-5.19999999999999</c:v>
                </c:pt>
                <c:pt idx="878">
                  <c:v>-5.90000000000001</c:v>
                </c:pt>
                <c:pt idx="879">
                  <c:v>-7.59999999999999</c:v>
                </c:pt>
                <c:pt idx="880">
                  <c:v>-8.09999999999999</c:v>
                </c:pt>
                <c:pt idx="881">
                  <c:v>-8.40000000000001</c:v>
                </c:pt>
                <c:pt idx="882">
                  <c:v>-9</c:v>
                </c:pt>
                <c:pt idx="883">
                  <c:v>-9.09999999999999</c:v>
                </c:pt>
                <c:pt idx="884">
                  <c:v>-8.90000000000001</c:v>
                </c:pt>
                <c:pt idx="885">
                  <c:v>-8.69999999999999</c:v>
                </c:pt>
                <c:pt idx="886">
                  <c:v>-8.69999999999999</c:v>
                </c:pt>
                <c:pt idx="887">
                  <c:v>-8.40000000000001</c:v>
                </c:pt>
                <c:pt idx="888">
                  <c:v>-8.40000000000001</c:v>
                </c:pt>
                <c:pt idx="889">
                  <c:v>-7.40000000000001</c:v>
                </c:pt>
                <c:pt idx="890">
                  <c:v>-6.59999999999999</c:v>
                </c:pt>
                <c:pt idx="891">
                  <c:v>-5.40000000000001</c:v>
                </c:pt>
                <c:pt idx="892">
                  <c:v>-3.5</c:v>
                </c:pt>
                <c:pt idx="893">
                  <c:v>-2.40000000000001</c:v>
                </c:pt>
                <c:pt idx="894">
                  <c:v>-0.5</c:v>
                </c:pt>
                <c:pt idx="895">
                  <c:v>1.09999999999999</c:v>
                </c:pt>
                <c:pt idx="896">
                  <c:v>2.5</c:v>
                </c:pt>
                <c:pt idx="897">
                  <c:v>4.5</c:v>
                </c:pt>
                <c:pt idx="898">
                  <c:v>6.80000000000001</c:v>
                </c:pt>
                <c:pt idx="899">
                  <c:v>8.40000000000001</c:v>
                </c:pt>
                <c:pt idx="900">
                  <c:v>9.30000000000001</c:v>
                </c:pt>
                <c:pt idx="901">
                  <c:v>10.2</c:v>
                </c:pt>
                <c:pt idx="902">
                  <c:v>11</c:v>
                </c:pt>
                <c:pt idx="903">
                  <c:v>13.3</c:v>
                </c:pt>
                <c:pt idx="904">
                  <c:v>13.7</c:v>
                </c:pt>
                <c:pt idx="905">
                  <c:v>13.9</c:v>
                </c:pt>
                <c:pt idx="906">
                  <c:v>14.3</c:v>
                </c:pt>
                <c:pt idx="907">
                  <c:v>14.2</c:v>
                </c:pt>
                <c:pt idx="908">
                  <c:v>14.2</c:v>
                </c:pt>
                <c:pt idx="909">
                  <c:v>14</c:v>
                </c:pt>
                <c:pt idx="910">
                  <c:v>13.9</c:v>
                </c:pt>
                <c:pt idx="911">
                  <c:v>13.3</c:v>
                </c:pt>
                <c:pt idx="912">
                  <c:v>12.4</c:v>
                </c:pt>
                <c:pt idx="913">
                  <c:v>11</c:v>
                </c:pt>
                <c:pt idx="914">
                  <c:v>9.59999999999999</c:v>
                </c:pt>
                <c:pt idx="915">
                  <c:v>8</c:v>
                </c:pt>
                <c:pt idx="916">
                  <c:v>5.19999999999999</c:v>
                </c:pt>
                <c:pt idx="917">
                  <c:v>4</c:v>
                </c:pt>
                <c:pt idx="918">
                  <c:v>2.40000000000001</c:v>
                </c:pt>
                <c:pt idx="919">
                  <c:v>1.09999999999999</c:v>
                </c:pt>
                <c:pt idx="920">
                  <c:v>-0.800000000000011</c:v>
                </c:pt>
                <c:pt idx="921">
                  <c:v>-3</c:v>
                </c:pt>
                <c:pt idx="922">
                  <c:v>-4.09999999999999</c:v>
                </c:pt>
                <c:pt idx="923">
                  <c:v>-4.90000000000001</c:v>
                </c:pt>
                <c:pt idx="924">
                  <c:v>-6.09999999999999</c:v>
                </c:pt>
                <c:pt idx="925">
                  <c:v>-6.59999999999999</c:v>
                </c:pt>
                <c:pt idx="926">
                  <c:v>-7.69999999999999</c:v>
                </c:pt>
                <c:pt idx="927">
                  <c:v>-7.90000000000001</c:v>
                </c:pt>
                <c:pt idx="928">
                  <c:v>-8.09999999999999</c:v>
                </c:pt>
                <c:pt idx="929">
                  <c:v>-8.09999999999999</c:v>
                </c:pt>
                <c:pt idx="930">
                  <c:v>-7.90000000000001</c:v>
                </c:pt>
                <c:pt idx="931">
                  <c:v>-7.69999999999999</c:v>
                </c:pt>
                <c:pt idx="932">
                  <c:v>-7.5</c:v>
                </c:pt>
                <c:pt idx="933">
                  <c:v>-7.30000000000001</c:v>
                </c:pt>
                <c:pt idx="934">
                  <c:v>-6.40000000000001</c:v>
                </c:pt>
                <c:pt idx="935">
                  <c:v>-4.69999999999999</c:v>
                </c:pt>
                <c:pt idx="936">
                  <c:v>-3.69999999999999</c:v>
                </c:pt>
                <c:pt idx="937">
                  <c:v>-2.30000000000001</c:v>
                </c:pt>
                <c:pt idx="938">
                  <c:v>-0.199999999999989</c:v>
                </c:pt>
                <c:pt idx="939">
                  <c:v>2.09999999999999</c:v>
                </c:pt>
                <c:pt idx="940">
                  <c:v>3.5</c:v>
                </c:pt>
                <c:pt idx="941">
                  <c:v>5.40000000000001</c:v>
                </c:pt>
                <c:pt idx="942">
                  <c:v>5.69999999999999</c:v>
                </c:pt>
                <c:pt idx="943">
                  <c:v>9.59999999999999</c:v>
                </c:pt>
                <c:pt idx="944">
                  <c:v>9.69999999999999</c:v>
                </c:pt>
                <c:pt idx="945">
                  <c:v>10.4</c:v>
                </c:pt>
                <c:pt idx="946">
                  <c:v>12.1</c:v>
                </c:pt>
                <c:pt idx="947">
                  <c:v>13</c:v>
                </c:pt>
                <c:pt idx="948">
                  <c:v>13.6</c:v>
                </c:pt>
                <c:pt idx="949">
                  <c:v>13.9</c:v>
                </c:pt>
                <c:pt idx="950">
                  <c:v>14.6</c:v>
                </c:pt>
                <c:pt idx="951">
                  <c:v>14.5</c:v>
                </c:pt>
                <c:pt idx="952">
                  <c:v>14.4</c:v>
                </c:pt>
                <c:pt idx="953">
                  <c:v>14.4</c:v>
                </c:pt>
                <c:pt idx="954">
                  <c:v>14.3</c:v>
                </c:pt>
                <c:pt idx="955">
                  <c:v>13.9</c:v>
                </c:pt>
                <c:pt idx="956">
                  <c:v>13.8</c:v>
                </c:pt>
                <c:pt idx="957">
                  <c:v>13.4</c:v>
                </c:pt>
                <c:pt idx="958">
                  <c:v>12.3</c:v>
                </c:pt>
                <c:pt idx="959">
                  <c:v>10.5</c:v>
                </c:pt>
                <c:pt idx="960">
                  <c:v>9.19999999999999</c:v>
                </c:pt>
                <c:pt idx="961">
                  <c:v>7</c:v>
                </c:pt>
                <c:pt idx="962">
                  <c:v>5.40000000000001</c:v>
                </c:pt>
                <c:pt idx="963">
                  <c:v>3.30000000000001</c:v>
                </c:pt>
                <c:pt idx="964">
                  <c:v>1.90000000000001</c:v>
                </c:pt>
                <c:pt idx="965">
                  <c:v>0.199999999999989</c:v>
                </c:pt>
                <c:pt idx="966">
                  <c:v>-1.90000000000001</c:v>
                </c:pt>
                <c:pt idx="967">
                  <c:v>-3.5</c:v>
                </c:pt>
                <c:pt idx="968">
                  <c:v>-4.40000000000001</c:v>
                </c:pt>
                <c:pt idx="969">
                  <c:v>-5.69999999999999</c:v>
                </c:pt>
                <c:pt idx="970">
                  <c:v>-6.59999999999999</c:v>
                </c:pt>
                <c:pt idx="971">
                  <c:v>-7.40000000000001</c:v>
                </c:pt>
                <c:pt idx="972">
                  <c:v>-8</c:v>
                </c:pt>
                <c:pt idx="973">
                  <c:v>-8.09999999999999</c:v>
                </c:pt>
                <c:pt idx="974">
                  <c:v>-8.09999999999999</c:v>
                </c:pt>
                <c:pt idx="975">
                  <c:v>-8</c:v>
                </c:pt>
                <c:pt idx="976">
                  <c:v>-7.80000000000001</c:v>
                </c:pt>
                <c:pt idx="977">
                  <c:v>-7.59999999999999</c:v>
                </c:pt>
                <c:pt idx="978">
                  <c:v>-7.5</c:v>
                </c:pt>
                <c:pt idx="979">
                  <c:v>-7.09999999999999</c:v>
                </c:pt>
                <c:pt idx="980">
                  <c:v>-5.40000000000001</c:v>
                </c:pt>
                <c:pt idx="981">
                  <c:v>-3.90000000000001</c:v>
                </c:pt>
                <c:pt idx="982">
                  <c:v>-2.30000000000001</c:v>
                </c:pt>
                <c:pt idx="983">
                  <c:v>-0.400000000000006</c:v>
                </c:pt>
                <c:pt idx="984">
                  <c:v>0.800000000000011</c:v>
                </c:pt>
                <c:pt idx="985">
                  <c:v>3.09999999999999</c:v>
                </c:pt>
                <c:pt idx="986">
                  <c:v>4.19999999999999</c:v>
                </c:pt>
                <c:pt idx="987">
                  <c:v>4.69999999999999</c:v>
                </c:pt>
                <c:pt idx="988">
                  <c:v>8.40000000000001</c:v>
                </c:pt>
                <c:pt idx="989">
                  <c:v>9.80000000000001</c:v>
                </c:pt>
                <c:pt idx="990">
                  <c:v>12.1</c:v>
                </c:pt>
                <c:pt idx="991">
                  <c:v>12.8</c:v>
                </c:pt>
                <c:pt idx="992">
                  <c:v>13.2</c:v>
                </c:pt>
                <c:pt idx="993">
                  <c:v>13.7</c:v>
                </c:pt>
                <c:pt idx="994">
                  <c:v>13.6</c:v>
                </c:pt>
                <c:pt idx="995">
                  <c:v>13.6</c:v>
                </c:pt>
                <c:pt idx="996">
                  <c:v>13.5</c:v>
                </c:pt>
                <c:pt idx="997">
                  <c:v>13.4</c:v>
                </c:pt>
                <c:pt idx="998">
                  <c:v>13.3</c:v>
                </c:pt>
                <c:pt idx="999">
                  <c:v>13.2</c:v>
                </c:pt>
                <c:pt idx="1000">
                  <c:v>13.1</c:v>
                </c:pt>
                <c:pt idx="1001">
                  <c:v>12.9</c:v>
                </c:pt>
                <c:pt idx="1002">
                  <c:v>12.7</c:v>
                </c:pt>
                <c:pt idx="1003">
                  <c:v>11.9</c:v>
                </c:pt>
                <c:pt idx="1004">
                  <c:v>9.40000000000001</c:v>
                </c:pt>
                <c:pt idx="1005">
                  <c:v>7.59999999999999</c:v>
                </c:pt>
                <c:pt idx="1006">
                  <c:v>5.90000000000001</c:v>
                </c:pt>
                <c:pt idx="1007">
                  <c:v>3.69999999999999</c:v>
                </c:pt>
                <c:pt idx="1008">
                  <c:v>2.80000000000001</c:v>
                </c:pt>
                <c:pt idx="1009">
                  <c:v>0.599999999999994</c:v>
                </c:pt>
                <c:pt idx="1010">
                  <c:v>-1.09999999999999</c:v>
                </c:pt>
                <c:pt idx="1011">
                  <c:v>-2.80000000000001</c:v>
                </c:pt>
                <c:pt idx="1012">
                  <c:v>-4.19999999999999</c:v>
                </c:pt>
                <c:pt idx="1013">
                  <c:v>-4.90000000000001</c:v>
                </c:pt>
                <c:pt idx="1014">
                  <c:v>-5.80000000000001</c:v>
                </c:pt>
                <c:pt idx="1015">
                  <c:v>-6.5</c:v>
                </c:pt>
                <c:pt idx="1016">
                  <c:v>-7</c:v>
                </c:pt>
                <c:pt idx="1017">
                  <c:v>-7.40000000000001</c:v>
                </c:pt>
                <c:pt idx="1018">
                  <c:v>-7.59999999999999</c:v>
                </c:pt>
                <c:pt idx="1019">
                  <c:v>-7.59999999999999</c:v>
                </c:pt>
                <c:pt idx="1020">
                  <c:v>-7.5</c:v>
                </c:pt>
                <c:pt idx="1021">
                  <c:v>-7.5</c:v>
                </c:pt>
                <c:pt idx="1022">
                  <c:v>-7.19999999999999</c:v>
                </c:pt>
                <c:pt idx="1023">
                  <c:v>-6.59999999999999</c:v>
                </c:pt>
                <c:pt idx="1024">
                  <c:v>-5.5</c:v>
                </c:pt>
                <c:pt idx="1025">
                  <c:v>-4.40000000000001</c:v>
                </c:pt>
                <c:pt idx="1026">
                  <c:v>-3.40000000000001</c:v>
                </c:pt>
                <c:pt idx="1027">
                  <c:v>-1.40000000000001</c:v>
                </c:pt>
                <c:pt idx="1028">
                  <c:v>0.300000000000011</c:v>
                </c:pt>
                <c:pt idx="1029">
                  <c:v>2.09999999999999</c:v>
                </c:pt>
                <c:pt idx="1030">
                  <c:v>3.59999999999999</c:v>
                </c:pt>
                <c:pt idx="1031">
                  <c:v>5.09999999999999</c:v>
                </c:pt>
                <c:pt idx="1032">
                  <c:v>7.19999999999999</c:v>
                </c:pt>
                <c:pt idx="1033">
                  <c:v>9.09999999999999</c:v>
                </c:pt>
                <c:pt idx="1034">
                  <c:v>10.8</c:v>
                </c:pt>
                <c:pt idx="1035">
                  <c:v>12.1</c:v>
                </c:pt>
                <c:pt idx="1036">
                  <c:v>12.9</c:v>
                </c:pt>
                <c:pt idx="1037">
                  <c:v>13.7</c:v>
                </c:pt>
                <c:pt idx="1038">
                  <c:v>14.2</c:v>
                </c:pt>
                <c:pt idx="1039">
                  <c:v>14.5</c:v>
                </c:pt>
                <c:pt idx="1040">
                  <c:v>14.4</c:v>
                </c:pt>
                <c:pt idx="1041">
                  <c:v>14.4</c:v>
                </c:pt>
                <c:pt idx="1042">
                  <c:v>14.2</c:v>
                </c:pt>
                <c:pt idx="1043">
                  <c:v>14.3</c:v>
                </c:pt>
                <c:pt idx="1044">
                  <c:v>14</c:v>
                </c:pt>
                <c:pt idx="1045">
                  <c:v>13.4</c:v>
                </c:pt>
                <c:pt idx="1046">
                  <c:v>12.8</c:v>
                </c:pt>
                <c:pt idx="1047">
                  <c:v>11.4</c:v>
                </c:pt>
                <c:pt idx="1048">
                  <c:v>9.59999999999999</c:v>
                </c:pt>
                <c:pt idx="1049">
                  <c:v>8</c:v>
                </c:pt>
                <c:pt idx="1050">
                  <c:v>6.40000000000001</c:v>
                </c:pt>
                <c:pt idx="1051">
                  <c:v>4.5</c:v>
                </c:pt>
                <c:pt idx="1052">
                  <c:v>3.09999999999999</c:v>
                </c:pt>
                <c:pt idx="1053">
                  <c:v>0.900000000000006</c:v>
                </c:pt>
                <c:pt idx="1054">
                  <c:v>-0.800000000000011</c:v>
                </c:pt>
                <c:pt idx="1055">
                  <c:v>-2.19999999999999</c:v>
                </c:pt>
                <c:pt idx="1056">
                  <c:v>-3.40000000000001</c:v>
                </c:pt>
                <c:pt idx="1057">
                  <c:v>-4.40000000000001</c:v>
                </c:pt>
                <c:pt idx="1058">
                  <c:v>-5.30000000000001</c:v>
                </c:pt>
                <c:pt idx="1059">
                  <c:v>-6.19999999999999</c:v>
                </c:pt>
                <c:pt idx="1060">
                  <c:v>-6.40000000000001</c:v>
                </c:pt>
                <c:pt idx="1061">
                  <c:v>-7.09999999999999</c:v>
                </c:pt>
                <c:pt idx="1062">
                  <c:v>-7</c:v>
                </c:pt>
                <c:pt idx="1063">
                  <c:v>-6.90000000000001</c:v>
                </c:pt>
                <c:pt idx="1064">
                  <c:v>-6.90000000000001</c:v>
                </c:pt>
                <c:pt idx="1065">
                  <c:v>-6.69999999999999</c:v>
                </c:pt>
                <c:pt idx="1066">
                  <c:v>-6.40000000000001</c:v>
                </c:pt>
                <c:pt idx="1067">
                  <c:v>-6</c:v>
                </c:pt>
                <c:pt idx="1068">
                  <c:v>-4.80000000000001</c:v>
                </c:pt>
                <c:pt idx="1069">
                  <c:v>-4</c:v>
                </c:pt>
                <c:pt idx="1070">
                  <c:v>-3</c:v>
                </c:pt>
                <c:pt idx="1071">
                  <c:v>-1</c:v>
                </c:pt>
                <c:pt idx="1072">
                  <c:v>0.800000000000011</c:v>
                </c:pt>
                <c:pt idx="1073">
                  <c:v>2.30000000000001</c:v>
                </c:pt>
                <c:pt idx="1074">
                  <c:v>4.19999999999999</c:v>
                </c:pt>
                <c:pt idx="1075">
                  <c:v>5.59999999999999</c:v>
                </c:pt>
                <c:pt idx="1076">
                  <c:v>7.40000000000001</c:v>
                </c:pt>
                <c:pt idx="1077">
                  <c:v>8.80000000000001</c:v>
                </c:pt>
                <c:pt idx="1078">
                  <c:v>10.5</c:v>
                </c:pt>
                <c:pt idx="1079">
                  <c:v>11.9</c:v>
                </c:pt>
                <c:pt idx="1080">
                  <c:v>13.1</c:v>
                </c:pt>
                <c:pt idx="1081">
                  <c:v>13.8</c:v>
                </c:pt>
                <c:pt idx="1082">
                  <c:v>14.6</c:v>
                </c:pt>
                <c:pt idx="1083">
                  <c:v>15</c:v>
                </c:pt>
                <c:pt idx="1084">
                  <c:v>15.5</c:v>
                </c:pt>
                <c:pt idx="1085">
                  <c:v>15.3</c:v>
                </c:pt>
                <c:pt idx="1086">
                  <c:v>15.3</c:v>
                </c:pt>
                <c:pt idx="1087">
                  <c:v>14.9</c:v>
                </c:pt>
                <c:pt idx="1088">
                  <c:v>14.8</c:v>
                </c:pt>
                <c:pt idx="1089">
                  <c:v>14.2</c:v>
                </c:pt>
                <c:pt idx="1090">
                  <c:v>13.1</c:v>
                </c:pt>
                <c:pt idx="1091">
                  <c:v>11.9</c:v>
                </c:pt>
                <c:pt idx="1092">
                  <c:v>10.3</c:v>
                </c:pt>
                <c:pt idx="1093">
                  <c:v>8.90000000000001</c:v>
                </c:pt>
                <c:pt idx="1094">
                  <c:v>7.69999999999999</c:v>
                </c:pt>
                <c:pt idx="1095">
                  <c:v>5.59999999999999</c:v>
                </c:pt>
                <c:pt idx="1096">
                  <c:v>4</c:v>
                </c:pt>
                <c:pt idx="1097">
                  <c:v>2.5</c:v>
                </c:pt>
                <c:pt idx="1098">
                  <c:v>0.5</c:v>
                </c:pt>
                <c:pt idx="1099">
                  <c:v>-0.900000000000006</c:v>
                </c:pt>
                <c:pt idx="1100">
                  <c:v>-2.40000000000001</c:v>
                </c:pt>
                <c:pt idx="1101">
                  <c:v>-3.30000000000001</c:v>
                </c:pt>
                <c:pt idx="1102">
                  <c:v>-4.30000000000001</c:v>
                </c:pt>
                <c:pt idx="1103">
                  <c:v>-5.30000000000001</c:v>
                </c:pt>
                <c:pt idx="1104">
                  <c:v>-5.90000000000001</c:v>
                </c:pt>
                <c:pt idx="1105">
                  <c:v>-6.09999999999999</c:v>
                </c:pt>
                <c:pt idx="1106">
                  <c:v>-6.19999999999999</c:v>
                </c:pt>
                <c:pt idx="1107">
                  <c:v>-6.19999999999999</c:v>
                </c:pt>
                <c:pt idx="1108">
                  <c:v>-5.90000000000001</c:v>
                </c:pt>
                <c:pt idx="1109">
                  <c:v>-5.80000000000001</c:v>
                </c:pt>
                <c:pt idx="1110">
                  <c:v>-5.5</c:v>
                </c:pt>
                <c:pt idx="1111">
                  <c:v>-5.09999999999999</c:v>
                </c:pt>
                <c:pt idx="1112">
                  <c:v>-4.30000000000001</c:v>
                </c:pt>
                <c:pt idx="1113">
                  <c:v>-3.5</c:v>
                </c:pt>
                <c:pt idx="1114">
                  <c:v>-2.69999999999999</c:v>
                </c:pt>
                <c:pt idx="1115">
                  <c:v>-1.30000000000001</c:v>
                </c:pt>
                <c:pt idx="1116">
                  <c:v>0.5</c:v>
                </c:pt>
                <c:pt idx="1117">
                  <c:v>1.69999999999999</c:v>
                </c:pt>
                <c:pt idx="1118">
                  <c:v>3.5</c:v>
                </c:pt>
                <c:pt idx="1119">
                  <c:v>4.90000000000001</c:v>
                </c:pt>
                <c:pt idx="1120">
                  <c:v>6.69999999999999</c:v>
                </c:pt>
                <c:pt idx="1121">
                  <c:v>8.19999999999999</c:v>
                </c:pt>
                <c:pt idx="1122">
                  <c:v>9.19999999999999</c:v>
                </c:pt>
                <c:pt idx="1123">
                  <c:v>10.6</c:v>
                </c:pt>
                <c:pt idx="1124">
                  <c:v>11.5</c:v>
                </c:pt>
                <c:pt idx="1125">
                  <c:v>12.7</c:v>
                </c:pt>
                <c:pt idx="1126">
                  <c:v>13</c:v>
                </c:pt>
                <c:pt idx="1127">
                  <c:v>13.4</c:v>
                </c:pt>
                <c:pt idx="1128">
                  <c:v>13.7</c:v>
                </c:pt>
                <c:pt idx="1129">
                  <c:v>13.6</c:v>
                </c:pt>
                <c:pt idx="1130">
                  <c:v>13.4</c:v>
                </c:pt>
                <c:pt idx="1131">
                  <c:v>13.3</c:v>
                </c:pt>
                <c:pt idx="1132">
                  <c:v>13.1</c:v>
                </c:pt>
                <c:pt idx="1133">
                  <c:v>12.7</c:v>
                </c:pt>
                <c:pt idx="1134">
                  <c:v>11.4</c:v>
                </c:pt>
                <c:pt idx="1135">
                  <c:v>10.3</c:v>
                </c:pt>
                <c:pt idx="1136">
                  <c:v>9</c:v>
                </c:pt>
                <c:pt idx="1137">
                  <c:v>7.90000000000001</c:v>
                </c:pt>
                <c:pt idx="1138">
                  <c:v>6.40000000000001</c:v>
                </c:pt>
                <c:pt idx="1139">
                  <c:v>4.59999999999999</c:v>
                </c:pt>
                <c:pt idx="1140">
                  <c:v>3.19999999999999</c:v>
                </c:pt>
                <c:pt idx="1141">
                  <c:v>1.80000000000001</c:v>
                </c:pt>
                <c:pt idx="1142">
                  <c:v>0.300000000000011</c:v>
                </c:pt>
                <c:pt idx="1143">
                  <c:v>-1.09999999999999</c:v>
                </c:pt>
                <c:pt idx="1144">
                  <c:v>-2.59999999999999</c:v>
                </c:pt>
                <c:pt idx="1145">
                  <c:v>-3.5</c:v>
                </c:pt>
                <c:pt idx="1146">
                  <c:v>-4.09999999999999</c:v>
                </c:pt>
                <c:pt idx="1147">
                  <c:v>-4.59999999999999</c:v>
                </c:pt>
                <c:pt idx="1148">
                  <c:v>-5.40000000000001</c:v>
                </c:pt>
                <c:pt idx="1149">
                  <c:v>-5.80000000000001</c:v>
                </c:pt>
                <c:pt idx="1150">
                  <c:v>-6</c:v>
                </c:pt>
                <c:pt idx="1151">
                  <c:v>-5.90000000000001</c:v>
                </c:pt>
                <c:pt idx="1152">
                  <c:v>-5.80000000000001</c:v>
                </c:pt>
                <c:pt idx="1153">
                  <c:v>-5.80000000000001</c:v>
                </c:pt>
                <c:pt idx="1154">
                  <c:v>-5.59999999999999</c:v>
                </c:pt>
                <c:pt idx="1155">
                  <c:v>-5.09999999999999</c:v>
                </c:pt>
                <c:pt idx="1156">
                  <c:v>-4</c:v>
                </c:pt>
                <c:pt idx="1157">
                  <c:v>-3.30000000000001</c:v>
                </c:pt>
                <c:pt idx="1158">
                  <c:v>-2.5</c:v>
                </c:pt>
                <c:pt idx="1159">
                  <c:v>-0.900000000000006</c:v>
                </c:pt>
                <c:pt idx="1160">
                  <c:v>0.599999999999994</c:v>
                </c:pt>
                <c:pt idx="1161">
                  <c:v>2.09999999999999</c:v>
                </c:pt>
                <c:pt idx="1162">
                  <c:v>3.40000000000001</c:v>
                </c:pt>
                <c:pt idx="1163">
                  <c:v>4.59999999999999</c:v>
                </c:pt>
                <c:pt idx="1164">
                  <c:v>6.59999999999999</c:v>
                </c:pt>
                <c:pt idx="1165">
                  <c:v>7.90000000000001</c:v>
                </c:pt>
                <c:pt idx="1166">
                  <c:v>9.19999999999999</c:v>
                </c:pt>
                <c:pt idx="1167">
                  <c:v>10.3</c:v>
                </c:pt>
                <c:pt idx="1168">
                  <c:v>11.2</c:v>
                </c:pt>
                <c:pt idx="1169">
                  <c:v>12.1</c:v>
                </c:pt>
                <c:pt idx="1170">
                  <c:v>12.8</c:v>
                </c:pt>
                <c:pt idx="1171">
                  <c:v>13.2</c:v>
                </c:pt>
                <c:pt idx="1172">
                  <c:v>13.5</c:v>
                </c:pt>
                <c:pt idx="1173">
                  <c:v>13.4</c:v>
                </c:pt>
                <c:pt idx="1174">
                  <c:v>13.2</c:v>
                </c:pt>
                <c:pt idx="1175">
                  <c:v>13.2</c:v>
                </c:pt>
                <c:pt idx="1176">
                  <c:v>12.9</c:v>
                </c:pt>
                <c:pt idx="1177">
                  <c:v>12.6</c:v>
                </c:pt>
                <c:pt idx="1178">
                  <c:v>11.5</c:v>
                </c:pt>
                <c:pt idx="1179">
                  <c:v>10.4</c:v>
                </c:pt>
                <c:pt idx="1180">
                  <c:v>9.19999999999999</c:v>
                </c:pt>
                <c:pt idx="1181">
                  <c:v>7.90000000000001</c:v>
                </c:pt>
                <c:pt idx="1182">
                  <c:v>6.69999999999999</c:v>
                </c:pt>
                <c:pt idx="1183">
                  <c:v>4.90000000000001</c:v>
                </c:pt>
                <c:pt idx="1184">
                  <c:v>3.5</c:v>
                </c:pt>
                <c:pt idx="1185">
                  <c:v>2.5</c:v>
                </c:pt>
                <c:pt idx="1186">
                  <c:v>0.699999999999989</c:v>
                </c:pt>
                <c:pt idx="1187">
                  <c:v>-0.699999999999989</c:v>
                </c:pt>
                <c:pt idx="1188">
                  <c:v>-1.90000000000001</c:v>
                </c:pt>
                <c:pt idx="1189">
                  <c:v>-3.09999999999999</c:v>
                </c:pt>
                <c:pt idx="1190">
                  <c:v>-3.59999999999999</c:v>
                </c:pt>
                <c:pt idx="1191">
                  <c:v>-4.30000000000001</c:v>
                </c:pt>
                <c:pt idx="1192">
                  <c:v>-5</c:v>
                </c:pt>
                <c:pt idx="1193">
                  <c:v>-5.19999999999999</c:v>
                </c:pt>
                <c:pt idx="1194">
                  <c:v>-5.30000000000001</c:v>
                </c:pt>
                <c:pt idx="1195">
                  <c:v>-5.5</c:v>
                </c:pt>
                <c:pt idx="1196">
                  <c:v>-5.59999999999999</c:v>
                </c:pt>
                <c:pt idx="1197">
                  <c:v>-5.5</c:v>
                </c:pt>
                <c:pt idx="1198">
                  <c:v>-5.30000000000001</c:v>
                </c:pt>
                <c:pt idx="1199">
                  <c:v>-4.80000000000001</c:v>
                </c:pt>
                <c:pt idx="1200">
                  <c:v>-4</c:v>
                </c:pt>
                <c:pt idx="1201">
                  <c:v>-3.19999999999999</c:v>
                </c:pt>
                <c:pt idx="1202">
                  <c:v>-1.90000000000001</c:v>
                </c:pt>
                <c:pt idx="1203">
                  <c:v>-0.5</c:v>
                </c:pt>
                <c:pt idx="1204">
                  <c:v>0.599999999999994</c:v>
                </c:pt>
                <c:pt idx="1205">
                  <c:v>2.30000000000001</c:v>
                </c:pt>
                <c:pt idx="1206">
                  <c:v>3.30000000000001</c:v>
                </c:pt>
                <c:pt idx="1207">
                  <c:v>4.59999999999999</c:v>
                </c:pt>
                <c:pt idx="1208">
                  <c:v>6.30000000000001</c:v>
                </c:pt>
                <c:pt idx="1209">
                  <c:v>7.5</c:v>
                </c:pt>
                <c:pt idx="1210">
                  <c:v>8.90000000000001</c:v>
                </c:pt>
                <c:pt idx="1211">
                  <c:v>10.2</c:v>
                </c:pt>
                <c:pt idx="1212">
                  <c:v>10.9</c:v>
                </c:pt>
                <c:pt idx="1213">
                  <c:v>11.7</c:v>
                </c:pt>
                <c:pt idx="1214">
                  <c:v>12.1</c:v>
                </c:pt>
                <c:pt idx="1215">
                  <c:v>12.4</c:v>
                </c:pt>
                <c:pt idx="1216">
                  <c:v>12.7</c:v>
                </c:pt>
                <c:pt idx="1217">
                  <c:v>12.6</c:v>
                </c:pt>
                <c:pt idx="1218">
                  <c:v>12.4</c:v>
                </c:pt>
                <c:pt idx="1219">
                  <c:v>12.2</c:v>
                </c:pt>
                <c:pt idx="1220">
                  <c:v>11.9</c:v>
                </c:pt>
                <c:pt idx="1221">
                  <c:v>11.4</c:v>
                </c:pt>
                <c:pt idx="1222">
                  <c:v>10.8</c:v>
                </c:pt>
                <c:pt idx="1223">
                  <c:v>10</c:v>
                </c:pt>
                <c:pt idx="1224">
                  <c:v>8.80000000000001</c:v>
                </c:pt>
                <c:pt idx="1225">
                  <c:v>7.59999999999999</c:v>
                </c:pt>
                <c:pt idx="1226">
                  <c:v>6.30000000000001</c:v>
                </c:pt>
                <c:pt idx="1227">
                  <c:v>4.59999999999999</c:v>
                </c:pt>
                <c:pt idx="1228">
                  <c:v>3.19999999999999</c:v>
                </c:pt>
                <c:pt idx="1229">
                  <c:v>2</c:v>
                </c:pt>
                <c:pt idx="1230">
                  <c:v>0.599999999999994</c:v>
                </c:pt>
                <c:pt idx="1231">
                  <c:v>-0.599999999999994</c:v>
                </c:pt>
                <c:pt idx="1232">
                  <c:v>-1.80000000000001</c:v>
                </c:pt>
                <c:pt idx="1233">
                  <c:v>-2.69999999999999</c:v>
                </c:pt>
                <c:pt idx="1234">
                  <c:v>-3.40000000000001</c:v>
                </c:pt>
                <c:pt idx="1235">
                  <c:v>-4.30000000000001</c:v>
                </c:pt>
                <c:pt idx="1236">
                  <c:v>-4.90000000000001</c:v>
                </c:pt>
                <c:pt idx="1237">
                  <c:v>-5</c:v>
                </c:pt>
                <c:pt idx="1238">
                  <c:v>-5.30000000000001</c:v>
                </c:pt>
                <c:pt idx="1239">
                  <c:v>-5.40000000000001</c:v>
                </c:pt>
                <c:pt idx="1240">
                  <c:v>-5.40000000000001</c:v>
                </c:pt>
                <c:pt idx="1241">
                  <c:v>-5.40000000000001</c:v>
                </c:pt>
                <c:pt idx="1242">
                  <c:v>-5.09999999999999</c:v>
                </c:pt>
                <c:pt idx="1243">
                  <c:v>-4.30000000000001</c:v>
                </c:pt>
                <c:pt idx="1244">
                  <c:v>-3.69999999999999</c:v>
                </c:pt>
                <c:pt idx="1245">
                  <c:v>-3.09999999999999</c:v>
                </c:pt>
                <c:pt idx="1246">
                  <c:v>-1.69999999999999</c:v>
                </c:pt>
                <c:pt idx="1247">
                  <c:v>-0.599999999999994</c:v>
                </c:pt>
                <c:pt idx="1248">
                  <c:v>0.599999999999994</c:v>
                </c:pt>
                <c:pt idx="1249">
                  <c:v>2.09999999999999</c:v>
                </c:pt>
                <c:pt idx="1250">
                  <c:v>3.30000000000001</c:v>
                </c:pt>
                <c:pt idx="1251">
                  <c:v>4.5</c:v>
                </c:pt>
                <c:pt idx="1252">
                  <c:v>6.09999999999999</c:v>
                </c:pt>
                <c:pt idx="1253">
                  <c:v>7</c:v>
                </c:pt>
                <c:pt idx="1254">
                  <c:v>8.40000000000001</c:v>
                </c:pt>
                <c:pt idx="1255">
                  <c:v>9.80000000000001</c:v>
                </c:pt>
                <c:pt idx="1256">
                  <c:v>10.6</c:v>
                </c:pt>
                <c:pt idx="1257">
                  <c:v>10.9</c:v>
                </c:pt>
                <c:pt idx="1258">
                  <c:v>11.4</c:v>
                </c:pt>
                <c:pt idx="1259">
                  <c:v>11.8</c:v>
                </c:pt>
                <c:pt idx="1260">
                  <c:v>12.3</c:v>
                </c:pt>
                <c:pt idx="1261">
                  <c:v>12.3</c:v>
                </c:pt>
                <c:pt idx="1262">
                  <c:v>12.1</c:v>
                </c:pt>
                <c:pt idx="1263">
                  <c:v>11.9</c:v>
                </c:pt>
                <c:pt idx="1264">
                  <c:v>11.6</c:v>
                </c:pt>
                <c:pt idx="1265">
                  <c:v>11.1</c:v>
                </c:pt>
                <c:pt idx="1266">
                  <c:v>10.8</c:v>
                </c:pt>
                <c:pt idx="1267">
                  <c:v>10</c:v>
                </c:pt>
                <c:pt idx="1268">
                  <c:v>8.40000000000001</c:v>
                </c:pt>
                <c:pt idx="1269">
                  <c:v>7.19999999999999</c:v>
                </c:pt>
                <c:pt idx="1270">
                  <c:v>6.19999999999999</c:v>
                </c:pt>
                <c:pt idx="1271">
                  <c:v>4.40000000000001</c:v>
                </c:pt>
                <c:pt idx="1272">
                  <c:v>3.30000000000001</c:v>
                </c:pt>
                <c:pt idx="1273">
                  <c:v>2.09999999999999</c:v>
                </c:pt>
                <c:pt idx="1274">
                  <c:v>1</c:v>
                </c:pt>
                <c:pt idx="1275">
                  <c:v>0</c:v>
                </c:pt>
                <c:pt idx="1276">
                  <c:v>-1.19999999999999</c:v>
                </c:pt>
                <c:pt idx="1277">
                  <c:v>-2.19999999999999</c:v>
                </c:pt>
                <c:pt idx="1278">
                  <c:v>-2.80000000000001</c:v>
                </c:pt>
                <c:pt idx="1279">
                  <c:v>-3.40000000000001</c:v>
                </c:pt>
                <c:pt idx="1280">
                  <c:v>-4</c:v>
                </c:pt>
                <c:pt idx="1281">
                  <c:v>-4.40000000000001</c:v>
                </c:pt>
                <c:pt idx="1282">
                  <c:v>-4.59999999999999</c:v>
                </c:pt>
                <c:pt idx="1283">
                  <c:v>-4.80000000000001</c:v>
                </c:pt>
                <c:pt idx="1284">
                  <c:v>-4.59999999999999</c:v>
                </c:pt>
                <c:pt idx="1285">
                  <c:v>-4.40000000000001</c:v>
                </c:pt>
                <c:pt idx="1286">
                  <c:v>-4.19999999999999</c:v>
                </c:pt>
                <c:pt idx="1287">
                  <c:v>-3.59999999999999</c:v>
                </c:pt>
                <c:pt idx="1288">
                  <c:v>-2.90000000000001</c:v>
                </c:pt>
                <c:pt idx="1289">
                  <c:v>-2</c:v>
                </c:pt>
                <c:pt idx="1290">
                  <c:v>-0.900000000000006</c:v>
                </c:pt>
                <c:pt idx="1291">
                  <c:v>0.199999999999989</c:v>
                </c:pt>
                <c:pt idx="1292">
                  <c:v>1.69999999999999</c:v>
                </c:pt>
                <c:pt idx="1293">
                  <c:v>2.5</c:v>
                </c:pt>
                <c:pt idx="1294">
                  <c:v>3.69999999999999</c:v>
                </c:pt>
                <c:pt idx="1295">
                  <c:v>4.90000000000001</c:v>
                </c:pt>
                <c:pt idx="1296">
                  <c:v>6.30000000000001</c:v>
                </c:pt>
                <c:pt idx="1297">
                  <c:v>7.19999999999999</c:v>
                </c:pt>
                <c:pt idx="1298">
                  <c:v>8.40000000000001</c:v>
                </c:pt>
                <c:pt idx="1299">
                  <c:v>9.80000000000001</c:v>
                </c:pt>
                <c:pt idx="1300">
                  <c:v>10.6</c:v>
                </c:pt>
                <c:pt idx="1301">
                  <c:v>10.9</c:v>
                </c:pt>
                <c:pt idx="1302">
                  <c:v>11.4</c:v>
                </c:pt>
                <c:pt idx="1303">
                  <c:v>11.5</c:v>
                </c:pt>
                <c:pt idx="1304">
                  <c:v>11.5</c:v>
                </c:pt>
                <c:pt idx="1305">
                  <c:v>11.6</c:v>
                </c:pt>
                <c:pt idx="1306">
                  <c:v>11.5</c:v>
                </c:pt>
                <c:pt idx="1307">
                  <c:v>11.2</c:v>
                </c:pt>
                <c:pt idx="1308">
                  <c:v>11.1</c:v>
                </c:pt>
                <c:pt idx="1309">
                  <c:v>10.8</c:v>
                </c:pt>
                <c:pt idx="1310">
                  <c:v>10.3</c:v>
                </c:pt>
                <c:pt idx="1311">
                  <c:v>9.40000000000001</c:v>
                </c:pt>
                <c:pt idx="1312">
                  <c:v>8</c:v>
                </c:pt>
                <c:pt idx="1313">
                  <c:v>7.19999999999999</c:v>
                </c:pt>
                <c:pt idx="1314">
                  <c:v>6</c:v>
                </c:pt>
                <c:pt idx="1315">
                  <c:v>4.30000000000001</c:v>
                </c:pt>
                <c:pt idx="1316">
                  <c:v>3.19999999999999</c:v>
                </c:pt>
                <c:pt idx="1317">
                  <c:v>2</c:v>
                </c:pt>
                <c:pt idx="1318">
                  <c:v>1.09999999999999</c:v>
                </c:pt>
                <c:pt idx="1319">
                  <c:v>0.0999999999999943</c:v>
                </c:pt>
                <c:pt idx="1320">
                  <c:v>-0.900000000000006</c:v>
                </c:pt>
                <c:pt idx="1321">
                  <c:v>-1.80000000000001</c:v>
                </c:pt>
                <c:pt idx="1322">
                  <c:v>-2.5</c:v>
                </c:pt>
                <c:pt idx="1323">
                  <c:v>-3.09999999999999</c:v>
                </c:pt>
                <c:pt idx="1324">
                  <c:v>-3.5</c:v>
                </c:pt>
                <c:pt idx="1325">
                  <c:v>-3.90000000000001</c:v>
                </c:pt>
                <c:pt idx="1326">
                  <c:v>-3.90000000000001</c:v>
                </c:pt>
                <c:pt idx="1327">
                  <c:v>-3.90000000000001</c:v>
                </c:pt>
                <c:pt idx="1328">
                  <c:v>-3.69999999999999</c:v>
                </c:pt>
                <c:pt idx="1329">
                  <c:v>-3.40000000000001</c:v>
                </c:pt>
                <c:pt idx="1330">
                  <c:v>-3.40000000000001</c:v>
                </c:pt>
                <c:pt idx="1331">
                  <c:v>-2.90000000000001</c:v>
                </c:pt>
                <c:pt idx="1332">
                  <c:v>-2.19999999999999</c:v>
                </c:pt>
                <c:pt idx="1333">
                  <c:v>-1.19999999999999</c:v>
                </c:pt>
                <c:pt idx="1334">
                  <c:v>0</c:v>
                </c:pt>
                <c:pt idx="1335">
                  <c:v>0.800000000000011</c:v>
                </c:pt>
                <c:pt idx="1336">
                  <c:v>1.90000000000001</c:v>
                </c:pt>
                <c:pt idx="1337">
                  <c:v>3.30000000000001</c:v>
                </c:pt>
                <c:pt idx="1338">
                  <c:v>4.19999999999999</c:v>
                </c:pt>
                <c:pt idx="1339">
                  <c:v>5.59999999999999</c:v>
                </c:pt>
                <c:pt idx="1340">
                  <c:v>6.80000000000001</c:v>
                </c:pt>
                <c:pt idx="1341">
                  <c:v>7.69999999999999</c:v>
                </c:pt>
                <c:pt idx="1342">
                  <c:v>8.80000000000001</c:v>
                </c:pt>
                <c:pt idx="1343">
                  <c:v>9.69999999999999</c:v>
                </c:pt>
                <c:pt idx="1344">
                  <c:v>10.5</c:v>
                </c:pt>
                <c:pt idx="1345">
                  <c:v>10.8</c:v>
                </c:pt>
                <c:pt idx="1346">
                  <c:v>11.3</c:v>
                </c:pt>
                <c:pt idx="1347">
                  <c:v>11.4</c:v>
                </c:pt>
                <c:pt idx="1348">
                  <c:v>11.4</c:v>
                </c:pt>
                <c:pt idx="1349">
                  <c:v>11.4</c:v>
                </c:pt>
                <c:pt idx="1350">
                  <c:v>11.3</c:v>
                </c:pt>
                <c:pt idx="1351">
                  <c:v>11.1</c:v>
                </c:pt>
                <c:pt idx="1352">
                  <c:v>10.9</c:v>
                </c:pt>
                <c:pt idx="1353">
                  <c:v>10.6</c:v>
                </c:pt>
                <c:pt idx="1354">
                  <c:v>9.80000000000001</c:v>
                </c:pt>
                <c:pt idx="1355">
                  <c:v>9</c:v>
                </c:pt>
                <c:pt idx="1356">
                  <c:v>7.90000000000001</c:v>
                </c:pt>
                <c:pt idx="1357">
                  <c:v>7</c:v>
                </c:pt>
                <c:pt idx="1358">
                  <c:v>5.5</c:v>
                </c:pt>
                <c:pt idx="1359">
                  <c:v>4</c:v>
                </c:pt>
                <c:pt idx="1360">
                  <c:v>3.09999999999999</c:v>
                </c:pt>
                <c:pt idx="1361">
                  <c:v>2.09999999999999</c:v>
                </c:pt>
                <c:pt idx="1362">
                  <c:v>0.900000000000006</c:v>
                </c:pt>
                <c:pt idx="1363">
                  <c:v>0.400000000000006</c:v>
                </c:pt>
                <c:pt idx="1364">
                  <c:v>-0.699999999999989</c:v>
                </c:pt>
                <c:pt idx="1365">
                  <c:v>-1.5</c:v>
                </c:pt>
                <c:pt idx="1366">
                  <c:v>-2.30000000000001</c:v>
                </c:pt>
                <c:pt idx="1367">
                  <c:v>-2.90000000000001</c:v>
                </c:pt>
                <c:pt idx="1368">
                  <c:v>-3.09999999999999</c:v>
                </c:pt>
                <c:pt idx="1369">
                  <c:v>-3.30000000000001</c:v>
                </c:pt>
                <c:pt idx="1370">
                  <c:v>-3.5</c:v>
                </c:pt>
                <c:pt idx="1371">
                  <c:v>-3.5</c:v>
                </c:pt>
                <c:pt idx="1372">
                  <c:v>-3.59999999999999</c:v>
                </c:pt>
                <c:pt idx="1373">
                  <c:v>-3.30000000000001</c:v>
                </c:pt>
                <c:pt idx="1374">
                  <c:v>-3</c:v>
                </c:pt>
                <c:pt idx="1375">
                  <c:v>-2.19999999999999</c:v>
                </c:pt>
                <c:pt idx="1376">
                  <c:v>-1.59999999999999</c:v>
                </c:pt>
                <c:pt idx="1377">
                  <c:v>-0.800000000000011</c:v>
                </c:pt>
                <c:pt idx="1378">
                  <c:v>0.0999999999999943</c:v>
                </c:pt>
                <c:pt idx="1379">
                  <c:v>1</c:v>
                </c:pt>
                <c:pt idx="1380">
                  <c:v>2.09999999999999</c:v>
                </c:pt>
                <c:pt idx="1381">
                  <c:v>3.69999999999999</c:v>
                </c:pt>
                <c:pt idx="1382">
                  <c:v>4.30000000000001</c:v>
                </c:pt>
                <c:pt idx="1383">
                  <c:v>5.69999999999999</c:v>
                </c:pt>
                <c:pt idx="1384">
                  <c:v>6.69999999999999</c:v>
                </c:pt>
                <c:pt idx="1385">
                  <c:v>7.5</c:v>
                </c:pt>
                <c:pt idx="1386">
                  <c:v>8.40000000000001</c:v>
                </c:pt>
                <c:pt idx="1387">
                  <c:v>9.30000000000001</c:v>
                </c:pt>
                <c:pt idx="1388">
                  <c:v>10.1</c:v>
                </c:pt>
                <c:pt idx="1389">
                  <c:v>10.3</c:v>
                </c:pt>
                <c:pt idx="1390">
                  <c:v>10.6</c:v>
                </c:pt>
                <c:pt idx="1391">
                  <c:v>10.6</c:v>
                </c:pt>
                <c:pt idx="1392">
                  <c:v>10.7</c:v>
                </c:pt>
                <c:pt idx="1393">
                  <c:v>10.5</c:v>
                </c:pt>
                <c:pt idx="1394">
                  <c:v>10.2</c:v>
                </c:pt>
                <c:pt idx="1395">
                  <c:v>10.2</c:v>
                </c:pt>
                <c:pt idx="1396">
                  <c:v>10.1</c:v>
                </c:pt>
                <c:pt idx="1397">
                  <c:v>9.69999999999999</c:v>
                </c:pt>
                <c:pt idx="1398">
                  <c:v>9</c:v>
                </c:pt>
                <c:pt idx="1399">
                  <c:v>8.09999999999999</c:v>
                </c:pt>
                <c:pt idx="1400">
                  <c:v>6.69999999999999</c:v>
                </c:pt>
                <c:pt idx="1401">
                  <c:v>5.69999999999999</c:v>
                </c:pt>
                <c:pt idx="1402">
                  <c:v>4.19999999999999</c:v>
                </c:pt>
                <c:pt idx="1403">
                  <c:v>3.30000000000001</c:v>
                </c:pt>
                <c:pt idx="1404">
                  <c:v>1.90000000000001</c:v>
                </c:pt>
                <c:pt idx="1405">
                  <c:v>0.900000000000006</c:v>
                </c:pt>
                <c:pt idx="1406">
                  <c:v>0.300000000000011</c:v>
                </c:pt>
                <c:pt idx="1407">
                  <c:v>-0.5</c:v>
                </c:pt>
                <c:pt idx="1408">
                  <c:v>-1.5</c:v>
                </c:pt>
                <c:pt idx="1409">
                  <c:v>-2</c:v>
                </c:pt>
                <c:pt idx="1410">
                  <c:v>-2.5</c:v>
                </c:pt>
                <c:pt idx="1411">
                  <c:v>-3.09999999999999</c:v>
                </c:pt>
                <c:pt idx="1412">
                  <c:v>-3.40000000000001</c:v>
                </c:pt>
                <c:pt idx="1413">
                  <c:v>-3.59999999999999</c:v>
                </c:pt>
                <c:pt idx="1414">
                  <c:v>-3.80000000000001</c:v>
                </c:pt>
                <c:pt idx="1415">
                  <c:v>-3.69999999999999</c:v>
                </c:pt>
                <c:pt idx="1416">
                  <c:v>-3.5</c:v>
                </c:pt>
                <c:pt idx="1417">
                  <c:v>-3.30000000000001</c:v>
                </c:pt>
                <c:pt idx="1418">
                  <c:v>-2.80000000000001</c:v>
                </c:pt>
                <c:pt idx="1419">
                  <c:v>-2.40000000000001</c:v>
                </c:pt>
                <c:pt idx="1420">
                  <c:v>-1.69999999999999</c:v>
                </c:pt>
                <c:pt idx="1421">
                  <c:v>-0.699999999999989</c:v>
                </c:pt>
                <c:pt idx="1422">
                  <c:v>0.0999999999999943</c:v>
                </c:pt>
                <c:pt idx="1423">
                  <c:v>0.900000000000006</c:v>
                </c:pt>
                <c:pt idx="1424">
                  <c:v>2.19999999999999</c:v>
                </c:pt>
                <c:pt idx="1425">
                  <c:v>3.19999999999999</c:v>
                </c:pt>
                <c:pt idx="1426">
                  <c:v>4.40000000000001</c:v>
                </c:pt>
                <c:pt idx="1427">
                  <c:v>5.59999999999999</c:v>
                </c:pt>
                <c:pt idx="1428">
                  <c:v>6.40000000000001</c:v>
                </c:pt>
                <c:pt idx="1429">
                  <c:v>7.40000000000001</c:v>
                </c:pt>
                <c:pt idx="1430">
                  <c:v>8.19999999999999</c:v>
                </c:pt>
                <c:pt idx="1431">
                  <c:v>8.80000000000001</c:v>
                </c:pt>
                <c:pt idx="1432">
                  <c:v>9.59999999999999</c:v>
                </c:pt>
                <c:pt idx="1433">
                  <c:v>9.90000000000001</c:v>
                </c:pt>
                <c:pt idx="1434">
                  <c:v>10.1</c:v>
                </c:pt>
                <c:pt idx="1435">
                  <c:v>10.3</c:v>
                </c:pt>
                <c:pt idx="1436">
                  <c:v>10.4</c:v>
                </c:pt>
                <c:pt idx="1437">
                  <c:v>10.3</c:v>
                </c:pt>
                <c:pt idx="1438">
                  <c:v>10.2</c:v>
                </c:pt>
                <c:pt idx="1439">
                  <c:v>9.90000000000001</c:v>
                </c:pt>
                <c:pt idx="1440">
                  <c:v>9.90000000000001</c:v>
                </c:pt>
                <c:pt idx="1441">
                  <c:v>9.40000000000001</c:v>
                </c:pt>
                <c:pt idx="1442">
                  <c:v>8.40000000000001</c:v>
                </c:pt>
                <c:pt idx="1443">
                  <c:v>7.40000000000001</c:v>
                </c:pt>
                <c:pt idx="1444">
                  <c:v>6.40000000000001</c:v>
                </c:pt>
                <c:pt idx="1445">
                  <c:v>4.90000000000001</c:v>
                </c:pt>
                <c:pt idx="1446">
                  <c:v>3.90000000000001</c:v>
                </c:pt>
                <c:pt idx="1447">
                  <c:v>2.80000000000001</c:v>
                </c:pt>
                <c:pt idx="1448">
                  <c:v>2</c:v>
                </c:pt>
                <c:pt idx="1449">
                  <c:v>1.19999999999999</c:v>
                </c:pt>
                <c:pt idx="1450">
                  <c:v>0.300000000000011</c:v>
                </c:pt>
                <c:pt idx="1451">
                  <c:v>-0.599999999999994</c:v>
                </c:pt>
                <c:pt idx="1452">
                  <c:v>-1.5</c:v>
                </c:pt>
                <c:pt idx="1453">
                  <c:v>-2</c:v>
                </c:pt>
                <c:pt idx="1454">
                  <c:v>-2.30000000000001</c:v>
                </c:pt>
                <c:pt idx="1455">
                  <c:v>-2.90000000000001</c:v>
                </c:pt>
                <c:pt idx="1456">
                  <c:v>-3.19999999999999</c:v>
                </c:pt>
                <c:pt idx="1457">
                  <c:v>-3.19999999999999</c:v>
                </c:pt>
                <c:pt idx="1458">
                  <c:v>-3.09999999999999</c:v>
                </c:pt>
                <c:pt idx="1459">
                  <c:v>-2.80000000000001</c:v>
                </c:pt>
                <c:pt idx="1460">
                  <c:v>-2.69999999999999</c:v>
                </c:pt>
                <c:pt idx="1461">
                  <c:v>-2.40000000000001</c:v>
                </c:pt>
                <c:pt idx="1462">
                  <c:v>-2.19999999999999</c:v>
                </c:pt>
                <c:pt idx="1463">
                  <c:v>-1.5</c:v>
                </c:pt>
                <c:pt idx="1464">
                  <c:v>-0.900000000000006</c:v>
                </c:pt>
                <c:pt idx="1465">
                  <c:v>0.199999999999989</c:v>
                </c:pt>
                <c:pt idx="1466">
                  <c:v>1</c:v>
                </c:pt>
                <c:pt idx="1467">
                  <c:v>1.69999999999999</c:v>
                </c:pt>
                <c:pt idx="1468">
                  <c:v>2.90000000000001</c:v>
                </c:pt>
                <c:pt idx="1469">
                  <c:v>3.80000000000001</c:v>
                </c:pt>
                <c:pt idx="1470">
                  <c:v>5.09999999999999</c:v>
                </c:pt>
                <c:pt idx="1471">
                  <c:v>6.30000000000001</c:v>
                </c:pt>
                <c:pt idx="1472">
                  <c:v>7</c:v>
                </c:pt>
                <c:pt idx="1473">
                  <c:v>8</c:v>
                </c:pt>
                <c:pt idx="1474">
                  <c:v>9.09999999999999</c:v>
                </c:pt>
                <c:pt idx="1475">
                  <c:v>9.80000000000001</c:v>
                </c:pt>
                <c:pt idx="1476">
                  <c:v>10.2</c:v>
                </c:pt>
                <c:pt idx="1477">
                  <c:v>10.4</c:v>
                </c:pt>
                <c:pt idx="1478">
                  <c:v>10.6</c:v>
                </c:pt>
                <c:pt idx="1479">
                  <c:v>10.6</c:v>
                </c:pt>
                <c:pt idx="1480">
                  <c:v>10.5</c:v>
                </c:pt>
                <c:pt idx="1481">
                  <c:v>10.4</c:v>
                </c:pt>
                <c:pt idx="1482">
                  <c:v>10.2</c:v>
                </c:pt>
                <c:pt idx="1483">
                  <c:v>10.1</c:v>
                </c:pt>
                <c:pt idx="1484">
                  <c:v>9.80000000000001</c:v>
                </c:pt>
                <c:pt idx="1485">
                  <c:v>9.40000000000001</c:v>
                </c:pt>
                <c:pt idx="1486">
                  <c:v>8.30000000000001</c:v>
                </c:pt>
                <c:pt idx="1487">
                  <c:v>7.19999999999999</c:v>
                </c:pt>
                <c:pt idx="1488">
                  <c:v>6.09999999999999</c:v>
                </c:pt>
                <c:pt idx="1489">
                  <c:v>4.80000000000001</c:v>
                </c:pt>
                <c:pt idx="1490">
                  <c:v>3.90000000000001</c:v>
                </c:pt>
                <c:pt idx="1491">
                  <c:v>3.09999999999999</c:v>
                </c:pt>
                <c:pt idx="1492">
                  <c:v>1.90000000000001</c:v>
                </c:pt>
                <c:pt idx="1493">
                  <c:v>1.19999999999999</c:v>
                </c:pt>
                <c:pt idx="1494">
                  <c:v>0.599999999999994</c:v>
                </c:pt>
                <c:pt idx="1495">
                  <c:v>-0.300000000000011</c:v>
                </c:pt>
                <c:pt idx="1496">
                  <c:v>-1.19999999999999</c:v>
                </c:pt>
                <c:pt idx="1497">
                  <c:v>-1.59999999999999</c:v>
                </c:pt>
                <c:pt idx="1498">
                  <c:v>-2</c:v>
                </c:pt>
                <c:pt idx="1499">
                  <c:v>-2.40000000000001</c:v>
                </c:pt>
                <c:pt idx="1500">
                  <c:v>-2.80000000000001</c:v>
                </c:pt>
                <c:pt idx="1501">
                  <c:v>-2.90000000000001</c:v>
                </c:pt>
                <c:pt idx="1502">
                  <c:v>-2.80000000000001</c:v>
                </c:pt>
                <c:pt idx="1503">
                  <c:v>-2.80000000000001</c:v>
                </c:pt>
                <c:pt idx="1504">
                  <c:v>-2.59999999999999</c:v>
                </c:pt>
                <c:pt idx="1505">
                  <c:v>-2.19999999999999</c:v>
                </c:pt>
                <c:pt idx="1506">
                  <c:v>-1.69999999999999</c:v>
                </c:pt>
                <c:pt idx="1507">
                  <c:v>-1.30000000000001</c:v>
                </c:pt>
                <c:pt idx="1508">
                  <c:v>-0.400000000000006</c:v>
                </c:pt>
                <c:pt idx="1509">
                  <c:v>0.300000000000011</c:v>
                </c:pt>
                <c:pt idx="1510">
                  <c:v>1.09999999999999</c:v>
                </c:pt>
                <c:pt idx="1511">
                  <c:v>1.90000000000001</c:v>
                </c:pt>
                <c:pt idx="1512">
                  <c:v>3</c:v>
                </c:pt>
                <c:pt idx="1513">
                  <c:v>4</c:v>
                </c:pt>
                <c:pt idx="1514">
                  <c:v>5</c:v>
                </c:pt>
                <c:pt idx="1515">
                  <c:v>6.19999999999999</c:v>
                </c:pt>
                <c:pt idx="1516">
                  <c:v>7</c:v>
                </c:pt>
                <c:pt idx="1517">
                  <c:v>7.69999999999999</c:v>
                </c:pt>
                <c:pt idx="1518">
                  <c:v>8.30000000000001</c:v>
                </c:pt>
                <c:pt idx="1519">
                  <c:v>9.09999999999999</c:v>
                </c:pt>
                <c:pt idx="1520">
                  <c:v>9.40000000000001</c:v>
                </c:pt>
                <c:pt idx="1521">
                  <c:v>9.69999999999999</c:v>
                </c:pt>
                <c:pt idx="1522">
                  <c:v>9.59999999999999</c:v>
                </c:pt>
                <c:pt idx="1523">
                  <c:v>9.5</c:v>
                </c:pt>
                <c:pt idx="1524">
                  <c:v>9.5</c:v>
                </c:pt>
                <c:pt idx="1525">
                  <c:v>9.30000000000001</c:v>
                </c:pt>
                <c:pt idx="1526">
                  <c:v>9.19999999999999</c:v>
                </c:pt>
                <c:pt idx="1527">
                  <c:v>9</c:v>
                </c:pt>
                <c:pt idx="1528">
                  <c:v>8.80000000000001</c:v>
                </c:pt>
                <c:pt idx="1529">
                  <c:v>8.30000000000001</c:v>
                </c:pt>
                <c:pt idx="1530">
                  <c:v>7.5</c:v>
                </c:pt>
                <c:pt idx="1531">
                  <c:v>6.5</c:v>
                </c:pt>
                <c:pt idx="1532">
                  <c:v>5.09999999999999</c:v>
                </c:pt>
                <c:pt idx="1533">
                  <c:v>3.90000000000001</c:v>
                </c:pt>
                <c:pt idx="1534">
                  <c:v>3</c:v>
                </c:pt>
                <c:pt idx="1535">
                  <c:v>2.19999999999999</c:v>
                </c:pt>
                <c:pt idx="1536">
                  <c:v>1.30000000000001</c:v>
                </c:pt>
                <c:pt idx="1537">
                  <c:v>0.599999999999994</c:v>
                </c:pt>
                <c:pt idx="1538">
                  <c:v>-0.0999999999999943</c:v>
                </c:pt>
                <c:pt idx="1539">
                  <c:v>-0.900000000000006</c:v>
                </c:pt>
                <c:pt idx="1540">
                  <c:v>-1.5</c:v>
                </c:pt>
                <c:pt idx="1541">
                  <c:v>-1.90000000000001</c:v>
                </c:pt>
                <c:pt idx="1542">
                  <c:v>-2.19999999999999</c:v>
                </c:pt>
                <c:pt idx="1543">
                  <c:v>-2.40000000000001</c:v>
                </c:pt>
                <c:pt idx="1544">
                  <c:v>-2.80000000000001</c:v>
                </c:pt>
                <c:pt idx="1545">
                  <c:v>-2.80000000000001</c:v>
                </c:pt>
                <c:pt idx="1546">
                  <c:v>-2.69999999999999</c:v>
                </c:pt>
                <c:pt idx="1547">
                  <c:v>-2.59999999999999</c:v>
                </c:pt>
                <c:pt idx="1548">
                  <c:v>-2.19999999999999</c:v>
                </c:pt>
                <c:pt idx="1549">
                  <c:v>-1.80000000000001</c:v>
                </c:pt>
                <c:pt idx="1550">
                  <c:v>-1.5</c:v>
                </c:pt>
                <c:pt idx="1551">
                  <c:v>-1.30000000000001</c:v>
                </c:pt>
                <c:pt idx="1552">
                  <c:v>0.0999999999999943</c:v>
                </c:pt>
                <c:pt idx="1553">
                  <c:v>0.699999999999989</c:v>
                </c:pt>
                <c:pt idx="1554">
                  <c:v>1.40000000000001</c:v>
                </c:pt>
                <c:pt idx="1555">
                  <c:v>2.40000000000001</c:v>
                </c:pt>
                <c:pt idx="1556">
                  <c:v>3.40000000000001</c:v>
                </c:pt>
                <c:pt idx="1557">
                  <c:v>4.30000000000001</c:v>
                </c:pt>
                <c:pt idx="1558">
                  <c:v>5.09999999999999</c:v>
                </c:pt>
                <c:pt idx="1559">
                  <c:v>6.19999999999999</c:v>
                </c:pt>
                <c:pt idx="1560">
                  <c:v>7</c:v>
                </c:pt>
                <c:pt idx="1561">
                  <c:v>7.90000000000001</c:v>
                </c:pt>
                <c:pt idx="1562">
                  <c:v>8.59999999999999</c:v>
                </c:pt>
                <c:pt idx="1563">
                  <c:v>9</c:v>
                </c:pt>
                <c:pt idx="1564">
                  <c:v>9.40000000000001</c:v>
                </c:pt>
                <c:pt idx="1565">
                  <c:v>9.5</c:v>
                </c:pt>
                <c:pt idx="1566">
                  <c:v>9.59999999999999</c:v>
                </c:pt>
                <c:pt idx="1567">
                  <c:v>9.59999999999999</c:v>
                </c:pt>
                <c:pt idx="1568">
                  <c:v>9.40000000000001</c:v>
                </c:pt>
                <c:pt idx="1569">
                  <c:v>9.40000000000001</c:v>
                </c:pt>
                <c:pt idx="1570">
                  <c:v>9.09999999999999</c:v>
                </c:pt>
                <c:pt idx="1571">
                  <c:v>8.80000000000001</c:v>
                </c:pt>
                <c:pt idx="1572">
                  <c:v>8.5</c:v>
                </c:pt>
                <c:pt idx="1573">
                  <c:v>7.90000000000001</c:v>
                </c:pt>
                <c:pt idx="1574">
                  <c:v>7.19999999999999</c:v>
                </c:pt>
                <c:pt idx="1575">
                  <c:v>5.90000000000001</c:v>
                </c:pt>
                <c:pt idx="1576">
                  <c:v>4.80000000000001</c:v>
                </c:pt>
                <c:pt idx="1577">
                  <c:v>4</c:v>
                </c:pt>
                <c:pt idx="1578">
                  <c:v>3.19999999999999</c:v>
                </c:pt>
                <c:pt idx="1579">
                  <c:v>2.19999999999999</c:v>
                </c:pt>
                <c:pt idx="1580">
                  <c:v>1.40000000000001</c:v>
                </c:pt>
                <c:pt idx="1581">
                  <c:v>0.900000000000006</c:v>
                </c:pt>
                <c:pt idx="1582">
                  <c:v>0</c:v>
                </c:pt>
                <c:pt idx="1583">
                  <c:v>-0.5</c:v>
                </c:pt>
                <c:pt idx="1584">
                  <c:v>-1.09999999999999</c:v>
                </c:pt>
                <c:pt idx="1585">
                  <c:v>-1.40000000000001</c:v>
                </c:pt>
                <c:pt idx="1586">
                  <c:v>-1.69999999999999</c:v>
                </c:pt>
                <c:pt idx="1587">
                  <c:v>-2</c:v>
                </c:pt>
                <c:pt idx="1588">
                  <c:v>-2</c:v>
                </c:pt>
                <c:pt idx="1589">
                  <c:v>-2</c:v>
                </c:pt>
                <c:pt idx="1590">
                  <c:v>-1.80000000000001</c:v>
                </c:pt>
                <c:pt idx="1591">
                  <c:v>-1.69999999999999</c:v>
                </c:pt>
                <c:pt idx="1592">
                  <c:v>-1.59999999999999</c:v>
                </c:pt>
                <c:pt idx="1593">
                  <c:v>-1.5</c:v>
                </c:pt>
                <c:pt idx="1594">
                  <c:v>-1.19999999999999</c:v>
                </c:pt>
                <c:pt idx="1595">
                  <c:v>0</c:v>
                </c:pt>
                <c:pt idx="1596">
                  <c:v>0.699999999999989</c:v>
                </c:pt>
                <c:pt idx="1597">
                  <c:v>1.19999999999999</c:v>
                </c:pt>
                <c:pt idx="1598">
                  <c:v>2.09999999999999</c:v>
                </c:pt>
                <c:pt idx="1599">
                  <c:v>3</c:v>
                </c:pt>
                <c:pt idx="1600">
                  <c:v>3.90000000000001</c:v>
                </c:pt>
                <c:pt idx="1601">
                  <c:v>4.80000000000001</c:v>
                </c:pt>
                <c:pt idx="1602">
                  <c:v>6</c:v>
                </c:pt>
                <c:pt idx="1603">
                  <c:v>6.69999999999999</c:v>
                </c:pt>
                <c:pt idx="1604">
                  <c:v>7.30000000000001</c:v>
                </c:pt>
                <c:pt idx="1605">
                  <c:v>7.80000000000001</c:v>
                </c:pt>
                <c:pt idx="1606">
                  <c:v>8.5</c:v>
                </c:pt>
                <c:pt idx="1607">
                  <c:v>8.80000000000001</c:v>
                </c:pt>
                <c:pt idx="1608">
                  <c:v>9.40000000000001</c:v>
                </c:pt>
                <c:pt idx="1609">
                  <c:v>9.5</c:v>
                </c:pt>
                <c:pt idx="1610">
                  <c:v>9.40000000000001</c:v>
                </c:pt>
                <c:pt idx="1611">
                  <c:v>9.5</c:v>
                </c:pt>
                <c:pt idx="1612">
                  <c:v>9.19999999999999</c:v>
                </c:pt>
                <c:pt idx="1613">
                  <c:v>9.19999999999999</c:v>
                </c:pt>
                <c:pt idx="1614">
                  <c:v>8.90000000000001</c:v>
                </c:pt>
                <c:pt idx="1615">
                  <c:v>8.69999999999999</c:v>
                </c:pt>
                <c:pt idx="1616">
                  <c:v>8.19999999999999</c:v>
                </c:pt>
                <c:pt idx="1617">
                  <c:v>7.40000000000001</c:v>
                </c:pt>
                <c:pt idx="1618">
                  <c:v>6.5</c:v>
                </c:pt>
                <c:pt idx="1619">
                  <c:v>5.40000000000001</c:v>
                </c:pt>
                <c:pt idx="1620">
                  <c:v>4.40000000000001</c:v>
                </c:pt>
                <c:pt idx="1621">
                  <c:v>3.59999999999999</c:v>
                </c:pt>
                <c:pt idx="1622">
                  <c:v>2.80000000000001</c:v>
                </c:pt>
                <c:pt idx="1623">
                  <c:v>2.09999999999999</c:v>
                </c:pt>
                <c:pt idx="1624">
                  <c:v>1.30000000000001</c:v>
                </c:pt>
                <c:pt idx="1625">
                  <c:v>0.800000000000011</c:v>
                </c:pt>
                <c:pt idx="1626">
                  <c:v>0.300000000000011</c:v>
                </c:pt>
                <c:pt idx="1627">
                  <c:v>-0.5</c:v>
                </c:pt>
                <c:pt idx="1628">
                  <c:v>-1.19999999999999</c:v>
                </c:pt>
                <c:pt idx="1629">
                  <c:v>-1.30000000000001</c:v>
                </c:pt>
                <c:pt idx="1630">
                  <c:v>-1.59999999999999</c:v>
                </c:pt>
                <c:pt idx="1631">
                  <c:v>-1.80000000000001</c:v>
                </c:pt>
                <c:pt idx="1632">
                  <c:v>-1.90000000000001</c:v>
                </c:pt>
                <c:pt idx="1633">
                  <c:v>-1.69999999999999</c:v>
                </c:pt>
                <c:pt idx="1634">
                  <c:v>-1.69999999999999</c:v>
                </c:pt>
                <c:pt idx="1635">
                  <c:v>-1.59999999999999</c:v>
                </c:pt>
                <c:pt idx="1636">
                  <c:v>-1.59999999999999</c:v>
                </c:pt>
                <c:pt idx="1637">
                  <c:v>-1.30000000000001</c:v>
                </c:pt>
                <c:pt idx="1638">
                  <c:v>-0.800000000000011</c:v>
                </c:pt>
                <c:pt idx="1639">
                  <c:v>0.199999999999989</c:v>
                </c:pt>
                <c:pt idx="1640">
                  <c:v>0.699999999999989</c:v>
                </c:pt>
                <c:pt idx="1641">
                  <c:v>1.5</c:v>
                </c:pt>
                <c:pt idx="1642">
                  <c:v>2.19999999999999</c:v>
                </c:pt>
                <c:pt idx="1643">
                  <c:v>2.90000000000001</c:v>
                </c:pt>
                <c:pt idx="1644">
                  <c:v>3.69999999999999</c:v>
                </c:pt>
                <c:pt idx="1645">
                  <c:v>4.40000000000001</c:v>
                </c:pt>
                <c:pt idx="1646">
                  <c:v>5.40000000000001</c:v>
                </c:pt>
                <c:pt idx="1647">
                  <c:v>6.19999999999999</c:v>
                </c:pt>
                <c:pt idx="1648">
                  <c:v>6.69999999999999</c:v>
                </c:pt>
                <c:pt idx="1649">
                  <c:v>7.30000000000001</c:v>
                </c:pt>
                <c:pt idx="1650">
                  <c:v>7.90000000000001</c:v>
                </c:pt>
                <c:pt idx="1651">
                  <c:v>8.09999999999999</c:v>
                </c:pt>
                <c:pt idx="1652">
                  <c:v>8.5</c:v>
                </c:pt>
                <c:pt idx="1653">
                  <c:v>8.40000000000001</c:v>
                </c:pt>
                <c:pt idx="1654">
                  <c:v>8.5</c:v>
                </c:pt>
                <c:pt idx="1655">
                  <c:v>8.40000000000001</c:v>
                </c:pt>
                <c:pt idx="1656">
                  <c:v>8.19999999999999</c:v>
                </c:pt>
                <c:pt idx="1657">
                  <c:v>8.09999999999999</c:v>
                </c:pt>
                <c:pt idx="1658">
                  <c:v>7.80000000000001</c:v>
                </c:pt>
                <c:pt idx="1659">
                  <c:v>7.40000000000001</c:v>
                </c:pt>
                <c:pt idx="1660">
                  <c:v>6.90000000000001</c:v>
                </c:pt>
                <c:pt idx="1661">
                  <c:v>6</c:v>
                </c:pt>
                <c:pt idx="1662">
                  <c:v>5.30000000000001</c:v>
                </c:pt>
                <c:pt idx="1663">
                  <c:v>4.40000000000001</c:v>
                </c:pt>
                <c:pt idx="1664">
                  <c:v>3.5</c:v>
                </c:pt>
                <c:pt idx="1665">
                  <c:v>2.69999999999999</c:v>
                </c:pt>
                <c:pt idx="1666">
                  <c:v>1.80000000000001</c:v>
                </c:pt>
                <c:pt idx="1667">
                  <c:v>1.09999999999999</c:v>
                </c:pt>
                <c:pt idx="1668">
                  <c:v>0.699999999999989</c:v>
                </c:pt>
                <c:pt idx="1669">
                  <c:v>0</c:v>
                </c:pt>
                <c:pt idx="1670">
                  <c:v>-0.5</c:v>
                </c:pt>
                <c:pt idx="1671">
                  <c:v>-1.09999999999999</c:v>
                </c:pt>
                <c:pt idx="1672">
                  <c:v>-1.30000000000001</c:v>
                </c:pt>
                <c:pt idx="1673">
                  <c:v>-1.69999999999999</c:v>
                </c:pt>
                <c:pt idx="1674">
                  <c:v>-1.80000000000001</c:v>
                </c:pt>
                <c:pt idx="1675">
                  <c:v>-1.90000000000001</c:v>
                </c:pt>
                <c:pt idx="1676">
                  <c:v>-1.80000000000001</c:v>
                </c:pt>
                <c:pt idx="1677">
                  <c:v>-1.80000000000001</c:v>
                </c:pt>
                <c:pt idx="1678">
                  <c:v>-1.69999999999999</c:v>
                </c:pt>
                <c:pt idx="1679">
                  <c:v>-1.5</c:v>
                </c:pt>
                <c:pt idx="1680">
                  <c:v>-1.5</c:v>
                </c:pt>
                <c:pt idx="1681">
                  <c:v>-1</c:v>
                </c:pt>
                <c:pt idx="1682">
                  <c:v>0</c:v>
                </c:pt>
                <c:pt idx="1683">
                  <c:v>0.599999999999994</c:v>
                </c:pt>
                <c:pt idx="1684">
                  <c:v>0.900000000000006</c:v>
                </c:pt>
                <c:pt idx="1685">
                  <c:v>2</c:v>
                </c:pt>
                <c:pt idx="1686">
                  <c:v>2.59999999999999</c:v>
                </c:pt>
                <c:pt idx="1687">
                  <c:v>3.19999999999999</c:v>
                </c:pt>
                <c:pt idx="1688">
                  <c:v>4</c:v>
                </c:pt>
                <c:pt idx="1689">
                  <c:v>5</c:v>
                </c:pt>
                <c:pt idx="1690">
                  <c:v>5.90000000000001</c:v>
                </c:pt>
                <c:pt idx="1691">
                  <c:v>6.69999999999999</c:v>
                </c:pt>
                <c:pt idx="1692">
                  <c:v>7.19999999999999</c:v>
                </c:pt>
                <c:pt idx="1693">
                  <c:v>7.59999999999999</c:v>
                </c:pt>
                <c:pt idx="1694">
                  <c:v>7.90000000000001</c:v>
                </c:pt>
                <c:pt idx="1695">
                  <c:v>8.19999999999999</c:v>
                </c:pt>
                <c:pt idx="1696">
                  <c:v>8.5</c:v>
                </c:pt>
                <c:pt idx="1697">
                  <c:v>8.40000000000001</c:v>
                </c:pt>
                <c:pt idx="1698">
                  <c:v>8.30000000000001</c:v>
                </c:pt>
                <c:pt idx="1699">
                  <c:v>8.09999999999999</c:v>
                </c:pt>
                <c:pt idx="1700">
                  <c:v>8.19999999999999</c:v>
                </c:pt>
                <c:pt idx="1701">
                  <c:v>7.90000000000001</c:v>
                </c:pt>
                <c:pt idx="1702">
                  <c:v>7.59999999999999</c:v>
                </c:pt>
                <c:pt idx="1703">
                  <c:v>6.90000000000001</c:v>
                </c:pt>
                <c:pt idx="1704">
                  <c:v>6.30000000000001</c:v>
                </c:pt>
                <c:pt idx="1705">
                  <c:v>5.40000000000001</c:v>
                </c:pt>
                <c:pt idx="1706">
                  <c:v>4.59999999999999</c:v>
                </c:pt>
                <c:pt idx="1707">
                  <c:v>3.69999999999999</c:v>
                </c:pt>
                <c:pt idx="1708">
                  <c:v>2.90000000000001</c:v>
                </c:pt>
                <c:pt idx="1709">
                  <c:v>2.40000000000001</c:v>
                </c:pt>
                <c:pt idx="1710">
                  <c:v>1.5</c:v>
                </c:pt>
                <c:pt idx="1711">
                  <c:v>0.900000000000006</c:v>
                </c:pt>
                <c:pt idx="1712">
                  <c:v>0.400000000000006</c:v>
                </c:pt>
                <c:pt idx="1713">
                  <c:v>-0.0999999999999943</c:v>
                </c:pt>
                <c:pt idx="1714">
                  <c:v>-0.5</c:v>
                </c:pt>
                <c:pt idx="1715">
                  <c:v>-1.09999999999999</c:v>
                </c:pt>
                <c:pt idx="1716">
                  <c:v>-1.19999999999999</c:v>
                </c:pt>
                <c:pt idx="1717">
                  <c:v>-1.19999999999999</c:v>
                </c:pt>
                <c:pt idx="1718">
                  <c:v>-1.09999999999999</c:v>
                </c:pt>
                <c:pt idx="1719">
                  <c:v>-1.09999999999999</c:v>
                </c:pt>
                <c:pt idx="1720">
                  <c:v>-1</c:v>
                </c:pt>
                <c:pt idx="1721">
                  <c:v>-0.900000000000006</c:v>
                </c:pt>
                <c:pt idx="1722">
                  <c:v>-0.800000000000011</c:v>
                </c:pt>
                <c:pt idx="1723">
                  <c:v>-0.599999999999994</c:v>
                </c:pt>
                <c:pt idx="1724">
                  <c:v>-0.300000000000011</c:v>
                </c:pt>
                <c:pt idx="1725">
                  <c:v>0.199999999999989</c:v>
                </c:pt>
                <c:pt idx="1726">
                  <c:v>0.800000000000011</c:v>
                </c:pt>
                <c:pt idx="1727">
                  <c:v>1.5</c:v>
                </c:pt>
                <c:pt idx="1728">
                  <c:v>2.09999999999999</c:v>
                </c:pt>
                <c:pt idx="1729">
                  <c:v>2.90000000000001</c:v>
                </c:pt>
                <c:pt idx="1730">
                  <c:v>3.40000000000001</c:v>
                </c:pt>
                <c:pt idx="1731">
                  <c:v>4.09999999999999</c:v>
                </c:pt>
                <c:pt idx="1732">
                  <c:v>4.90000000000001</c:v>
                </c:pt>
                <c:pt idx="1733">
                  <c:v>5.59999999999999</c:v>
                </c:pt>
                <c:pt idx="1734">
                  <c:v>6.40000000000001</c:v>
                </c:pt>
                <c:pt idx="1735">
                  <c:v>6.69999999999999</c:v>
                </c:pt>
                <c:pt idx="1736">
                  <c:v>7</c:v>
                </c:pt>
                <c:pt idx="1737">
                  <c:v>7.59999999999999</c:v>
                </c:pt>
                <c:pt idx="1738">
                  <c:v>7.59999999999999</c:v>
                </c:pt>
                <c:pt idx="1739">
                  <c:v>7.69999999999999</c:v>
                </c:pt>
                <c:pt idx="1740">
                  <c:v>7.69999999999999</c:v>
                </c:pt>
                <c:pt idx="1741">
                  <c:v>7.5</c:v>
                </c:pt>
                <c:pt idx="1742">
                  <c:v>7.59999999999999</c:v>
                </c:pt>
                <c:pt idx="1743">
                  <c:v>7.30000000000001</c:v>
                </c:pt>
                <c:pt idx="1744">
                  <c:v>7.19999999999999</c:v>
                </c:pt>
                <c:pt idx="1745">
                  <c:v>7</c:v>
                </c:pt>
                <c:pt idx="1746">
                  <c:v>6.90000000000001</c:v>
                </c:pt>
                <c:pt idx="1747">
                  <c:v>6.59999999999999</c:v>
                </c:pt>
                <c:pt idx="1748">
                  <c:v>5.69999999999999</c:v>
                </c:pt>
                <c:pt idx="1749">
                  <c:v>4.80000000000001</c:v>
                </c:pt>
                <c:pt idx="1750">
                  <c:v>4.09999999999999</c:v>
                </c:pt>
                <c:pt idx="1751">
                  <c:v>3.40000000000001</c:v>
                </c:pt>
                <c:pt idx="1752">
                  <c:v>2.69999999999999</c:v>
                </c:pt>
                <c:pt idx="1753">
                  <c:v>1.80000000000001</c:v>
                </c:pt>
                <c:pt idx="1754">
                  <c:v>1.19999999999999</c:v>
                </c:pt>
                <c:pt idx="1755">
                  <c:v>0.699999999999989</c:v>
                </c:pt>
                <c:pt idx="1756">
                  <c:v>0</c:v>
                </c:pt>
                <c:pt idx="1757">
                  <c:v>-0.300000000000011</c:v>
                </c:pt>
                <c:pt idx="1758">
                  <c:v>-1</c:v>
                </c:pt>
                <c:pt idx="1759">
                  <c:v>-1.19999999999999</c:v>
                </c:pt>
                <c:pt idx="1760">
                  <c:v>-1.30000000000001</c:v>
                </c:pt>
                <c:pt idx="1761">
                  <c:v>-1.69999999999999</c:v>
                </c:pt>
                <c:pt idx="1762">
                  <c:v>-1.80000000000001</c:v>
                </c:pt>
                <c:pt idx="1763">
                  <c:v>-1.69999999999999</c:v>
                </c:pt>
                <c:pt idx="1764">
                  <c:v>-1.59999999999999</c:v>
                </c:pt>
                <c:pt idx="1765">
                  <c:v>-1.59999999999999</c:v>
                </c:pt>
                <c:pt idx="1766">
                  <c:v>-1.30000000000001</c:v>
                </c:pt>
                <c:pt idx="1767">
                  <c:v>-1.19999999999999</c:v>
                </c:pt>
                <c:pt idx="1768">
                  <c:v>-0.599999999999994</c:v>
                </c:pt>
                <c:pt idx="1769">
                  <c:v>-0.0999999999999943</c:v>
                </c:pt>
                <c:pt idx="1770">
                  <c:v>0.699999999999989</c:v>
                </c:pt>
                <c:pt idx="1771">
                  <c:v>1</c:v>
                </c:pt>
                <c:pt idx="1772">
                  <c:v>1.80000000000001</c:v>
                </c:pt>
                <c:pt idx="1773">
                  <c:v>2.59999999999999</c:v>
                </c:pt>
                <c:pt idx="1774">
                  <c:v>3</c:v>
                </c:pt>
                <c:pt idx="1775">
                  <c:v>3.90000000000001</c:v>
                </c:pt>
                <c:pt idx="1776">
                  <c:v>4.80000000000001</c:v>
                </c:pt>
                <c:pt idx="1777">
                  <c:v>5.59999999999999</c:v>
                </c:pt>
                <c:pt idx="1778">
                  <c:v>6</c:v>
                </c:pt>
                <c:pt idx="1779">
                  <c:v>6.5</c:v>
                </c:pt>
                <c:pt idx="1780">
                  <c:v>6.69999999999999</c:v>
                </c:pt>
                <c:pt idx="1781">
                  <c:v>6.90000000000001</c:v>
                </c:pt>
                <c:pt idx="1782">
                  <c:v>7.40000000000001</c:v>
                </c:pt>
                <c:pt idx="1783">
                  <c:v>7.69999999999999</c:v>
                </c:pt>
                <c:pt idx="1784">
                  <c:v>7.5</c:v>
                </c:pt>
                <c:pt idx="1785">
                  <c:v>7.40000000000001</c:v>
                </c:pt>
                <c:pt idx="1786">
                  <c:v>7.30000000000001</c:v>
                </c:pt>
                <c:pt idx="1787">
                  <c:v>7.30000000000001</c:v>
                </c:pt>
                <c:pt idx="1788">
                  <c:v>7.09999999999999</c:v>
                </c:pt>
                <c:pt idx="1789">
                  <c:v>6.80000000000001</c:v>
                </c:pt>
                <c:pt idx="1790">
                  <c:v>6.80000000000001</c:v>
                </c:pt>
                <c:pt idx="1791">
                  <c:v>6.30000000000001</c:v>
                </c:pt>
                <c:pt idx="1792">
                  <c:v>5.80000000000001</c:v>
                </c:pt>
                <c:pt idx="1793">
                  <c:v>4.90000000000001</c:v>
                </c:pt>
                <c:pt idx="1794">
                  <c:v>4.09999999999999</c:v>
                </c:pt>
                <c:pt idx="1795">
                  <c:v>3.5</c:v>
                </c:pt>
                <c:pt idx="1796">
                  <c:v>2.69999999999999</c:v>
                </c:pt>
                <c:pt idx="1797">
                  <c:v>1.90000000000001</c:v>
                </c:pt>
                <c:pt idx="1798">
                  <c:v>1.5</c:v>
                </c:pt>
                <c:pt idx="1799">
                  <c:v>1</c:v>
                </c:pt>
                <c:pt idx="1800">
                  <c:v>0.5</c:v>
                </c:pt>
                <c:pt idx="1801">
                  <c:v>0</c:v>
                </c:pt>
                <c:pt idx="1802">
                  <c:v>-0.5</c:v>
                </c:pt>
                <c:pt idx="1803">
                  <c:v>-0.800000000000011</c:v>
                </c:pt>
                <c:pt idx="1804">
                  <c:v>-1</c:v>
                </c:pt>
                <c:pt idx="1805">
                  <c:v>-1.09999999999999</c:v>
                </c:pt>
                <c:pt idx="1806">
                  <c:v>-1.09999999999999</c:v>
                </c:pt>
                <c:pt idx="1807">
                  <c:v>-1</c:v>
                </c:pt>
                <c:pt idx="1808">
                  <c:v>-0.900000000000006</c:v>
                </c:pt>
                <c:pt idx="1809">
                  <c:v>-0.599999999999994</c:v>
                </c:pt>
                <c:pt idx="1810">
                  <c:v>-0.5</c:v>
                </c:pt>
                <c:pt idx="1811">
                  <c:v>-0.300000000000011</c:v>
                </c:pt>
                <c:pt idx="1812">
                  <c:v>0.0999999999999943</c:v>
                </c:pt>
                <c:pt idx="1813">
                  <c:v>0.699999999999989</c:v>
                </c:pt>
                <c:pt idx="1814">
                  <c:v>0.800000000000011</c:v>
                </c:pt>
                <c:pt idx="1815">
                  <c:v>1.5</c:v>
                </c:pt>
                <c:pt idx="1816">
                  <c:v>2</c:v>
                </c:pt>
                <c:pt idx="1817">
                  <c:v>2.80000000000001</c:v>
                </c:pt>
                <c:pt idx="1818">
                  <c:v>3.69999999999999</c:v>
                </c:pt>
                <c:pt idx="1819">
                  <c:v>4.09999999999999</c:v>
                </c:pt>
                <c:pt idx="1820">
                  <c:v>5</c:v>
                </c:pt>
                <c:pt idx="1821">
                  <c:v>5.69999999999999</c:v>
                </c:pt>
                <c:pt idx="1822">
                  <c:v>6</c:v>
                </c:pt>
                <c:pt idx="1823">
                  <c:v>6.30000000000001</c:v>
                </c:pt>
                <c:pt idx="1824">
                  <c:v>6.40000000000001</c:v>
                </c:pt>
                <c:pt idx="1825">
                  <c:v>6.59999999999999</c:v>
                </c:pt>
                <c:pt idx="1826">
                  <c:v>6.59999999999999</c:v>
                </c:pt>
                <c:pt idx="1827">
                  <c:v>6.69999999999999</c:v>
                </c:pt>
                <c:pt idx="1828">
                  <c:v>6.5</c:v>
                </c:pt>
                <c:pt idx="1829">
                  <c:v>6.5</c:v>
                </c:pt>
                <c:pt idx="1830">
                  <c:v>6.30000000000001</c:v>
                </c:pt>
                <c:pt idx="1831">
                  <c:v>6.30000000000001</c:v>
                </c:pt>
                <c:pt idx="1832">
                  <c:v>6.19999999999999</c:v>
                </c:pt>
                <c:pt idx="1833">
                  <c:v>6.09999999999999</c:v>
                </c:pt>
                <c:pt idx="1834">
                  <c:v>5.90000000000001</c:v>
                </c:pt>
                <c:pt idx="1835">
                  <c:v>5.40000000000001</c:v>
                </c:pt>
                <c:pt idx="1836">
                  <c:v>4.80000000000001</c:v>
                </c:pt>
                <c:pt idx="1837">
                  <c:v>4.09999999999999</c:v>
                </c:pt>
                <c:pt idx="1838">
                  <c:v>3.40000000000001</c:v>
                </c:pt>
                <c:pt idx="1839">
                  <c:v>2.59999999999999</c:v>
                </c:pt>
                <c:pt idx="1840">
                  <c:v>1.90000000000001</c:v>
                </c:pt>
                <c:pt idx="1841">
                  <c:v>1.59999999999999</c:v>
                </c:pt>
                <c:pt idx="1842">
                  <c:v>1</c:v>
                </c:pt>
                <c:pt idx="1843">
                  <c:v>0.5</c:v>
                </c:pt>
                <c:pt idx="1844">
                  <c:v>0.199999999999989</c:v>
                </c:pt>
                <c:pt idx="1845">
                  <c:v>-0.0999999999999943</c:v>
                </c:pt>
                <c:pt idx="1846">
                  <c:v>-0.400000000000006</c:v>
                </c:pt>
                <c:pt idx="1847">
                  <c:v>-0.699999999999989</c:v>
                </c:pt>
                <c:pt idx="1848">
                  <c:v>-0.900000000000006</c:v>
                </c:pt>
                <c:pt idx="1849">
                  <c:v>-0.900000000000006</c:v>
                </c:pt>
                <c:pt idx="1850">
                  <c:v>-0.800000000000011</c:v>
                </c:pt>
                <c:pt idx="1851">
                  <c:v>-0.699999999999989</c:v>
                </c:pt>
                <c:pt idx="1852">
                  <c:v>-0.599999999999994</c:v>
                </c:pt>
                <c:pt idx="1853">
                  <c:v>-0.400000000000006</c:v>
                </c:pt>
                <c:pt idx="1854">
                  <c:v>-0.199999999999989</c:v>
                </c:pt>
                <c:pt idx="1855">
                  <c:v>0.300000000000011</c:v>
                </c:pt>
                <c:pt idx="1856">
                  <c:v>0.599999999999994</c:v>
                </c:pt>
                <c:pt idx="1857">
                  <c:v>0.800000000000011</c:v>
                </c:pt>
                <c:pt idx="1858">
                  <c:v>1.40000000000001</c:v>
                </c:pt>
                <c:pt idx="1859">
                  <c:v>1.90000000000001</c:v>
                </c:pt>
                <c:pt idx="1860">
                  <c:v>2.59999999999999</c:v>
                </c:pt>
                <c:pt idx="1861">
                  <c:v>3.30000000000001</c:v>
                </c:pt>
                <c:pt idx="1862">
                  <c:v>4.09999999999999</c:v>
                </c:pt>
                <c:pt idx="1863">
                  <c:v>4.80000000000001</c:v>
                </c:pt>
                <c:pt idx="1864">
                  <c:v>5.40000000000001</c:v>
                </c:pt>
                <c:pt idx="1865">
                  <c:v>5.59999999999999</c:v>
                </c:pt>
                <c:pt idx="1866">
                  <c:v>5.80000000000001</c:v>
                </c:pt>
                <c:pt idx="1867">
                  <c:v>6.19999999999999</c:v>
                </c:pt>
                <c:pt idx="1868">
                  <c:v>6.30000000000001</c:v>
                </c:pt>
                <c:pt idx="1869">
                  <c:v>6.5</c:v>
                </c:pt>
                <c:pt idx="1870">
                  <c:v>6.40000000000001</c:v>
                </c:pt>
                <c:pt idx="1871">
                  <c:v>6.5</c:v>
                </c:pt>
                <c:pt idx="1872">
                  <c:v>6.5</c:v>
                </c:pt>
                <c:pt idx="1873">
                  <c:v>6.30000000000001</c:v>
                </c:pt>
                <c:pt idx="1874">
                  <c:v>6.30000000000001</c:v>
                </c:pt>
                <c:pt idx="1875">
                  <c:v>6.09999999999999</c:v>
                </c:pt>
                <c:pt idx="1876">
                  <c:v>6</c:v>
                </c:pt>
                <c:pt idx="1877">
                  <c:v>6</c:v>
                </c:pt>
                <c:pt idx="1878">
                  <c:v>5.59999999999999</c:v>
                </c:pt>
                <c:pt idx="1879">
                  <c:v>4.90000000000001</c:v>
                </c:pt>
                <c:pt idx="1880">
                  <c:v>4.5</c:v>
                </c:pt>
                <c:pt idx="1881">
                  <c:v>3.90000000000001</c:v>
                </c:pt>
                <c:pt idx="1882">
                  <c:v>3.19999999999999</c:v>
                </c:pt>
                <c:pt idx="1883">
                  <c:v>2.5</c:v>
                </c:pt>
                <c:pt idx="1884">
                  <c:v>1.80000000000001</c:v>
                </c:pt>
                <c:pt idx="1885">
                  <c:v>1.40000000000001</c:v>
                </c:pt>
                <c:pt idx="1886">
                  <c:v>0.900000000000006</c:v>
                </c:pt>
                <c:pt idx="1887">
                  <c:v>0.5</c:v>
                </c:pt>
                <c:pt idx="1888">
                  <c:v>0.0999999999999943</c:v>
                </c:pt>
                <c:pt idx="1889">
                  <c:v>-0.199999999999989</c:v>
                </c:pt>
                <c:pt idx="1890">
                  <c:v>-0.5</c:v>
                </c:pt>
                <c:pt idx="1891">
                  <c:v>-0.599999999999994</c:v>
                </c:pt>
                <c:pt idx="1892">
                  <c:v>-0.699999999999989</c:v>
                </c:pt>
                <c:pt idx="1893">
                  <c:v>-0.800000000000011</c:v>
                </c:pt>
                <c:pt idx="1894">
                  <c:v>-0.699999999999989</c:v>
                </c:pt>
                <c:pt idx="1895">
                  <c:v>-0.599999999999994</c:v>
                </c:pt>
                <c:pt idx="1896">
                  <c:v>-0.599999999999994</c:v>
                </c:pt>
                <c:pt idx="1897">
                  <c:v>-0.300000000000011</c:v>
                </c:pt>
                <c:pt idx="1898">
                  <c:v>-0.0999999999999943</c:v>
                </c:pt>
                <c:pt idx="1899">
                  <c:v>0.5</c:v>
                </c:pt>
                <c:pt idx="1900">
                  <c:v>0.699999999999989</c:v>
                </c:pt>
                <c:pt idx="1901">
                  <c:v>1</c:v>
                </c:pt>
                <c:pt idx="1902">
                  <c:v>1.59999999999999</c:v>
                </c:pt>
                <c:pt idx="1903">
                  <c:v>2.09999999999999</c:v>
                </c:pt>
                <c:pt idx="1904">
                  <c:v>2.59999999999999</c:v>
                </c:pt>
                <c:pt idx="1905">
                  <c:v>3.30000000000001</c:v>
                </c:pt>
                <c:pt idx="1906">
                  <c:v>4.09999999999999</c:v>
                </c:pt>
                <c:pt idx="1907">
                  <c:v>4.59999999999999</c:v>
                </c:pt>
                <c:pt idx="1908">
                  <c:v>5</c:v>
                </c:pt>
                <c:pt idx="1909">
                  <c:v>5.59999999999999</c:v>
                </c:pt>
                <c:pt idx="1910">
                  <c:v>5.69999999999999</c:v>
                </c:pt>
                <c:pt idx="1911">
                  <c:v>5.80000000000001</c:v>
                </c:pt>
                <c:pt idx="1912">
                  <c:v>6.09999999999999</c:v>
                </c:pt>
                <c:pt idx="1913">
                  <c:v>6.19999999999999</c:v>
                </c:pt>
                <c:pt idx="1914">
                  <c:v>6.40000000000001</c:v>
                </c:pt>
                <c:pt idx="1915">
                  <c:v>6.40000000000001</c:v>
                </c:pt>
                <c:pt idx="1916">
                  <c:v>6.30000000000001</c:v>
                </c:pt>
                <c:pt idx="1917">
                  <c:v>6.19999999999999</c:v>
                </c:pt>
                <c:pt idx="1918">
                  <c:v>6.19999999999999</c:v>
                </c:pt>
                <c:pt idx="1919">
                  <c:v>5.90000000000001</c:v>
                </c:pt>
                <c:pt idx="1920">
                  <c:v>5.69999999999999</c:v>
                </c:pt>
                <c:pt idx="1921">
                  <c:v>5.19999999999999</c:v>
                </c:pt>
                <c:pt idx="1922">
                  <c:v>4.80000000000001</c:v>
                </c:pt>
                <c:pt idx="1923">
                  <c:v>4.40000000000001</c:v>
                </c:pt>
                <c:pt idx="1924">
                  <c:v>3.90000000000001</c:v>
                </c:pt>
                <c:pt idx="1925">
                  <c:v>3.40000000000001</c:v>
                </c:pt>
                <c:pt idx="1926">
                  <c:v>2.69999999999999</c:v>
                </c:pt>
                <c:pt idx="1927">
                  <c:v>2</c:v>
                </c:pt>
                <c:pt idx="1928">
                  <c:v>1.5</c:v>
                </c:pt>
                <c:pt idx="1929">
                  <c:v>0.900000000000006</c:v>
                </c:pt>
                <c:pt idx="1930">
                  <c:v>0.699999999999989</c:v>
                </c:pt>
                <c:pt idx="1931">
                  <c:v>0.199999999999989</c:v>
                </c:pt>
                <c:pt idx="1932">
                  <c:v>-0.0999999999999943</c:v>
                </c:pt>
                <c:pt idx="1933">
                  <c:v>-0.199999999999989</c:v>
                </c:pt>
                <c:pt idx="1934">
                  <c:v>-0.199999999999989</c:v>
                </c:pt>
                <c:pt idx="1935">
                  <c:v>-0.0999999999999943</c:v>
                </c:pt>
                <c:pt idx="1936">
                  <c:v>-0.0999999999999943</c:v>
                </c:pt>
                <c:pt idx="1937">
                  <c:v>-0.0999999999999943</c:v>
                </c:pt>
                <c:pt idx="1938">
                  <c:v>0.0999999999999943</c:v>
                </c:pt>
                <c:pt idx="1939">
                  <c:v>0.199999999999989</c:v>
                </c:pt>
                <c:pt idx="1940">
                  <c:v>0.300000000000011</c:v>
                </c:pt>
                <c:pt idx="1941">
                  <c:v>0.5</c:v>
                </c:pt>
                <c:pt idx="1942">
                  <c:v>0.699999999999989</c:v>
                </c:pt>
                <c:pt idx="1943">
                  <c:v>0.800000000000011</c:v>
                </c:pt>
                <c:pt idx="1944">
                  <c:v>1.40000000000001</c:v>
                </c:pt>
                <c:pt idx="1945">
                  <c:v>2</c:v>
                </c:pt>
                <c:pt idx="1946">
                  <c:v>2.59999999999999</c:v>
                </c:pt>
                <c:pt idx="1947">
                  <c:v>3.19999999999999</c:v>
                </c:pt>
                <c:pt idx="1948">
                  <c:v>3.90000000000001</c:v>
                </c:pt>
                <c:pt idx="1949">
                  <c:v>4.5</c:v>
                </c:pt>
                <c:pt idx="1950">
                  <c:v>4.69999999999999</c:v>
                </c:pt>
                <c:pt idx="1951">
                  <c:v>4.80000000000001</c:v>
                </c:pt>
                <c:pt idx="1952">
                  <c:v>5.5</c:v>
                </c:pt>
                <c:pt idx="1953">
                  <c:v>5.69999999999999</c:v>
                </c:pt>
                <c:pt idx="1954">
                  <c:v>5.90000000000001</c:v>
                </c:pt>
                <c:pt idx="1955">
                  <c:v>6.30000000000001</c:v>
                </c:pt>
                <c:pt idx="1956">
                  <c:v>6.30000000000001</c:v>
                </c:pt>
                <c:pt idx="1957">
                  <c:v>6.40000000000001</c:v>
                </c:pt>
                <c:pt idx="1958">
                  <c:v>6.30000000000001</c:v>
                </c:pt>
                <c:pt idx="1959">
                  <c:v>6.30000000000001</c:v>
                </c:pt>
                <c:pt idx="1960">
                  <c:v>6.30000000000001</c:v>
                </c:pt>
                <c:pt idx="1961">
                  <c:v>6.09999999999999</c:v>
                </c:pt>
                <c:pt idx="1962">
                  <c:v>5.90000000000001</c:v>
                </c:pt>
                <c:pt idx="1963">
                  <c:v>5.80000000000001</c:v>
                </c:pt>
                <c:pt idx="1964">
                  <c:v>5.5</c:v>
                </c:pt>
                <c:pt idx="1965">
                  <c:v>5.09999999999999</c:v>
                </c:pt>
                <c:pt idx="1966">
                  <c:v>5</c:v>
                </c:pt>
                <c:pt idx="1967">
                  <c:v>4.5</c:v>
                </c:pt>
                <c:pt idx="1968">
                  <c:v>4.09999999999999</c:v>
                </c:pt>
                <c:pt idx="1969">
                  <c:v>3.80000000000001</c:v>
                </c:pt>
                <c:pt idx="1970">
                  <c:v>3.5</c:v>
                </c:pt>
                <c:pt idx="1971">
                  <c:v>2.5</c:v>
                </c:pt>
                <c:pt idx="1972">
                  <c:v>1.80000000000001</c:v>
                </c:pt>
                <c:pt idx="1973">
                  <c:v>1.5</c:v>
                </c:pt>
                <c:pt idx="1974">
                  <c:v>0.900000000000006</c:v>
                </c:pt>
                <c:pt idx="1975">
                  <c:v>0.800000000000011</c:v>
                </c:pt>
                <c:pt idx="1976">
                  <c:v>0.5</c:v>
                </c:pt>
                <c:pt idx="1977">
                  <c:v>0.300000000000011</c:v>
                </c:pt>
                <c:pt idx="1978">
                  <c:v>0.199999999999989</c:v>
                </c:pt>
                <c:pt idx="1979">
                  <c:v>0.199999999999989</c:v>
                </c:pt>
                <c:pt idx="1980">
                  <c:v>0.199999999999989</c:v>
                </c:pt>
                <c:pt idx="1981">
                  <c:v>0.300000000000011</c:v>
                </c:pt>
                <c:pt idx="1982">
                  <c:v>0.300000000000011</c:v>
                </c:pt>
                <c:pt idx="1983">
                  <c:v>0.300000000000011</c:v>
                </c:pt>
                <c:pt idx="1984">
                  <c:v>0.5</c:v>
                </c:pt>
                <c:pt idx="1985">
                  <c:v>0.599999999999994</c:v>
                </c:pt>
                <c:pt idx="1986">
                  <c:v>0.800000000000011</c:v>
                </c:pt>
                <c:pt idx="1987">
                  <c:v>1.40000000000001</c:v>
                </c:pt>
                <c:pt idx="1988">
                  <c:v>1.80000000000001</c:v>
                </c:pt>
                <c:pt idx="1989">
                  <c:v>2.40000000000001</c:v>
                </c:pt>
                <c:pt idx="1990">
                  <c:v>2.80000000000001</c:v>
                </c:pt>
                <c:pt idx="1991">
                  <c:v>3.40000000000001</c:v>
                </c:pt>
                <c:pt idx="1992">
                  <c:v>3.80000000000001</c:v>
                </c:pt>
                <c:pt idx="1993">
                  <c:v>4.40000000000001</c:v>
                </c:pt>
                <c:pt idx="1994">
                  <c:v>4.90000000000001</c:v>
                </c:pt>
                <c:pt idx="1995">
                  <c:v>5.40000000000001</c:v>
                </c:pt>
                <c:pt idx="1996">
                  <c:v>5.69999999999999</c:v>
                </c:pt>
                <c:pt idx="1997">
                  <c:v>5.69999999999999</c:v>
                </c:pt>
                <c:pt idx="1998">
                  <c:v>5.69999999999999</c:v>
                </c:pt>
                <c:pt idx="1999">
                  <c:v>5.80000000000001</c:v>
                </c:pt>
                <c:pt idx="2000">
                  <c:v>5.90000000000001</c:v>
                </c:pt>
                <c:pt idx="2001">
                  <c:v>6.19999999999999</c:v>
                </c:pt>
                <c:pt idx="2002">
                  <c:v>6.09999999999999</c:v>
                </c:pt>
                <c:pt idx="2003">
                  <c:v>6.09999999999999</c:v>
                </c:pt>
                <c:pt idx="2004">
                  <c:v>6.19999999999999</c:v>
                </c:pt>
                <c:pt idx="2005">
                  <c:v>5.90000000000001</c:v>
                </c:pt>
                <c:pt idx="2006">
                  <c:v>5.80000000000001</c:v>
                </c:pt>
                <c:pt idx="2007">
                  <c:v>5.69999999999999</c:v>
                </c:pt>
                <c:pt idx="2008">
                  <c:v>5.19999999999999</c:v>
                </c:pt>
                <c:pt idx="2009">
                  <c:v>4.90000000000001</c:v>
                </c:pt>
                <c:pt idx="2010">
                  <c:v>4.5</c:v>
                </c:pt>
                <c:pt idx="2011">
                  <c:v>3.90000000000001</c:v>
                </c:pt>
                <c:pt idx="2012">
                  <c:v>3.69999999999999</c:v>
                </c:pt>
                <c:pt idx="2013">
                  <c:v>3</c:v>
                </c:pt>
                <c:pt idx="2014">
                  <c:v>2.30000000000001</c:v>
                </c:pt>
                <c:pt idx="2015">
                  <c:v>1.80000000000001</c:v>
                </c:pt>
                <c:pt idx="2016">
                  <c:v>1.59999999999999</c:v>
                </c:pt>
                <c:pt idx="2017">
                  <c:v>1</c:v>
                </c:pt>
                <c:pt idx="2018">
                  <c:v>0.800000000000011</c:v>
                </c:pt>
                <c:pt idx="2019">
                  <c:v>0.599999999999994</c:v>
                </c:pt>
                <c:pt idx="2020">
                  <c:v>0.300000000000011</c:v>
                </c:pt>
                <c:pt idx="2021">
                  <c:v>0.0999999999999943</c:v>
                </c:pt>
                <c:pt idx="2022">
                  <c:v>0</c:v>
                </c:pt>
                <c:pt idx="2023">
                  <c:v>0.0999999999999943</c:v>
                </c:pt>
                <c:pt idx="2024">
                  <c:v>0.199999999999989</c:v>
                </c:pt>
                <c:pt idx="2025">
                  <c:v>0.199999999999989</c:v>
                </c:pt>
                <c:pt idx="2026">
                  <c:v>0.400000000000006</c:v>
                </c:pt>
                <c:pt idx="2027">
                  <c:v>0.400000000000006</c:v>
                </c:pt>
                <c:pt idx="2028">
                  <c:v>0.5</c:v>
                </c:pt>
                <c:pt idx="2029">
                  <c:v>0.800000000000011</c:v>
                </c:pt>
                <c:pt idx="2030">
                  <c:v>1.30000000000001</c:v>
                </c:pt>
                <c:pt idx="2031">
                  <c:v>1.59999999999999</c:v>
                </c:pt>
                <c:pt idx="2032">
                  <c:v>2.19999999999999</c:v>
                </c:pt>
                <c:pt idx="2033">
                  <c:v>2.69999999999999</c:v>
                </c:pt>
                <c:pt idx="2034">
                  <c:v>2.80000000000001</c:v>
                </c:pt>
                <c:pt idx="2035">
                  <c:v>3.59999999999999</c:v>
                </c:pt>
                <c:pt idx="2036">
                  <c:v>3.90000000000001</c:v>
                </c:pt>
                <c:pt idx="2037">
                  <c:v>4.59999999999999</c:v>
                </c:pt>
                <c:pt idx="2038">
                  <c:v>4.90000000000001</c:v>
                </c:pt>
                <c:pt idx="2039">
                  <c:v>5.40000000000001</c:v>
                </c:pt>
                <c:pt idx="2040">
                  <c:v>5.5</c:v>
                </c:pt>
                <c:pt idx="2041">
                  <c:v>5.69999999999999</c:v>
                </c:pt>
                <c:pt idx="2042">
                  <c:v>5.59999999999999</c:v>
                </c:pt>
                <c:pt idx="2043">
                  <c:v>5.59999999999999</c:v>
                </c:pt>
                <c:pt idx="2044">
                  <c:v>5.5</c:v>
                </c:pt>
                <c:pt idx="2045">
                  <c:v>5.40000000000001</c:v>
                </c:pt>
                <c:pt idx="2046">
                  <c:v>5.40000000000001</c:v>
                </c:pt>
                <c:pt idx="2047">
                  <c:v>5.30000000000001</c:v>
                </c:pt>
                <c:pt idx="2048">
                  <c:v>5.30000000000001</c:v>
                </c:pt>
                <c:pt idx="2049">
                  <c:v>5</c:v>
                </c:pt>
                <c:pt idx="2050">
                  <c:v>5</c:v>
                </c:pt>
                <c:pt idx="2051">
                  <c:v>5</c:v>
                </c:pt>
                <c:pt idx="2052">
                  <c:v>4.59999999999999</c:v>
                </c:pt>
                <c:pt idx="2053">
                  <c:v>4.19999999999999</c:v>
                </c:pt>
                <c:pt idx="2054">
                  <c:v>3.90000000000001</c:v>
                </c:pt>
                <c:pt idx="2055">
                  <c:v>3.69999999999999</c:v>
                </c:pt>
                <c:pt idx="2056">
                  <c:v>3.09999999999999</c:v>
                </c:pt>
                <c:pt idx="2057">
                  <c:v>2.5</c:v>
                </c:pt>
                <c:pt idx="2058">
                  <c:v>1.90000000000001</c:v>
                </c:pt>
                <c:pt idx="2059">
                  <c:v>1.40000000000001</c:v>
                </c:pt>
                <c:pt idx="2060">
                  <c:v>0.900000000000006</c:v>
                </c:pt>
                <c:pt idx="2061">
                  <c:v>0.800000000000011</c:v>
                </c:pt>
                <c:pt idx="2062">
                  <c:v>0.5</c:v>
                </c:pt>
                <c:pt idx="2063">
                  <c:v>0.199999999999989</c:v>
                </c:pt>
                <c:pt idx="2064">
                  <c:v>0.199999999999989</c:v>
                </c:pt>
                <c:pt idx="2065">
                  <c:v>0.0999999999999943</c:v>
                </c:pt>
                <c:pt idx="2066">
                  <c:v>0.0999999999999943</c:v>
                </c:pt>
                <c:pt idx="2067">
                  <c:v>0.0999999999999943</c:v>
                </c:pt>
                <c:pt idx="2068">
                  <c:v>0.199999999999989</c:v>
                </c:pt>
                <c:pt idx="2069">
                  <c:v>0.300000000000011</c:v>
                </c:pt>
                <c:pt idx="2070">
                  <c:v>0.400000000000006</c:v>
                </c:pt>
                <c:pt idx="2071">
                  <c:v>0.5</c:v>
                </c:pt>
                <c:pt idx="2072">
                  <c:v>0.599999999999994</c:v>
                </c:pt>
                <c:pt idx="2073">
                  <c:v>0.599999999999994</c:v>
                </c:pt>
                <c:pt idx="2074">
                  <c:v>1</c:v>
                </c:pt>
                <c:pt idx="2075">
                  <c:v>1.59999999999999</c:v>
                </c:pt>
                <c:pt idx="2076">
                  <c:v>2.09999999999999</c:v>
                </c:pt>
                <c:pt idx="2077">
                  <c:v>2.59999999999999</c:v>
                </c:pt>
                <c:pt idx="2078">
                  <c:v>2.90000000000001</c:v>
                </c:pt>
                <c:pt idx="2079">
                  <c:v>3.5</c:v>
                </c:pt>
                <c:pt idx="2080">
                  <c:v>3.80000000000001</c:v>
                </c:pt>
                <c:pt idx="2081">
                  <c:v>4.5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'常压_b_20 (2)'!$K$3</c:f>
              <c:strCache>
                <c:ptCount val="1"/>
                <c:pt idx="0">
                  <c:v>luma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'常压_b_20 (2)'!$I$4:$I$2085</c:f>
              <c:numCache>
                <c:formatCode>General</c:formatCode>
                <c:ptCount val="2082"/>
                <c:pt idx="0">
                  <c:v>0</c:v>
                </c:pt>
                <c:pt idx="1">
                  <c:v>0</c:v>
                </c:pt>
                <c:pt idx="2">
                  <c:v>0.05</c:v>
                </c:pt>
                <c:pt idx="3">
                  <c:v>0.1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0.2</c:v>
                </c:pt>
                <c:pt idx="8">
                  <c:v>0.25</c:v>
                </c:pt>
                <c:pt idx="9">
                  <c:v>0.3</c:v>
                </c:pt>
                <c:pt idx="10">
                  <c:v>0.3</c:v>
                </c:pt>
                <c:pt idx="11">
                  <c:v>0.35</c:v>
                </c:pt>
                <c:pt idx="12">
                  <c:v>0.4</c:v>
                </c:pt>
                <c:pt idx="13">
                  <c:v>0.4</c:v>
                </c:pt>
                <c:pt idx="14">
                  <c:v>0.45</c:v>
                </c:pt>
                <c:pt idx="15">
                  <c:v>0.5</c:v>
                </c:pt>
                <c:pt idx="16">
                  <c:v>0.5</c:v>
                </c:pt>
                <c:pt idx="17">
                  <c:v>0.55</c:v>
                </c:pt>
                <c:pt idx="18">
                  <c:v>0.6</c:v>
                </c:pt>
                <c:pt idx="19">
                  <c:v>0.6</c:v>
                </c:pt>
                <c:pt idx="20">
                  <c:v>0.65</c:v>
                </c:pt>
                <c:pt idx="21">
                  <c:v>0.7</c:v>
                </c:pt>
                <c:pt idx="22">
                  <c:v>0.7</c:v>
                </c:pt>
                <c:pt idx="23">
                  <c:v>0.75</c:v>
                </c:pt>
                <c:pt idx="24">
                  <c:v>0.8</c:v>
                </c:pt>
                <c:pt idx="25">
                  <c:v>0.8</c:v>
                </c:pt>
                <c:pt idx="26">
                  <c:v>0.85</c:v>
                </c:pt>
                <c:pt idx="27">
                  <c:v>0.9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  <c:pt idx="31">
                  <c:v>1</c:v>
                </c:pt>
                <c:pt idx="32">
                  <c:v>1.05</c:v>
                </c:pt>
                <c:pt idx="33">
                  <c:v>1.1</c:v>
                </c:pt>
                <c:pt idx="34">
                  <c:v>1.1</c:v>
                </c:pt>
                <c:pt idx="35">
                  <c:v>1.15</c:v>
                </c:pt>
                <c:pt idx="36">
                  <c:v>1.2</c:v>
                </c:pt>
                <c:pt idx="37">
                  <c:v>1.2</c:v>
                </c:pt>
                <c:pt idx="38">
                  <c:v>1.25</c:v>
                </c:pt>
                <c:pt idx="39">
                  <c:v>1.3</c:v>
                </c:pt>
                <c:pt idx="40">
                  <c:v>1.3</c:v>
                </c:pt>
                <c:pt idx="41">
                  <c:v>1.35</c:v>
                </c:pt>
                <c:pt idx="42">
                  <c:v>1.4</c:v>
                </c:pt>
                <c:pt idx="43">
                  <c:v>1.4</c:v>
                </c:pt>
                <c:pt idx="44">
                  <c:v>1.45</c:v>
                </c:pt>
                <c:pt idx="45">
                  <c:v>1.5</c:v>
                </c:pt>
                <c:pt idx="46">
                  <c:v>1.5</c:v>
                </c:pt>
                <c:pt idx="47">
                  <c:v>1.55</c:v>
                </c:pt>
                <c:pt idx="48">
                  <c:v>1.6</c:v>
                </c:pt>
                <c:pt idx="49">
                  <c:v>1.6</c:v>
                </c:pt>
                <c:pt idx="50">
                  <c:v>1.65</c:v>
                </c:pt>
                <c:pt idx="51">
                  <c:v>1.7</c:v>
                </c:pt>
                <c:pt idx="52">
                  <c:v>1.7</c:v>
                </c:pt>
                <c:pt idx="53">
                  <c:v>1.75</c:v>
                </c:pt>
                <c:pt idx="54">
                  <c:v>1.8</c:v>
                </c:pt>
                <c:pt idx="55">
                  <c:v>1.8</c:v>
                </c:pt>
                <c:pt idx="56">
                  <c:v>1.85</c:v>
                </c:pt>
                <c:pt idx="57">
                  <c:v>1.9</c:v>
                </c:pt>
                <c:pt idx="58">
                  <c:v>1.9</c:v>
                </c:pt>
                <c:pt idx="59">
                  <c:v>1.95</c:v>
                </c:pt>
                <c:pt idx="60">
                  <c:v>2</c:v>
                </c:pt>
                <c:pt idx="61">
                  <c:v>2</c:v>
                </c:pt>
                <c:pt idx="62">
                  <c:v>2.05</c:v>
                </c:pt>
                <c:pt idx="63">
                  <c:v>2.1</c:v>
                </c:pt>
                <c:pt idx="64">
                  <c:v>2.1</c:v>
                </c:pt>
                <c:pt idx="65">
                  <c:v>2.15</c:v>
                </c:pt>
                <c:pt idx="66">
                  <c:v>2.2</c:v>
                </c:pt>
                <c:pt idx="67">
                  <c:v>2.2</c:v>
                </c:pt>
                <c:pt idx="68">
                  <c:v>2.25</c:v>
                </c:pt>
                <c:pt idx="69">
                  <c:v>2.3</c:v>
                </c:pt>
                <c:pt idx="70">
                  <c:v>2.3</c:v>
                </c:pt>
                <c:pt idx="71">
                  <c:v>2.35</c:v>
                </c:pt>
                <c:pt idx="72">
                  <c:v>2.4</c:v>
                </c:pt>
                <c:pt idx="73">
                  <c:v>2.4</c:v>
                </c:pt>
                <c:pt idx="74">
                  <c:v>2.45</c:v>
                </c:pt>
                <c:pt idx="75">
                  <c:v>2.5</c:v>
                </c:pt>
                <c:pt idx="76">
                  <c:v>2.5</c:v>
                </c:pt>
                <c:pt idx="77">
                  <c:v>2.55</c:v>
                </c:pt>
                <c:pt idx="78">
                  <c:v>2.6</c:v>
                </c:pt>
                <c:pt idx="79">
                  <c:v>2.6</c:v>
                </c:pt>
                <c:pt idx="80">
                  <c:v>2.65</c:v>
                </c:pt>
                <c:pt idx="81">
                  <c:v>2.7</c:v>
                </c:pt>
                <c:pt idx="82">
                  <c:v>2.7</c:v>
                </c:pt>
                <c:pt idx="83">
                  <c:v>2.75</c:v>
                </c:pt>
                <c:pt idx="84">
                  <c:v>2.8</c:v>
                </c:pt>
                <c:pt idx="85">
                  <c:v>2.8</c:v>
                </c:pt>
                <c:pt idx="86">
                  <c:v>2.85</c:v>
                </c:pt>
                <c:pt idx="87">
                  <c:v>2.9</c:v>
                </c:pt>
                <c:pt idx="88">
                  <c:v>2.9</c:v>
                </c:pt>
                <c:pt idx="89">
                  <c:v>2.95</c:v>
                </c:pt>
                <c:pt idx="90">
                  <c:v>3</c:v>
                </c:pt>
                <c:pt idx="91">
                  <c:v>3</c:v>
                </c:pt>
                <c:pt idx="92">
                  <c:v>3.05</c:v>
                </c:pt>
                <c:pt idx="93">
                  <c:v>3.1</c:v>
                </c:pt>
                <c:pt idx="94">
                  <c:v>3.1</c:v>
                </c:pt>
                <c:pt idx="95">
                  <c:v>3.15</c:v>
                </c:pt>
                <c:pt idx="96">
                  <c:v>3.2</c:v>
                </c:pt>
                <c:pt idx="97">
                  <c:v>3.2</c:v>
                </c:pt>
                <c:pt idx="98">
                  <c:v>3.25</c:v>
                </c:pt>
                <c:pt idx="99">
                  <c:v>3.3</c:v>
                </c:pt>
                <c:pt idx="100">
                  <c:v>3.3</c:v>
                </c:pt>
                <c:pt idx="101">
                  <c:v>3.35</c:v>
                </c:pt>
                <c:pt idx="102">
                  <c:v>3.4</c:v>
                </c:pt>
                <c:pt idx="103">
                  <c:v>3.4</c:v>
                </c:pt>
                <c:pt idx="104">
                  <c:v>3.45</c:v>
                </c:pt>
                <c:pt idx="105">
                  <c:v>3.5</c:v>
                </c:pt>
                <c:pt idx="106">
                  <c:v>3.5</c:v>
                </c:pt>
                <c:pt idx="107">
                  <c:v>3.55</c:v>
                </c:pt>
                <c:pt idx="108">
                  <c:v>3.6</c:v>
                </c:pt>
                <c:pt idx="109">
                  <c:v>3.6</c:v>
                </c:pt>
                <c:pt idx="110">
                  <c:v>3.65</c:v>
                </c:pt>
                <c:pt idx="111">
                  <c:v>3.7</c:v>
                </c:pt>
                <c:pt idx="112">
                  <c:v>3.7</c:v>
                </c:pt>
                <c:pt idx="113">
                  <c:v>3.75</c:v>
                </c:pt>
                <c:pt idx="114">
                  <c:v>3.8</c:v>
                </c:pt>
                <c:pt idx="115">
                  <c:v>3.8</c:v>
                </c:pt>
                <c:pt idx="116">
                  <c:v>3.85</c:v>
                </c:pt>
                <c:pt idx="117">
                  <c:v>3.9</c:v>
                </c:pt>
                <c:pt idx="118">
                  <c:v>3.9</c:v>
                </c:pt>
                <c:pt idx="119">
                  <c:v>3.95</c:v>
                </c:pt>
                <c:pt idx="120">
                  <c:v>4</c:v>
                </c:pt>
                <c:pt idx="121">
                  <c:v>4</c:v>
                </c:pt>
                <c:pt idx="122">
                  <c:v>4.05</c:v>
                </c:pt>
                <c:pt idx="123">
                  <c:v>4.1</c:v>
                </c:pt>
                <c:pt idx="124">
                  <c:v>4.1</c:v>
                </c:pt>
                <c:pt idx="125">
                  <c:v>4.15</c:v>
                </c:pt>
                <c:pt idx="126">
                  <c:v>4.2</c:v>
                </c:pt>
                <c:pt idx="127">
                  <c:v>4.2</c:v>
                </c:pt>
                <c:pt idx="128">
                  <c:v>4.25</c:v>
                </c:pt>
                <c:pt idx="129">
                  <c:v>4.3</c:v>
                </c:pt>
                <c:pt idx="130">
                  <c:v>4.3</c:v>
                </c:pt>
                <c:pt idx="131">
                  <c:v>4.35</c:v>
                </c:pt>
                <c:pt idx="132">
                  <c:v>4.4</c:v>
                </c:pt>
                <c:pt idx="133">
                  <c:v>4.4</c:v>
                </c:pt>
                <c:pt idx="134">
                  <c:v>4.45</c:v>
                </c:pt>
                <c:pt idx="135">
                  <c:v>4.5</c:v>
                </c:pt>
                <c:pt idx="136">
                  <c:v>4.5</c:v>
                </c:pt>
                <c:pt idx="137">
                  <c:v>4.55</c:v>
                </c:pt>
                <c:pt idx="138">
                  <c:v>4.6</c:v>
                </c:pt>
                <c:pt idx="139">
                  <c:v>4.6</c:v>
                </c:pt>
                <c:pt idx="140">
                  <c:v>4.65</c:v>
                </c:pt>
                <c:pt idx="141">
                  <c:v>4.7</c:v>
                </c:pt>
                <c:pt idx="142">
                  <c:v>4.7</c:v>
                </c:pt>
                <c:pt idx="143">
                  <c:v>4.75</c:v>
                </c:pt>
                <c:pt idx="144">
                  <c:v>4.8</c:v>
                </c:pt>
                <c:pt idx="145">
                  <c:v>4.8</c:v>
                </c:pt>
                <c:pt idx="146">
                  <c:v>4.85</c:v>
                </c:pt>
                <c:pt idx="147">
                  <c:v>4.9</c:v>
                </c:pt>
                <c:pt idx="148">
                  <c:v>4.9</c:v>
                </c:pt>
                <c:pt idx="149">
                  <c:v>4.95</c:v>
                </c:pt>
                <c:pt idx="150">
                  <c:v>5</c:v>
                </c:pt>
                <c:pt idx="151">
                  <c:v>5</c:v>
                </c:pt>
                <c:pt idx="152">
                  <c:v>5.05</c:v>
                </c:pt>
                <c:pt idx="153">
                  <c:v>5.1</c:v>
                </c:pt>
                <c:pt idx="154">
                  <c:v>5.1</c:v>
                </c:pt>
                <c:pt idx="155">
                  <c:v>5.15</c:v>
                </c:pt>
                <c:pt idx="156">
                  <c:v>5.2</c:v>
                </c:pt>
                <c:pt idx="157">
                  <c:v>5.2</c:v>
                </c:pt>
                <c:pt idx="158">
                  <c:v>5.25</c:v>
                </c:pt>
                <c:pt idx="159">
                  <c:v>5.3</c:v>
                </c:pt>
                <c:pt idx="160">
                  <c:v>5.3</c:v>
                </c:pt>
                <c:pt idx="161">
                  <c:v>5.35</c:v>
                </c:pt>
                <c:pt idx="162">
                  <c:v>5.4</c:v>
                </c:pt>
                <c:pt idx="163">
                  <c:v>5.4</c:v>
                </c:pt>
                <c:pt idx="164">
                  <c:v>5.45</c:v>
                </c:pt>
                <c:pt idx="165">
                  <c:v>5.5</c:v>
                </c:pt>
                <c:pt idx="166">
                  <c:v>5.5</c:v>
                </c:pt>
                <c:pt idx="167">
                  <c:v>5.55</c:v>
                </c:pt>
                <c:pt idx="168">
                  <c:v>5.6</c:v>
                </c:pt>
                <c:pt idx="169">
                  <c:v>5.65</c:v>
                </c:pt>
                <c:pt idx="170">
                  <c:v>5.65</c:v>
                </c:pt>
                <c:pt idx="171">
                  <c:v>5.7</c:v>
                </c:pt>
                <c:pt idx="172">
                  <c:v>5.75</c:v>
                </c:pt>
                <c:pt idx="173">
                  <c:v>5.75</c:v>
                </c:pt>
                <c:pt idx="174">
                  <c:v>5.8</c:v>
                </c:pt>
                <c:pt idx="175">
                  <c:v>5.85</c:v>
                </c:pt>
                <c:pt idx="176">
                  <c:v>5.85</c:v>
                </c:pt>
                <c:pt idx="177">
                  <c:v>5.9</c:v>
                </c:pt>
                <c:pt idx="178">
                  <c:v>5.95</c:v>
                </c:pt>
                <c:pt idx="179">
                  <c:v>5.95</c:v>
                </c:pt>
                <c:pt idx="180">
                  <c:v>6</c:v>
                </c:pt>
                <c:pt idx="181">
                  <c:v>6.05</c:v>
                </c:pt>
                <c:pt idx="182">
                  <c:v>6.05</c:v>
                </c:pt>
                <c:pt idx="183">
                  <c:v>6.1</c:v>
                </c:pt>
                <c:pt idx="184">
                  <c:v>6.15</c:v>
                </c:pt>
                <c:pt idx="185">
                  <c:v>6.15</c:v>
                </c:pt>
                <c:pt idx="186">
                  <c:v>6.2</c:v>
                </c:pt>
                <c:pt idx="187">
                  <c:v>6.25</c:v>
                </c:pt>
                <c:pt idx="188">
                  <c:v>6.25</c:v>
                </c:pt>
                <c:pt idx="189">
                  <c:v>6.3</c:v>
                </c:pt>
                <c:pt idx="190">
                  <c:v>6.35</c:v>
                </c:pt>
                <c:pt idx="191">
                  <c:v>6.35</c:v>
                </c:pt>
                <c:pt idx="192">
                  <c:v>6.4</c:v>
                </c:pt>
                <c:pt idx="193">
                  <c:v>6.45</c:v>
                </c:pt>
                <c:pt idx="194">
                  <c:v>6.45</c:v>
                </c:pt>
                <c:pt idx="195">
                  <c:v>6.5</c:v>
                </c:pt>
                <c:pt idx="196">
                  <c:v>6.55</c:v>
                </c:pt>
                <c:pt idx="197">
                  <c:v>6.55</c:v>
                </c:pt>
                <c:pt idx="198">
                  <c:v>6.6</c:v>
                </c:pt>
                <c:pt idx="199">
                  <c:v>6.65</c:v>
                </c:pt>
                <c:pt idx="200">
                  <c:v>6.65</c:v>
                </c:pt>
                <c:pt idx="201">
                  <c:v>6.7</c:v>
                </c:pt>
                <c:pt idx="202">
                  <c:v>6.75</c:v>
                </c:pt>
                <c:pt idx="203">
                  <c:v>6.75</c:v>
                </c:pt>
                <c:pt idx="204">
                  <c:v>6.8</c:v>
                </c:pt>
                <c:pt idx="205">
                  <c:v>6.85</c:v>
                </c:pt>
                <c:pt idx="206">
                  <c:v>6.85</c:v>
                </c:pt>
                <c:pt idx="207">
                  <c:v>6.9</c:v>
                </c:pt>
                <c:pt idx="208">
                  <c:v>6.95</c:v>
                </c:pt>
                <c:pt idx="209">
                  <c:v>6.95</c:v>
                </c:pt>
                <c:pt idx="210">
                  <c:v>7</c:v>
                </c:pt>
                <c:pt idx="211">
                  <c:v>7.05</c:v>
                </c:pt>
                <c:pt idx="212">
                  <c:v>7.05</c:v>
                </c:pt>
                <c:pt idx="213">
                  <c:v>7.1</c:v>
                </c:pt>
                <c:pt idx="214">
                  <c:v>7.15</c:v>
                </c:pt>
                <c:pt idx="215">
                  <c:v>7.15</c:v>
                </c:pt>
                <c:pt idx="216">
                  <c:v>7.2</c:v>
                </c:pt>
                <c:pt idx="217">
                  <c:v>7.25</c:v>
                </c:pt>
                <c:pt idx="218">
                  <c:v>7.25</c:v>
                </c:pt>
                <c:pt idx="219">
                  <c:v>7.3</c:v>
                </c:pt>
                <c:pt idx="220">
                  <c:v>7.35</c:v>
                </c:pt>
                <c:pt idx="221">
                  <c:v>7.35</c:v>
                </c:pt>
                <c:pt idx="222">
                  <c:v>7.4</c:v>
                </c:pt>
                <c:pt idx="223">
                  <c:v>7.45</c:v>
                </c:pt>
                <c:pt idx="224">
                  <c:v>7.45</c:v>
                </c:pt>
                <c:pt idx="225">
                  <c:v>7.5</c:v>
                </c:pt>
                <c:pt idx="226">
                  <c:v>7.55</c:v>
                </c:pt>
                <c:pt idx="227">
                  <c:v>7.55</c:v>
                </c:pt>
                <c:pt idx="228">
                  <c:v>7.6</c:v>
                </c:pt>
                <c:pt idx="229">
                  <c:v>7.65</c:v>
                </c:pt>
                <c:pt idx="230">
                  <c:v>7.65</c:v>
                </c:pt>
                <c:pt idx="231">
                  <c:v>7.7</c:v>
                </c:pt>
                <c:pt idx="232">
                  <c:v>7.75</c:v>
                </c:pt>
                <c:pt idx="233">
                  <c:v>7.75</c:v>
                </c:pt>
                <c:pt idx="234">
                  <c:v>7.8</c:v>
                </c:pt>
                <c:pt idx="235">
                  <c:v>7.85</c:v>
                </c:pt>
                <c:pt idx="236">
                  <c:v>7.85</c:v>
                </c:pt>
                <c:pt idx="237">
                  <c:v>7.9</c:v>
                </c:pt>
                <c:pt idx="238">
                  <c:v>7.95</c:v>
                </c:pt>
                <c:pt idx="239">
                  <c:v>7.95</c:v>
                </c:pt>
                <c:pt idx="240">
                  <c:v>8</c:v>
                </c:pt>
                <c:pt idx="241">
                  <c:v>8.05</c:v>
                </c:pt>
                <c:pt idx="242">
                  <c:v>8.05</c:v>
                </c:pt>
                <c:pt idx="243">
                  <c:v>8.1</c:v>
                </c:pt>
                <c:pt idx="244">
                  <c:v>8.15</c:v>
                </c:pt>
                <c:pt idx="245">
                  <c:v>8.15</c:v>
                </c:pt>
                <c:pt idx="246">
                  <c:v>8.2</c:v>
                </c:pt>
                <c:pt idx="247">
                  <c:v>8.25</c:v>
                </c:pt>
                <c:pt idx="248">
                  <c:v>8.25</c:v>
                </c:pt>
                <c:pt idx="249">
                  <c:v>8.3</c:v>
                </c:pt>
                <c:pt idx="250">
                  <c:v>8.35</c:v>
                </c:pt>
                <c:pt idx="251">
                  <c:v>8.35</c:v>
                </c:pt>
                <c:pt idx="252">
                  <c:v>8.4</c:v>
                </c:pt>
                <c:pt idx="253">
                  <c:v>8.45</c:v>
                </c:pt>
                <c:pt idx="254">
                  <c:v>8.45</c:v>
                </c:pt>
                <c:pt idx="255">
                  <c:v>8.5</c:v>
                </c:pt>
                <c:pt idx="256">
                  <c:v>8.55</c:v>
                </c:pt>
                <c:pt idx="257">
                  <c:v>8.55</c:v>
                </c:pt>
                <c:pt idx="258">
                  <c:v>8.6</c:v>
                </c:pt>
                <c:pt idx="259">
                  <c:v>8.65</c:v>
                </c:pt>
                <c:pt idx="260">
                  <c:v>8.65</c:v>
                </c:pt>
                <c:pt idx="261">
                  <c:v>8.7</c:v>
                </c:pt>
                <c:pt idx="262">
                  <c:v>8.75</c:v>
                </c:pt>
                <c:pt idx="263">
                  <c:v>8.75</c:v>
                </c:pt>
                <c:pt idx="264">
                  <c:v>8.8</c:v>
                </c:pt>
                <c:pt idx="265">
                  <c:v>8.85</c:v>
                </c:pt>
                <c:pt idx="266">
                  <c:v>8.85</c:v>
                </c:pt>
                <c:pt idx="267">
                  <c:v>8.9</c:v>
                </c:pt>
                <c:pt idx="268">
                  <c:v>8.95</c:v>
                </c:pt>
                <c:pt idx="269">
                  <c:v>8.95</c:v>
                </c:pt>
                <c:pt idx="270">
                  <c:v>9</c:v>
                </c:pt>
                <c:pt idx="271">
                  <c:v>9.05</c:v>
                </c:pt>
                <c:pt idx="272">
                  <c:v>9.05</c:v>
                </c:pt>
                <c:pt idx="273">
                  <c:v>9.1</c:v>
                </c:pt>
                <c:pt idx="274">
                  <c:v>9.15</c:v>
                </c:pt>
                <c:pt idx="275">
                  <c:v>9.15</c:v>
                </c:pt>
                <c:pt idx="276">
                  <c:v>9.2</c:v>
                </c:pt>
                <c:pt idx="277">
                  <c:v>9.25</c:v>
                </c:pt>
                <c:pt idx="278">
                  <c:v>9.25</c:v>
                </c:pt>
                <c:pt idx="279">
                  <c:v>9.3</c:v>
                </c:pt>
                <c:pt idx="280">
                  <c:v>9.35</c:v>
                </c:pt>
                <c:pt idx="281">
                  <c:v>9.35</c:v>
                </c:pt>
                <c:pt idx="282">
                  <c:v>9.4</c:v>
                </c:pt>
                <c:pt idx="283">
                  <c:v>9.45</c:v>
                </c:pt>
                <c:pt idx="284">
                  <c:v>9.45</c:v>
                </c:pt>
                <c:pt idx="285">
                  <c:v>9.5</c:v>
                </c:pt>
                <c:pt idx="286">
                  <c:v>9.55</c:v>
                </c:pt>
                <c:pt idx="287">
                  <c:v>9.55</c:v>
                </c:pt>
                <c:pt idx="288">
                  <c:v>9.6</c:v>
                </c:pt>
                <c:pt idx="289">
                  <c:v>9.65</c:v>
                </c:pt>
                <c:pt idx="290">
                  <c:v>9.65</c:v>
                </c:pt>
                <c:pt idx="291">
                  <c:v>9.7</c:v>
                </c:pt>
                <c:pt idx="292">
                  <c:v>9.75</c:v>
                </c:pt>
                <c:pt idx="293">
                  <c:v>9.75</c:v>
                </c:pt>
                <c:pt idx="294">
                  <c:v>9.8</c:v>
                </c:pt>
                <c:pt idx="295">
                  <c:v>9.85</c:v>
                </c:pt>
                <c:pt idx="296">
                  <c:v>9.85</c:v>
                </c:pt>
                <c:pt idx="297">
                  <c:v>9.9</c:v>
                </c:pt>
                <c:pt idx="298">
                  <c:v>9.95</c:v>
                </c:pt>
                <c:pt idx="299">
                  <c:v>9.95</c:v>
                </c:pt>
                <c:pt idx="300">
                  <c:v>10</c:v>
                </c:pt>
                <c:pt idx="301">
                  <c:v>10.05</c:v>
                </c:pt>
                <c:pt idx="302">
                  <c:v>10.05</c:v>
                </c:pt>
                <c:pt idx="303">
                  <c:v>10.1</c:v>
                </c:pt>
                <c:pt idx="304">
                  <c:v>10.15</c:v>
                </c:pt>
                <c:pt idx="305">
                  <c:v>10.15</c:v>
                </c:pt>
                <c:pt idx="306">
                  <c:v>10.2</c:v>
                </c:pt>
                <c:pt idx="307">
                  <c:v>10.25</c:v>
                </c:pt>
                <c:pt idx="308">
                  <c:v>10.25</c:v>
                </c:pt>
                <c:pt idx="309">
                  <c:v>10.3</c:v>
                </c:pt>
                <c:pt idx="310">
                  <c:v>10.35</c:v>
                </c:pt>
                <c:pt idx="311">
                  <c:v>10.35</c:v>
                </c:pt>
                <c:pt idx="312">
                  <c:v>10.4</c:v>
                </c:pt>
                <c:pt idx="313">
                  <c:v>10.45</c:v>
                </c:pt>
                <c:pt idx="314">
                  <c:v>10.45</c:v>
                </c:pt>
                <c:pt idx="315">
                  <c:v>10.5</c:v>
                </c:pt>
                <c:pt idx="316">
                  <c:v>10.55</c:v>
                </c:pt>
                <c:pt idx="317">
                  <c:v>10.55</c:v>
                </c:pt>
                <c:pt idx="318">
                  <c:v>10.6</c:v>
                </c:pt>
                <c:pt idx="319">
                  <c:v>10.65</c:v>
                </c:pt>
                <c:pt idx="320">
                  <c:v>10.65</c:v>
                </c:pt>
                <c:pt idx="321">
                  <c:v>10.7</c:v>
                </c:pt>
                <c:pt idx="322">
                  <c:v>10.75</c:v>
                </c:pt>
                <c:pt idx="323">
                  <c:v>10.75</c:v>
                </c:pt>
                <c:pt idx="324">
                  <c:v>10.8</c:v>
                </c:pt>
                <c:pt idx="325">
                  <c:v>10.85</c:v>
                </c:pt>
                <c:pt idx="326">
                  <c:v>10.85</c:v>
                </c:pt>
                <c:pt idx="327">
                  <c:v>10.9</c:v>
                </c:pt>
                <c:pt idx="328">
                  <c:v>10.95</c:v>
                </c:pt>
                <c:pt idx="329">
                  <c:v>10.95</c:v>
                </c:pt>
                <c:pt idx="330">
                  <c:v>11</c:v>
                </c:pt>
                <c:pt idx="331">
                  <c:v>11.05</c:v>
                </c:pt>
                <c:pt idx="332">
                  <c:v>11.05</c:v>
                </c:pt>
                <c:pt idx="333">
                  <c:v>11.1</c:v>
                </c:pt>
                <c:pt idx="334">
                  <c:v>11.15</c:v>
                </c:pt>
                <c:pt idx="335">
                  <c:v>11.15</c:v>
                </c:pt>
                <c:pt idx="336">
                  <c:v>11.2</c:v>
                </c:pt>
                <c:pt idx="337">
                  <c:v>11.25</c:v>
                </c:pt>
                <c:pt idx="338">
                  <c:v>11.25</c:v>
                </c:pt>
                <c:pt idx="339">
                  <c:v>11.3</c:v>
                </c:pt>
                <c:pt idx="340">
                  <c:v>11.35</c:v>
                </c:pt>
                <c:pt idx="341">
                  <c:v>11.4</c:v>
                </c:pt>
                <c:pt idx="342">
                  <c:v>11.4</c:v>
                </c:pt>
                <c:pt idx="343">
                  <c:v>11.45</c:v>
                </c:pt>
                <c:pt idx="344">
                  <c:v>11.5</c:v>
                </c:pt>
                <c:pt idx="345">
                  <c:v>11.5</c:v>
                </c:pt>
                <c:pt idx="346">
                  <c:v>11.55</c:v>
                </c:pt>
                <c:pt idx="347">
                  <c:v>11.6</c:v>
                </c:pt>
                <c:pt idx="348">
                  <c:v>11.6</c:v>
                </c:pt>
                <c:pt idx="349">
                  <c:v>11.65</c:v>
                </c:pt>
                <c:pt idx="350">
                  <c:v>11.7</c:v>
                </c:pt>
                <c:pt idx="351">
                  <c:v>11.7</c:v>
                </c:pt>
                <c:pt idx="352">
                  <c:v>11.75</c:v>
                </c:pt>
                <c:pt idx="353">
                  <c:v>11.8</c:v>
                </c:pt>
                <c:pt idx="354">
                  <c:v>11.8</c:v>
                </c:pt>
                <c:pt idx="355">
                  <c:v>11.85</c:v>
                </c:pt>
                <c:pt idx="356">
                  <c:v>11.9</c:v>
                </c:pt>
                <c:pt idx="357">
                  <c:v>11.9</c:v>
                </c:pt>
                <c:pt idx="358">
                  <c:v>11.95</c:v>
                </c:pt>
                <c:pt idx="359">
                  <c:v>12</c:v>
                </c:pt>
                <c:pt idx="360">
                  <c:v>12</c:v>
                </c:pt>
                <c:pt idx="361">
                  <c:v>12.05</c:v>
                </c:pt>
                <c:pt idx="362">
                  <c:v>12.1</c:v>
                </c:pt>
                <c:pt idx="363">
                  <c:v>12.1</c:v>
                </c:pt>
                <c:pt idx="364">
                  <c:v>12.15</c:v>
                </c:pt>
                <c:pt idx="365">
                  <c:v>12.2</c:v>
                </c:pt>
                <c:pt idx="366">
                  <c:v>12.2</c:v>
                </c:pt>
                <c:pt idx="367">
                  <c:v>12.25</c:v>
                </c:pt>
                <c:pt idx="368">
                  <c:v>12.3</c:v>
                </c:pt>
                <c:pt idx="369">
                  <c:v>12.3</c:v>
                </c:pt>
                <c:pt idx="370">
                  <c:v>12.35</c:v>
                </c:pt>
                <c:pt idx="371">
                  <c:v>12.4</c:v>
                </c:pt>
                <c:pt idx="372">
                  <c:v>12.4</c:v>
                </c:pt>
                <c:pt idx="373">
                  <c:v>12.45</c:v>
                </c:pt>
                <c:pt idx="374">
                  <c:v>12.5</c:v>
                </c:pt>
                <c:pt idx="375">
                  <c:v>12.5</c:v>
                </c:pt>
                <c:pt idx="376">
                  <c:v>12.55</c:v>
                </c:pt>
                <c:pt idx="377">
                  <c:v>12.6</c:v>
                </c:pt>
                <c:pt idx="378">
                  <c:v>12.6</c:v>
                </c:pt>
                <c:pt idx="379">
                  <c:v>12.65</c:v>
                </c:pt>
                <c:pt idx="380">
                  <c:v>12.7</c:v>
                </c:pt>
                <c:pt idx="381">
                  <c:v>12.7</c:v>
                </c:pt>
                <c:pt idx="382">
                  <c:v>12.75</c:v>
                </c:pt>
                <c:pt idx="383">
                  <c:v>12.8</c:v>
                </c:pt>
                <c:pt idx="384">
                  <c:v>12.8</c:v>
                </c:pt>
                <c:pt idx="385">
                  <c:v>12.85</c:v>
                </c:pt>
                <c:pt idx="386">
                  <c:v>12.9</c:v>
                </c:pt>
                <c:pt idx="387">
                  <c:v>12.9</c:v>
                </c:pt>
                <c:pt idx="388">
                  <c:v>12.95</c:v>
                </c:pt>
                <c:pt idx="389">
                  <c:v>13</c:v>
                </c:pt>
                <c:pt idx="390">
                  <c:v>13</c:v>
                </c:pt>
                <c:pt idx="391">
                  <c:v>13.05</c:v>
                </c:pt>
                <c:pt idx="392">
                  <c:v>13.1</c:v>
                </c:pt>
                <c:pt idx="393">
                  <c:v>13.1</c:v>
                </c:pt>
                <c:pt idx="394">
                  <c:v>13.15</c:v>
                </c:pt>
                <c:pt idx="395">
                  <c:v>13.2</c:v>
                </c:pt>
                <c:pt idx="396">
                  <c:v>13.2</c:v>
                </c:pt>
                <c:pt idx="397">
                  <c:v>13.25</c:v>
                </c:pt>
                <c:pt idx="398">
                  <c:v>13.3</c:v>
                </c:pt>
                <c:pt idx="399">
                  <c:v>13.3</c:v>
                </c:pt>
                <c:pt idx="400">
                  <c:v>13.35</c:v>
                </c:pt>
                <c:pt idx="401">
                  <c:v>13.4</c:v>
                </c:pt>
                <c:pt idx="402">
                  <c:v>13.4</c:v>
                </c:pt>
                <c:pt idx="403">
                  <c:v>13.45</c:v>
                </c:pt>
                <c:pt idx="404">
                  <c:v>13.5</c:v>
                </c:pt>
                <c:pt idx="405">
                  <c:v>13.5</c:v>
                </c:pt>
                <c:pt idx="406">
                  <c:v>13.55</c:v>
                </c:pt>
                <c:pt idx="407">
                  <c:v>13.6</c:v>
                </c:pt>
                <c:pt idx="408">
                  <c:v>13.6</c:v>
                </c:pt>
                <c:pt idx="409">
                  <c:v>13.65</c:v>
                </c:pt>
                <c:pt idx="410">
                  <c:v>13.7</c:v>
                </c:pt>
                <c:pt idx="411">
                  <c:v>13.7</c:v>
                </c:pt>
                <c:pt idx="412">
                  <c:v>13.75</c:v>
                </c:pt>
                <c:pt idx="413">
                  <c:v>13.8</c:v>
                </c:pt>
                <c:pt idx="414">
                  <c:v>13.8</c:v>
                </c:pt>
                <c:pt idx="415">
                  <c:v>13.85</c:v>
                </c:pt>
                <c:pt idx="416">
                  <c:v>13.9</c:v>
                </c:pt>
                <c:pt idx="417">
                  <c:v>13.9</c:v>
                </c:pt>
                <c:pt idx="418">
                  <c:v>13.95</c:v>
                </c:pt>
                <c:pt idx="419">
                  <c:v>14</c:v>
                </c:pt>
                <c:pt idx="420">
                  <c:v>14</c:v>
                </c:pt>
                <c:pt idx="421">
                  <c:v>14.05</c:v>
                </c:pt>
                <c:pt idx="422">
                  <c:v>14.1</c:v>
                </c:pt>
                <c:pt idx="423">
                  <c:v>14.1</c:v>
                </c:pt>
                <c:pt idx="424">
                  <c:v>14.15</c:v>
                </c:pt>
                <c:pt idx="425">
                  <c:v>14.2</c:v>
                </c:pt>
                <c:pt idx="426">
                  <c:v>14.2</c:v>
                </c:pt>
                <c:pt idx="427">
                  <c:v>14.25</c:v>
                </c:pt>
                <c:pt idx="428">
                  <c:v>14.3</c:v>
                </c:pt>
                <c:pt idx="429">
                  <c:v>14.3</c:v>
                </c:pt>
                <c:pt idx="430">
                  <c:v>14.35</c:v>
                </c:pt>
                <c:pt idx="431">
                  <c:v>14.4</c:v>
                </c:pt>
                <c:pt idx="432">
                  <c:v>14.4</c:v>
                </c:pt>
                <c:pt idx="433">
                  <c:v>14.45</c:v>
                </c:pt>
                <c:pt idx="434">
                  <c:v>14.5</c:v>
                </c:pt>
                <c:pt idx="435">
                  <c:v>14.5</c:v>
                </c:pt>
                <c:pt idx="436">
                  <c:v>14.55</c:v>
                </c:pt>
                <c:pt idx="437">
                  <c:v>14.6</c:v>
                </c:pt>
                <c:pt idx="438">
                  <c:v>14.6</c:v>
                </c:pt>
                <c:pt idx="439">
                  <c:v>14.65</c:v>
                </c:pt>
                <c:pt idx="440">
                  <c:v>14.7</c:v>
                </c:pt>
                <c:pt idx="441">
                  <c:v>14.7</c:v>
                </c:pt>
                <c:pt idx="442">
                  <c:v>14.75</c:v>
                </c:pt>
                <c:pt idx="443">
                  <c:v>14.8</c:v>
                </c:pt>
                <c:pt idx="444">
                  <c:v>14.8</c:v>
                </c:pt>
                <c:pt idx="445">
                  <c:v>14.85</c:v>
                </c:pt>
                <c:pt idx="446">
                  <c:v>14.9</c:v>
                </c:pt>
                <c:pt idx="447">
                  <c:v>14.9</c:v>
                </c:pt>
                <c:pt idx="448">
                  <c:v>14.95</c:v>
                </c:pt>
                <c:pt idx="449">
                  <c:v>15</c:v>
                </c:pt>
                <c:pt idx="450">
                  <c:v>15</c:v>
                </c:pt>
                <c:pt idx="451">
                  <c:v>15.05</c:v>
                </c:pt>
                <c:pt idx="452">
                  <c:v>15.1</c:v>
                </c:pt>
                <c:pt idx="453">
                  <c:v>15.1</c:v>
                </c:pt>
                <c:pt idx="454">
                  <c:v>15.15</c:v>
                </c:pt>
                <c:pt idx="455">
                  <c:v>15.2</c:v>
                </c:pt>
                <c:pt idx="456">
                  <c:v>15.2</c:v>
                </c:pt>
                <c:pt idx="457">
                  <c:v>15.25</c:v>
                </c:pt>
                <c:pt idx="458">
                  <c:v>15.3</c:v>
                </c:pt>
                <c:pt idx="459">
                  <c:v>15.3</c:v>
                </c:pt>
                <c:pt idx="460">
                  <c:v>15.35</c:v>
                </c:pt>
                <c:pt idx="461">
                  <c:v>15.4</c:v>
                </c:pt>
                <c:pt idx="462">
                  <c:v>15.4</c:v>
                </c:pt>
                <c:pt idx="463">
                  <c:v>15.45</c:v>
                </c:pt>
                <c:pt idx="464">
                  <c:v>15.5</c:v>
                </c:pt>
                <c:pt idx="465">
                  <c:v>15.5</c:v>
                </c:pt>
                <c:pt idx="466">
                  <c:v>15.55</c:v>
                </c:pt>
                <c:pt idx="467">
                  <c:v>15.6</c:v>
                </c:pt>
                <c:pt idx="468">
                  <c:v>15.6</c:v>
                </c:pt>
                <c:pt idx="469">
                  <c:v>15.65</c:v>
                </c:pt>
                <c:pt idx="470">
                  <c:v>15.7</c:v>
                </c:pt>
                <c:pt idx="471">
                  <c:v>15.7</c:v>
                </c:pt>
                <c:pt idx="472">
                  <c:v>15.75</c:v>
                </c:pt>
                <c:pt idx="473">
                  <c:v>15.8</c:v>
                </c:pt>
                <c:pt idx="474">
                  <c:v>15.8</c:v>
                </c:pt>
                <c:pt idx="475">
                  <c:v>15.85</c:v>
                </c:pt>
                <c:pt idx="476">
                  <c:v>15.9</c:v>
                </c:pt>
                <c:pt idx="477">
                  <c:v>15.9</c:v>
                </c:pt>
                <c:pt idx="478">
                  <c:v>15.95</c:v>
                </c:pt>
                <c:pt idx="479">
                  <c:v>16</c:v>
                </c:pt>
                <c:pt idx="480">
                  <c:v>16</c:v>
                </c:pt>
                <c:pt idx="481">
                  <c:v>16.05</c:v>
                </c:pt>
                <c:pt idx="482">
                  <c:v>16.1</c:v>
                </c:pt>
                <c:pt idx="483">
                  <c:v>16.1</c:v>
                </c:pt>
                <c:pt idx="484">
                  <c:v>16.15</c:v>
                </c:pt>
                <c:pt idx="485">
                  <c:v>16.2</c:v>
                </c:pt>
                <c:pt idx="486">
                  <c:v>16.2</c:v>
                </c:pt>
                <c:pt idx="487">
                  <c:v>16.25</c:v>
                </c:pt>
                <c:pt idx="488">
                  <c:v>16.3</c:v>
                </c:pt>
                <c:pt idx="489">
                  <c:v>16.3</c:v>
                </c:pt>
                <c:pt idx="490">
                  <c:v>16.35</c:v>
                </c:pt>
                <c:pt idx="491">
                  <c:v>16.4</c:v>
                </c:pt>
                <c:pt idx="492">
                  <c:v>16.4</c:v>
                </c:pt>
                <c:pt idx="493">
                  <c:v>16.45</c:v>
                </c:pt>
                <c:pt idx="494">
                  <c:v>16.5</c:v>
                </c:pt>
                <c:pt idx="495">
                  <c:v>16.5</c:v>
                </c:pt>
                <c:pt idx="496">
                  <c:v>16.55</c:v>
                </c:pt>
                <c:pt idx="497">
                  <c:v>16.6</c:v>
                </c:pt>
                <c:pt idx="498">
                  <c:v>16.6</c:v>
                </c:pt>
                <c:pt idx="499">
                  <c:v>16.65</c:v>
                </c:pt>
                <c:pt idx="500">
                  <c:v>16.7</c:v>
                </c:pt>
                <c:pt idx="501">
                  <c:v>16.7</c:v>
                </c:pt>
                <c:pt idx="502">
                  <c:v>16.75</c:v>
                </c:pt>
                <c:pt idx="503">
                  <c:v>16.8</c:v>
                </c:pt>
                <c:pt idx="504">
                  <c:v>16.8</c:v>
                </c:pt>
                <c:pt idx="505">
                  <c:v>16.85</c:v>
                </c:pt>
                <c:pt idx="506">
                  <c:v>16.9</c:v>
                </c:pt>
                <c:pt idx="507">
                  <c:v>16.9</c:v>
                </c:pt>
                <c:pt idx="508">
                  <c:v>16.95</c:v>
                </c:pt>
                <c:pt idx="509">
                  <c:v>17</c:v>
                </c:pt>
                <c:pt idx="510">
                  <c:v>17</c:v>
                </c:pt>
                <c:pt idx="511">
                  <c:v>17.05</c:v>
                </c:pt>
                <c:pt idx="512">
                  <c:v>17.1</c:v>
                </c:pt>
                <c:pt idx="513">
                  <c:v>17.15</c:v>
                </c:pt>
                <c:pt idx="514">
                  <c:v>17.15</c:v>
                </c:pt>
                <c:pt idx="515">
                  <c:v>17.2</c:v>
                </c:pt>
                <c:pt idx="516">
                  <c:v>17.25</c:v>
                </c:pt>
                <c:pt idx="517">
                  <c:v>17.25</c:v>
                </c:pt>
                <c:pt idx="518">
                  <c:v>17.3</c:v>
                </c:pt>
                <c:pt idx="519">
                  <c:v>17.35</c:v>
                </c:pt>
                <c:pt idx="520">
                  <c:v>17.35</c:v>
                </c:pt>
                <c:pt idx="521">
                  <c:v>17.4</c:v>
                </c:pt>
                <c:pt idx="522">
                  <c:v>17.45</c:v>
                </c:pt>
                <c:pt idx="523">
                  <c:v>17.45</c:v>
                </c:pt>
                <c:pt idx="524">
                  <c:v>17.5</c:v>
                </c:pt>
                <c:pt idx="525">
                  <c:v>17.55</c:v>
                </c:pt>
                <c:pt idx="526">
                  <c:v>17.55</c:v>
                </c:pt>
                <c:pt idx="527">
                  <c:v>17.6</c:v>
                </c:pt>
                <c:pt idx="528">
                  <c:v>17.65</c:v>
                </c:pt>
                <c:pt idx="529">
                  <c:v>17.65</c:v>
                </c:pt>
                <c:pt idx="530">
                  <c:v>17.7</c:v>
                </c:pt>
                <c:pt idx="531">
                  <c:v>17.75</c:v>
                </c:pt>
                <c:pt idx="532">
                  <c:v>17.75</c:v>
                </c:pt>
                <c:pt idx="533">
                  <c:v>17.8</c:v>
                </c:pt>
                <c:pt idx="534">
                  <c:v>17.85</c:v>
                </c:pt>
                <c:pt idx="535">
                  <c:v>17.85</c:v>
                </c:pt>
                <c:pt idx="536">
                  <c:v>17.9</c:v>
                </c:pt>
                <c:pt idx="537">
                  <c:v>17.95</c:v>
                </c:pt>
                <c:pt idx="538">
                  <c:v>17.95</c:v>
                </c:pt>
                <c:pt idx="539">
                  <c:v>18</c:v>
                </c:pt>
                <c:pt idx="540">
                  <c:v>18.05</c:v>
                </c:pt>
                <c:pt idx="541">
                  <c:v>18.05</c:v>
                </c:pt>
                <c:pt idx="542">
                  <c:v>18.1</c:v>
                </c:pt>
                <c:pt idx="543">
                  <c:v>18.15</c:v>
                </c:pt>
                <c:pt idx="544">
                  <c:v>18.15</c:v>
                </c:pt>
                <c:pt idx="545">
                  <c:v>18.2</c:v>
                </c:pt>
                <c:pt idx="546">
                  <c:v>18.25</c:v>
                </c:pt>
                <c:pt idx="547">
                  <c:v>18.25</c:v>
                </c:pt>
                <c:pt idx="548">
                  <c:v>18.3</c:v>
                </c:pt>
                <c:pt idx="549">
                  <c:v>18.35</c:v>
                </c:pt>
                <c:pt idx="550">
                  <c:v>18.35</c:v>
                </c:pt>
                <c:pt idx="551">
                  <c:v>18.4</c:v>
                </c:pt>
                <c:pt idx="552">
                  <c:v>18.45</c:v>
                </c:pt>
                <c:pt idx="553">
                  <c:v>18.45</c:v>
                </c:pt>
                <c:pt idx="554">
                  <c:v>18.5</c:v>
                </c:pt>
                <c:pt idx="555">
                  <c:v>18.55</c:v>
                </c:pt>
                <c:pt idx="556">
                  <c:v>18.55</c:v>
                </c:pt>
                <c:pt idx="557">
                  <c:v>18.6</c:v>
                </c:pt>
                <c:pt idx="558">
                  <c:v>18.65</c:v>
                </c:pt>
                <c:pt idx="559">
                  <c:v>18.65</c:v>
                </c:pt>
                <c:pt idx="560">
                  <c:v>18.7</c:v>
                </c:pt>
                <c:pt idx="561">
                  <c:v>18.75</c:v>
                </c:pt>
                <c:pt idx="562">
                  <c:v>18.75</c:v>
                </c:pt>
                <c:pt idx="563">
                  <c:v>18.8</c:v>
                </c:pt>
                <c:pt idx="564">
                  <c:v>18.85</c:v>
                </c:pt>
                <c:pt idx="565">
                  <c:v>18.85</c:v>
                </c:pt>
                <c:pt idx="566">
                  <c:v>18.9</c:v>
                </c:pt>
                <c:pt idx="567">
                  <c:v>18.95</c:v>
                </c:pt>
                <c:pt idx="568">
                  <c:v>18.95</c:v>
                </c:pt>
                <c:pt idx="569">
                  <c:v>19</c:v>
                </c:pt>
                <c:pt idx="570">
                  <c:v>19.05</c:v>
                </c:pt>
                <c:pt idx="571">
                  <c:v>19.05</c:v>
                </c:pt>
                <c:pt idx="572">
                  <c:v>19.1</c:v>
                </c:pt>
                <c:pt idx="573">
                  <c:v>19.15</c:v>
                </c:pt>
                <c:pt idx="574">
                  <c:v>19.15</c:v>
                </c:pt>
                <c:pt idx="575">
                  <c:v>19.2</c:v>
                </c:pt>
                <c:pt idx="576">
                  <c:v>19.25</c:v>
                </c:pt>
                <c:pt idx="577">
                  <c:v>19.25</c:v>
                </c:pt>
                <c:pt idx="578">
                  <c:v>19.3</c:v>
                </c:pt>
                <c:pt idx="579">
                  <c:v>19.35</c:v>
                </c:pt>
                <c:pt idx="580">
                  <c:v>19.35</c:v>
                </c:pt>
                <c:pt idx="581">
                  <c:v>19.4</c:v>
                </c:pt>
                <c:pt idx="582">
                  <c:v>19.45</c:v>
                </c:pt>
                <c:pt idx="583">
                  <c:v>19.45</c:v>
                </c:pt>
                <c:pt idx="584">
                  <c:v>19.5</c:v>
                </c:pt>
                <c:pt idx="585">
                  <c:v>19.55</c:v>
                </c:pt>
                <c:pt idx="586">
                  <c:v>19.55</c:v>
                </c:pt>
                <c:pt idx="587">
                  <c:v>19.6</c:v>
                </c:pt>
                <c:pt idx="588">
                  <c:v>19.65</c:v>
                </c:pt>
                <c:pt idx="589">
                  <c:v>19.65</c:v>
                </c:pt>
                <c:pt idx="590">
                  <c:v>19.7</c:v>
                </c:pt>
                <c:pt idx="591">
                  <c:v>19.75</c:v>
                </c:pt>
                <c:pt idx="592">
                  <c:v>19.75</c:v>
                </c:pt>
                <c:pt idx="593">
                  <c:v>19.8</c:v>
                </c:pt>
                <c:pt idx="594">
                  <c:v>19.85</c:v>
                </c:pt>
                <c:pt idx="595">
                  <c:v>19.85</c:v>
                </c:pt>
                <c:pt idx="596">
                  <c:v>19.9</c:v>
                </c:pt>
                <c:pt idx="597">
                  <c:v>19.95</c:v>
                </c:pt>
                <c:pt idx="598">
                  <c:v>19.95</c:v>
                </c:pt>
                <c:pt idx="599">
                  <c:v>20</c:v>
                </c:pt>
                <c:pt idx="600">
                  <c:v>20.05</c:v>
                </c:pt>
                <c:pt idx="601">
                  <c:v>20.05</c:v>
                </c:pt>
                <c:pt idx="602">
                  <c:v>20.1</c:v>
                </c:pt>
                <c:pt idx="603">
                  <c:v>20.15</c:v>
                </c:pt>
                <c:pt idx="604">
                  <c:v>20.15</c:v>
                </c:pt>
                <c:pt idx="605">
                  <c:v>20.2</c:v>
                </c:pt>
                <c:pt idx="606">
                  <c:v>20.25</c:v>
                </c:pt>
                <c:pt idx="607">
                  <c:v>20.25</c:v>
                </c:pt>
                <c:pt idx="608">
                  <c:v>20.3</c:v>
                </c:pt>
                <c:pt idx="609">
                  <c:v>20.35</c:v>
                </c:pt>
                <c:pt idx="610">
                  <c:v>20.35</c:v>
                </c:pt>
                <c:pt idx="611">
                  <c:v>20.4</c:v>
                </c:pt>
                <c:pt idx="612">
                  <c:v>20.45</c:v>
                </c:pt>
                <c:pt idx="613">
                  <c:v>20.45</c:v>
                </c:pt>
                <c:pt idx="614">
                  <c:v>20.5</c:v>
                </c:pt>
                <c:pt idx="615">
                  <c:v>20.55</c:v>
                </c:pt>
                <c:pt idx="616">
                  <c:v>20.55</c:v>
                </c:pt>
                <c:pt idx="617">
                  <c:v>20.6</c:v>
                </c:pt>
                <c:pt idx="618">
                  <c:v>20.65</c:v>
                </c:pt>
                <c:pt idx="619">
                  <c:v>20.65</c:v>
                </c:pt>
                <c:pt idx="620">
                  <c:v>20.7</c:v>
                </c:pt>
                <c:pt idx="621">
                  <c:v>20.75</c:v>
                </c:pt>
                <c:pt idx="622">
                  <c:v>20.75</c:v>
                </c:pt>
                <c:pt idx="623">
                  <c:v>20.8</c:v>
                </c:pt>
                <c:pt idx="624">
                  <c:v>20.85</c:v>
                </c:pt>
                <c:pt idx="625">
                  <c:v>20.85</c:v>
                </c:pt>
                <c:pt idx="626">
                  <c:v>20.9</c:v>
                </c:pt>
                <c:pt idx="627">
                  <c:v>20.95</c:v>
                </c:pt>
                <c:pt idx="628">
                  <c:v>20.95</c:v>
                </c:pt>
                <c:pt idx="629">
                  <c:v>21</c:v>
                </c:pt>
                <c:pt idx="630">
                  <c:v>21.05</c:v>
                </c:pt>
                <c:pt idx="631">
                  <c:v>21.05</c:v>
                </c:pt>
                <c:pt idx="632">
                  <c:v>21.1</c:v>
                </c:pt>
                <c:pt idx="633">
                  <c:v>21.15</c:v>
                </c:pt>
                <c:pt idx="634">
                  <c:v>21.15</c:v>
                </c:pt>
                <c:pt idx="635">
                  <c:v>21.2</c:v>
                </c:pt>
                <c:pt idx="636">
                  <c:v>21.25</c:v>
                </c:pt>
                <c:pt idx="637">
                  <c:v>21.25</c:v>
                </c:pt>
                <c:pt idx="638">
                  <c:v>21.3</c:v>
                </c:pt>
                <c:pt idx="639">
                  <c:v>21.35</c:v>
                </c:pt>
                <c:pt idx="640">
                  <c:v>21.35</c:v>
                </c:pt>
                <c:pt idx="641">
                  <c:v>21.4</c:v>
                </c:pt>
                <c:pt idx="642">
                  <c:v>21.45</c:v>
                </c:pt>
                <c:pt idx="643">
                  <c:v>21.45</c:v>
                </c:pt>
                <c:pt idx="644">
                  <c:v>21.5</c:v>
                </c:pt>
                <c:pt idx="645">
                  <c:v>21.55</c:v>
                </c:pt>
                <c:pt idx="646">
                  <c:v>21.55</c:v>
                </c:pt>
                <c:pt idx="647">
                  <c:v>21.6</c:v>
                </c:pt>
                <c:pt idx="648">
                  <c:v>21.65</c:v>
                </c:pt>
                <c:pt idx="649">
                  <c:v>21.65</c:v>
                </c:pt>
                <c:pt idx="650">
                  <c:v>21.7</c:v>
                </c:pt>
                <c:pt idx="651">
                  <c:v>21.75</c:v>
                </c:pt>
                <c:pt idx="652">
                  <c:v>21.75</c:v>
                </c:pt>
                <c:pt idx="653">
                  <c:v>21.8</c:v>
                </c:pt>
                <c:pt idx="654">
                  <c:v>21.85</c:v>
                </c:pt>
                <c:pt idx="655">
                  <c:v>21.85</c:v>
                </c:pt>
                <c:pt idx="656">
                  <c:v>21.9</c:v>
                </c:pt>
                <c:pt idx="657">
                  <c:v>21.95</c:v>
                </c:pt>
                <c:pt idx="658">
                  <c:v>21.95</c:v>
                </c:pt>
                <c:pt idx="659">
                  <c:v>22</c:v>
                </c:pt>
                <c:pt idx="660">
                  <c:v>22.05</c:v>
                </c:pt>
                <c:pt idx="661">
                  <c:v>22.05</c:v>
                </c:pt>
                <c:pt idx="662">
                  <c:v>22.1</c:v>
                </c:pt>
                <c:pt idx="663">
                  <c:v>22.15</c:v>
                </c:pt>
                <c:pt idx="664">
                  <c:v>22.15</c:v>
                </c:pt>
                <c:pt idx="665">
                  <c:v>22.2</c:v>
                </c:pt>
                <c:pt idx="666">
                  <c:v>22.25</c:v>
                </c:pt>
                <c:pt idx="667">
                  <c:v>22.25</c:v>
                </c:pt>
                <c:pt idx="668">
                  <c:v>22.3</c:v>
                </c:pt>
                <c:pt idx="669">
                  <c:v>22.35</c:v>
                </c:pt>
                <c:pt idx="670">
                  <c:v>22.35</c:v>
                </c:pt>
                <c:pt idx="671">
                  <c:v>22.4</c:v>
                </c:pt>
                <c:pt idx="672">
                  <c:v>22.45</c:v>
                </c:pt>
                <c:pt idx="673">
                  <c:v>22.45</c:v>
                </c:pt>
                <c:pt idx="674">
                  <c:v>22.5</c:v>
                </c:pt>
                <c:pt idx="675">
                  <c:v>22.55</c:v>
                </c:pt>
                <c:pt idx="676">
                  <c:v>22.55</c:v>
                </c:pt>
                <c:pt idx="677">
                  <c:v>22.6</c:v>
                </c:pt>
                <c:pt idx="678">
                  <c:v>22.65</c:v>
                </c:pt>
                <c:pt idx="679">
                  <c:v>22.65</c:v>
                </c:pt>
                <c:pt idx="680">
                  <c:v>22.7</c:v>
                </c:pt>
                <c:pt idx="681">
                  <c:v>22.75</c:v>
                </c:pt>
                <c:pt idx="682">
                  <c:v>22.75</c:v>
                </c:pt>
                <c:pt idx="683">
                  <c:v>22.8</c:v>
                </c:pt>
                <c:pt idx="684">
                  <c:v>22.85</c:v>
                </c:pt>
                <c:pt idx="685">
                  <c:v>22.9</c:v>
                </c:pt>
                <c:pt idx="686">
                  <c:v>22.9</c:v>
                </c:pt>
                <c:pt idx="687">
                  <c:v>22.95</c:v>
                </c:pt>
                <c:pt idx="688">
                  <c:v>23</c:v>
                </c:pt>
                <c:pt idx="689">
                  <c:v>23</c:v>
                </c:pt>
                <c:pt idx="690">
                  <c:v>23.05</c:v>
                </c:pt>
                <c:pt idx="691">
                  <c:v>23.1</c:v>
                </c:pt>
                <c:pt idx="692">
                  <c:v>23.1</c:v>
                </c:pt>
                <c:pt idx="693">
                  <c:v>23.15</c:v>
                </c:pt>
                <c:pt idx="694">
                  <c:v>23.2</c:v>
                </c:pt>
                <c:pt idx="695">
                  <c:v>23.2</c:v>
                </c:pt>
                <c:pt idx="696">
                  <c:v>23.25</c:v>
                </c:pt>
                <c:pt idx="697">
                  <c:v>23.3</c:v>
                </c:pt>
                <c:pt idx="698">
                  <c:v>23.3</c:v>
                </c:pt>
                <c:pt idx="699">
                  <c:v>23.35</c:v>
                </c:pt>
                <c:pt idx="700">
                  <c:v>23.4</c:v>
                </c:pt>
                <c:pt idx="701">
                  <c:v>23.4</c:v>
                </c:pt>
                <c:pt idx="702">
                  <c:v>23.45</c:v>
                </c:pt>
                <c:pt idx="703">
                  <c:v>23.5</c:v>
                </c:pt>
                <c:pt idx="704">
                  <c:v>23.5</c:v>
                </c:pt>
                <c:pt idx="705">
                  <c:v>23.55</c:v>
                </c:pt>
                <c:pt idx="706">
                  <c:v>23.6</c:v>
                </c:pt>
                <c:pt idx="707">
                  <c:v>23.6</c:v>
                </c:pt>
                <c:pt idx="708">
                  <c:v>23.65</c:v>
                </c:pt>
                <c:pt idx="709">
                  <c:v>23.7</c:v>
                </c:pt>
                <c:pt idx="710">
                  <c:v>23.7</c:v>
                </c:pt>
                <c:pt idx="711">
                  <c:v>23.75</c:v>
                </c:pt>
                <c:pt idx="712">
                  <c:v>23.8</c:v>
                </c:pt>
                <c:pt idx="713">
                  <c:v>23.8</c:v>
                </c:pt>
                <c:pt idx="714">
                  <c:v>23.85</c:v>
                </c:pt>
                <c:pt idx="715">
                  <c:v>23.9</c:v>
                </c:pt>
                <c:pt idx="716">
                  <c:v>23.9</c:v>
                </c:pt>
                <c:pt idx="717">
                  <c:v>23.95</c:v>
                </c:pt>
                <c:pt idx="718">
                  <c:v>24</c:v>
                </c:pt>
                <c:pt idx="719">
                  <c:v>24</c:v>
                </c:pt>
                <c:pt idx="720">
                  <c:v>24.05</c:v>
                </c:pt>
                <c:pt idx="721">
                  <c:v>24.1</c:v>
                </c:pt>
                <c:pt idx="722">
                  <c:v>24.1</c:v>
                </c:pt>
                <c:pt idx="723">
                  <c:v>24.15</c:v>
                </c:pt>
                <c:pt idx="724">
                  <c:v>24.2</c:v>
                </c:pt>
                <c:pt idx="725">
                  <c:v>24.2</c:v>
                </c:pt>
                <c:pt idx="726">
                  <c:v>24.25</c:v>
                </c:pt>
                <c:pt idx="727">
                  <c:v>24.3</c:v>
                </c:pt>
                <c:pt idx="728">
                  <c:v>24.3</c:v>
                </c:pt>
                <c:pt idx="729">
                  <c:v>24.35</c:v>
                </c:pt>
                <c:pt idx="730">
                  <c:v>24.4</c:v>
                </c:pt>
                <c:pt idx="731">
                  <c:v>24.4</c:v>
                </c:pt>
                <c:pt idx="732">
                  <c:v>24.45</c:v>
                </c:pt>
                <c:pt idx="733">
                  <c:v>24.5</c:v>
                </c:pt>
                <c:pt idx="734">
                  <c:v>24.5</c:v>
                </c:pt>
                <c:pt idx="735">
                  <c:v>24.55</c:v>
                </c:pt>
                <c:pt idx="736">
                  <c:v>24.6</c:v>
                </c:pt>
                <c:pt idx="737">
                  <c:v>24.6</c:v>
                </c:pt>
                <c:pt idx="738">
                  <c:v>24.65</c:v>
                </c:pt>
                <c:pt idx="739">
                  <c:v>24.7</c:v>
                </c:pt>
                <c:pt idx="740">
                  <c:v>24.7</c:v>
                </c:pt>
                <c:pt idx="741">
                  <c:v>24.75</c:v>
                </c:pt>
                <c:pt idx="742">
                  <c:v>24.8</c:v>
                </c:pt>
                <c:pt idx="743">
                  <c:v>24.8</c:v>
                </c:pt>
                <c:pt idx="744">
                  <c:v>24.85</c:v>
                </c:pt>
                <c:pt idx="745">
                  <c:v>24.9</c:v>
                </c:pt>
                <c:pt idx="746">
                  <c:v>24.9</c:v>
                </c:pt>
                <c:pt idx="747">
                  <c:v>24.95</c:v>
                </c:pt>
                <c:pt idx="748">
                  <c:v>25</c:v>
                </c:pt>
                <c:pt idx="749">
                  <c:v>25</c:v>
                </c:pt>
                <c:pt idx="750">
                  <c:v>25.05</c:v>
                </c:pt>
                <c:pt idx="751">
                  <c:v>25.1</c:v>
                </c:pt>
                <c:pt idx="752">
                  <c:v>25.1</c:v>
                </c:pt>
                <c:pt idx="753">
                  <c:v>25.15</c:v>
                </c:pt>
                <c:pt idx="754">
                  <c:v>25.2</c:v>
                </c:pt>
                <c:pt idx="755">
                  <c:v>25.2</c:v>
                </c:pt>
                <c:pt idx="756">
                  <c:v>25.25</c:v>
                </c:pt>
                <c:pt idx="757">
                  <c:v>25.3</c:v>
                </c:pt>
                <c:pt idx="758">
                  <c:v>25.3</c:v>
                </c:pt>
                <c:pt idx="759">
                  <c:v>25.35</c:v>
                </c:pt>
                <c:pt idx="760">
                  <c:v>25.4</c:v>
                </c:pt>
                <c:pt idx="761">
                  <c:v>25.4</c:v>
                </c:pt>
                <c:pt idx="762">
                  <c:v>25.45</c:v>
                </c:pt>
                <c:pt idx="763">
                  <c:v>25.5</c:v>
                </c:pt>
                <c:pt idx="764">
                  <c:v>25.5</c:v>
                </c:pt>
                <c:pt idx="765">
                  <c:v>25.55</c:v>
                </c:pt>
                <c:pt idx="766">
                  <c:v>25.6</c:v>
                </c:pt>
                <c:pt idx="767">
                  <c:v>25.6</c:v>
                </c:pt>
                <c:pt idx="768">
                  <c:v>25.65</c:v>
                </c:pt>
                <c:pt idx="769">
                  <c:v>25.7</c:v>
                </c:pt>
                <c:pt idx="770">
                  <c:v>25.7</c:v>
                </c:pt>
                <c:pt idx="771">
                  <c:v>25.75</c:v>
                </c:pt>
                <c:pt idx="772">
                  <c:v>25.8</c:v>
                </c:pt>
                <c:pt idx="773">
                  <c:v>25.8</c:v>
                </c:pt>
                <c:pt idx="774">
                  <c:v>25.85</c:v>
                </c:pt>
                <c:pt idx="775">
                  <c:v>25.9</c:v>
                </c:pt>
                <c:pt idx="776">
                  <c:v>25.9</c:v>
                </c:pt>
                <c:pt idx="777">
                  <c:v>25.95</c:v>
                </c:pt>
                <c:pt idx="778">
                  <c:v>26</c:v>
                </c:pt>
                <c:pt idx="779">
                  <c:v>26</c:v>
                </c:pt>
                <c:pt idx="780">
                  <c:v>26.05</c:v>
                </c:pt>
                <c:pt idx="781">
                  <c:v>26.1</c:v>
                </c:pt>
                <c:pt idx="782">
                  <c:v>26.1</c:v>
                </c:pt>
                <c:pt idx="783">
                  <c:v>26.15</c:v>
                </c:pt>
                <c:pt idx="784">
                  <c:v>26.2</c:v>
                </c:pt>
                <c:pt idx="785">
                  <c:v>26.2</c:v>
                </c:pt>
                <c:pt idx="786">
                  <c:v>26.25</c:v>
                </c:pt>
                <c:pt idx="787">
                  <c:v>26.3</c:v>
                </c:pt>
                <c:pt idx="788">
                  <c:v>26.3</c:v>
                </c:pt>
                <c:pt idx="789">
                  <c:v>26.35</c:v>
                </c:pt>
                <c:pt idx="790">
                  <c:v>26.4</c:v>
                </c:pt>
                <c:pt idx="791">
                  <c:v>26.4</c:v>
                </c:pt>
                <c:pt idx="792">
                  <c:v>26.45</c:v>
                </c:pt>
                <c:pt idx="793">
                  <c:v>26.5</c:v>
                </c:pt>
                <c:pt idx="794">
                  <c:v>26.5</c:v>
                </c:pt>
                <c:pt idx="795">
                  <c:v>26.55</c:v>
                </c:pt>
                <c:pt idx="796">
                  <c:v>26.6</c:v>
                </c:pt>
                <c:pt idx="797">
                  <c:v>26.6</c:v>
                </c:pt>
                <c:pt idx="798">
                  <c:v>26.65</c:v>
                </c:pt>
                <c:pt idx="799">
                  <c:v>26.7</c:v>
                </c:pt>
                <c:pt idx="800">
                  <c:v>26.7</c:v>
                </c:pt>
                <c:pt idx="801">
                  <c:v>26.75</c:v>
                </c:pt>
                <c:pt idx="802">
                  <c:v>26.8</c:v>
                </c:pt>
                <c:pt idx="803">
                  <c:v>26.8</c:v>
                </c:pt>
                <c:pt idx="804">
                  <c:v>26.85</c:v>
                </c:pt>
                <c:pt idx="805">
                  <c:v>26.9</c:v>
                </c:pt>
                <c:pt idx="806">
                  <c:v>26.9</c:v>
                </c:pt>
                <c:pt idx="807">
                  <c:v>26.95</c:v>
                </c:pt>
                <c:pt idx="808">
                  <c:v>27</c:v>
                </c:pt>
                <c:pt idx="809">
                  <c:v>27</c:v>
                </c:pt>
                <c:pt idx="810">
                  <c:v>27.05</c:v>
                </c:pt>
                <c:pt idx="811">
                  <c:v>27.1</c:v>
                </c:pt>
                <c:pt idx="812">
                  <c:v>27.1</c:v>
                </c:pt>
                <c:pt idx="813">
                  <c:v>27.15</c:v>
                </c:pt>
                <c:pt idx="814">
                  <c:v>27.2</c:v>
                </c:pt>
                <c:pt idx="815">
                  <c:v>27.2</c:v>
                </c:pt>
                <c:pt idx="816">
                  <c:v>27.25</c:v>
                </c:pt>
                <c:pt idx="817">
                  <c:v>27.3</c:v>
                </c:pt>
                <c:pt idx="818">
                  <c:v>27.3</c:v>
                </c:pt>
                <c:pt idx="819">
                  <c:v>27.35</c:v>
                </c:pt>
                <c:pt idx="820">
                  <c:v>27.4</c:v>
                </c:pt>
                <c:pt idx="821">
                  <c:v>27.4</c:v>
                </c:pt>
                <c:pt idx="822">
                  <c:v>27.45</c:v>
                </c:pt>
                <c:pt idx="823">
                  <c:v>27.5</c:v>
                </c:pt>
                <c:pt idx="824">
                  <c:v>27.5</c:v>
                </c:pt>
                <c:pt idx="825">
                  <c:v>27.55</c:v>
                </c:pt>
                <c:pt idx="826">
                  <c:v>27.6</c:v>
                </c:pt>
                <c:pt idx="827">
                  <c:v>27.6</c:v>
                </c:pt>
                <c:pt idx="828">
                  <c:v>27.65</c:v>
                </c:pt>
                <c:pt idx="829">
                  <c:v>27.7</c:v>
                </c:pt>
                <c:pt idx="830">
                  <c:v>27.7</c:v>
                </c:pt>
                <c:pt idx="831">
                  <c:v>27.75</c:v>
                </c:pt>
                <c:pt idx="832">
                  <c:v>27.8</c:v>
                </c:pt>
                <c:pt idx="833">
                  <c:v>27.8</c:v>
                </c:pt>
                <c:pt idx="834">
                  <c:v>27.85</c:v>
                </c:pt>
                <c:pt idx="835">
                  <c:v>27.9</c:v>
                </c:pt>
                <c:pt idx="836">
                  <c:v>27.9</c:v>
                </c:pt>
                <c:pt idx="837">
                  <c:v>27.95</c:v>
                </c:pt>
                <c:pt idx="838">
                  <c:v>28</c:v>
                </c:pt>
                <c:pt idx="839">
                  <c:v>28</c:v>
                </c:pt>
                <c:pt idx="840">
                  <c:v>28.05</c:v>
                </c:pt>
                <c:pt idx="841">
                  <c:v>28.1</c:v>
                </c:pt>
                <c:pt idx="842">
                  <c:v>28.1</c:v>
                </c:pt>
                <c:pt idx="843">
                  <c:v>28.15</c:v>
                </c:pt>
                <c:pt idx="844">
                  <c:v>28.2</c:v>
                </c:pt>
                <c:pt idx="845">
                  <c:v>28.2</c:v>
                </c:pt>
                <c:pt idx="846">
                  <c:v>28.25</c:v>
                </c:pt>
                <c:pt idx="847">
                  <c:v>28.3</c:v>
                </c:pt>
                <c:pt idx="848">
                  <c:v>28.3</c:v>
                </c:pt>
                <c:pt idx="849">
                  <c:v>28.35</c:v>
                </c:pt>
                <c:pt idx="850">
                  <c:v>28.4</c:v>
                </c:pt>
                <c:pt idx="851">
                  <c:v>28.4</c:v>
                </c:pt>
                <c:pt idx="852">
                  <c:v>28.45</c:v>
                </c:pt>
                <c:pt idx="853">
                  <c:v>28.5</c:v>
                </c:pt>
                <c:pt idx="854">
                  <c:v>28.5</c:v>
                </c:pt>
                <c:pt idx="855">
                  <c:v>28.55</c:v>
                </c:pt>
                <c:pt idx="856">
                  <c:v>28.6</c:v>
                </c:pt>
                <c:pt idx="857">
                  <c:v>28.65</c:v>
                </c:pt>
                <c:pt idx="858">
                  <c:v>28.65</c:v>
                </c:pt>
                <c:pt idx="859">
                  <c:v>28.7</c:v>
                </c:pt>
                <c:pt idx="860">
                  <c:v>28.75</c:v>
                </c:pt>
                <c:pt idx="861">
                  <c:v>28.75</c:v>
                </c:pt>
                <c:pt idx="862">
                  <c:v>28.8</c:v>
                </c:pt>
                <c:pt idx="863">
                  <c:v>28.85</c:v>
                </c:pt>
                <c:pt idx="864">
                  <c:v>28.85</c:v>
                </c:pt>
                <c:pt idx="865">
                  <c:v>28.9</c:v>
                </c:pt>
                <c:pt idx="866">
                  <c:v>28.95</c:v>
                </c:pt>
                <c:pt idx="867">
                  <c:v>28.95</c:v>
                </c:pt>
                <c:pt idx="868">
                  <c:v>29</c:v>
                </c:pt>
                <c:pt idx="869">
                  <c:v>29.05</c:v>
                </c:pt>
                <c:pt idx="870">
                  <c:v>29.05</c:v>
                </c:pt>
                <c:pt idx="871">
                  <c:v>29.1</c:v>
                </c:pt>
                <c:pt idx="872">
                  <c:v>29.15</c:v>
                </c:pt>
                <c:pt idx="873">
                  <c:v>29.15</c:v>
                </c:pt>
                <c:pt idx="874">
                  <c:v>29.2</c:v>
                </c:pt>
                <c:pt idx="875">
                  <c:v>29.25</c:v>
                </c:pt>
                <c:pt idx="876">
                  <c:v>29.25</c:v>
                </c:pt>
                <c:pt idx="877">
                  <c:v>29.3</c:v>
                </c:pt>
                <c:pt idx="878">
                  <c:v>29.35</c:v>
                </c:pt>
                <c:pt idx="879">
                  <c:v>29.35</c:v>
                </c:pt>
                <c:pt idx="880">
                  <c:v>29.4</c:v>
                </c:pt>
                <c:pt idx="881">
                  <c:v>29.45</c:v>
                </c:pt>
                <c:pt idx="882">
                  <c:v>29.45</c:v>
                </c:pt>
                <c:pt idx="883">
                  <c:v>29.5</c:v>
                </c:pt>
                <c:pt idx="884">
                  <c:v>29.55</c:v>
                </c:pt>
                <c:pt idx="885">
                  <c:v>29.55</c:v>
                </c:pt>
                <c:pt idx="886">
                  <c:v>29.6</c:v>
                </c:pt>
                <c:pt idx="887">
                  <c:v>29.65</c:v>
                </c:pt>
                <c:pt idx="888">
                  <c:v>29.65</c:v>
                </c:pt>
                <c:pt idx="889">
                  <c:v>29.7</c:v>
                </c:pt>
                <c:pt idx="890">
                  <c:v>29.75</c:v>
                </c:pt>
                <c:pt idx="891">
                  <c:v>29.75</c:v>
                </c:pt>
                <c:pt idx="892">
                  <c:v>29.8</c:v>
                </c:pt>
                <c:pt idx="893">
                  <c:v>29.85</c:v>
                </c:pt>
                <c:pt idx="894">
                  <c:v>29.85</c:v>
                </c:pt>
                <c:pt idx="895">
                  <c:v>29.9</c:v>
                </c:pt>
                <c:pt idx="896">
                  <c:v>29.95</c:v>
                </c:pt>
                <c:pt idx="897">
                  <c:v>29.95</c:v>
                </c:pt>
                <c:pt idx="898">
                  <c:v>30</c:v>
                </c:pt>
                <c:pt idx="899">
                  <c:v>30.05</c:v>
                </c:pt>
                <c:pt idx="900">
                  <c:v>30.05</c:v>
                </c:pt>
                <c:pt idx="901">
                  <c:v>30.1</c:v>
                </c:pt>
                <c:pt idx="902">
                  <c:v>30.15</c:v>
                </c:pt>
                <c:pt idx="903">
                  <c:v>30.15</c:v>
                </c:pt>
                <c:pt idx="904">
                  <c:v>30.2</c:v>
                </c:pt>
                <c:pt idx="905">
                  <c:v>30.25</c:v>
                </c:pt>
                <c:pt idx="906">
                  <c:v>30.25</c:v>
                </c:pt>
                <c:pt idx="907">
                  <c:v>30.3</c:v>
                </c:pt>
                <c:pt idx="908">
                  <c:v>30.35</c:v>
                </c:pt>
                <c:pt idx="909">
                  <c:v>30.35</c:v>
                </c:pt>
                <c:pt idx="910">
                  <c:v>30.4</c:v>
                </c:pt>
                <c:pt idx="911">
                  <c:v>30.45</c:v>
                </c:pt>
                <c:pt idx="912">
                  <c:v>30.45</c:v>
                </c:pt>
                <c:pt idx="913">
                  <c:v>30.5</c:v>
                </c:pt>
                <c:pt idx="914">
                  <c:v>30.55</c:v>
                </c:pt>
                <c:pt idx="915">
                  <c:v>30.55</c:v>
                </c:pt>
                <c:pt idx="916">
                  <c:v>30.6</c:v>
                </c:pt>
                <c:pt idx="917">
                  <c:v>30.65</c:v>
                </c:pt>
                <c:pt idx="918">
                  <c:v>30.65</c:v>
                </c:pt>
                <c:pt idx="919">
                  <c:v>30.7</c:v>
                </c:pt>
                <c:pt idx="920">
                  <c:v>30.75</c:v>
                </c:pt>
                <c:pt idx="921">
                  <c:v>30.75</c:v>
                </c:pt>
                <c:pt idx="922">
                  <c:v>30.8</c:v>
                </c:pt>
                <c:pt idx="923">
                  <c:v>30.85</c:v>
                </c:pt>
                <c:pt idx="924">
                  <c:v>30.85</c:v>
                </c:pt>
                <c:pt idx="925">
                  <c:v>30.9</c:v>
                </c:pt>
                <c:pt idx="926">
                  <c:v>30.95</c:v>
                </c:pt>
                <c:pt idx="927">
                  <c:v>30.95</c:v>
                </c:pt>
                <c:pt idx="928">
                  <c:v>31</c:v>
                </c:pt>
                <c:pt idx="929">
                  <c:v>31.05</c:v>
                </c:pt>
                <c:pt idx="930">
                  <c:v>31.05</c:v>
                </c:pt>
                <c:pt idx="931">
                  <c:v>31.1</c:v>
                </c:pt>
                <c:pt idx="932">
                  <c:v>31.15</c:v>
                </c:pt>
                <c:pt idx="933">
                  <c:v>31.15</c:v>
                </c:pt>
                <c:pt idx="934">
                  <c:v>31.2</c:v>
                </c:pt>
                <c:pt idx="935">
                  <c:v>31.25</c:v>
                </c:pt>
                <c:pt idx="936">
                  <c:v>31.25</c:v>
                </c:pt>
                <c:pt idx="937">
                  <c:v>31.3</c:v>
                </c:pt>
                <c:pt idx="938">
                  <c:v>31.35</c:v>
                </c:pt>
                <c:pt idx="939">
                  <c:v>31.35</c:v>
                </c:pt>
                <c:pt idx="940">
                  <c:v>31.4</c:v>
                </c:pt>
                <c:pt idx="941">
                  <c:v>31.45</c:v>
                </c:pt>
                <c:pt idx="942">
                  <c:v>31.45</c:v>
                </c:pt>
                <c:pt idx="943">
                  <c:v>31.5</c:v>
                </c:pt>
                <c:pt idx="944">
                  <c:v>31.55</c:v>
                </c:pt>
                <c:pt idx="945">
                  <c:v>31.55</c:v>
                </c:pt>
                <c:pt idx="946">
                  <c:v>31.6</c:v>
                </c:pt>
                <c:pt idx="947">
                  <c:v>31.65</c:v>
                </c:pt>
                <c:pt idx="948">
                  <c:v>31.65</c:v>
                </c:pt>
                <c:pt idx="949">
                  <c:v>31.7</c:v>
                </c:pt>
                <c:pt idx="950">
                  <c:v>31.75</c:v>
                </c:pt>
                <c:pt idx="951">
                  <c:v>31.75</c:v>
                </c:pt>
                <c:pt idx="952">
                  <c:v>31.8</c:v>
                </c:pt>
                <c:pt idx="953">
                  <c:v>31.85</c:v>
                </c:pt>
                <c:pt idx="954">
                  <c:v>31.85</c:v>
                </c:pt>
                <c:pt idx="955">
                  <c:v>31.9</c:v>
                </c:pt>
                <c:pt idx="956">
                  <c:v>31.95</c:v>
                </c:pt>
                <c:pt idx="957">
                  <c:v>31.95</c:v>
                </c:pt>
                <c:pt idx="958">
                  <c:v>32</c:v>
                </c:pt>
                <c:pt idx="959">
                  <c:v>32.05</c:v>
                </c:pt>
                <c:pt idx="960">
                  <c:v>32.05</c:v>
                </c:pt>
                <c:pt idx="961">
                  <c:v>32.1</c:v>
                </c:pt>
                <c:pt idx="962">
                  <c:v>32.15</c:v>
                </c:pt>
                <c:pt idx="963">
                  <c:v>32.15</c:v>
                </c:pt>
                <c:pt idx="964">
                  <c:v>32.2</c:v>
                </c:pt>
                <c:pt idx="965">
                  <c:v>32.25</c:v>
                </c:pt>
                <c:pt idx="966">
                  <c:v>32.25</c:v>
                </c:pt>
                <c:pt idx="967">
                  <c:v>32.3</c:v>
                </c:pt>
                <c:pt idx="968">
                  <c:v>32.35</c:v>
                </c:pt>
                <c:pt idx="969">
                  <c:v>32.35</c:v>
                </c:pt>
                <c:pt idx="970">
                  <c:v>32.4</c:v>
                </c:pt>
                <c:pt idx="971">
                  <c:v>32.45</c:v>
                </c:pt>
                <c:pt idx="972">
                  <c:v>32.45</c:v>
                </c:pt>
                <c:pt idx="973">
                  <c:v>32.5</c:v>
                </c:pt>
                <c:pt idx="974">
                  <c:v>32.55</c:v>
                </c:pt>
                <c:pt idx="975">
                  <c:v>32.55</c:v>
                </c:pt>
                <c:pt idx="976">
                  <c:v>32.6</c:v>
                </c:pt>
                <c:pt idx="977">
                  <c:v>32.65</c:v>
                </c:pt>
                <c:pt idx="978">
                  <c:v>32.65</c:v>
                </c:pt>
                <c:pt idx="979">
                  <c:v>32.7</c:v>
                </c:pt>
                <c:pt idx="980">
                  <c:v>32.75</c:v>
                </c:pt>
                <c:pt idx="981">
                  <c:v>32.75</c:v>
                </c:pt>
                <c:pt idx="982">
                  <c:v>32.8</c:v>
                </c:pt>
                <c:pt idx="983">
                  <c:v>32.85</c:v>
                </c:pt>
                <c:pt idx="984">
                  <c:v>32.85</c:v>
                </c:pt>
                <c:pt idx="985">
                  <c:v>32.9</c:v>
                </c:pt>
                <c:pt idx="986">
                  <c:v>32.95</c:v>
                </c:pt>
                <c:pt idx="987">
                  <c:v>32.95</c:v>
                </c:pt>
                <c:pt idx="988">
                  <c:v>33</c:v>
                </c:pt>
                <c:pt idx="989">
                  <c:v>33.05</c:v>
                </c:pt>
                <c:pt idx="990">
                  <c:v>33.05</c:v>
                </c:pt>
                <c:pt idx="991">
                  <c:v>33.1</c:v>
                </c:pt>
                <c:pt idx="992">
                  <c:v>33.15</c:v>
                </c:pt>
                <c:pt idx="993">
                  <c:v>33.15</c:v>
                </c:pt>
                <c:pt idx="994">
                  <c:v>33.2</c:v>
                </c:pt>
                <c:pt idx="995">
                  <c:v>33.25</c:v>
                </c:pt>
                <c:pt idx="996">
                  <c:v>33.25</c:v>
                </c:pt>
                <c:pt idx="997">
                  <c:v>33.3</c:v>
                </c:pt>
                <c:pt idx="998">
                  <c:v>33.35</c:v>
                </c:pt>
                <c:pt idx="999">
                  <c:v>33.35</c:v>
                </c:pt>
                <c:pt idx="1000">
                  <c:v>33.4</c:v>
                </c:pt>
                <c:pt idx="1001">
                  <c:v>33.45</c:v>
                </c:pt>
                <c:pt idx="1002">
                  <c:v>33.45</c:v>
                </c:pt>
                <c:pt idx="1003">
                  <c:v>33.5</c:v>
                </c:pt>
                <c:pt idx="1004">
                  <c:v>33.55</c:v>
                </c:pt>
                <c:pt idx="1005">
                  <c:v>33.55</c:v>
                </c:pt>
                <c:pt idx="1006">
                  <c:v>33.6</c:v>
                </c:pt>
                <c:pt idx="1007">
                  <c:v>33.65</c:v>
                </c:pt>
                <c:pt idx="1008">
                  <c:v>33.65</c:v>
                </c:pt>
                <c:pt idx="1009">
                  <c:v>33.7</c:v>
                </c:pt>
                <c:pt idx="1010">
                  <c:v>33.75</c:v>
                </c:pt>
                <c:pt idx="1011">
                  <c:v>33.75</c:v>
                </c:pt>
                <c:pt idx="1012">
                  <c:v>33.8</c:v>
                </c:pt>
                <c:pt idx="1013">
                  <c:v>33.85</c:v>
                </c:pt>
                <c:pt idx="1014">
                  <c:v>33.85</c:v>
                </c:pt>
                <c:pt idx="1015">
                  <c:v>33.9</c:v>
                </c:pt>
                <c:pt idx="1016">
                  <c:v>33.95</c:v>
                </c:pt>
                <c:pt idx="1017">
                  <c:v>33.95</c:v>
                </c:pt>
                <c:pt idx="1018">
                  <c:v>34</c:v>
                </c:pt>
                <c:pt idx="1019">
                  <c:v>34.05</c:v>
                </c:pt>
                <c:pt idx="1020">
                  <c:v>34.05</c:v>
                </c:pt>
                <c:pt idx="1021">
                  <c:v>34.1</c:v>
                </c:pt>
                <c:pt idx="1022">
                  <c:v>34.15</c:v>
                </c:pt>
                <c:pt idx="1023">
                  <c:v>34.15</c:v>
                </c:pt>
                <c:pt idx="1024">
                  <c:v>34.2</c:v>
                </c:pt>
                <c:pt idx="1025">
                  <c:v>34.25</c:v>
                </c:pt>
                <c:pt idx="1026">
                  <c:v>34.25</c:v>
                </c:pt>
                <c:pt idx="1027">
                  <c:v>34.3</c:v>
                </c:pt>
                <c:pt idx="1028">
                  <c:v>34.35</c:v>
                </c:pt>
                <c:pt idx="1029">
                  <c:v>34.4</c:v>
                </c:pt>
                <c:pt idx="1030">
                  <c:v>34.4</c:v>
                </c:pt>
                <c:pt idx="1031">
                  <c:v>34.45</c:v>
                </c:pt>
                <c:pt idx="1032">
                  <c:v>34.5</c:v>
                </c:pt>
                <c:pt idx="1033">
                  <c:v>34.5</c:v>
                </c:pt>
                <c:pt idx="1034">
                  <c:v>34.55</c:v>
                </c:pt>
                <c:pt idx="1035">
                  <c:v>34.6</c:v>
                </c:pt>
                <c:pt idx="1036">
                  <c:v>34.6</c:v>
                </c:pt>
                <c:pt idx="1037">
                  <c:v>34.65</c:v>
                </c:pt>
                <c:pt idx="1038">
                  <c:v>34.7</c:v>
                </c:pt>
                <c:pt idx="1039">
                  <c:v>34.7</c:v>
                </c:pt>
                <c:pt idx="1040">
                  <c:v>34.75</c:v>
                </c:pt>
                <c:pt idx="1041">
                  <c:v>34.8</c:v>
                </c:pt>
                <c:pt idx="1042">
                  <c:v>34.8</c:v>
                </c:pt>
                <c:pt idx="1043">
                  <c:v>34.85</c:v>
                </c:pt>
                <c:pt idx="1044">
                  <c:v>34.9</c:v>
                </c:pt>
                <c:pt idx="1045">
                  <c:v>34.9</c:v>
                </c:pt>
                <c:pt idx="1046">
                  <c:v>34.95</c:v>
                </c:pt>
                <c:pt idx="1047">
                  <c:v>35</c:v>
                </c:pt>
                <c:pt idx="1048">
                  <c:v>35</c:v>
                </c:pt>
                <c:pt idx="1049">
                  <c:v>35.05</c:v>
                </c:pt>
                <c:pt idx="1050">
                  <c:v>35.1</c:v>
                </c:pt>
                <c:pt idx="1051">
                  <c:v>35.1</c:v>
                </c:pt>
                <c:pt idx="1052">
                  <c:v>35.15</c:v>
                </c:pt>
                <c:pt idx="1053">
                  <c:v>35.2</c:v>
                </c:pt>
                <c:pt idx="1054">
                  <c:v>35.2</c:v>
                </c:pt>
                <c:pt idx="1055">
                  <c:v>35.25</c:v>
                </c:pt>
                <c:pt idx="1056">
                  <c:v>35.3</c:v>
                </c:pt>
                <c:pt idx="1057">
                  <c:v>35.3</c:v>
                </c:pt>
                <c:pt idx="1058">
                  <c:v>35.35</c:v>
                </c:pt>
                <c:pt idx="1059">
                  <c:v>35.4</c:v>
                </c:pt>
                <c:pt idx="1060">
                  <c:v>35.4</c:v>
                </c:pt>
                <c:pt idx="1061">
                  <c:v>35.45</c:v>
                </c:pt>
                <c:pt idx="1062">
                  <c:v>35.5</c:v>
                </c:pt>
                <c:pt idx="1063">
                  <c:v>35.5</c:v>
                </c:pt>
                <c:pt idx="1064">
                  <c:v>35.55</c:v>
                </c:pt>
                <c:pt idx="1065">
                  <c:v>35.6</c:v>
                </c:pt>
                <c:pt idx="1066">
                  <c:v>35.6</c:v>
                </c:pt>
                <c:pt idx="1067">
                  <c:v>35.65</c:v>
                </c:pt>
                <c:pt idx="1068">
                  <c:v>35.7</c:v>
                </c:pt>
                <c:pt idx="1069">
                  <c:v>35.7</c:v>
                </c:pt>
                <c:pt idx="1070">
                  <c:v>35.75</c:v>
                </c:pt>
                <c:pt idx="1071">
                  <c:v>35.8</c:v>
                </c:pt>
                <c:pt idx="1072">
                  <c:v>35.8</c:v>
                </c:pt>
                <c:pt idx="1073">
                  <c:v>35.85</c:v>
                </c:pt>
                <c:pt idx="1074">
                  <c:v>35.9</c:v>
                </c:pt>
                <c:pt idx="1075">
                  <c:v>35.9</c:v>
                </c:pt>
                <c:pt idx="1076">
                  <c:v>35.95</c:v>
                </c:pt>
                <c:pt idx="1077">
                  <c:v>36</c:v>
                </c:pt>
                <c:pt idx="1078">
                  <c:v>36</c:v>
                </c:pt>
                <c:pt idx="1079">
                  <c:v>36.05</c:v>
                </c:pt>
                <c:pt idx="1080">
                  <c:v>36.1</c:v>
                </c:pt>
                <c:pt idx="1081">
                  <c:v>36.1</c:v>
                </c:pt>
                <c:pt idx="1082">
                  <c:v>36.15</c:v>
                </c:pt>
                <c:pt idx="1083">
                  <c:v>36.2</c:v>
                </c:pt>
                <c:pt idx="1084">
                  <c:v>36.2</c:v>
                </c:pt>
                <c:pt idx="1085">
                  <c:v>36.25</c:v>
                </c:pt>
                <c:pt idx="1086">
                  <c:v>36.3</c:v>
                </c:pt>
                <c:pt idx="1087">
                  <c:v>36.3</c:v>
                </c:pt>
                <c:pt idx="1088">
                  <c:v>36.35</c:v>
                </c:pt>
                <c:pt idx="1089">
                  <c:v>36.4</c:v>
                </c:pt>
                <c:pt idx="1090">
                  <c:v>36.4</c:v>
                </c:pt>
                <c:pt idx="1091">
                  <c:v>36.45</c:v>
                </c:pt>
                <c:pt idx="1092">
                  <c:v>36.5</c:v>
                </c:pt>
                <c:pt idx="1093">
                  <c:v>36.5</c:v>
                </c:pt>
                <c:pt idx="1094">
                  <c:v>36.55</c:v>
                </c:pt>
                <c:pt idx="1095">
                  <c:v>36.6</c:v>
                </c:pt>
                <c:pt idx="1096">
                  <c:v>36.6</c:v>
                </c:pt>
                <c:pt idx="1097">
                  <c:v>36.65</c:v>
                </c:pt>
                <c:pt idx="1098">
                  <c:v>36.7</c:v>
                </c:pt>
                <c:pt idx="1099">
                  <c:v>36.7</c:v>
                </c:pt>
                <c:pt idx="1100">
                  <c:v>36.75</c:v>
                </c:pt>
                <c:pt idx="1101">
                  <c:v>36.8</c:v>
                </c:pt>
                <c:pt idx="1102">
                  <c:v>36.8</c:v>
                </c:pt>
                <c:pt idx="1103">
                  <c:v>36.85</c:v>
                </c:pt>
                <c:pt idx="1104">
                  <c:v>36.9</c:v>
                </c:pt>
                <c:pt idx="1105">
                  <c:v>36.9</c:v>
                </c:pt>
                <c:pt idx="1106">
                  <c:v>36.95</c:v>
                </c:pt>
                <c:pt idx="1107">
                  <c:v>37</c:v>
                </c:pt>
                <c:pt idx="1108">
                  <c:v>37</c:v>
                </c:pt>
                <c:pt idx="1109">
                  <c:v>37.05</c:v>
                </c:pt>
                <c:pt idx="1110">
                  <c:v>37.1</c:v>
                </c:pt>
                <c:pt idx="1111">
                  <c:v>37.1</c:v>
                </c:pt>
                <c:pt idx="1112">
                  <c:v>37.15</c:v>
                </c:pt>
                <c:pt idx="1113">
                  <c:v>37.2</c:v>
                </c:pt>
                <c:pt idx="1114">
                  <c:v>37.2</c:v>
                </c:pt>
                <c:pt idx="1115">
                  <c:v>37.25</c:v>
                </c:pt>
                <c:pt idx="1116">
                  <c:v>37.3</c:v>
                </c:pt>
                <c:pt idx="1117">
                  <c:v>37.3</c:v>
                </c:pt>
                <c:pt idx="1118">
                  <c:v>37.35</c:v>
                </c:pt>
                <c:pt idx="1119">
                  <c:v>37.4</c:v>
                </c:pt>
                <c:pt idx="1120">
                  <c:v>37.4</c:v>
                </c:pt>
                <c:pt idx="1121">
                  <c:v>37.45</c:v>
                </c:pt>
                <c:pt idx="1122">
                  <c:v>37.5</c:v>
                </c:pt>
                <c:pt idx="1123">
                  <c:v>37.5</c:v>
                </c:pt>
                <c:pt idx="1124">
                  <c:v>37.55</c:v>
                </c:pt>
                <c:pt idx="1125">
                  <c:v>37.6</c:v>
                </c:pt>
                <c:pt idx="1126">
                  <c:v>37.6</c:v>
                </c:pt>
                <c:pt idx="1127">
                  <c:v>37.65</c:v>
                </c:pt>
                <c:pt idx="1128">
                  <c:v>37.7</c:v>
                </c:pt>
                <c:pt idx="1129">
                  <c:v>37.7</c:v>
                </c:pt>
                <c:pt idx="1130">
                  <c:v>37.75</c:v>
                </c:pt>
                <c:pt idx="1131">
                  <c:v>37.8</c:v>
                </c:pt>
                <c:pt idx="1132">
                  <c:v>37.8</c:v>
                </c:pt>
                <c:pt idx="1133">
                  <c:v>37.85</c:v>
                </c:pt>
                <c:pt idx="1134">
                  <c:v>37.9</c:v>
                </c:pt>
                <c:pt idx="1135">
                  <c:v>37.9</c:v>
                </c:pt>
                <c:pt idx="1136">
                  <c:v>37.95</c:v>
                </c:pt>
                <c:pt idx="1137">
                  <c:v>38</c:v>
                </c:pt>
                <c:pt idx="1138">
                  <c:v>38</c:v>
                </c:pt>
                <c:pt idx="1139">
                  <c:v>38.05</c:v>
                </c:pt>
                <c:pt idx="1140">
                  <c:v>38.1</c:v>
                </c:pt>
                <c:pt idx="1141">
                  <c:v>38.1</c:v>
                </c:pt>
                <c:pt idx="1142">
                  <c:v>38.15</c:v>
                </c:pt>
                <c:pt idx="1143">
                  <c:v>38.2</c:v>
                </c:pt>
                <c:pt idx="1144">
                  <c:v>38.2</c:v>
                </c:pt>
                <c:pt idx="1145">
                  <c:v>38.25</c:v>
                </c:pt>
                <c:pt idx="1146">
                  <c:v>38.3</c:v>
                </c:pt>
                <c:pt idx="1147">
                  <c:v>38.3</c:v>
                </c:pt>
                <c:pt idx="1148">
                  <c:v>38.35</c:v>
                </c:pt>
                <c:pt idx="1149">
                  <c:v>38.4</c:v>
                </c:pt>
                <c:pt idx="1150">
                  <c:v>38.4</c:v>
                </c:pt>
                <c:pt idx="1151">
                  <c:v>38.45</c:v>
                </c:pt>
                <c:pt idx="1152">
                  <c:v>38.5</c:v>
                </c:pt>
                <c:pt idx="1153">
                  <c:v>38.5</c:v>
                </c:pt>
                <c:pt idx="1154">
                  <c:v>38.55</c:v>
                </c:pt>
                <c:pt idx="1155">
                  <c:v>38.6</c:v>
                </c:pt>
                <c:pt idx="1156">
                  <c:v>38.6</c:v>
                </c:pt>
                <c:pt idx="1157">
                  <c:v>38.65</c:v>
                </c:pt>
                <c:pt idx="1158">
                  <c:v>38.7</c:v>
                </c:pt>
                <c:pt idx="1159">
                  <c:v>38.7</c:v>
                </c:pt>
                <c:pt idx="1160">
                  <c:v>38.75</c:v>
                </c:pt>
                <c:pt idx="1161">
                  <c:v>38.8</c:v>
                </c:pt>
                <c:pt idx="1162">
                  <c:v>38.8</c:v>
                </c:pt>
                <c:pt idx="1163">
                  <c:v>38.85</c:v>
                </c:pt>
                <c:pt idx="1164">
                  <c:v>38.9</c:v>
                </c:pt>
                <c:pt idx="1165">
                  <c:v>38.9</c:v>
                </c:pt>
                <c:pt idx="1166">
                  <c:v>38.95</c:v>
                </c:pt>
                <c:pt idx="1167">
                  <c:v>39</c:v>
                </c:pt>
                <c:pt idx="1168">
                  <c:v>39</c:v>
                </c:pt>
                <c:pt idx="1169">
                  <c:v>39.05</c:v>
                </c:pt>
                <c:pt idx="1170">
                  <c:v>39.1</c:v>
                </c:pt>
                <c:pt idx="1171">
                  <c:v>39.1</c:v>
                </c:pt>
                <c:pt idx="1172">
                  <c:v>39.15</c:v>
                </c:pt>
                <c:pt idx="1173">
                  <c:v>39.2</c:v>
                </c:pt>
                <c:pt idx="1174">
                  <c:v>39.2</c:v>
                </c:pt>
                <c:pt idx="1175">
                  <c:v>39.25</c:v>
                </c:pt>
                <c:pt idx="1176">
                  <c:v>39.3</c:v>
                </c:pt>
                <c:pt idx="1177">
                  <c:v>39.3</c:v>
                </c:pt>
                <c:pt idx="1178">
                  <c:v>39.35</c:v>
                </c:pt>
                <c:pt idx="1179">
                  <c:v>39.4</c:v>
                </c:pt>
                <c:pt idx="1180">
                  <c:v>39.4</c:v>
                </c:pt>
                <c:pt idx="1181">
                  <c:v>39.45</c:v>
                </c:pt>
                <c:pt idx="1182">
                  <c:v>39.5</c:v>
                </c:pt>
                <c:pt idx="1183">
                  <c:v>39.5</c:v>
                </c:pt>
                <c:pt idx="1184">
                  <c:v>39.55</c:v>
                </c:pt>
                <c:pt idx="1185">
                  <c:v>39.6</c:v>
                </c:pt>
                <c:pt idx="1186">
                  <c:v>39.6</c:v>
                </c:pt>
                <c:pt idx="1187">
                  <c:v>39.65</c:v>
                </c:pt>
                <c:pt idx="1188">
                  <c:v>39.7</c:v>
                </c:pt>
                <c:pt idx="1189">
                  <c:v>39.7</c:v>
                </c:pt>
                <c:pt idx="1190">
                  <c:v>39.75</c:v>
                </c:pt>
                <c:pt idx="1191">
                  <c:v>39.8</c:v>
                </c:pt>
                <c:pt idx="1192">
                  <c:v>39.8</c:v>
                </c:pt>
                <c:pt idx="1193">
                  <c:v>39.85</c:v>
                </c:pt>
                <c:pt idx="1194">
                  <c:v>39.9</c:v>
                </c:pt>
                <c:pt idx="1195">
                  <c:v>39.9</c:v>
                </c:pt>
                <c:pt idx="1196">
                  <c:v>39.95</c:v>
                </c:pt>
                <c:pt idx="1197">
                  <c:v>40</c:v>
                </c:pt>
                <c:pt idx="1198">
                  <c:v>40</c:v>
                </c:pt>
                <c:pt idx="1199">
                  <c:v>40.05</c:v>
                </c:pt>
                <c:pt idx="1200">
                  <c:v>40.1</c:v>
                </c:pt>
                <c:pt idx="1201">
                  <c:v>40.15</c:v>
                </c:pt>
                <c:pt idx="1202">
                  <c:v>40.15</c:v>
                </c:pt>
                <c:pt idx="1203">
                  <c:v>40.2</c:v>
                </c:pt>
                <c:pt idx="1204">
                  <c:v>40.25</c:v>
                </c:pt>
                <c:pt idx="1205">
                  <c:v>40.25</c:v>
                </c:pt>
                <c:pt idx="1206">
                  <c:v>40.3</c:v>
                </c:pt>
                <c:pt idx="1207">
                  <c:v>40.35</c:v>
                </c:pt>
                <c:pt idx="1208">
                  <c:v>40.35</c:v>
                </c:pt>
                <c:pt idx="1209">
                  <c:v>40.4</c:v>
                </c:pt>
                <c:pt idx="1210">
                  <c:v>40.45</c:v>
                </c:pt>
                <c:pt idx="1211">
                  <c:v>40.45</c:v>
                </c:pt>
                <c:pt idx="1212">
                  <c:v>40.5</c:v>
                </c:pt>
                <c:pt idx="1213">
                  <c:v>40.55</c:v>
                </c:pt>
                <c:pt idx="1214">
                  <c:v>40.55</c:v>
                </c:pt>
                <c:pt idx="1215">
                  <c:v>40.6</c:v>
                </c:pt>
                <c:pt idx="1216">
                  <c:v>40.65</c:v>
                </c:pt>
                <c:pt idx="1217">
                  <c:v>40.65</c:v>
                </c:pt>
                <c:pt idx="1218">
                  <c:v>40.7</c:v>
                </c:pt>
                <c:pt idx="1219">
                  <c:v>40.75</c:v>
                </c:pt>
                <c:pt idx="1220">
                  <c:v>40.75</c:v>
                </c:pt>
                <c:pt idx="1221">
                  <c:v>40.8</c:v>
                </c:pt>
                <c:pt idx="1222">
                  <c:v>40.85</c:v>
                </c:pt>
                <c:pt idx="1223">
                  <c:v>40.85</c:v>
                </c:pt>
                <c:pt idx="1224">
                  <c:v>40.9</c:v>
                </c:pt>
                <c:pt idx="1225">
                  <c:v>40.95</c:v>
                </c:pt>
                <c:pt idx="1226">
                  <c:v>40.95</c:v>
                </c:pt>
                <c:pt idx="1227">
                  <c:v>41</c:v>
                </c:pt>
                <c:pt idx="1228">
                  <c:v>41.05</c:v>
                </c:pt>
                <c:pt idx="1229">
                  <c:v>41.05</c:v>
                </c:pt>
                <c:pt idx="1230">
                  <c:v>41.1</c:v>
                </c:pt>
                <c:pt idx="1231">
                  <c:v>41.15</c:v>
                </c:pt>
                <c:pt idx="1232">
                  <c:v>41.15</c:v>
                </c:pt>
                <c:pt idx="1233">
                  <c:v>41.2</c:v>
                </c:pt>
                <c:pt idx="1234">
                  <c:v>41.25</c:v>
                </c:pt>
                <c:pt idx="1235">
                  <c:v>41.25</c:v>
                </c:pt>
                <c:pt idx="1236">
                  <c:v>41.3</c:v>
                </c:pt>
                <c:pt idx="1237">
                  <c:v>41.35</c:v>
                </c:pt>
                <c:pt idx="1238">
                  <c:v>41.35</c:v>
                </c:pt>
                <c:pt idx="1239">
                  <c:v>41.4</c:v>
                </c:pt>
                <c:pt idx="1240">
                  <c:v>41.45</c:v>
                </c:pt>
                <c:pt idx="1241">
                  <c:v>41.45</c:v>
                </c:pt>
                <c:pt idx="1242">
                  <c:v>41.5</c:v>
                </c:pt>
                <c:pt idx="1243">
                  <c:v>41.55</c:v>
                </c:pt>
                <c:pt idx="1244">
                  <c:v>41.55</c:v>
                </c:pt>
                <c:pt idx="1245">
                  <c:v>41.6</c:v>
                </c:pt>
                <c:pt idx="1246">
                  <c:v>41.65</c:v>
                </c:pt>
                <c:pt idx="1247">
                  <c:v>41.65</c:v>
                </c:pt>
                <c:pt idx="1248">
                  <c:v>41.7</c:v>
                </c:pt>
                <c:pt idx="1249">
                  <c:v>41.75</c:v>
                </c:pt>
                <c:pt idx="1250">
                  <c:v>41.75</c:v>
                </c:pt>
                <c:pt idx="1251">
                  <c:v>41.8</c:v>
                </c:pt>
                <c:pt idx="1252">
                  <c:v>41.85</c:v>
                </c:pt>
                <c:pt idx="1253">
                  <c:v>41.85</c:v>
                </c:pt>
                <c:pt idx="1254">
                  <c:v>41.9</c:v>
                </c:pt>
                <c:pt idx="1255">
                  <c:v>41.95</c:v>
                </c:pt>
                <c:pt idx="1256">
                  <c:v>41.95</c:v>
                </c:pt>
                <c:pt idx="1257">
                  <c:v>42</c:v>
                </c:pt>
                <c:pt idx="1258">
                  <c:v>42.05</c:v>
                </c:pt>
                <c:pt idx="1259">
                  <c:v>42.05</c:v>
                </c:pt>
                <c:pt idx="1260">
                  <c:v>42.1</c:v>
                </c:pt>
                <c:pt idx="1261">
                  <c:v>42.15</c:v>
                </c:pt>
                <c:pt idx="1262">
                  <c:v>42.15</c:v>
                </c:pt>
                <c:pt idx="1263">
                  <c:v>42.2</c:v>
                </c:pt>
                <c:pt idx="1264">
                  <c:v>42.25</c:v>
                </c:pt>
                <c:pt idx="1265">
                  <c:v>42.25</c:v>
                </c:pt>
                <c:pt idx="1266">
                  <c:v>42.3</c:v>
                </c:pt>
                <c:pt idx="1267">
                  <c:v>42.35</c:v>
                </c:pt>
                <c:pt idx="1268">
                  <c:v>42.35</c:v>
                </c:pt>
                <c:pt idx="1269">
                  <c:v>42.4</c:v>
                </c:pt>
                <c:pt idx="1270">
                  <c:v>42.45</c:v>
                </c:pt>
                <c:pt idx="1271">
                  <c:v>42.45</c:v>
                </c:pt>
                <c:pt idx="1272">
                  <c:v>42.5</c:v>
                </c:pt>
                <c:pt idx="1273">
                  <c:v>42.55</c:v>
                </c:pt>
                <c:pt idx="1274">
                  <c:v>42.55</c:v>
                </c:pt>
                <c:pt idx="1275">
                  <c:v>42.6</c:v>
                </c:pt>
                <c:pt idx="1276">
                  <c:v>42.65</c:v>
                </c:pt>
                <c:pt idx="1277">
                  <c:v>42.65</c:v>
                </c:pt>
                <c:pt idx="1278">
                  <c:v>42.7</c:v>
                </c:pt>
                <c:pt idx="1279">
                  <c:v>42.75</c:v>
                </c:pt>
                <c:pt idx="1280">
                  <c:v>42.75</c:v>
                </c:pt>
                <c:pt idx="1281">
                  <c:v>42.8</c:v>
                </c:pt>
                <c:pt idx="1282">
                  <c:v>42.85</c:v>
                </c:pt>
                <c:pt idx="1283">
                  <c:v>42.85</c:v>
                </c:pt>
                <c:pt idx="1284">
                  <c:v>42.9</c:v>
                </c:pt>
                <c:pt idx="1285">
                  <c:v>42.95</c:v>
                </c:pt>
                <c:pt idx="1286">
                  <c:v>42.95</c:v>
                </c:pt>
                <c:pt idx="1287">
                  <c:v>43</c:v>
                </c:pt>
                <c:pt idx="1288">
                  <c:v>43.05</c:v>
                </c:pt>
                <c:pt idx="1289">
                  <c:v>43.05</c:v>
                </c:pt>
                <c:pt idx="1290">
                  <c:v>43.1</c:v>
                </c:pt>
                <c:pt idx="1291">
                  <c:v>43.15</c:v>
                </c:pt>
                <c:pt idx="1292">
                  <c:v>43.15</c:v>
                </c:pt>
                <c:pt idx="1293">
                  <c:v>43.2</c:v>
                </c:pt>
                <c:pt idx="1294">
                  <c:v>43.25</c:v>
                </c:pt>
                <c:pt idx="1295">
                  <c:v>43.25</c:v>
                </c:pt>
                <c:pt idx="1296">
                  <c:v>43.3</c:v>
                </c:pt>
                <c:pt idx="1297">
                  <c:v>43.35</c:v>
                </c:pt>
                <c:pt idx="1298">
                  <c:v>43.35</c:v>
                </c:pt>
                <c:pt idx="1299">
                  <c:v>43.4</c:v>
                </c:pt>
                <c:pt idx="1300">
                  <c:v>43.45</c:v>
                </c:pt>
                <c:pt idx="1301">
                  <c:v>43.45</c:v>
                </c:pt>
                <c:pt idx="1302">
                  <c:v>43.5</c:v>
                </c:pt>
                <c:pt idx="1303">
                  <c:v>43.55</c:v>
                </c:pt>
                <c:pt idx="1304">
                  <c:v>43.55</c:v>
                </c:pt>
                <c:pt idx="1305">
                  <c:v>43.6</c:v>
                </c:pt>
                <c:pt idx="1306">
                  <c:v>43.65</c:v>
                </c:pt>
                <c:pt idx="1307">
                  <c:v>43.65</c:v>
                </c:pt>
                <c:pt idx="1308">
                  <c:v>43.7</c:v>
                </c:pt>
                <c:pt idx="1309">
                  <c:v>43.75</c:v>
                </c:pt>
                <c:pt idx="1310">
                  <c:v>43.75</c:v>
                </c:pt>
                <c:pt idx="1311">
                  <c:v>43.8</c:v>
                </c:pt>
                <c:pt idx="1312">
                  <c:v>43.85</c:v>
                </c:pt>
                <c:pt idx="1313">
                  <c:v>43.85</c:v>
                </c:pt>
                <c:pt idx="1314">
                  <c:v>43.9</c:v>
                </c:pt>
                <c:pt idx="1315">
                  <c:v>43.95</c:v>
                </c:pt>
                <c:pt idx="1316">
                  <c:v>43.95</c:v>
                </c:pt>
                <c:pt idx="1317">
                  <c:v>44</c:v>
                </c:pt>
                <c:pt idx="1318">
                  <c:v>44.05</c:v>
                </c:pt>
                <c:pt idx="1319">
                  <c:v>44.05</c:v>
                </c:pt>
                <c:pt idx="1320">
                  <c:v>44.1</c:v>
                </c:pt>
                <c:pt idx="1321">
                  <c:v>44.15</c:v>
                </c:pt>
                <c:pt idx="1322">
                  <c:v>44.15</c:v>
                </c:pt>
                <c:pt idx="1323">
                  <c:v>44.2</c:v>
                </c:pt>
                <c:pt idx="1324">
                  <c:v>44.25</c:v>
                </c:pt>
                <c:pt idx="1325">
                  <c:v>44.25</c:v>
                </c:pt>
                <c:pt idx="1326">
                  <c:v>44.3</c:v>
                </c:pt>
                <c:pt idx="1327">
                  <c:v>44.35</c:v>
                </c:pt>
                <c:pt idx="1328">
                  <c:v>44.35</c:v>
                </c:pt>
                <c:pt idx="1329">
                  <c:v>44.4</c:v>
                </c:pt>
                <c:pt idx="1330">
                  <c:v>44.45</c:v>
                </c:pt>
                <c:pt idx="1331">
                  <c:v>44.45</c:v>
                </c:pt>
                <c:pt idx="1332">
                  <c:v>44.5</c:v>
                </c:pt>
                <c:pt idx="1333">
                  <c:v>44.55</c:v>
                </c:pt>
                <c:pt idx="1334">
                  <c:v>44.55</c:v>
                </c:pt>
                <c:pt idx="1335">
                  <c:v>44.6</c:v>
                </c:pt>
                <c:pt idx="1336">
                  <c:v>44.65</c:v>
                </c:pt>
                <c:pt idx="1337">
                  <c:v>44.65</c:v>
                </c:pt>
                <c:pt idx="1338">
                  <c:v>44.7</c:v>
                </c:pt>
                <c:pt idx="1339">
                  <c:v>44.75</c:v>
                </c:pt>
                <c:pt idx="1340">
                  <c:v>44.75</c:v>
                </c:pt>
                <c:pt idx="1341">
                  <c:v>44.8</c:v>
                </c:pt>
                <c:pt idx="1342">
                  <c:v>44.85</c:v>
                </c:pt>
                <c:pt idx="1343">
                  <c:v>44.85</c:v>
                </c:pt>
                <c:pt idx="1344">
                  <c:v>44.9</c:v>
                </c:pt>
                <c:pt idx="1345">
                  <c:v>44.95</c:v>
                </c:pt>
                <c:pt idx="1346">
                  <c:v>44.95</c:v>
                </c:pt>
                <c:pt idx="1347">
                  <c:v>45</c:v>
                </c:pt>
                <c:pt idx="1348">
                  <c:v>45.05</c:v>
                </c:pt>
                <c:pt idx="1349">
                  <c:v>45.05</c:v>
                </c:pt>
                <c:pt idx="1350">
                  <c:v>45.1</c:v>
                </c:pt>
                <c:pt idx="1351">
                  <c:v>45.15</c:v>
                </c:pt>
                <c:pt idx="1352">
                  <c:v>45.15</c:v>
                </c:pt>
                <c:pt idx="1353">
                  <c:v>45.2</c:v>
                </c:pt>
                <c:pt idx="1354">
                  <c:v>45.25</c:v>
                </c:pt>
                <c:pt idx="1355">
                  <c:v>45.25</c:v>
                </c:pt>
                <c:pt idx="1356">
                  <c:v>45.3</c:v>
                </c:pt>
                <c:pt idx="1357">
                  <c:v>45.35</c:v>
                </c:pt>
                <c:pt idx="1358">
                  <c:v>45.35</c:v>
                </c:pt>
                <c:pt idx="1359">
                  <c:v>45.4</c:v>
                </c:pt>
                <c:pt idx="1360">
                  <c:v>45.45</c:v>
                </c:pt>
                <c:pt idx="1361">
                  <c:v>45.45</c:v>
                </c:pt>
                <c:pt idx="1362">
                  <c:v>45.5</c:v>
                </c:pt>
                <c:pt idx="1363">
                  <c:v>45.55</c:v>
                </c:pt>
                <c:pt idx="1364">
                  <c:v>45.55</c:v>
                </c:pt>
                <c:pt idx="1365">
                  <c:v>45.6</c:v>
                </c:pt>
                <c:pt idx="1366">
                  <c:v>45.65</c:v>
                </c:pt>
                <c:pt idx="1367">
                  <c:v>45.65</c:v>
                </c:pt>
                <c:pt idx="1368">
                  <c:v>45.7</c:v>
                </c:pt>
                <c:pt idx="1369">
                  <c:v>45.75</c:v>
                </c:pt>
                <c:pt idx="1370">
                  <c:v>45.75</c:v>
                </c:pt>
                <c:pt idx="1371">
                  <c:v>45.8</c:v>
                </c:pt>
                <c:pt idx="1372">
                  <c:v>45.85</c:v>
                </c:pt>
                <c:pt idx="1373">
                  <c:v>45.9</c:v>
                </c:pt>
                <c:pt idx="1374">
                  <c:v>45.9</c:v>
                </c:pt>
                <c:pt idx="1375">
                  <c:v>45.95</c:v>
                </c:pt>
                <c:pt idx="1376">
                  <c:v>46</c:v>
                </c:pt>
                <c:pt idx="1377">
                  <c:v>46</c:v>
                </c:pt>
                <c:pt idx="1378">
                  <c:v>46.05</c:v>
                </c:pt>
                <c:pt idx="1379">
                  <c:v>46.1</c:v>
                </c:pt>
                <c:pt idx="1380">
                  <c:v>46.1</c:v>
                </c:pt>
                <c:pt idx="1381">
                  <c:v>46.15</c:v>
                </c:pt>
                <c:pt idx="1382">
                  <c:v>46.2</c:v>
                </c:pt>
                <c:pt idx="1383">
                  <c:v>46.2</c:v>
                </c:pt>
                <c:pt idx="1384">
                  <c:v>46.25</c:v>
                </c:pt>
                <c:pt idx="1385">
                  <c:v>46.3</c:v>
                </c:pt>
                <c:pt idx="1386">
                  <c:v>46.3</c:v>
                </c:pt>
                <c:pt idx="1387">
                  <c:v>46.35</c:v>
                </c:pt>
                <c:pt idx="1388">
                  <c:v>46.4</c:v>
                </c:pt>
                <c:pt idx="1389">
                  <c:v>46.4</c:v>
                </c:pt>
                <c:pt idx="1390">
                  <c:v>46.45</c:v>
                </c:pt>
                <c:pt idx="1391">
                  <c:v>46.5</c:v>
                </c:pt>
                <c:pt idx="1392">
                  <c:v>46.5</c:v>
                </c:pt>
                <c:pt idx="1393">
                  <c:v>46.55</c:v>
                </c:pt>
                <c:pt idx="1394">
                  <c:v>46.6</c:v>
                </c:pt>
                <c:pt idx="1395">
                  <c:v>46.6</c:v>
                </c:pt>
                <c:pt idx="1396">
                  <c:v>46.65</c:v>
                </c:pt>
                <c:pt idx="1397">
                  <c:v>46.7</c:v>
                </c:pt>
                <c:pt idx="1398">
                  <c:v>46.7</c:v>
                </c:pt>
                <c:pt idx="1399">
                  <c:v>46.75</c:v>
                </c:pt>
                <c:pt idx="1400">
                  <c:v>46.8</c:v>
                </c:pt>
                <c:pt idx="1401">
                  <c:v>46.8</c:v>
                </c:pt>
                <c:pt idx="1402">
                  <c:v>46.85</c:v>
                </c:pt>
                <c:pt idx="1403">
                  <c:v>46.9</c:v>
                </c:pt>
                <c:pt idx="1404">
                  <c:v>46.9</c:v>
                </c:pt>
                <c:pt idx="1405">
                  <c:v>46.95</c:v>
                </c:pt>
                <c:pt idx="1406">
                  <c:v>47</c:v>
                </c:pt>
                <c:pt idx="1407">
                  <c:v>47</c:v>
                </c:pt>
                <c:pt idx="1408">
                  <c:v>47.05</c:v>
                </c:pt>
                <c:pt idx="1409">
                  <c:v>47.1</c:v>
                </c:pt>
                <c:pt idx="1410">
                  <c:v>47.1</c:v>
                </c:pt>
                <c:pt idx="1411">
                  <c:v>47.15</c:v>
                </c:pt>
                <c:pt idx="1412">
                  <c:v>47.2</c:v>
                </c:pt>
                <c:pt idx="1413">
                  <c:v>47.2</c:v>
                </c:pt>
                <c:pt idx="1414">
                  <c:v>47.25</c:v>
                </c:pt>
                <c:pt idx="1415">
                  <c:v>47.3</c:v>
                </c:pt>
                <c:pt idx="1416">
                  <c:v>47.3</c:v>
                </c:pt>
                <c:pt idx="1417">
                  <c:v>47.35</c:v>
                </c:pt>
                <c:pt idx="1418">
                  <c:v>47.4</c:v>
                </c:pt>
                <c:pt idx="1419">
                  <c:v>47.4</c:v>
                </c:pt>
                <c:pt idx="1420">
                  <c:v>47.45</c:v>
                </c:pt>
                <c:pt idx="1421">
                  <c:v>47.5</c:v>
                </c:pt>
                <c:pt idx="1422">
                  <c:v>47.5</c:v>
                </c:pt>
                <c:pt idx="1423">
                  <c:v>47.55</c:v>
                </c:pt>
                <c:pt idx="1424">
                  <c:v>47.6</c:v>
                </c:pt>
                <c:pt idx="1425">
                  <c:v>47.6</c:v>
                </c:pt>
                <c:pt idx="1426">
                  <c:v>47.65</c:v>
                </c:pt>
                <c:pt idx="1427">
                  <c:v>47.7</c:v>
                </c:pt>
                <c:pt idx="1428">
                  <c:v>47.7</c:v>
                </c:pt>
                <c:pt idx="1429">
                  <c:v>47.75</c:v>
                </c:pt>
                <c:pt idx="1430">
                  <c:v>47.8</c:v>
                </c:pt>
                <c:pt idx="1431">
                  <c:v>47.8</c:v>
                </c:pt>
                <c:pt idx="1432">
                  <c:v>47.85</c:v>
                </c:pt>
                <c:pt idx="1433">
                  <c:v>47.9</c:v>
                </c:pt>
                <c:pt idx="1434">
                  <c:v>47.9</c:v>
                </c:pt>
                <c:pt idx="1435">
                  <c:v>47.95</c:v>
                </c:pt>
                <c:pt idx="1436">
                  <c:v>48</c:v>
                </c:pt>
                <c:pt idx="1437">
                  <c:v>48</c:v>
                </c:pt>
                <c:pt idx="1438">
                  <c:v>48.05</c:v>
                </c:pt>
                <c:pt idx="1439">
                  <c:v>48.1</c:v>
                </c:pt>
                <c:pt idx="1440">
                  <c:v>48.1</c:v>
                </c:pt>
                <c:pt idx="1441">
                  <c:v>48.15</c:v>
                </c:pt>
                <c:pt idx="1442">
                  <c:v>48.2</c:v>
                </c:pt>
                <c:pt idx="1443">
                  <c:v>48.2</c:v>
                </c:pt>
                <c:pt idx="1444">
                  <c:v>48.25</c:v>
                </c:pt>
                <c:pt idx="1445">
                  <c:v>48.3</c:v>
                </c:pt>
                <c:pt idx="1446">
                  <c:v>48.3</c:v>
                </c:pt>
                <c:pt idx="1447">
                  <c:v>48.35</c:v>
                </c:pt>
                <c:pt idx="1448">
                  <c:v>48.4</c:v>
                </c:pt>
                <c:pt idx="1449">
                  <c:v>48.4</c:v>
                </c:pt>
                <c:pt idx="1450">
                  <c:v>48.45</c:v>
                </c:pt>
                <c:pt idx="1451">
                  <c:v>48.5</c:v>
                </c:pt>
                <c:pt idx="1452">
                  <c:v>48.5</c:v>
                </c:pt>
                <c:pt idx="1453">
                  <c:v>48.55</c:v>
                </c:pt>
                <c:pt idx="1454">
                  <c:v>48.6</c:v>
                </c:pt>
                <c:pt idx="1455">
                  <c:v>48.6</c:v>
                </c:pt>
                <c:pt idx="1456">
                  <c:v>48.65</c:v>
                </c:pt>
                <c:pt idx="1457">
                  <c:v>48.7</c:v>
                </c:pt>
                <c:pt idx="1458">
                  <c:v>48.7</c:v>
                </c:pt>
                <c:pt idx="1459">
                  <c:v>48.75</c:v>
                </c:pt>
                <c:pt idx="1460">
                  <c:v>48.8</c:v>
                </c:pt>
                <c:pt idx="1461">
                  <c:v>48.8</c:v>
                </c:pt>
                <c:pt idx="1462">
                  <c:v>48.85</c:v>
                </c:pt>
                <c:pt idx="1463">
                  <c:v>48.9</c:v>
                </c:pt>
                <c:pt idx="1464">
                  <c:v>48.9</c:v>
                </c:pt>
                <c:pt idx="1465">
                  <c:v>48.95</c:v>
                </c:pt>
                <c:pt idx="1466">
                  <c:v>49</c:v>
                </c:pt>
                <c:pt idx="1467">
                  <c:v>49</c:v>
                </c:pt>
                <c:pt idx="1468">
                  <c:v>49.05</c:v>
                </c:pt>
                <c:pt idx="1469">
                  <c:v>49.1</c:v>
                </c:pt>
                <c:pt idx="1470">
                  <c:v>49.1</c:v>
                </c:pt>
                <c:pt idx="1471">
                  <c:v>49.15</c:v>
                </c:pt>
                <c:pt idx="1472">
                  <c:v>49.2</c:v>
                </c:pt>
                <c:pt idx="1473">
                  <c:v>49.2</c:v>
                </c:pt>
                <c:pt idx="1474">
                  <c:v>49.25</c:v>
                </c:pt>
                <c:pt idx="1475">
                  <c:v>49.3</c:v>
                </c:pt>
                <c:pt idx="1476">
                  <c:v>49.3</c:v>
                </c:pt>
                <c:pt idx="1477">
                  <c:v>49.35</c:v>
                </c:pt>
                <c:pt idx="1478">
                  <c:v>49.4</c:v>
                </c:pt>
                <c:pt idx="1479">
                  <c:v>49.4</c:v>
                </c:pt>
                <c:pt idx="1480">
                  <c:v>49.45</c:v>
                </c:pt>
                <c:pt idx="1481">
                  <c:v>49.5</c:v>
                </c:pt>
                <c:pt idx="1482">
                  <c:v>49.5</c:v>
                </c:pt>
                <c:pt idx="1483">
                  <c:v>49.55</c:v>
                </c:pt>
                <c:pt idx="1484">
                  <c:v>49.6</c:v>
                </c:pt>
                <c:pt idx="1485">
                  <c:v>49.6</c:v>
                </c:pt>
                <c:pt idx="1486">
                  <c:v>49.65</c:v>
                </c:pt>
                <c:pt idx="1487">
                  <c:v>49.7</c:v>
                </c:pt>
                <c:pt idx="1488">
                  <c:v>49.7</c:v>
                </c:pt>
                <c:pt idx="1489">
                  <c:v>49.75</c:v>
                </c:pt>
                <c:pt idx="1490">
                  <c:v>49.8</c:v>
                </c:pt>
                <c:pt idx="1491">
                  <c:v>49.8</c:v>
                </c:pt>
                <c:pt idx="1492">
                  <c:v>49.85</c:v>
                </c:pt>
                <c:pt idx="1493">
                  <c:v>49.9</c:v>
                </c:pt>
                <c:pt idx="1494">
                  <c:v>49.9</c:v>
                </c:pt>
                <c:pt idx="1495">
                  <c:v>49.95</c:v>
                </c:pt>
                <c:pt idx="1496">
                  <c:v>50</c:v>
                </c:pt>
                <c:pt idx="1497">
                  <c:v>50</c:v>
                </c:pt>
                <c:pt idx="1498">
                  <c:v>50.05</c:v>
                </c:pt>
                <c:pt idx="1499">
                  <c:v>50.1</c:v>
                </c:pt>
                <c:pt idx="1500">
                  <c:v>50.1</c:v>
                </c:pt>
                <c:pt idx="1501">
                  <c:v>50.15</c:v>
                </c:pt>
                <c:pt idx="1502">
                  <c:v>50.2</c:v>
                </c:pt>
                <c:pt idx="1503">
                  <c:v>50.2</c:v>
                </c:pt>
                <c:pt idx="1504">
                  <c:v>50.25</c:v>
                </c:pt>
                <c:pt idx="1505">
                  <c:v>50.3</c:v>
                </c:pt>
                <c:pt idx="1506">
                  <c:v>50.3</c:v>
                </c:pt>
                <c:pt idx="1507">
                  <c:v>50.35</c:v>
                </c:pt>
                <c:pt idx="1508">
                  <c:v>50.4</c:v>
                </c:pt>
                <c:pt idx="1509">
                  <c:v>50.4</c:v>
                </c:pt>
                <c:pt idx="1510">
                  <c:v>50.45</c:v>
                </c:pt>
                <c:pt idx="1511">
                  <c:v>50.5</c:v>
                </c:pt>
                <c:pt idx="1512">
                  <c:v>50.5</c:v>
                </c:pt>
                <c:pt idx="1513">
                  <c:v>50.55</c:v>
                </c:pt>
                <c:pt idx="1514">
                  <c:v>50.6</c:v>
                </c:pt>
                <c:pt idx="1515">
                  <c:v>50.6</c:v>
                </c:pt>
                <c:pt idx="1516">
                  <c:v>50.65</c:v>
                </c:pt>
                <c:pt idx="1517">
                  <c:v>50.7</c:v>
                </c:pt>
                <c:pt idx="1518">
                  <c:v>50.7</c:v>
                </c:pt>
                <c:pt idx="1519">
                  <c:v>50.75</c:v>
                </c:pt>
                <c:pt idx="1520">
                  <c:v>50.8</c:v>
                </c:pt>
                <c:pt idx="1521">
                  <c:v>50.8</c:v>
                </c:pt>
                <c:pt idx="1522">
                  <c:v>50.85</c:v>
                </c:pt>
                <c:pt idx="1523">
                  <c:v>50.9</c:v>
                </c:pt>
                <c:pt idx="1524">
                  <c:v>50.9</c:v>
                </c:pt>
                <c:pt idx="1525">
                  <c:v>50.95</c:v>
                </c:pt>
                <c:pt idx="1526">
                  <c:v>51</c:v>
                </c:pt>
                <c:pt idx="1527">
                  <c:v>51</c:v>
                </c:pt>
                <c:pt idx="1528">
                  <c:v>51.05</c:v>
                </c:pt>
                <c:pt idx="1529">
                  <c:v>51.1</c:v>
                </c:pt>
                <c:pt idx="1530">
                  <c:v>51.1</c:v>
                </c:pt>
                <c:pt idx="1531">
                  <c:v>51.15</c:v>
                </c:pt>
                <c:pt idx="1532">
                  <c:v>51.2</c:v>
                </c:pt>
                <c:pt idx="1533">
                  <c:v>51.2</c:v>
                </c:pt>
                <c:pt idx="1534">
                  <c:v>51.25</c:v>
                </c:pt>
                <c:pt idx="1535">
                  <c:v>51.3</c:v>
                </c:pt>
                <c:pt idx="1536">
                  <c:v>51.3</c:v>
                </c:pt>
                <c:pt idx="1537">
                  <c:v>51.35</c:v>
                </c:pt>
                <c:pt idx="1538">
                  <c:v>51.4</c:v>
                </c:pt>
                <c:pt idx="1539">
                  <c:v>51.4</c:v>
                </c:pt>
                <c:pt idx="1540">
                  <c:v>51.45</c:v>
                </c:pt>
                <c:pt idx="1541">
                  <c:v>51.5</c:v>
                </c:pt>
                <c:pt idx="1542">
                  <c:v>51.5</c:v>
                </c:pt>
                <c:pt idx="1543">
                  <c:v>51.55</c:v>
                </c:pt>
                <c:pt idx="1544">
                  <c:v>51.6</c:v>
                </c:pt>
                <c:pt idx="1545">
                  <c:v>51.65</c:v>
                </c:pt>
                <c:pt idx="1546">
                  <c:v>51.65</c:v>
                </c:pt>
                <c:pt idx="1547">
                  <c:v>51.7</c:v>
                </c:pt>
                <c:pt idx="1548">
                  <c:v>51.75</c:v>
                </c:pt>
                <c:pt idx="1549">
                  <c:v>51.75</c:v>
                </c:pt>
                <c:pt idx="1550">
                  <c:v>51.8</c:v>
                </c:pt>
                <c:pt idx="1551">
                  <c:v>51.85</c:v>
                </c:pt>
                <c:pt idx="1552">
                  <c:v>51.85</c:v>
                </c:pt>
                <c:pt idx="1553">
                  <c:v>51.9</c:v>
                </c:pt>
                <c:pt idx="1554">
                  <c:v>51.95</c:v>
                </c:pt>
                <c:pt idx="1555">
                  <c:v>51.95</c:v>
                </c:pt>
                <c:pt idx="1556">
                  <c:v>52</c:v>
                </c:pt>
                <c:pt idx="1557">
                  <c:v>52.05</c:v>
                </c:pt>
                <c:pt idx="1558">
                  <c:v>52.05</c:v>
                </c:pt>
                <c:pt idx="1559">
                  <c:v>52.1</c:v>
                </c:pt>
                <c:pt idx="1560">
                  <c:v>52.15</c:v>
                </c:pt>
                <c:pt idx="1561">
                  <c:v>52.15</c:v>
                </c:pt>
                <c:pt idx="1562">
                  <c:v>52.2</c:v>
                </c:pt>
                <c:pt idx="1563">
                  <c:v>52.25</c:v>
                </c:pt>
                <c:pt idx="1564">
                  <c:v>52.25</c:v>
                </c:pt>
                <c:pt idx="1565">
                  <c:v>52.3</c:v>
                </c:pt>
                <c:pt idx="1566">
                  <c:v>52.35</c:v>
                </c:pt>
                <c:pt idx="1567">
                  <c:v>52.35</c:v>
                </c:pt>
                <c:pt idx="1568">
                  <c:v>52.4</c:v>
                </c:pt>
                <c:pt idx="1569">
                  <c:v>52.45</c:v>
                </c:pt>
                <c:pt idx="1570">
                  <c:v>52.45</c:v>
                </c:pt>
                <c:pt idx="1571">
                  <c:v>52.5</c:v>
                </c:pt>
                <c:pt idx="1572">
                  <c:v>52.55</c:v>
                </c:pt>
                <c:pt idx="1573">
                  <c:v>52.55</c:v>
                </c:pt>
                <c:pt idx="1574">
                  <c:v>52.6</c:v>
                </c:pt>
                <c:pt idx="1575">
                  <c:v>52.65</c:v>
                </c:pt>
                <c:pt idx="1576">
                  <c:v>52.65</c:v>
                </c:pt>
                <c:pt idx="1577">
                  <c:v>52.7</c:v>
                </c:pt>
                <c:pt idx="1578">
                  <c:v>52.75</c:v>
                </c:pt>
                <c:pt idx="1579">
                  <c:v>52.75</c:v>
                </c:pt>
                <c:pt idx="1580">
                  <c:v>52.8</c:v>
                </c:pt>
                <c:pt idx="1581">
                  <c:v>52.85</c:v>
                </c:pt>
                <c:pt idx="1582">
                  <c:v>52.85</c:v>
                </c:pt>
                <c:pt idx="1583">
                  <c:v>52.9</c:v>
                </c:pt>
                <c:pt idx="1584">
                  <c:v>52.95</c:v>
                </c:pt>
                <c:pt idx="1585">
                  <c:v>52.95</c:v>
                </c:pt>
                <c:pt idx="1586">
                  <c:v>53</c:v>
                </c:pt>
                <c:pt idx="1587">
                  <c:v>53.05</c:v>
                </c:pt>
                <c:pt idx="1588">
                  <c:v>53.05</c:v>
                </c:pt>
                <c:pt idx="1589">
                  <c:v>53.1</c:v>
                </c:pt>
                <c:pt idx="1590">
                  <c:v>53.15</c:v>
                </c:pt>
                <c:pt idx="1591">
                  <c:v>53.15</c:v>
                </c:pt>
                <c:pt idx="1592">
                  <c:v>53.2</c:v>
                </c:pt>
                <c:pt idx="1593">
                  <c:v>53.25</c:v>
                </c:pt>
                <c:pt idx="1594">
                  <c:v>53.25</c:v>
                </c:pt>
                <c:pt idx="1595">
                  <c:v>53.3</c:v>
                </c:pt>
                <c:pt idx="1596">
                  <c:v>53.35</c:v>
                </c:pt>
                <c:pt idx="1597">
                  <c:v>53.35</c:v>
                </c:pt>
                <c:pt idx="1598">
                  <c:v>53.4</c:v>
                </c:pt>
                <c:pt idx="1599">
                  <c:v>53.45</c:v>
                </c:pt>
                <c:pt idx="1600">
                  <c:v>53.45</c:v>
                </c:pt>
                <c:pt idx="1601">
                  <c:v>53.5</c:v>
                </c:pt>
                <c:pt idx="1602">
                  <c:v>53.55</c:v>
                </c:pt>
                <c:pt idx="1603">
                  <c:v>53.55</c:v>
                </c:pt>
                <c:pt idx="1604">
                  <c:v>53.6</c:v>
                </c:pt>
                <c:pt idx="1605">
                  <c:v>53.65</c:v>
                </c:pt>
                <c:pt idx="1606">
                  <c:v>53.65</c:v>
                </c:pt>
                <c:pt idx="1607">
                  <c:v>53.7</c:v>
                </c:pt>
                <c:pt idx="1608">
                  <c:v>53.75</c:v>
                </c:pt>
                <c:pt idx="1609">
                  <c:v>53.75</c:v>
                </c:pt>
                <c:pt idx="1610">
                  <c:v>53.8</c:v>
                </c:pt>
                <c:pt idx="1611">
                  <c:v>53.85</c:v>
                </c:pt>
                <c:pt idx="1612">
                  <c:v>53.85</c:v>
                </c:pt>
                <c:pt idx="1613">
                  <c:v>53.9</c:v>
                </c:pt>
                <c:pt idx="1614">
                  <c:v>53.95</c:v>
                </c:pt>
                <c:pt idx="1615">
                  <c:v>53.95</c:v>
                </c:pt>
                <c:pt idx="1616">
                  <c:v>54</c:v>
                </c:pt>
                <c:pt idx="1617">
                  <c:v>54.05</c:v>
                </c:pt>
                <c:pt idx="1618">
                  <c:v>54.05</c:v>
                </c:pt>
                <c:pt idx="1619">
                  <c:v>54.1</c:v>
                </c:pt>
                <c:pt idx="1620">
                  <c:v>54.15</c:v>
                </c:pt>
                <c:pt idx="1621">
                  <c:v>54.15</c:v>
                </c:pt>
                <c:pt idx="1622">
                  <c:v>54.2</c:v>
                </c:pt>
                <c:pt idx="1623">
                  <c:v>54.25</c:v>
                </c:pt>
                <c:pt idx="1624">
                  <c:v>54.25</c:v>
                </c:pt>
                <c:pt idx="1625">
                  <c:v>54.3</c:v>
                </c:pt>
                <c:pt idx="1626">
                  <c:v>54.35</c:v>
                </c:pt>
                <c:pt idx="1627">
                  <c:v>54.35</c:v>
                </c:pt>
                <c:pt idx="1628">
                  <c:v>54.4</c:v>
                </c:pt>
                <c:pt idx="1629">
                  <c:v>54.45</c:v>
                </c:pt>
                <c:pt idx="1630">
                  <c:v>54.45</c:v>
                </c:pt>
                <c:pt idx="1631">
                  <c:v>54.5</c:v>
                </c:pt>
                <c:pt idx="1632">
                  <c:v>54.55</c:v>
                </c:pt>
                <c:pt idx="1633">
                  <c:v>54.55</c:v>
                </c:pt>
                <c:pt idx="1634">
                  <c:v>54.6</c:v>
                </c:pt>
                <c:pt idx="1635">
                  <c:v>54.65</c:v>
                </c:pt>
                <c:pt idx="1636">
                  <c:v>54.65</c:v>
                </c:pt>
                <c:pt idx="1637">
                  <c:v>54.7</c:v>
                </c:pt>
                <c:pt idx="1638">
                  <c:v>54.75</c:v>
                </c:pt>
                <c:pt idx="1639">
                  <c:v>54.75</c:v>
                </c:pt>
                <c:pt idx="1640">
                  <c:v>54.8</c:v>
                </c:pt>
                <c:pt idx="1641">
                  <c:v>54.85</c:v>
                </c:pt>
                <c:pt idx="1642">
                  <c:v>54.85</c:v>
                </c:pt>
                <c:pt idx="1643">
                  <c:v>54.9</c:v>
                </c:pt>
                <c:pt idx="1644">
                  <c:v>54.95</c:v>
                </c:pt>
                <c:pt idx="1645">
                  <c:v>54.95</c:v>
                </c:pt>
                <c:pt idx="1646">
                  <c:v>55</c:v>
                </c:pt>
                <c:pt idx="1647">
                  <c:v>55.05</c:v>
                </c:pt>
                <c:pt idx="1648">
                  <c:v>55.05</c:v>
                </c:pt>
                <c:pt idx="1649">
                  <c:v>55.1</c:v>
                </c:pt>
                <c:pt idx="1650">
                  <c:v>55.15</c:v>
                </c:pt>
                <c:pt idx="1651">
                  <c:v>55.15</c:v>
                </c:pt>
                <c:pt idx="1652">
                  <c:v>55.2</c:v>
                </c:pt>
                <c:pt idx="1653">
                  <c:v>55.25</c:v>
                </c:pt>
                <c:pt idx="1654">
                  <c:v>55.25</c:v>
                </c:pt>
                <c:pt idx="1655">
                  <c:v>55.3</c:v>
                </c:pt>
                <c:pt idx="1656">
                  <c:v>55.35</c:v>
                </c:pt>
                <c:pt idx="1657">
                  <c:v>55.35</c:v>
                </c:pt>
                <c:pt idx="1658">
                  <c:v>55.4</c:v>
                </c:pt>
                <c:pt idx="1659">
                  <c:v>55.45</c:v>
                </c:pt>
                <c:pt idx="1660">
                  <c:v>55.45</c:v>
                </c:pt>
                <c:pt idx="1661">
                  <c:v>55.5</c:v>
                </c:pt>
                <c:pt idx="1662">
                  <c:v>55.55</c:v>
                </c:pt>
                <c:pt idx="1663">
                  <c:v>55.55</c:v>
                </c:pt>
                <c:pt idx="1664">
                  <c:v>55.6</c:v>
                </c:pt>
                <c:pt idx="1665">
                  <c:v>55.65</c:v>
                </c:pt>
                <c:pt idx="1666">
                  <c:v>55.65</c:v>
                </c:pt>
                <c:pt idx="1667">
                  <c:v>55.7</c:v>
                </c:pt>
                <c:pt idx="1668">
                  <c:v>55.75</c:v>
                </c:pt>
                <c:pt idx="1669">
                  <c:v>55.75</c:v>
                </c:pt>
                <c:pt idx="1670">
                  <c:v>55.8</c:v>
                </c:pt>
                <c:pt idx="1671">
                  <c:v>55.85</c:v>
                </c:pt>
                <c:pt idx="1672">
                  <c:v>55.85</c:v>
                </c:pt>
                <c:pt idx="1673">
                  <c:v>55.9</c:v>
                </c:pt>
                <c:pt idx="1674">
                  <c:v>55.95</c:v>
                </c:pt>
                <c:pt idx="1675">
                  <c:v>55.95</c:v>
                </c:pt>
                <c:pt idx="1676">
                  <c:v>56</c:v>
                </c:pt>
                <c:pt idx="1677">
                  <c:v>56.05</c:v>
                </c:pt>
                <c:pt idx="1678">
                  <c:v>56.05</c:v>
                </c:pt>
                <c:pt idx="1679">
                  <c:v>56.1</c:v>
                </c:pt>
                <c:pt idx="1680">
                  <c:v>56.15</c:v>
                </c:pt>
                <c:pt idx="1681">
                  <c:v>56.15</c:v>
                </c:pt>
                <c:pt idx="1682">
                  <c:v>56.2</c:v>
                </c:pt>
                <c:pt idx="1683">
                  <c:v>56.25</c:v>
                </c:pt>
                <c:pt idx="1684">
                  <c:v>56.25</c:v>
                </c:pt>
                <c:pt idx="1685">
                  <c:v>56.3</c:v>
                </c:pt>
                <c:pt idx="1686">
                  <c:v>56.35</c:v>
                </c:pt>
                <c:pt idx="1687">
                  <c:v>56.35</c:v>
                </c:pt>
                <c:pt idx="1688">
                  <c:v>56.4</c:v>
                </c:pt>
                <c:pt idx="1689">
                  <c:v>56.45</c:v>
                </c:pt>
                <c:pt idx="1690">
                  <c:v>56.45</c:v>
                </c:pt>
                <c:pt idx="1691">
                  <c:v>56.5</c:v>
                </c:pt>
                <c:pt idx="1692">
                  <c:v>56.55</c:v>
                </c:pt>
                <c:pt idx="1693">
                  <c:v>56.55</c:v>
                </c:pt>
                <c:pt idx="1694">
                  <c:v>56.6</c:v>
                </c:pt>
                <c:pt idx="1695">
                  <c:v>56.65</c:v>
                </c:pt>
                <c:pt idx="1696">
                  <c:v>56.65</c:v>
                </c:pt>
                <c:pt idx="1697">
                  <c:v>56.7</c:v>
                </c:pt>
                <c:pt idx="1698">
                  <c:v>56.75</c:v>
                </c:pt>
                <c:pt idx="1699">
                  <c:v>56.75</c:v>
                </c:pt>
                <c:pt idx="1700">
                  <c:v>56.8</c:v>
                </c:pt>
                <c:pt idx="1701">
                  <c:v>56.85</c:v>
                </c:pt>
                <c:pt idx="1702">
                  <c:v>56.85</c:v>
                </c:pt>
                <c:pt idx="1703">
                  <c:v>56.9</c:v>
                </c:pt>
                <c:pt idx="1704">
                  <c:v>56.95</c:v>
                </c:pt>
                <c:pt idx="1705">
                  <c:v>56.95</c:v>
                </c:pt>
                <c:pt idx="1706">
                  <c:v>57</c:v>
                </c:pt>
                <c:pt idx="1707">
                  <c:v>57.05</c:v>
                </c:pt>
                <c:pt idx="1708">
                  <c:v>57.05</c:v>
                </c:pt>
                <c:pt idx="1709">
                  <c:v>57.1</c:v>
                </c:pt>
                <c:pt idx="1710">
                  <c:v>57.15</c:v>
                </c:pt>
                <c:pt idx="1711">
                  <c:v>57.15</c:v>
                </c:pt>
                <c:pt idx="1712">
                  <c:v>57.2</c:v>
                </c:pt>
                <c:pt idx="1713">
                  <c:v>57.25</c:v>
                </c:pt>
                <c:pt idx="1714">
                  <c:v>57.25</c:v>
                </c:pt>
                <c:pt idx="1715">
                  <c:v>57.3</c:v>
                </c:pt>
                <c:pt idx="1716">
                  <c:v>57.35</c:v>
                </c:pt>
                <c:pt idx="1717">
                  <c:v>57.4</c:v>
                </c:pt>
                <c:pt idx="1718">
                  <c:v>57.4</c:v>
                </c:pt>
                <c:pt idx="1719">
                  <c:v>57.45</c:v>
                </c:pt>
                <c:pt idx="1720">
                  <c:v>57.5</c:v>
                </c:pt>
                <c:pt idx="1721">
                  <c:v>57.5</c:v>
                </c:pt>
                <c:pt idx="1722">
                  <c:v>57.55</c:v>
                </c:pt>
                <c:pt idx="1723">
                  <c:v>57.6</c:v>
                </c:pt>
                <c:pt idx="1724">
                  <c:v>57.6</c:v>
                </c:pt>
                <c:pt idx="1725">
                  <c:v>57.65</c:v>
                </c:pt>
                <c:pt idx="1726">
                  <c:v>57.7</c:v>
                </c:pt>
                <c:pt idx="1727">
                  <c:v>57.7</c:v>
                </c:pt>
                <c:pt idx="1728">
                  <c:v>57.75</c:v>
                </c:pt>
                <c:pt idx="1729">
                  <c:v>57.8</c:v>
                </c:pt>
                <c:pt idx="1730">
                  <c:v>57.8</c:v>
                </c:pt>
                <c:pt idx="1731">
                  <c:v>57.85</c:v>
                </c:pt>
                <c:pt idx="1732">
                  <c:v>57.9</c:v>
                </c:pt>
                <c:pt idx="1733">
                  <c:v>57.9</c:v>
                </c:pt>
                <c:pt idx="1734">
                  <c:v>57.95</c:v>
                </c:pt>
                <c:pt idx="1735">
                  <c:v>58</c:v>
                </c:pt>
                <c:pt idx="1736">
                  <c:v>58</c:v>
                </c:pt>
                <c:pt idx="1737">
                  <c:v>58.05</c:v>
                </c:pt>
                <c:pt idx="1738">
                  <c:v>58.1</c:v>
                </c:pt>
                <c:pt idx="1739">
                  <c:v>58.1</c:v>
                </c:pt>
                <c:pt idx="1740">
                  <c:v>58.15</c:v>
                </c:pt>
                <c:pt idx="1741">
                  <c:v>58.2</c:v>
                </c:pt>
                <c:pt idx="1742">
                  <c:v>58.2</c:v>
                </c:pt>
                <c:pt idx="1743">
                  <c:v>58.25</c:v>
                </c:pt>
                <c:pt idx="1744">
                  <c:v>58.3</c:v>
                </c:pt>
                <c:pt idx="1745">
                  <c:v>58.3</c:v>
                </c:pt>
                <c:pt idx="1746">
                  <c:v>58.35</c:v>
                </c:pt>
                <c:pt idx="1747">
                  <c:v>58.4</c:v>
                </c:pt>
                <c:pt idx="1748">
                  <c:v>58.4</c:v>
                </c:pt>
                <c:pt idx="1749">
                  <c:v>58.45</c:v>
                </c:pt>
                <c:pt idx="1750">
                  <c:v>58.5</c:v>
                </c:pt>
                <c:pt idx="1751">
                  <c:v>58.5</c:v>
                </c:pt>
                <c:pt idx="1752">
                  <c:v>58.55</c:v>
                </c:pt>
                <c:pt idx="1753">
                  <c:v>58.6</c:v>
                </c:pt>
                <c:pt idx="1754">
                  <c:v>58.6</c:v>
                </c:pt>
                <c:pt idx="1755">
                  <c:v>58.65</c:v>
                </c:pt>
                <c:pt idx="1756">
                  <c:v>58.7</c:v>
                </c:pt>
                <c:pt idx="1757">
                  <c:v>58.7</c:v>
                </c:pt>
                <c:pt idx="1758">
                  <c:v>58.75</c:v>
                </c:pt>
                <c:pt idx="1759">
                  <c:v>58.8</c:v>
                </c:pt>
                <c:pt idx="1760">
                  <c:v>58.8</c:v>
                </c:pt>
                <c:pt idx="1761">
                  <c:v>58.85</c:v>
                </c:pt>
                <c:pt idx="1762">
                  <c:v>58.9</c:v>
                </c:pt>
                <c:pt idx="1763">
                  <c:v>58.9</c:v>
                </c:pt>
                <c:pt idx="1764">
                  <c:v>58.95</c:v>
                </c:pt>
                <c:pt idx="1765">
                  <c:v>59</c:v>
                </c:pt>
                <c:pt idx="1766">
                  <c:v>59</c:v>
                </c:pt>
                <c:pt idx="1767">
                  <c:v>59.05</c:v>
                </c:pt>
                <c:pt idx="1768">
                  <c:v>59.1</c:v>
                </c:pt>
                <c:pt idx="1769">
                  <c:v>59.1</c:v>
                </c:pt>
                <c:pt idx="1770">
                  <c:v>59.15</c:v>
                </c:pt>
                <c:pt idx="1771">
                  <c:v>59.2</c:v>
                </c:pt>
                <c:pt idx="1772">
                  <c:v>59.2</c:v>
                </c:pt>
                <c:pt idx="1773">
                  <c:v>59.25</c:v>
                </c:pt>
                <c:pt idx="1774">
                  <c:v>59.3</c:v>
                </c:pt>
                <c:pt idx="1775">
                  <c:v>59.3</c:v>
                </c:pt>
                <c:pt idx="1776">
                  <c:v>59.35</c:v>
                </c:pt>
                <c:pt idx="1777">
                  <c:v>59.4</c:v>
                </c:pt>
                <c:pt idx="1778">
                  <c:v>59.4</c:v>
                </c:pt>
                <c:pt idx="1779">
                  <c:v>59.45</c:v>
                </c:pt>
                <c:pt idx="1780">
                  <c:v>59.5</c:v>
                </c:pt>
                <c:pt idx="1781">
                  <c:v>59.5</c:v>
                </c:pt>
                <c:pt idx="1782">
                  <c:v>59.55</c:v>
                </c:pt>
                <c:pt idx="1783">
                  <c:v>59.6</c:v>
                </c:pt>
                <c:pt idx="1784">
                  <c:v>59.6</c:v>
                </c:pt>
                <c:pt idx="1785">
                  <c:v>59.65</c:v>
                </c:pt>
                <c:pt idx="1786">
                  <c:v>59.7</c:v>
                </c:pt>
                <c:pt idx="1787">
                  <c:v>59.7</c:v>
                </c:pt>
                <c:pt idx="1788">
                  <c:v>59.75</c:v>
                </c:pt>
                <c:pt idx="1789">
                  <c:v>59.8</c:v>
                </c:pt>
                <c:pt idx="1790">
                  <c:v>59.8</c:v>
                </c:pt>
                <c:pt idx="1791">
                  <c:v>59.85</c:v>
                </c:pt>
                <c:pt idx="1792">
                  <c:v>59.9</c:v>
                </c:pt>
                <c:pt idx="1793">
                  <c:v>59.9</c:v>
                </c:pt>
                <c:pt idx="1794">
                  <c:v>59.95</c:v>
                </c:pt>
                <c:pt idx="1795">
                  <c:v>60</c:v>
                </c:pt>
                <c:pt idx="1796">
                  <c:v>60</c:v>
                </c:pt>
                <c:pt idx="1797">
                  <c:v>60.05</c:v>
                </c:pt>
                <c:pt idx="1798">
                  <c:v>60.1</c:v>
                </c:pt>
                <c:pt idx="1799">
                  <c:v>60.1</c:v>
                </c:pt>
                <c:pt idx="1800">
                  <c:v>60.15</c:v>
                </c:pt>
                <c:pt idx="1801">
                  <c:v>60.2</c:v>
                </c:pt>
                <c:pt idx="1802">
                  <c:v>60.2</c:v>
                </c:pt>
                <c:pt idx="1803">
                  <c:v>60.25</c:v>
                </c:pt>
                <c:pt idx="1804">
                  <c:v>60.3</c:v>
                </c:pt>
                <c:pt idx="1805">
                  <c:v>60.3</c:v>
                </c:pt>
                <c:pt idx="1806">
                  <c:v>60.35</c:v>
                </c:pt>
                <c:pt idx="1807">
                  <c:v>60.4</c:v>
                </c:pt>
                <c:pt idx="1808">
                  <c:v>60.4</c:v>
                </c:pt>
                <c:pt idx="1809">
                  <c:v>60.45</c:v>
                </c:pt>
                <c:pt idx="1810">
                  <c:v>60.5</c:v>
                </c:pt>
                <c:pt idx="1811">
                  <c:v>60.5</c:v>
                </c:pt>
                <c:pt idx="1812">
                  <c:v>60.55</c:v>
                </c:pt>
                <c:pt idx="1813">
                  <c:v>60.6</c:v>
                </c:pt>
                <c:pt idx="1814">
                  <c:v>60.6</c:v>
                </c:pt>
                <c:pt idx="1815">
                  <c:v>60.65</c:v>
                </c:pt>
                <c:pt idx="1816">
                  <c:v>60.7</c:v>
                </c:pt>
                <c:pt idx="1817">
                  <c:v>60.7</c:v>
                </c:pt>
                <c:pt idx="1818">
                  <c:v>60.75</c:v>
                </c:pt>
                <c:pt idx="1819">
                  <c:v>60.8</c:v>
                </c:pt>
                <c:pt idx="1820">
                  <c:v>60.8</c:v>
                </c:pt>
                <c:pt idx="1821">
                  <c:v>60.85</c:v>
                </c:pt>
                <c:pt idx="1822">
                  <c:v>60.9</c:v>
                </c:pt>
                <c:pt idx="1823">
                  <c:v>60.9</c:v>
                </c:pt>
                <c:pt idx="1824">
                  <c:v>60.95</c:v>
                </c:pt>
                <c:pt idx="1825">
                  <c:v>61</c:v>
                </c:pt>
                <c:pt idx="1826">
                  <c:v>61</c:v>
                </c:pt>
                <c:pt idx="1827">
                  <c:v>61.05</c:v>
                </c:pt>
                <c:pt idx="1828">
                  <c:v>61.1</c:v>
                </c:pt>
                <c:pt idx="1829">
                  <c:v>61.1</c:v>
                </c:pt>
                <c:pt idx="1830">
                  <c:v>61.15</c:v>
                </c:pt>
                <c:pt idx="1831">
                  <c:v>61.2</c:v>
                </c:pt>
                <c:pt idx="1832">
                  <c:v>61.2</c:v>
                </c:pt>
                <c:pt idx="1833">
                  <c:v>61.25</c:v>
                </c:pt>
                <c:pt idx="1834">
                  <c:v>61.3</c:v>
                </c:pt>
                <c:pt idx="1835">
                  <c:v>61.3</c:v>
                </c:pt>
                <c:pt idx="1836">
                  <c:v>61.35</c:v>
                </c:pt>
                <c:pt idx="1837">
                  <c:v>61.4</c:v>
                </c:pt>
                <c:pt idx="1838">
                  <c:v>61.4</c:v>
                </c:pt>
                <c:pt idx="1839">
                  <c:v>61.45</c:v>
                </c:pt>
                <c:pt idx="1840">
                  <c:v>61.5</c:v>
                </c:pt>
                <c:pt idx="1841">
                  <c:v>61.5</c:v>
                </c:pt>
                <c:pt idx="1842">
                  <c:v>61.55</c:v>
                </c:pt>
                <c:pt idx="1843">
                  <c:v>61.6</c:v>
                </c:pt>
                <c:pt idx="1844">
                  <c:v>61.6</c:v>
                </c:pt>
                <c:pt idx="1845">
                  <c:v>61.65</c:v>
                </c:pt>
                <c:pt idx="1846">
                  <c:v>61.7</c:v>
                </c:pt>
                <c:pt idx="1847">
                  <c:v>61.7</c:v>
                </c:pt>
                <c:pt idx="1848">
                  <c:v>61.75</c:v>
                </c:pt>
                <c:pt idx="1849">
                  <c:v>61.8</c:v>
                </c:pt>
                <c:pt idx="1850">
                  <c:v>61.8</c:v>
                </c:pt>
                <c:pt idx="1851">
                  <c:v>61.85</c:v>
                </c:pt>
                <c:pt idx="1852">
                  <c:v>61.9</c:v>
                </c:pt>
                <c:pt idx="1853">
                  <c:v>61.9</c:v>
                </c:pt>
                <c:pt idx="1854">
                  <c:v>61.95</c:v>
                </c:pt>
                <c:pt idx="1855">
                  <c:v>62</c:v>
                </c:pt>
                <c:pt idx="1856">
                  <c:v>62</c:v>
                </c:pt>
                <c:pt idx="1857">
                  <c:v>62.05</c:v>
                </c:pt>
                <c:pt idx="1858">
                  <c:v>62.1</c:v>
                </c:pt>
                <c:pt idx="1859">
                  <c:v>62.1</c:v>
                </c:pt>
                <c:pt idx="1860">
                  <c:v>62.15</c:v>
                </c:pt>
                <c:pt idx="1861">
                  <c:v>62.2</c:v>
                </c:pt>
                <c:pt idx="1862">
                  <c:v>62.2</c:v>
                </c:pt>
                <c:pt idx="1863">
                  <c:v>62.25</c:v>
                </c:pt>
                <c:pt idx="1864">
                  <c:v>62.3</c:v>
                </c:pt>
                <c:pt idx="1865">
                  <c:v>62.3</c:v>
                </c:pt>
                <c:pt idx="1866">
                  <c:v>62.35</c:v>
                </c:pt>
                <c:pt idx="1867">
                  <c:v>62.4</c:v>
                </c:pt>
                <c:pt idx="1868">
                  <c:v>62.4</c:v>
                </c:pt>
                <c:pt idx="1869">
                  <c:v>62.45</c:v>
                </c:pt>
                <c:pt idx="1870">
                  <c:v>62.5</c:v>
                </c:pt>
                <c:pt idx="1871">
                  <c:v>62.5</c:v>
                </c:pt>
                <c:pt idx="1872">
                  <c:v>62.55</c:v>
                </c:pt>
                <c:pt idx="1873">
                  <c:v>62.6</c:v>
                </c:pt>
                <c:pt idx="1874">
                  <c:v>62.6</c:v>
                </c:pt>
                <c:pt idx="1875">
                  <c:v>62.65</c:v>
                </c:pt>
                <c:pt idx="1876">
                  <c:v>62.7</c:v>
                </c:pt>
                <c:pt idx="1877">
                  <c:v>62.7</c:v>
                </c:pt>
                <c:pt idx="1878">
                  <c:v>62.75</c:v>
                </c:pt>
                <c:pt idx="1879">
                  <c:v>62.8</c:v>
                </c:pt>
                <c:pt idx="1880">
                  <c:v>62.8</c:v>
                </c:pt>
                <c:pt idx="1881">
                  <c:v>62.85</c:v>
                </c:pt>
                <c:pt idx="1882">
                  <c:v>62.9</c:v>
                </c:pt>
                <c:pt idx="1883">
                  <c:v>62.9</c:v>
                </c:pt>
                <c:pt idx="1884">
                  <c:v>62.95</c:v>
                </c:pt>
                <c:pt idx="1885">
                  <c:v>63</c:v>
                </c:pt>
                <c:pt idx="1886">
                  <c:v>63</c:v>
                </c:pt>
                <c:pt idx="1887">
                  <c:v>63.05</c:v>
                </c:pt>
                <c:pt idx="1888">
                  <c:v>63.1</c:v>
                </c:pt>
                <c:pt idx="1889">
                  <c:v>63.15</c:v>
                </c:pt>
                <c:pt idx="1890">
                  <c:v>63.15</c:v>
                </c:pt>
                <c:pt idx="1891">
                  <c:v>63.2</c:v>
                </c:pt>
                <c:pt idx="1892">
                  <c:v>63.25</c:v>
                </c:pt>
                <c:pt idx="1893">
                  <c:v>63.25</c:v>
                </c:pt>
                <c:pt idx="1894">
                  <c:v>63.3</c:v>
                </c:pt>
                <c:pt idx="1895">
                  <c:v>63.35</c:v>
                </c:pt>
                <c:pt idx="1896">
                  <c:v>63.35</c:v>
                </c:pt>
                <c:pt idx="1897">
                  <c:v>63.4</c:v>
                </c:pt>
                <c:pt idx="1898">
                  <c:v>63.45</c:v>
                </c:pt>
                <c:pt idx="1899">
                  <c:v>63.45</c:v>
                </c:pt>
                <c:pt idx="1900">
                  <c:v>63.5</c:v>
                </c:pt>
                <c:pt idx="1901">
                  <c:v>63.55</c:v>
                </c:pt>
                <c:pt idx="1902">
                  <c:v>63.55</c:v>
                </c:pt>
                <c:pt idx="1903">
                  <c:v>63.6</c:v>
                </c:pt>
                <c:pt idx="1904">
                  <c:v>63.65</c:v>
                </c:pt>
                <c:pt idx="1905">
                  <c:v>63.65</c:v>
                </c:pt>
                <c:pt idx="1906">
                  <c:v>63.7</c:v>
                </c:pt>
                <c:pt idx="1907">
                  <c:v>63.75</c:v>
                </c:pt>
                <c:pt idx="1908">
                  <c:v>63.75</c:v>
                </c:pt>
                <c:pt idx="1909">
                  <c:v>63.8</c:v>
                </c:pt>
                <c:pt idx="1910">
                  <c:v>63.85</c:v>
                </c:pt>
                <c:pt idx="1911">
                  <c:v>63.85</c:v>
                </c:pt>
                <c:pt idx="1912">
                  <c:v>63.9</c:v>
                </c:pt>
                <c:pt idx="1913">
                  <c:v>63.95</c:v>
                </c:pt>
                <c:pt idx="1914">
                  <c:v>63.95</c:v>
                </c:pt>
                <c:pt idx="1915">
                  <c:v>64</c:v>
                </c:pt>
                <c:pt idx="1916">
                  <c:v>64.05</c:v>
                </c:pt>
                <c:pt idx="1917">
                  <c:v>64.05</c:v>
                </c:pt>
                <c:pt idx="1918">
                  <c:v>64.1</c:v>
                </c:pt>
                <c:pt idx="1919">
                  <c:v>64.15</c:v>
                </c:pt>
                <c:pt idx="1920">
                  <c:v>64.15</c:v>
                </c:pt>
                <c:pt idx="1921">
                  <c:v>64.2</c:v>
                </c:pt>
                <c:pt idx="1922">
                  <c:v>64.25</c:v>
                </c:pt>
                <c:pt idx="1923">
                  <c:v>64.25</c:v>
                </c:pt>
                <c:pt idx="1924">
                  <c:v>64.3</c:v>
                </c:pt>
                <c:pt idx="1925">
                  <c:v>64.35</c:v>
                </c:pt>
                <c:pt idx="1926">
                  <c:v>64.35</c:v>
                </c:pt>
                <c:pt idx="1927">
                  <c:v>64.4</c:v>
                </c:pt>
                <c:pt idx="1928">
                  <c:v>64.45</c:v>
                </c:pt>
                <c:pt idx="1929">
                  <c:v>64.45</c:v>
                </c:pt>
                <c:pt idx="1930">
                  <c:v>64.5</c:v>
                </c:pt>
                <c:pt idx="1931">
                  <c:v>64.55</c:v>
                </c:pt>
                <c:pt idx="1932">
                  <c:v>64.55</c:v>
                </c:pt>
                <c:pt idx="1933">
                  <c:v>64.6</c:v>
                </c:pt>
                <c:pt idx="1934">
                  <c:v>64.65</c:v>
                </c:pt>
                <c:pt idx="1935">
                  <c:v>64.65</c:v>
                </c:pt>
                <c:pt idx="1936">
                  <c:v>64.7</c:v>
                </c:pt>
                <c:pt idx="1937">
                  <c:v>64.75</c:v>
                </c:pt>
                <c:pt idx="1938">
                  <c:v>64.75</c:v>
                </c:pt>
                <c:pt idx="1939">
                  <c:v>64.8</c:v>
                </c:pt>
                <c:pt idx="1940">
                  <c:v>64.85</c:v>
                </c:pt>
                <c:pt idx="1941">
                  <c:v>64.85</c:v>
                </c:pt>
                <c:pt idx="1942">
                  <c:v>64.9</c:v>
                </c:pt>
                <c:pt idx="1943">
                  <c:v>64.95</c:v>
                </c:pt>
                <c:pt idx="1944">
                  <c:v>64.95</c:v>
                </c:pt>
                <c:pt idx="1945">
                  <c:v>65</c:v>
                </c:pt>
                <c:pt idx="1946">
                  <c:v>65.05</c:v>
                </c:pt>
                <c:pt idx="1947">
                  <c:v>65.05</c:v>
                </c:pt>
                <c:pt idx="1948">
                  <c:v>65.1</c:v>
                </c:pt>
                <c:pt idx="1949">
                  <c:v>65.15</c:v>
                </c:pt>
                <c:pt idx="1950">
                  <c:v>65.15</c:v>
                </c:pt>
                <c:pt idx="1951">
                  <c:v>65.2</c:v>
                </c:pt>
                <c:pt idx="1952">
                  <c:v>65.25</c:v>
                </c:pt>
                <c:pt idx="1953">
                  <c:v>65.25</c:v>
                </c:pt>
                <c:pt idx="1954">
                  <c:v>65.3</c:v>
                </c:pt>
                <c:pt idx="1955">
                  <c:v>65.35</c:v>
                </c:pt>
                <c:pt idx="1956">
                  <c:v>65.35</c:v>
                </c:pt>
                <c:pt idx="1957">
                  <c:v>65.4</c:v>
                </c:pt>
                <c:pt idx="1958">
                  <c:v>65.45</c:v>
                </c:pt>
                <c:pt idx="1959">
                  <c:v>65.45</c:v>
                </c:pt>
                <c:pt idx="1960">
                  <c:v>65.5</c:v>
                </c:pt>
                <c:pt idx="1961">
                  <c:v>65.55</c:v>
                </c:pt>
                <c:pt idx="1962">
                  <c:v>65.55</c:v>
                </c:pt>
                <c:pt idx="1963">
                  <c:v>65.6</c:v>
                </c:pt>
                <c:pt idx="1964">
                  <c:v>65.65</c:v>
                </c:pt>
                <c:pt idx="1965">
                  <c:v>65.65</c:v>
                </c:pt>
                <c:pt idx="1966">
                  <c:v>65.7</c:v>
                </c:pt>
                <c:pt idx="1967">
                  <c:v>65.75</c:v>
                </c:pt>
                <c:pt idx="1968">
                  <c:v>65.75</c:v>
                </c:pt>
                <c:pt idx="1969">
                  <c:v>65.8</c:v>
                </c:pt>
                <c:pt idx="1970">
                  <c:v>65.85</c:v>
                </c:pt>
                <c:pt idx="1971">
                  <c:v>65.85</c:v>
                </c:pt>
                <c:pt idx="1972">
                  <c:v>65.9</c:v>
                </c:pt>
                <c:pt idx="1973">
                  <c:v>65.95</c:v>
                </c:pt>
                <c:pt idx="1974">
                  <c:v>65.95</c:v>
                </c:pt>
                <c:pt idx="1975">
                  <c:v>66</c:v>
                </c:pt>
                <c:pt idx="1976">
                  <c:v>66.05</c:v>
                </c:pt>
                <c:pt idx="1977">
                  <c:v>66.05</c:v>
                </c:pt>
                <c:pt idx="1978">
                  <c:v>66.1</c:v>
                </c:pt>
                <c:pt idx="1979">
                  <c:v>66.15</c:v>
                </c:pt>
                <c:pt idx="1980">
                  <c:v>66.15</c:v>
                </c:pt>
                <c:pt idx="1981">
                  <c:v>66.2</c:v>
                </c:pt>
                <c:pt idx="1982">
                  <c:v>66.25</c:v>
                </c:pt>
                <c:pt idx="1983">
                  <c:v>66.25</c:v>
                </c:pt>
                <c:pt idx="1984">
                  <c:v>66.3</c:v>
                </c:pt>
                <c:pt idx="1985">
                  <c:v>66.35</c:v>
                </c:pt>
                <c:pt idx="1986">
                  <c:v>66.35</c:v>
                </c:pt>
                <c:pt idx="1987">
                  <c:v>66.4</c:v>
                </c:pt>
                <c:pt idx="1988">
                  <c:v>66.45</c:v>
                </c:pt>
                <c:pt idx="1989">
                  <c:v>66.45</c:v>
                </c:pt>
                <c:pt idx="1990">
                  <c:v>66.5</c:v>
                </c:pt>
                <c:pt idx="1991">
                  <c:v>66.55</c:v>
                </c:pt>
                <c:pt idx="1992">
                  <c:v>66.55</c:v>
                </c:pt>
                <c:pt idx="1993">
                  <c:v>66.6</c:v>
                </c:pt>
                <c:pt idx="1994">
                  <c:v>66.65</c:v>
                </c:pt>
                <c:pt idx="1995">
                  <c:v>66.65</c:v>
                </c:pt>
                <c:pt idx="1996">
                  <c:v>66.7</c:v>
                </c:pt>
                <c:pt idx="1997">
                  <c:v>66.75</c:v>
                </c:pt>
                <c:pt idx="1998">
                  <c:v>66.75</c:v>
                </c:pt>
                <c:pt idx="1999">
                  <c:v>66.8</c:v>
                </c:pt>
                <c:pt idx="2000">
                  <c:v>66.85</c:v>
                </c:pt>
                <c:pt idx="2001">
                  <c:v>66.85</c:v>
                </c:pt>
                <c:pt idx="2002">
                  <c:v>66.9</c:v>
                </c:pt>
                <c:pt idx="2003">
                  <c:v>66.95</c:v>
                </c:pt>
                <c:pt idx="2004">
                  <c:v>66.95</c:v>
                </c:pt>
                <c:pt idx="2005">
                  <c:v>67</c:v>
                </c:pt>
                <c:pt idx="2006">
                  <c:v>67.05</c:v>
                </c:pt>
                <c:pt idx="2007">
                  <c:v>67.05</c:v>
                </c:pt>
                <c:pt idx="2008">
                  <c:v>67.1</c:v>
                </c:pt>
                <c:pt idx="2009">
                  <c:v>67.15</c:v>
                </c:pt>
                <c:pt idx="2010">
                  <c:v>67.15</c:v>
                </c:pt>
                <c:pt idx="2011">
                  <c:v>67.2</c:v>
                </c:pt>
                <c:pt idx="2012">
                  <c:v>67.25</c:v>
                </c:pt>
                <c:pt idx="2013">
                  <c:v>67.25</c:v>
                </c:pt>
                <c:pt idx="2014">
                  <c:v>67.3</c:v>
                </c:pt>
                <c:pt idx="2015">
                  <c:v>67.35</c:v>
                </c:pt>
                <c:pt idx="2016">
                  <c:v>67.35</c:v>
                </c:pt>
                <c:pt idx="2017">
                  <c:v>67.4</c:v>
                </c:pt>
                <c:pt idx="2018">
                  <c:v>67.45</c:v>
                </c:pt>
                <c:pt idx="2019">
                  <c:v>67.45</c:v>
                </c:pt>
                <c:pt idx="2020">
                  <c:v>67.5</c:v>
                </c:pt>
                <c:pt idx="2021">
                  <c:v>67.55</c:v>
                </c:pt>
                <c:pt idx="2022">
                  <c:v>67.55</c:v>
                </c:pt>
                <c:pt idx="2023">
                  <c:v>67.6</c:v>
                </c:pt>
                <c:pt idx="2024">
                  <c:v>67.65</c:v>
                </c:pt>
                <c:pt idx="2025">
                  <c:v>67.65</c:v>
                </c:pt>
                <c:pt idx="2026">
                  <c:v>67.7</c:v>
                </c:pt>
                <c:pt idx="2027">
                  <c:v>67.75</c:v>
                </c:pt>
                <c:pt idx="2028">
                  <c:v>67.75</c:v>
                </c:pt>
                <c:pt idx="2029">
                  <c:v>67.8</c:v>
                </c:pt>
                <c:pt idx="2030">
                  <c:v>67.85</c:v>
                </c:pt>
                <c:pt idx="2031">
                  <c:v>67.85</c:v>
                </c:pt>
                <c:pt idx="2032">
                  <c:v>67.9</c:v>
                </c:pt>
                <c:pt idx="2033">
                  <c:v>67.95</c:v>
                </c:pt>
                <c:pt idx="2034">
                  <c:v>67.95</c:v>
                </c:pt>
                <c:pt idx="2035">
                  <c:v>68</c:v>
                </c:pt>
                <c:pt idx="2036">
                  <c:v>68.05</c:v>
                </c:pt>
                <c:pt idx="2037">
                  <c:v>68.05</c:v>
                </c:pt>
                <c:pt idx="2038">
                  <c:v>68.1</c:v>
                </c:pt>
                <c:pt idx="2039">
                  <c:v>68.15</c:v>
                </c:pt>
                <c:pt idx="2040">
                  <c:v>68.15</c:v>
                </c:pt>
                <c:pt idx="2041">
                  <c:v>68.2</c:v>
                </c:pt>
                <c:pt idx="2042">
                  <c:v>68.25</c:v>
                </c:pt>
                <c:pt idx="2043">
                  <c:v>68.25</c:v>
                </c:pt>
                <c:pt idx="2044">
                  <c:v>68.3</c:v>
                </c:pt>
                <c:pt idx="2045">
                  <c:v>68.35</c:v>
                </c:pt>
                <c:pt idx="2046">
                  <c:v>68.35</c:v>
                </c:pt>
                <c:pt idx="2047">
                  <c:v>68.4</c:v>
                </c:pt>
                <c:pt idx="2048">
                  <c:v>68.45</c:v>
                </c:pt>
                <c:pt idx="2049">
                  <c:v>68.45</c:v>
                </c:pt>
                <c:pt idx="2050">
                  <c:v>68.5</c:v>
                </c:pt>
                <c:pt idx="2051">
                  <c:v>68.55</c:v>
                </c:pt>
                <c:pt idx="2052">
                  <c:v>68.55</c:v>
                </c:pt>
                <c:pt idx="2053">
                  <c:v>68.6</c:v>
                </c:pt>
                <c:pt idx="2054">
                  <c:v>68.65</c:v>
                </c:pt>
                <c:pt idx="2055">
                  <c:v>68.65</c:v>
                </c:pt>
                <c:pt idx="2056">
                  <c:v>68.7</c:v>
                </c:pt>
                <c:pt idx="2057">
                  <c:v>68.75</c:v>
                </c:pt>
                <c:pt idx="2058">
                  <c:v>68.75</c:v>
                </c:pt>
                <c:pt idx="2059">
                  <c:v>68.8</c:v>
                </c:pt>
                <c:pt idx="2060">
                  <c:v>68.85</c:v>
                </c:pt>
                <c:pt idx="2061">
                  <c:v>68.9</c:v>
                </c:pt>
                <c:pt idx="2062">
                  <c:v>68.9</c:v>
                </c:pt>
                <c:pt idx="2063">
                  <c:v>68.95</c:v>
                </c:pt>
                <c:pt idx="2064">
                  <c:v>69</c:v>
                </c:pt>
                <c:pt idx="2065">
                  <c:v>69</c:v>
                </c:pt>
                <c:pt idx="2066">
                  <c:v>69.05</c:v>
                </c:pt>
                <c:pt idx="2067">
                  <c:v>69.1</c:v>
                </c:pt>
                <c:pt idx="2068">
                  <c:v>69.1</c:v>
                </c:pt>
                <c:pt idx="2069">
                  <c:v>69.15</c:v>
                </c:pt>
                <c:pt idx="2070">
                  <c:v>69.2</c:v>
                </c:pt>
                <c:pt idx="2071">
                  <c:v>69.2</c:v>
                </c:pt>
                <c:pt idx="2072">
                  <c:v>69.25</c:v>
                </c:pt>
                <c:pt idx="2073">
                  <c:v>69.3</c:v>
                </c:pt>
                <c:pt idx="2074">
                  <c:v>69.3</c:v>
                </c:pt>
                <c:pt idx="2075">
                  <c:v>69.35</c:v>
                </c:pt>
                <c:pt idx="2076">
                  <c:v>69.4</c:v>
                </c:pt>
                <c:pt idx="2077">
                  <c:v>69.4</c:v>
                </c:pt>
                <c:pt idx="2078">
                  <c:v>69.45</c:v>
                </c:pt>
                <c:pt idx="2079">
                  <c:v>69.5</c:v>
                </c:pt>
                <c:pt idx="2080">
                  <c:v>69.5</c:v>
                </c:pt>
                <c:pt idx="2081">
                  <c:v>69.55</c:v>
                </c:pt>
              </c:numCache>
            </c:numRef>
          </c:cat>
          <c:val>
            <c:numRef>
              <c:f>'常压_b_20 (2)'!$K$4:$K$2085</c:f>
              <c:numCache>
                <c:formatCode>General</c:formatCode>
                <c:ptCount val="20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5</c:v>
                </c:pt>
                <c:pt idx="306">
                  <c:v>5</c:v>
                </c:pt>
                <c:pt idx="307">
                  <c:v>5</c:v>
                </c:pt>
                <c:pt idx="308">
                  <c:v>5</c:v>
                </c:pt>
                <c:pt idx="309">
                  <c:v>5</c:v>
                </c:pt>
                <c:pt idx="310">
                  <c:v>5</c:v>
                </c:pt>
                <c:pt idx="311">
                  <c:v>5</c:v>
                </c:pt>
                <c:pt idx="312">
                  <c:v>5</c:v>
                </c:pt>
                <c:pt idx="313">
                  <c:v>5</c:v>
                </c:pt>
                <c:pt idx="314">
                  <c:v>5</c:v>
                </c:pt>
                <c:pt idx="315">
                  <c:v>5</c:v>
                </c:pt>
                <c:pt idx="316">
                  <c:v>5</c:v>
                </c:pt>
                <c:pt idx="317">
                  <c:v>5</c:v>
                </c:pt>
                <c:pt idx="318">
                  <c:v>5</c:v>
                </c:pt>
                <c:pt idx="319">
                  <c:v>5</c:v>
                </c:pt>
                <c:pt idx="320">
                  <c:v>5</c:v>
                </c:pt>
                <c:pt idx="321">
                  <c:v>5</c:v>
                </c:pt>
                <c:pt idx="322">
                  <c:v>5</c:v>
                </c:pt>
                <c:pt idx="323">
                  <c:v>5</c:v>
                </c:pt>
                <c:pt idx="324">
                  <c:v>5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5</c:v>
                </c:pt>
                <c:pt idx="348">
                  <c:v>5</c:v>
                </c:pt>
                <c:pt idx="349">
                  <c:v>5</c:v>
                </c:pt>
                <c:pt idx="350">
                  <c:v>5</c:v>
                </c:pt>
                <c:pt idx="351">
                  <c:v>5</c:v>
                </c:pt>
                <c:pt idx="352">
                  <c:v>5</c:v>
                </c:pt>
                <c:pt idx="353">
                  <c:v>5</c:v>
                </c:pt>
                <c:pt idx="354">
                  <c:v>5</c:v>
                </c:pt>
                <c:pt idx="355">
                  <c:v>5</c:v>
                </c:pt>
                <c:pt idx="356">
                  <c:v>5</c:v>
                </c:pt>
                <c:pt idx="357">
                  <c:v>5</c:v>
                </c:pt>
                <c:pt idx="358">
                  <c:v>5</c:v>
                </c:pt>
                <c:pt idx="359">
                  <c:v>5</c:v>
                </c:pt>
                <c:pt idx="360">
                  <c:v>5</c:v>
                </c:pt>
                <c:pt idx="361">
                  <c:v>5</c:v>
                </c:pt>
                <c:pt idx="362">
                  <c:v>5</c:v>
                </c:pt>
                <c:pt idx="363">
                  <c:v>5</c:v>
                </c:pt>
                <c:pt idx="364">
                  <c:v>5</c:v>
                </c:pt>
                <c:pt idx="365">
                  <c:v>5</c:v>
                </c:pt>
                <c:pt idx="366">
                  <c:v>5</c:v>
                </c:pt>
                <c:pt idx="367">
                  <c:v>5</c:v>
                </c:pt>
                <c:pt idx="368">
                  <c:v>5</c:v>
                </c:pt>
                <c:pt idx="369">
                  <c:v>5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5</c:v>
                </c:pt>
                <c:pt idx="396">
                  <c:v>5</c:v>
                </c:pt>
                <c:pt idx="397">
                  <c:v>5</c:v>
                </c:pt>
                <c:pt idx="398">
                  <c:v>5</c:v>
                </c:pt>
                <c:pt idx="399">
                  <c:v>5</c:v>
                </c:pt>
                <c:pt idx="400">
                  <c:v>5</c:v>
                </c:pt>
                <c:pt idx="401">
                  <c:v>5</c:v>
                </c:pt>
                <c:pt idx="402">
                  <c:v>5</c:v>
                </c:pt>
                <c:pt idx="403">
                  <c:v>5</c:v>
                </c:pt>
                <c:pt idx="404">
                  <c:v>5</c:v>
                </c:pt>
                <c:pt idx="405">
                  <c:v>5</c:v>
                </c:pt>
                <c:pt idx="406">
                  <c:v>5</c:v>
                </c:pt>
                <c:pt idx="407">
                  <c:v>5</c:v>
                </c:pt>
                <c:pt idx="408">
                  <c:v>5</c:v>
                </c:pt>
                <c:pt idx="409">
                  <c:v>5</c:v>
                </c:pt>
                <c:pt idx="410">
                  <c:v>5</c:v>
                </c:pt>
                <c:pt idx="411">
                  <c:v>5</c:v>
                </c:pt>
                <c:pt idx="412">
                  <c:v>5</c:v>
                </c:pt>
                <c:pt idx="413">
                  <c:v>5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5</c:v>
                </c:pt>
                <c:pt idx="438">
                  <c:v>5</c:v>
                </c:pt>
                <c:pt idx="439">
                  <c:v>5</c:v>
                </c:pt>
                <c:pt idx="440">
                  <c:v>5</c:v>
                </c:pt>
                <c:pt idx="441">
                  <c:v>5</c:v>
                </c:pt>
                <c:pt idx="442">
                  <c:v>5</c:v>
                </c:pt>
                <c:pt idx="443">
                  <c:v>5</c:v>
                </c:pt>
                <c:pt idx="444">
                  <c:v>5</c:v>
                </c:pt>
                <c:pt idx="445">
                  <c:v>5</c:v>
                </c:pt>
                <c:pt idx="446">
                  <c:v>5</c:v>
                </c:pt>
                <c:pt idx="447">
                  <c:v>5</c:v>
                </c:pt>
                <c:pt idx="448">
                  <c:v>5</c:v>
                </c:pt>
                <c:pt idx="449">
                  <c:v>5</c:v>
                </c:pt>
                <c:pt idx="450">
                  <c:v>5</c:v>
                </c:pt>
                <c:pt idx="451">
                  <c:v>5</c:v>
                </c:pt>
                <c:pt idx="452">
                  <c:v>5</c:v>
                </c:pt>
                <c:pt idx="453">
                  <c:v>5</c:v>
                </c:pt>
                <c:pt idx="454">
                  <c:v>5</c:v>
                </c:pt>
                <c:pt idx="455">
                  <c:v>5</c:v>
                </c:pt>
                <c:pt idx="456">
                  <c:v>5</c:v>
                </c:pt>
                <c:pt idx="457">
                  <c:v>5</c:v>
                </c:pt>
                <c:pt idx="458">
                  <c:v>5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5</c:v>
                </c:pt>
                <c:pt idx="483">
                  <c:v>5</c:v>
                </c:pt>
                <c:pt idx="484">
                  <c:v>5</c:v>
                </c:pt>
                <c:pt idx="485">
                  <c:v>5</c:v>
                </c:pt>
                <c:pt idx="486">
                  <c:v>5</c:v>
                </c:pt>
                <c:pt idx="487">
                  <c:v>5</c:v>
                </c:pt>
                <c:pt idx="488">
                  <c:v>5</c:v>
                </c:pt>
                <c:pt idx="489">
                  <c:v>5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5</c:v>
                </c:pt>
                <c:pt idx="494">
                  <c:v>5</c:v>
                </c:pt>
                <c:pt idx="495">
                  <c:v>5</c:v>
                </c:pt>
                <c:pt idx="496">
                  <c:v>5</c:v>
                </c:pt>
                <c:pt idx="497">
                  <c:v>5</c:v>
                </c:pt>
                <c:pt idx="498">
                  <c:v>5</c:v>
                </c:pt>
                <c:pt idx="499">
                  <c:v>5</c:v>
                </c:pt>
                <c:pt idx="500">
                  <c:v>5</c:v>
                </c:pt>
                <c:pt idx="501">
                  <c:v>5</c:v>
                </c:pt>
                <c:pt idx="502">
                  <c:v>5</c:v>
                </c:pt>
                <c:pt idx="503">
                  <c:v>5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5</c:v>
                </c:pt>
                <c:pt idx="528">
                  <c:v>5</c:v>
                </c:pt>
                <c:pt idx="529">
                  <c:v>5</c:v>
                </c:pt>
                <c:pt idx="530">
                  <c:v>5</c:v>
                </c:pt>
                <c:pt idx="531">
                  <c:v>5</c:v>
                </c:pt>
                <c:pt idx="532">
                  <c:v>5</c:v>
                </c:pt>
                <c:pt idx="533">
                  <c:v>5</c:v>
                </c:pt>
                <c:pt idx="534">
                  <c:v>5</c:v>
                </c:pt>
                <c:pt idx="535">
                  <c:v>5</c:v>
                </c:pt>
                <c:pt idx="536">
                  <c:v>5</c:v>
                </c:pt>
                <c:pt idx="537">
                  <c:v>5</c:v>
                </c:pt>
                <c:pt idx="538">
                  <c:v>5</c:v>
                </c:pt>
                <c:pt idx="539">
                  <c:v>5</c:v>
                </c:pt>
                <c:pt idx="540">
                  <c:v>5</c:v>
                </c:pt>
                <c:pt idx="541">
                  <c:v>5</c:v>
                </c:pt>
                <c:pt idx="542">
                  <c:v>5</c:v>
                </c:pt>
                <c:pt idx="543">
                  <c:v>5</c:v>
                </c:pt>
                <c:pt idx="544">
                  <c:v>5</c:v>
                </c:pt>
                <c:pt idx="545">
                  <c:v>5</c:v>
                </c:pt>
                <c:pt idx="546">
                  <c:v>5</c:v>
                </c:pt>
                <c:pt idx="547">
                  <c:v>5</c:v>
                </c:pt>
                <c:pt idx="548">
                  <c:v>5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5</c:v>
                </c:pt>
                <c:pt idx="573">
                  <c:v>5</c:v>
                </c:pt>
                <c:pt idx="574">
                  <c:v>5</c:v>
                </c:pt>
                <c:pt idx="575">
                  <c:v>5</c:v>
                </c:pt>
                <c:pt idx="576">
                  <c:v>5</c:v>
                </c:pt>
                <c:pt idx="577">
                  <c:v>5</c:v>
                </c:pt>
                <c:pt idx="578">
                  <c:v>5</c:v>
                </c:pt>
                <c:pt idx="579">
                  <c:v>5</c:v>
                </c:pt>
                <c:pt idx="580">
                  <c:v>5</c:v>
                </c:pt>
                <c:pt idx="581">
                  <c:v>5</c:v>
                </c:pt>
                <c:pt idx="582">
                  <c:v>5</c:v>
                </c:pt>
                <c:pt idx="583">
                  <c:v>5</c:v>
                </c:pt>
                <c:pt idx="584">
                  <c:v>5</c:v>
                </c:pt>
                <c:pt idx="585">
                  <c:v>5</c:v>
                </c:pt>
                <c:pt idx="586">
                  <c:v>5</c:v>
                </c:pt>
                <c:pt idx="587">
                  <c:v>5</c:v>
                </c:pt>
                <c:pt idx="588">
                  <c:v>5</c:v>
                </c:pt>
                <c:pt idx="589">
                  <c:v>5</c:v>
                </c:pt>
                <c:pt idx="590">
                  <c:v>5</c:v>
                </c:pt>
                <c:pt idx="591">
                  <c:v>5</c:v>
                </c:pt>
                <c:pt idx="592">
                  <c:v>5</c:v>
                </c:pt>
                <c:pt idx="593">
                  <c:v>5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5</c:v>
                </c:pt>
                <c:pt idx="618">
                  <c:v>5</c:v>
                </c:pt>
                <c:pt idx="619">
                  <c:v>5</c:v>
                </c:pt>
                <c:pt idx="620">
                  <c:v>5</c:v>
                </c:pt>
                <c:pt idx="621">
                  <c:v>5</c:v>
                </c:pt>
                <c:pt idx="622">
                  <c:v>5</c:v>
                </c:pt>
                <c:pt idx="623">
                  <c:v>5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5</c:v>
                </c:pt>
                <c:pt idx="628">
                  <c:v>5</c:v>
                </c:pt>
                <c:pt idx="629">
                  <c:v>5</c:v>
                </c:pt>
                <c:pt idx="630">
                  <c:v>5</c:v>
                </c:pt>
                <c:pt idx="631">
                  <c:v>5</c:v>
                </c:pt>
                <c:pt idx="632">
                  <c:v>5</c:v>
                </c:pt>
                <c:pt idx="633">
                  <c:v>5</c:v>
                </c:pt>
                <c:pt idx="634">
                  <c:v>5</c:v>
                </c:pt>
                <c:pt idx="635">
                  <c:v>5</c:v>
                </c:pt>
                <c:pt idx="636">
                  <c:v>5</c:v>
                </c:pt>
                <c:pt idx="637">
                  <c:v>5</c:v>
                </c:pt>
                <c:pt idx="638">
                  <c:v>5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5</c:v>
                </c:pt>
                <c:pt idx="663">
                  <c:v>5</c:v>
                </c:pt>
                <c:pt idx="664">
                  <c:v>5</c:v>
                </c:pt>
                <c:pt idx="665">
                  <c:v>5</c:v>
                </c:pt>
                <c:pt idx="666">
                  <c:v>5</c:v>
                </c:pt>
                <c:pt idx="667">
                  <c:v>5</c:v>
                </c:pt>
                <c:pt idx="668">
                  <c:v>5</c:v>
                </c:pt>
                <c:pt idx="669">
                  <c:v>5</c:v>
                </c:pt>
                <c:pt idx="670">
                  <c:v>5</c:v>
                </c:pt>
                <c:pt idx="671">
                  <c:v>5</c:v>
                </c:pt>
                <c:pt idx="672">
                  <c:v>5</c:v>
                </c:pt>
                <c:pt idx="673">
                  <c:v>5</c:v>
                </c:pt>
                <c:pt idx="674">
                  <c:v>5</c:v>
                </c:pt>
                <c:pt idx="675">
                  <c:v>5</c:v>
                </c:pt>
                <c:pt idx="676">
                  <c:v>5</c:v>
                </c:pt>
                <c:pt idx="677">
                  <c:v>5</c:v>
                </c:pt>
                <c:pt idx="678">
                  <c:v>5</c:v>
                </c:pt>
                <c:pt idx="679">
                  <c:v>5</c:v>
                </c:pt>
                <c:pt idx="680">
                  <c:v>5</c:v>
                </c:pt>
                <c:pt idx="681">
                  <c:v>5</c:v>
                </c:pt>
                <c:pt idx="682">
                  <c:v>5</c:v>
                </c:pt>
                <c:pt idx="683">
                  <c:v>5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5</c:v>
                </c:pt>
                <c:pt idx="707">
                  <c:v>5</c:v>
                </c:pt>
                <c:pt idx="708">
                  <c:v>5</c:v>
                </c:pt>
                <c:pt idx="709">
                  <c:v>5</c:v>
                </c:pt>
                <c:pt idx="710">
                  <c:v>5</c:v>
                </c:pt>
                <c:pt idx="711">
                  <c:v>5</c:v>
                </c:pt>
                <c:pt idx="712">
                  <c:v>5</c:v>
                </c:pt>
                <c:pt idx="713">
                  <c:v>5</c:v>
                </c:pt>
                <c:pt idx="714">
                  <c:v>5</c:v>
                </c:pt>
                <c:pt idx="715">
                  <c:v>5</c:v>
                </c:pt>
                <c:pt idx="716">
                  <c:v>5</c:v>
                </c:pt>
                <c:pt idx="717">
                  <c:v>5</c:v>
                </c:pt>
                <c:pt idx="718">
                  <c:v>5</c:v>
                </c:pt>
                <c:pt idx="719">
                  <c:v>5</c:v>
                </c:pt>
                <c:pt idx="720">
                  <c:v>5</c:v>
                </c:pt>
                <c:pt idx="721">
                  <c:v>5</c:v>
                </c:pt>
                <c:pt idx="722">
                  <c:v>5</c:v>
                </c:pt>
                <c:pt idx="723">
                  <c:v>5</c:v>
                </c:pt>
                <c:pt idx="724">
                  <c:v>5</c:v>
                </c:pt>
                <c:pt idx="725">
                  <c:v>5</c:v>
                </c:pt>
                <c:pt idx="726">
                  <c:v>5</c:v>
                </c:pt>
                <c:pt idx="727">
                  <c:v>5</c:v>
                </c:pt>
                <c:pt idx="728">
                  <c:v>5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5</c:v>
                </c:pt>
                <c:pt idx="752">
                  <c:v>5</c:v>
                </c:pt>
                <c:pt idx="753">
                  <c:v>5</c:v>
                </c:pt>
                <c:pt idx="754">
                  <c:v>5</c:v>
                </c:pt>
                <c:pt idx="755">
                  <c:v>5</c:v>
                </c:pt>
                <c:pt idx="756">
                  <c:v>5</c:v>
                </c:pt>
                <c:pt idx="757">
                  <c:v>5</c:v>
                </c:pt>
                <c:pt idx="758">
                  <c:v>5</c:v>
                </c:pt>
                <c:pt idx="759">
                  <c:v>5</c:v>
                </c:pt>
                <c:pt idx="760">
                  <c:v>5</c:v>
                </c:pt>
                <c:pt idx="761">
                  <c:v>5</c:v>
                </c:pt>
                <c:pt idx="762">
                  <c:v>5</c:v>
                </c:pt>
                <c:pt idx="763">
                  <c:v>5</c:v>
                </c:pt>
                <c:pt idx="764">
                  <c:v>5</c:v>
                </c:pt>
                <c:pt idx="765">
                  <c:v>5</c:v>
                </c:pt>
                <c:pt idx="766">
                  <c:v>5</c:v>
                </c:pt>
                <c:pt idx="767">
                  <c:v>5</c:v>
                </c:pt>
                <c:pt idx="768">
                  <c:v>5</c:v>
                </c:pt>
                <c:pt idx="769">
                  <c:v>5</c:v>
                </c:pt>
                <c:pt idx="770">
                  <c:v>5</c:v>
                </c:pt>
                <c:pt idx="771">
                  <c:v>5</c:v>
                </c:pt>
                <c:pt idx="772">
                  <c:v>5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5</c:v>
                </c:pt>
                <c:pt idx="797">
                  <c:v>5</c:v>
                </c:pt>
                <c:pt idx="798">
                  <c:v>5</c:v>
                </c:pt>
                <c:pt idx="799">
                  <c:v>5</c:v>
                </c:pt>
                <c:pt idx="800">
                  <c:v>5</c:v>
                </c:pt>
                <c:pt idx="801">
                  <c:v>5</c:v>
                </c:pt>
                <c:pt idx="802">
                  <c:v>5</c:v>
                </c:pt>
                <c:pt idx="803">
                  <c:v>5</c:v>
                </c:pt>
                <c:pt idx="804">
                  <c:v>5</c:v>
                </c:pt>
                <c:pt idx="805">
                  <c:v>5</c:v>
                </c:pt>
                <c:pt idx="806">
                  <c:v>5</c:v>
                </c:pt>
                <c:pt idx="807">
                  <c:v>5</c:v>
                </c:pt>
                <c:pt idx="808">
                  <c:v>5</c:v>
                </c:pt>
                <c:pt idx="809">
                  <c:v>5</c:v>
                </c:pt>
                <c:pt idx="810">
                  <c:v>5</c:v>
                </c:pt>
                <c:pt idx="811">
                  <c:v>5</c:v>
                </c:pt>
                <c:pt idx="812">
                  <c:v>5</c:v>
                </c:pt>
                <c:pt idx="813">
                  <c:v>5</c:v>
                </c:pt>
                <c:pt idx="814">
                  <c:v>5</c:v>
                </c:pt>
                <c:pt idx="815">
                  <c:v>5</c:v>
                </c:pt>
                <c:pt idx="816">
                  <c:v>5</c:v>
                </c:pt>
                <c:pt idx="817">
                  <c:v>5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5</c:v>
                </c:pt>
                <c:pt idx="842">
                  <c:v>5</c:v>
                </c:pt>
                <c:pt idx="843">
                  <c:v>5</c:v>
                </c:pt>
                <c:pt idx="844">
                  <c:v>5</c:v>
                </c:pt>
                <c:pt idx="845">
                  <c:v>5</c:v>
                </c:pt>
                <c:pt idx="846">
                  <c:v>5</c:v>
                </c:pt>
                <c:pt idx="847">
                  <c:v>5</c:v>
                </c:pt>
                <c:pt idx="848">
                  <c:v>5</c:v>
                </c:pt>
                <c:pt idx="849">
                  <c:v>5</c:v>
                </c:pt>
                <c:pt idx="850">
                  <c:v>5</c:v>
                </c:pt>
                <c:pt idx="851">
                  <c:v>5</c:v>
                </c:pt>
                <c:pt idx="852">
                  <c:v>5</c:v>
                </c:pt>
                <c:pt idx="853">
                  <c:v>5</c:v>
                </c:pt>
                <c:pt idx="854">
                  <c:v>5</c:v>
                </c:pt>
                <c:pt idx="855">
                  <c:v>5</c:v>
                </c:pt>
                <c:pt idx="856">
                  <c:v>5</c:v>
                </c:pt>
                <c:pt idx="857">
                  <c:v>5</c:v>
                </c:pt>
                <c:pt idx="858">
                  <c:v>5</c:v>
                </c:pt>
                <c:pt idx="859">
                  <c:v>5</c:v>
                </c:pt>
                <c:pt idx="860">
                  <c:v>5</c:v>
                </c:pt>
                <c:pt idx="861">
                  <c:v>5</c:v>
                </c:pt>
                <c:pt idx="862">
                  <c:v>5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5</c:v>
                </c:pt>
                <c:pt idx="887">
                  <c:v>5</c:v>
                </c:pt>
                <c:pt idx="888">
                  <c:v>5</c:v>
                </c:pt>
                <c:pt idx="889">
                  <c:v>5</c:v>
                </c:pt>
                <c:pt idx="890">
                  <c:v>5</c:v>
                </c:pt>
                <c:pt idx="891">
                  <c:v>5</c:v>
                </c:pt>
                <c:pt idx="892">
                  <c:v>5</c:v>
                </c:pt>
                <c:pt idx="893">
                  <c:v>5</c:v>
                </c:pt>
                <c:pt idx="894">
                  <c:v>5</c:v>
                </c:pt>
                <c:pt idx="895">
                  <c:v>5</c:v>
                </c:pt>
                <c:pt idx="896">
                  <c:v>5</c:v>
                </c:pt>
                <c:pt idx="897">
                  <c:v>5</c:v>
                </c:pt>
                <c:pt idx="898">
                  <c:v>5</c:v>
                </c:pt>
                <c:pt idx="899">
                  <c:v>5</c:v>
                </c:pt>
                <c:pt idx="900">
                  <c:v>5</c:v>
                </c:pt>
                <c:pt idx="901">
                  <c:v>5</c:v>
                </c:pt>
                <c:pt idx="902">
                  <c:v>5</c:v>
                </c:pt>
                <c:pt idx="903">
                  <c:v>5</c:v>
                </c:pt>
                <c:pt idx="904">
                  <c:v>5</c:v>
                </c:pt>
                <c:pt idx="905">
                  <c:v>5</c:v>
                </c:pt>
                <c:pt idx="906">
                  <c:v>5</c:v>
                </c:pt>
                <c:pt idx="907">
                  <c:v>5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5</c:v>
                </c:pt>
                <c:pt idx="932">
                  <c:v>5</c:v>
                </c:pt>
                <c:pt idx="933">
                  <c:v>5</c:v>
                </c:pt>
                <c:pt idx="934">
                  <c:v>5</c:v>
                </c:pt>
                <c:pt idx="935">
                  <c:v>5</c:v>
                </c:pt>
                <c:pt idx="936">
                  <c:v>5</c:v>
                </c:pt>
                <c:pt idx="937">
                  <c:v>5</c:v>
                </c:pt>
                <c:pt idx="938">
                  <c:v>5</c:v>
                </c:pt>
                <c:pt idx="939">
                  <c:v>5</c:v>
                </c:pt>
                <c:pt idx="940">
                  <c:v>5</c:v>
                </c:pt>
                <c:pt idx="941">
                  <c:v>5</c:v>
                </c:pt>
                <c:pt idx="942">
                  <c:v>5</c:v>
                </c:pt>
                <c:pt idx="943">
                  <c:v>5</c:v>
                </c:pt>
                <c:pt idx="944">
                  <c:v>5</c:v>
                </c:pt>
                <c:pt idx="945">
                  <c:v>5</c:v>
                </c:pt>
                <c:pt idx="946">
                  <c:v>5</c:v>
                </c:pt>
                <c:pt idx="947">
                  <c:v>5</c:v>
                </c:pt>
                <c:pt idx="948">
                  <c:v>5</c:v>
                </c:pt>
                <c:pt idx="949">
                  <c:v>5</c:v>
                </c:pt>
                <c:pt idx="950">
                  <c:v>5</c:v>
                </c:pt>
                <c:pt idx="951">
                  <c:v>5</c:v>
                </c:pt>
                <c:pt idx="952">
                  <c:v>5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16060465"/>
        <c:axId val="775658049"/>
      </c:lineChart>
      <c:catAx>
        <c:axId val="61606046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5658049"/>
        <c:crosses val="autoZero"/>
        <c:auto val="1"/>
        <c:lblAlgn val="ctr"/>
        <c:lblOffset val="100"/>
        <c:noMultiLvlLbl val="0"/>
      </c:catAx>
      <c:valAx>
        <c:axId val="77565804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606046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b91cf06-e572-4b41-9ecf-51284925e6e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334762012181367"/>
          <c:y val="0.0876132930513595"/>
          <c:w val="0.954116850891044"/>
          <c:h val="0.833023471996282"/>
        </c:manualLayout>
      </c:layout>
      <c:lineChart>
        <c:grouping val="standard"/>
        <c:varyColors val="0"/>
        <c:ser>
          <c:idx val="0"/>
          <c:order val="0"/>
          <c:tx>
            <c:strRef>
              <c:f>'常压_b_20 (3)'!$J$3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'常压_b_20 (3)'!$I$4:$I$1144</c:f>
              <c:numCache>
                <c:formatCode>General</c:formatCode>
                <c:ptCount val="1141"/>
                <c:pt idx="0">
                  <c:v>0</c:v>
                </c:pt>
                <c:pt idx="1">
                  <c:v>0</c:v>
                </c:pt>
                <c:pt idx="2">
                  <c:v>0.05</c:v>
                </c:pt>
                <c:pt idx="3">
                  <c:v>0.1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0.2</c:v>
                </c:pt>
                <c:pt idx="8">
                  <c:v>0.25</c:v>
                </c:pt>
                <c:pt idx="9">
                  <c:v>0.3</c:v>
                </c:pt>
                <c:pt idx="10">
                  <c:v>0.3</c:v>
                </c:pt>
                <c:pt idx="11">
                  <c:v>0.35</c:v>
                </c:pt>
                <c:pt idx="12">
                  <c:v>0.4</c:v>
                </c:pt>
                <c:pt idx="13">
                  <c:v>0.4</c:v>
                </c:pt>
                <c:pt idx="14">
                  <c:v>0.45</c:v>
                </c:pt>
                <c:pt idx="15">
                  <c:v>0.5</c:v>
                </c:pt>
                <c:pt idx="16">
                  <c:v>0.5</c:v>
                </c:pt>
                <c:pt idx="17">
                  <c:v>0.55</c:v>
                </c:pt>
                <c:pt idx="18">
                  <c:v>0.6</c:v>
                </c:pt>
                <c:pt idx="19">
                  <c:v>0.6</c:v>
                </c:pt>
                <c:pt idx="20">
                  <c:v>0.65</c:v>
                </c:pt>
                <c:pt idx="21">
                  <c:v>0.7</c:v>
                </c:pt>
                <c:pt idx="22">
                  <c:v>0.7</c:v>
                </c:pt>
                <c:pt idx="23">
                  <c:v>0.75</c:v>
                </c:pt>
                <c:pt idx="24">
                  <c:v>0.8</c:v>
                </c:pt>
                <c:pt idx="25">
                  <c:v>0.8</c:v>
                </c:pt>
                <c:pt idx="26">
                  <c:v>0.85</c:v>
                </c:pt>
                <c:pt idx="27">
                  <c:v>0.9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  <c:pt idx="31">
                  <c:v>1</c:v>
                </c:pt>
                <c:pt idx="32">
                  <c:v>1.05</c:v>
                </c:pt>
                <c:pt idx="33">
                  <c:v>1.1</c:v>
                </c:pt>
                <c:pt idx="34">
                  <c:v>1.1</c:v>
                </c:pt>
                <c:pt idx="35">
                  <c:v>1.15</c:v>
                </c:pt>
                <c:pt idx="36">
                  <c:v>1.2</c:v>
                </c:pt>
                <c:pt idx="37">
                  <c:v>1.2</c:v>
                </c:pt>
                <c:pt idx="38">
                  <c:v>1.25</c:v>
                </c:pt>
                <c:pt idx="39">
                  <c:v>1.3</c:v>
                </c:pt>
                <c:pt idx="40">
                  <c:v>1.3</c:v>
                </c:pt>
                <c:pt idx="41">
                  <c:v>1.35</c:v>
                </c:pt>
                <c:pt idx="42">
                  <c:v>1.4</c:v>
                </c:pt>
                <c:pt idx="43">
                  <c:v>1.4</c:v>
                </c:pt>
                <c:pt idx="44">
                  <c:v>1.45</c:v>
                </c:pt>
                <c:pt idx="45">
                  <c:v>1.5</c:v>
                </c:pt>
                <c:pt idx="46">
                  <c:v>1.5</c:v>
                </c:pt>
                <c:pt idx="47">
                  <c:v>1.55</c:v>
                </c:pt>
                <c:pt idx="48">
                  <c:v>1.6</c:v>
                </c:pt>
                <c:pt idx="49">
                  <c:v>1.6</c:v>
                </c:pt>
                <c:pt idx="50">
                  <c:v>1.65</c:v>
                </c:pt>
                <c:pt idx="51">
                  <c:v>1.7</c:v>
                </c:pt>
                <c:pt idx="52">
                  <c:v>1.7</c:v>
                </c:pt>
                <c:pt idx="53">
                  <c:v>1.75</c:v>
                </c:pt>
                <c:pt idx="54">
                  <c:v>1.8</c:v>
                </c:pt>
                <c:pt idx="55">
                  <c:v>1.8</c:v>
                </c:pt>
                <c:pt idx="56">
                  <c:v>1.85</c:v>
                </c:pt>
                <c:pt idx="57">
                  <c:v>1.9</c:v>
                </c:pt>
                <c:pt idx="58">
                  <c:v>1.9</c:v>
                </c:pt>
                <c:pt idx="59">
                  <c:v>1.95</c:v>
                </c:pt>
                <c:pt idx="60">
                  <c:v>2</c:v>
                </c:pt>
                <c:pt idx="61">
                  <c:v>2</c:v>
                </c:pt>
                <c:pt idx="62">
                  <c:v>2.05</c:v>
                </c:pt>
                <c:pt idx="63">
                  <c:v>2.1</c:v>
                </c:pt>
                <c:pt idx="64">
                  <c:v>2.1</c:v>
                </c:pt>
                <c:pt idx="65">
                  <c:v>2.15</c:v>
                </c:pt>
                <c:pt idx="66">
                  <c:v>2.2</c:v>
                </c:pt>
                <c:pt idx="67">
                  <c:v>2.2</c:v>
                </c:pt>
                <c:pt idx="68">
                  <c:v>2.25</c:v>
                </c:pt>
                <c:pt idx="69">
                  <c:v>2.3</c:v>
                </c:pt>
                <c:pt idx="70">
                  <c:v>2.3</c:v>
                </c:pt>
                <c:pt idx="71">
                  <c:v>2.35</c:v>
                </c:pt>
                <c:pt idx="72">
                  <c:v>2.4</c:v>
                </c:pt>
                <c:pt idx="73">
                  <c:v>2.4</c:v>
                </c:pt>
                <c:pt idx="74">
                  <c:v>2.45</c:v>
                </c:pt>
                <c:pt idx="75">
                  <c:v>2.5</c:v>
                </c:pt>
                <c:pt idx="76">
                  <c:v>2.5</c:v>
                </c:pt>
                <c:pt idx="77">
                  <c:v>2.55</c:v>
                </c:pt>
                <c:pt idx="78">
                  <c:v>2.6</c:v>
                </c:pt>
                <c:pt idx="79">
                  <c:v>2.6</c:v>
                </c:pt>
                <c:pt idx="80">
                  <c:v>2.65</c:v>
                </c:pt>
                <c:pt idx="81">
                  <c:v>2.7</c:v>
                </c:pt>
                <c:pt idx="82">
                  <c:v>2.7</c:v>
                </c:pt>
                <c:pt idx="83">
                  <c:v>2.75</c:v>
                </c:pt>
                <c:pt idx="84">
                  <c:v>2.8</c:v>
                </c:pt>
                <c:pt idx="85">
                  <c:v>2.8</c:v>
                </c:pt>
                <c:pt idx="86">
                  <c:v>2.85</c:v>
                </c:pt>
                <c:pt idx="87">
                  <c:v>2.9</c:v>
                </c:pt>
                <c:pt idx="88">
                  <c:v>2.9</c:v>
                </c:pt>
                <c:pt idx="89">
                  <c:v>2.95</c:v>
                </c:pt>
                <c:pt idx="90">
                  <c:v>3</c:v>
                </c:pt>
                <c:pt idx="91">
                  <c:v>3</c:v>
                </c:pt>
                <c:pt idx="92">
                  <c:v>3.05</c:v>
                </c:pt>
                <c:pt idx="93">
                  <c:v>3.1</c:v>
                </c:pt>
                <c:pt idx="94">
                  <c:v>3.1</c:v>
                </c:pt>
                <c:pt idx="95">
                  <c:v>3.15</c:v>
                </c:pt>
                <c:pt idx="96">
                  <c:v>3.2</c:v>
                </c:pt>
                <c:pt idx="97">
                  <c:v>3.2</c:v>
                </c:pt>
                <c:pt idx="98">
                  <c:v>3.25</c:v>
                </c:pt>
                <c:pt idx="99">
                  <c:v>3.3</c:v>
                </c:pt>
                <c:pt idx="100">
                  <c:v>3.3</c:v>
                </c:pt>
                <c:pt idx="101">
                  <c:v>3.35</c:v>
                </c:pt>
                <c:pt idx="102">
                  <c:v>3.4</c:v>
                </c:pt>
                <c:pt idx="103">
                  <c:v>3.4</c:v>
                </c:pt>
                <c:pt idx="104">
                  <c:v>3.45</c:v>
                </c:pt>
                <c:pt idx="105">
                  <c:v>3.5</c:v>
                </c:pt>
                <c:pt idx="106">
                  <c:v>3.5</c:v>
                </c:pt>
                <c:pt idx="107">
                  <c:v>3.55</c:v>
                </c:pt>
                <c:pt idx="108">
                  <c:v>3.6</c:v>
                </c:pt>
                <c:pt idx="109">
                  <c:v>3.6</c:v>
                </c:pt>
                <c:pt idx="110">
                  <c:v>3.65</c:v>
                </c:pt>
                <c:pt idx="111">
                  <c:v>3.7</c:v>
                </c:pt>
                <c:pt idx="112">
                  <c:v>3.7</c:v>
                </c:pt>
                <c:pt idx="113">
                  <c:v>3.75</c:v>
                </c:pt>
                <c:pt idx="114">
                  <c:v>3.8</c:v>
                </c:pt>
                <c:pt idx="115">
                  <c:v>3.8</c:v>
                </c:pt>
                <c:pt idx="116">
                  <c:v>3.85</c:v>
                </c:pt>
                <c:pt idx="117">
                  <c:v>3.9</c:v>
                </c:pt>
                <c:pt idx="118">
                  <c:v>3.9</c:v>
                </c:pt>
                <c:pt idx="119">
                  <c:v>3.95</c:v>
                </c:pt>
                <c:pt idx="120">
                  <c:v>4</c:v>
                </c:pt>
                <c:pt idx="121">
                  <c:v>4</c:v>
                </c:pt>
                <c:pt idx="122">
                  <c:v>4.05</c:v>
                </c:pt>
                <c:pt idx="123">
                  <c:v>4.1</c:v>
                </c:pt>
                <c:pt idx="124">
                  <c:v>4.1</c:v>
                </c:pt>
                <c:pt idx="125">
                  <c:v>4.15</c:v>
                </c:pt>
                <c:pt idx="126">
                  <c:v>4.2</c:v>
                </c:pt>
                <c:pt idx="127">
                  <c:v>4.2</c:v>
                </c:pt>
                <c:pt idx="128">
                  <c:v>4.25</c:v>
                </c:pt>
                <c:pt idx="129">
                  <c:v>4.3</c:v>
                </c:pt>
                <c:pt idx="130">
                  <c:v>4.3</c:v>
                </c:pt>
                <c:pt idx="131">
                  <c:v>4.35</c:v>
                </c:pt>
                <c:pt idx="132">
                  <c:v>4.4</c:v>
                </c:pt>
                <c:pt idx="133">
                  <c:v>4.4</c:v>
                </c:pt>
                <c:pt idx="134">
                  <c:v>4.45</c:v>
                </c:pt>
                <c:pt idx="135">
                  <c:v>4.5</c:v>
                </c:pt>
                <c:pt idx="136">
                  <c:v>4.5</c:v>
                </c:pt>
                <c:pt idx="137">
                  <c:v>4.55</c:v>
                </c:pt>
                <c:pt idx="138">
                  <c:v>4.6</c:v>
                </c:pt>
                <c:pt idx="139">
                  <c:v>4.6</c:v>
                </c:pt>
                <c:pt idx="140">
                  <c:v>4.65</c:v>
                </c:pt>
                <c:pt idx="141">
                  <c:v>4.7</c:v>
                </c:pt>
                <c:pt idx="142">
                  <c:v>4.7</c:v>
                </c:pt>
                <c:pt idx="143">
                  <c:v>4.75</c:v>
                </c:pt>
                <c:pt idx="144">
                  <c:v>4.8</c:v>
                </c:pt>
                <c:pt idx="145">
                  <c:v>4.8</c:v>
                </c:pt>
                <c:pt idx="146">
                  <c:v>4.85</c:v>
                </c:pt>
                <c:pt idx="147">
                  <c:v>4.9</c:v>
                </c:pt>
                <c:pt idx="148">
                  <c:v>4.9</c:v>
                </c:pt>
                <c:pt idx="149">
                  <c:v>4.95</c:v>
                </c:pt>
                <c:pt idx="150">
                  <c:v>5</c:v>
                </c:pt>
                <c:pt idx="151">
                  <c:v>5</c:v>
                </c:pt>
                <c:pt idx="152">
                  <c:v>5.05</c:v>
                </c:pt>
                <c:pt idx="153">
                  <c:v>5.1</c:v>
                </c:pt>
                <c:pt idx="154">
                  <c:v>5.1</c:v>
                </c:pt>
                <c:pt idx="155">
                  <c:v>5.15</c:v>
                </c:pt>
                <c:pt idx="156">
                  <c:v>5.2</c:v>
                </c:pt>
                <c:pt idx="157">
                  <c:v>5.2</c:v>
                </c:pt>
                <c:pt idx="158">
                  <c:v>5.25</c:v>
                </c:pt>
                <c:pt idx="159">
                  <c:v>5.3</c:v>
                </c:pt>
                <c:pt idx="160">
                  <c:v>5.3</c:v>
                </c:pt>
                <c:pt idx="161">
                  <c:v>5.35</c:v>
                </c:pt>
                <c:pt idx="162">
                  <c:v>5.4</c:v>
                </c:pt>
                <c:pt idx="163">
                  <c:v>5.4</c:v>
                </c:pt>
                <c:pt idx="164">
                  <c:v>5.45</c:v>
                </c:pt>
                <c:pt idx="165">
                  <c:v>5.5</c:v>
                </c:pt>
                <c:pt idx="166">
                  <c:v>5.5</c:v>
                </c:pt>
                <c:pt idx="167">
                  <c:v>5.55</c:v>
                </c:pt>
                <c:pt idx="168">
                  <c:v>5.6</c:v>
                </c:pt>
                <c:pt idx="169">
                  <c:v>5.6</c:v>
                </c:pt>
                <c:pt idx="170">
                  <c:v>5.65</c:v>
                </c:pt>
                <c:pt idx="171">
                  <c:v>5.7</c:v>
                </c:pt>
                <c:pt idx="172">
                  <c:v>5.75</c:v>
                </c:pt>
                <c:pt idx="173">
                  <c:v>5.75</c:v>
                </c:pt>
                <c:pt idx="174">
                  <c:v>5.8</c:v>
                </c:pt>
                <c:pt idx="175">
                  <c:v>5.85</c:v>
                </c:pt>
                <c:pt idx="176">
                  <c:v>5.85</c:v>
                </c:pt>
                <c:pt idx="177">
                  <c:v>5.9</c:v>
                </c:pt>
                <c:pt idx="178">
                  <c:v>5.95</c:v>
                </c:pt>
                <c:pt idx="179">
                  <c:v>5.95</c:v>
                </c:pt>
                <c:pt idx="180">
                  <c:v>6</c:v>
                </c:pt>
                <c:pt idx="181">
                  <c:v>6.05</c:v>
                </c:pt>
                <c:pt idx="182">
                  <c:v>6.05</c:v>
                </c:pt>
                <c:pt idx="183">
                  <c:v>6.1</c:v>
                </c:pt>
                <c:pt idx="184">
                  <c:v>6.15</c:v>
                </c:pt>
                <c:pt idx="185">
                  <c:v>6.15</c:v>
                </c:pt>
                <c:pt idx="186">
                  <c:v>6.2</c:v>
                </c:pt>
                <c:pt idx="187">
                  <c:v>6.25</c:v>
                </c:pt>
                <c:pt idx="188">
                  <c:v>6.25</c:v>
                </c:pt>
                <c:pt idx="189">
                  <c:v>6.3</c:v>
                </c:pt>
                <c:pt idx="190">
                  <c:v>6.35</c:v>
                </c:pt>
                <c:pt idx="191">
                  <c:v>6.35</c:v>
                </c:pt>
                <c:pt idx="192">
                  <c:v>6.4</c:v>
                </c:pt>
                <c:pt idx="193">
                  <c:v>6.45</c:v>
                </c:pt>
                <c:pt idx="194">
                  <c:v>6.45</c:v>
                </c:pt>
                <c:pt idx="195">
                  <c:v>6.5</c:v>
                </c:pt>
                <c:pt idx="196">
                  <c:v>6.55</c:v>
                </c:pt>
                <c:pt idx="197">
                  <c:v>6.55</c:v>
                </c:pt>
                <c:pt idx="198">
                  <c:v>6.6</c:v>
                </c:pt>
                <c:pt idx="199">
                  <c:v>6.65</c:v>
                </c:pt>
                <c:pt idx="200">
                  <c:v>6.65</c:v>
                </c:pt>
                <c:pt idx="201">
                  <c:v>6.7</c:v>
                </c:pt>
                <c:pt idx="202">
                  <c:v>6.75</c:v>
                </c:pt>
                <c:pt idx="203">
                  <c:v>6.75</c:v>
                </c:pt>
                <c:pt idx="204">
                  <c:v>6.8</c:v>
                </c:pt>
                <c:pt idx="205">
                  <c:v>6.85</c:v>
                </c:pt>
                <c:pt idx="206">
                  <c:v>6.85</c:v>
                </c:pt>
                <c:pt idx="207">
                  <c:v>6.9</c:v>
                </c:pt>
                <c:pt idx="208">
                  <c:v>6.95</c:v>
                </c:pt>
                <c:pt idx="209">
                  <c:v>6.95</c:v>
                </c:pt>
                <c:pt idx="210">
                  <c:v>7</c:v>
                </c:pt>
                <c:pt idx="211">
                  <c:v>7.05</c:v>
                </c:pt>
                <c:pt idx="212">
                  <c:v>7.05</c:v>
                </c:pt>
                <c:pt idx="213">
                  <c:v>7.1</c:v>
                </c:pt>
                <c:pt idx="214">
                  <c:v>7.15</c:v>
                </c:pt>
                <c:pt idx="215">
                  <c:v>7.15</c:v>
                </c:pt>
                <c:pt idx="216">
                  <c:v>7.2</c:v>
                </c:pt>
                <c:pt idx="217">
                  <c:v>7.25</c:v>
                </c:pt>
                <c:pt idx="218">
                  <c:v>7.25</c:v>
                </c:pt>
                <c:pt idx="219">
                  <c:v>7.3</c:v>
                </c:pt>
                <c:pt idx="220">
                  <c:v>7.35</c:v>
                </c:pt>
                <c:pt idx="221">
                  <c:v>7.35</c:v>
                </c:pt>
                <c:pt idx="222">
                  <c:v>7.4</c:v>
                </c:pt>
                <c:pt idx="223">
                  <c:v>7.45</c:v>
                </c:pt>
                <c:pt idx="224">
                  <c:v>7.45</c:v>
                </c:pt>
                <c:pt idx="225">
                  <c:v>7.5</c:v>
                </c:pt>
                <c:pt idx="226">
                  <c:v>7.55</c:v>
                </c:pt>
                <c:pt idx="227">
                  <c:v>7.55</c:v>
                </c:pt>
                <c:pt idx="228">
                  <c:v>7.6</c:v>
                </c:pt>
                <c:pt idx="229">
                  <c:v>7.65</c:v>
                </c:pt>
                <c:pt idx="230">
                  <c:v>7.65</c:v>
                </c:pt>
                <c:pt idx="231">
                  <c:v>7.7</c:v>
                </c:pt>
                <c:pt idx="232">
                  <c:v>7.75</c:v>
                </c:pt>
                <c:pt idx="233">
                  <c:v>7.75</c:v>
                </c:pt>
                <c:pt idx="234">
                  <c:v>7.8</c:v>
                </c:pt>
                <c:pt idx="235">
                  <c:v>7.85</c:v>
                </c:pt>
                <c:pt idx="236">
                  <c:v>7.85</c:v>
                </c:pt>
                <c:pt idx="237">
                  <c:v>7.9</c:v>
                </c:pt>
                <c:pt idx="238">
                  <c:v>7.95</c:v>
                </c:pt>
                <c:pt idx="239">
                  <c:v>7.95</c:v>
                </c:pt>
                <c:pt idx="240">
                  <c:v>8</c:v>
                </c:pt>
                <c:pt idx="241">
                  <c:v>8.05</c:v>
                </c:pt>
                <c:pt idx="242">
                  <c:v>8.05</c:v>
                </c:pt>
                <c:pt idx="243">
                  <c:v>8.1</c:v>
                </c:pt>
                <c:pt idx="244">
                  <c:v>8.15</c:v>
                </c:pt>
                <c:pt idx="245">
                  <c:v>8.15</c:v>
                </c:pt>
                <c:pt idx="246">
                  <c:v>8.2</c:v>
                </c:pt>
                <c:pt idx="247">
                  <c:v>8.25</c:v>
                </c:pt>
                <c:pt idx="248">
                  <c:v>8.25</c:v>
                </c:pt>
                <c:pt idx="249">
                  <c:v>8.3</c:v>
                </c:pt>
                <c:pt idx="250">
                  <c:v>8.35</c:v>
                </c:pt>
                <c:pt idx="251">
                  <c:v>8.35</c:v>
                </c:pt>
                <c:pt idx="252">
                  <c:v>8.4</c:v>
                </c:pt>
                <c:pt idx="253">
                  <c:v>8.45</c:v>
                </c:pt>
                <c:pt idx="254">
                  <c:v>8.45</c:v>
                </c:pt>
                <c:pt idx="255">
                  <c:v>8.5</c:v>
                </c:pt>
                <c:pt idx="256">
                  <c:v>8.55</c:v>
                </c:pt>
                <c:pt idx="257">
                  <c:v>8.55</c:v>
                </c:pt>
                <c:pt idx="258">
                  <c:v>8.6</c:v>
                </c:pt>
                <c:pt idx="259">
                  <c:v>8.65</c:v>
                </c:pt>
                <c:pt idx="260">
                  <c:v>8.65</c:v>
                </c:pt>
                <c:pt idx="261">
                  <c:v>8.7</c:v>
                </c:pt>
                <c:pt idx="262">
                  <c:v>8.75</c:v>
                </c:pt>
                <c:pt idx="263">
                  <c:v>8.75</c:v>
                </c:pt>
                <c:pt idx="264">
                  <c:v>8.8</c:v>
                </c:pt>
                <c:pt idx="265">
                  <c:v>8.85</c:v>
                </c:pt>
                <c:pt idx="266">
                  <c:v>8.85</c:v>
                </c:pt>
                <c:pt idx="267">
                  <c:v>8.9</c:v>
                </c:pt>
                <c:pt idx="268">
                  <c:v>8.95</c:v>
                </c:pt>
                <c:pt idx="269">
                  <c:v>8.95</c:v>
                </c:pt>
                <c:pt idx="270">
                  <c:v>9</c:v>
                </c:pt>
                <c:pt idx="271">
                  <c:v>9.05</c:v>
                </c:pt>
                <c:pt idx="272">
                  <c:v>9.05</c:v>
                </c:pt>
                <c:pt idx="273">
                  <c:v>9.1</c:v>
                </c:pt>
                <c:pt idx="274">
                  <c:v>9.15</c:v>
                </c:pt>
                <c:pt idx="275">
                  <c:v>9.15</c:v>
                </c:pt>
                <c:pt idx="276">
                  <c:v>9.2</c:v>
                </c:pt>
                <c:pt idx="277">
                  <c:v>9.25</c:v>
                </c:pt>
                <c:pt idx="278">
                  <c:v>9.25</c:v>
                </c:pt>
                <c:pt idx="279">
                  <c:v>9.3</c:v>
                </c:pt>
                <c:pt idx="280">
                  <c:v>9.35</c:v>
                </c:pt>
                <c:pt idx="281">
                  <c:v>9.35</c:v>
                </c:pt>
                <c:pt idx="282">
                  <c:v>9.4</c:v>
                </c:pt>
                <c:pt idx="283">
                  <c:v>9.45</c:v>
                </c:pt>
                <c:pt idx="284">
                  <c:v>9.45</c:v>
                </c:pt>
                <c:pt idx="285">
                  <c:v>9.5</c:v>
                </c:pt>
                <c:pt idx="286">
                  <c:v>9.55</c:v>
                </c:pt>
                <c:pt idx="287">
                  <c:v>9.55</c:v>
                </c:pt>
                <c:pt idx="288">
                  <c:v>9.6</c:v>
                </c:pt>
                <c:pt idx="289">
                  <c:v>9.65</c:v>
                </c:pt>
                <c:pt idx="290">
                  <c:v>9.65</c:v>
                </c:pt>
                <c:pt idx="291">
                  <c:v>9.7</c:v>
                </c:pt>
                <c:pt idx="292">
                  <c:v>9.75</c:v>
                </c:pt>
                <c:pt idx="293">
                  <c:v>9.75</c:v>
                </c:pt>
                <c:pt idx="294">
                  <c:v>9.8</c:v>
                </c:pt>
                <c:pt idx="295">
                  <c:v>9.85</c:v>
                </c:pt>
                <c:pt idx="296">
                  <c:v>9.85</c:v>
                </c:pt>
                <c:pt idx="297">
                  <c:v>9.9</c:v>
                </c:pt>
                <c:pt idx="298">
                  <c:v>9.95</c:v>
                </c:pt>
                <c:pt idx="299">
                  <c:v>9.95</c:v>
                </c:pt>
                <c:pt idx="300">
                  <c:v>10</c:v>
                </c:pt>
                <c:pt idx="301">
                  <c:v>10.05</c:v>
                </c:pt>
                <c:pt idx="302">
                  <c:v>10.05</c:v>
                </c:pt>
                <c:pt idx="303">
                  <c:v>10.1</c:v>
                </c:pt>
                <c:pt idx="304">
                  <c:v>10.15</c:v>
                </c:pt>
                <c:pt idx="305">
                  <c:v>10.15</c:v>
                </c:pt>
                <c:pt idx="306">
                  <c:v>10.2</c:v>
                </c:pt>
                <c:pt idx="307">
                  <c:v>10.25</c:v>
                </c:pt>
                <c:pt idx="308">
                  <c:v>10.25</c:v>
                </c:pt>
                <c:pt idx="309">
                  <c:v>10.3</c:v>
                </c:pt>
                <c:pt idx="310">
                  <c:v>10.35</c:v>
                </c:pt>
                <c:pt idx="311">
                  <c:v>10.35</c:v>
                </c:pt>
                <c:pt idx="312">
                  <c:v>10.4</c:v>
                </c:pt>
                <c:pt idx="313">
                  <c:v>10.45</c:v>
                </c:pt>
                <c:pt idx="314">
                  <c:v>10.45</c:v>
                </c:pt>
                <c:pt idx="315">
                  <c:v>10.5</c:v>
                </c:pt>
                <c:pt idx="316">
                  <c:v>10.55</c:v>
                </c:pt>
                <c:pt idx="317">
                  <c:v>10.55</c:v>
                </c:pt>
                <c:pt idx="318">
                  <c:v>10.6</c:v>
                </c:pt>
                <c:pt idx="319">
                  <c:v>10.65</c:v>
                </c:pt>
                <c:pt idx="320">
                  <c:v>10.65</c:v>
                </c:pt>
                <c:pt idx="321">
                  <c:v>10.7</c:v>
                </c:pt>
                <c:pt idx="322">
                  <c:v>10.75</c:v>
                </c:pt>
                <c:pt idx="323">
                  <c:v>10.75</c:v>
                </c:pt>
                <c:pt idx="324">
                  <c:v>10.8</c:v>
                </c:pt>
                <c:pt idx="325">
                  <c:v>10.85</c:v>
                </c:pt>
                <c:pt idx="326">
                  <c:v>10.85</c:v>
                </c:pt>
                <c:pt idx="327">
                  <c:v>10.9</c:v>
                </c:pt>
                <c:pt idx="328">
                  <c:v>10.95</c:v>
                </c:pt>
                <c:pt idx="329">
                  <c:v>10.95</c:v>
                </c:pt>
                <c:pt idx="330">
                  <c:v>11</c:v>
                </c:pt>
                <c:pt idx="331">
                  <c:v>11.05</c:v>
                </c:pt>
                <c:pt idx="332">
                  <c:v>11.05</c:v>
                </c:pt>
                <c:pt idx="333">
                  <c:v>11.1</c:v>
                </c:pt>
                <c:pt idx="334">
                  <c:v>11.15</c:v>
                </c:pt>
                <c:pt idx="335">
                  <c:v>11.15</c:v>
                </c:pt>
                <c:pt idx="336">
                  <c:v>11.2</c:v>
                </c:pt>
                <c:pt idx="337">
                  <c:v>11.25</c:v>
                </c:pt>
                <c:pt idx="338">
                  <c:v>11.25</c:v>
                </c:pt>
                <c:pt idx="339">
                  <c:v>11.3</c:v>
                </c:pt>
                <c:pt idx="340">
                  <c:v>11.35</c:v>
                </c:pt>
                <c:pt idx="341">
                  <c:v>11.35</c:v>
                </c:pt>
                <c:pt idx="342">
                  <c:v>11.4</c:v>
                </c:pt>
                <c:pt idx="343">
                  <c:v>11.45</c:v>
                </c:pt>
                <c:pt idx="344">
                  <c:v>11.45</c:v>
                </c:pt>
                <c:pt idx="345">
                  <c:v>11.5</c:v>
                </c:pt>
                <c:pt idx="346">
                  <c:v>11.55</c:v>
                </c:pt>
                <c:pt idx="347">
                  <c:v>11.6</c:v>
                </c:pt>
                <c:pt idx="348">
                  <c:v>11.6</c:v>
                </c:pt>
                <c:pt idx="349">
                  <c:v>11.65</c:v>
                </c:pt>
                <c:pt idx="350">
                  <c:v>11.7</c:v>
                </c:pt>
                <c:pt idx="351">
                  <c:v>11.7</c:v>
                </c:pt>
                <c:pt idx="352">
                  <c:v>11.75</c:v>
                </c:pt>
                <c:pt idx="353">
                  <c:v>11.8</c:v>
                </c:pt>
                <c:pt idx="354">
                  <c:v>11.8</c:v>
                </c:pt>
                <c:pt idx="355">
                  <c:v>11.85</c:v>
                </c:pt>
                <c:pt idx="356">
                  <c:v>11.9</c:v>
                </c:pt>
                <c:pt idx="357">
                  <c:v>11.9</c:v>
                </c:pt>
                <c:pt idx="358">
                  <c:v>11.95</c:v>
                </c:pt>
                <c:pt idx="359">
                  <c:v>12</c:v>
                </c:pt>
                <c:pt idx="360">
                  <c:v>12</c:v>
                </c:pt>
                <c:pt idx="361">
                  <c:v>12.05</c:v>
                </c:pt>
                <c:pt idx="362">
                  <c:v>12.1</c:v>
                </c:pt>
                <c:pt idx="363">
                  <c:v>12.1</c:v>
                </c:pt>
                <c:pt idx="364">
                  <c:v>12.15</c:v>
                </c:pt>
                <c:pt idx="365">
                  <c:v>12.2</c:v>
                </c:pt>
                <c:pt idx="366">
                  <c:v>12.2</c:v>
                </c:pt>
                <c:pt idx="367">
                  <c:v>12.25</c:v>
                </c:pt>
                <c:pt idx="368">
                  <c:v>12.3</c:v>
                </c:pt>
                <c:pt idx="369">
                  <c:v>12.3</c:v>
                </c:pt>
                <c:pt idx="370">
                  <c:v>12.35</c:v>
                </c:pt>
                <c:pt idx="371">
                  <c:v>12.4</c:v>
                </c:pt>
                <c:pt idx="372">
                  <c:v>12.4</c:v>
                </c:pt>
                <c:pt idx="373">
                  <c:v>12.45</c:v>
                </c:pt>
                <c:pt idx="374">
                  <c:v>12.5</c:v>
                </c:pt>
                <c:pt idx="375">
                  <c:v>12.5</c:v>
                </c:pt>
                <c:pt idx="376">
                  <c:v>12.55</c:v>
                </c:pt>
                <c:pt idx="377">
                  <c:v>12.6</c:v>
                </c:pt>
                <c:pt idx="378">
                  <c:v>12.6</c:v>
                </c:pt>
                <c:pt idx="379">
                  <c:v>12.65</c:v>
                </c:pt>
                <c:pt idx="380">
                  <c:v>12.7</c:v>
                </c:pt>
                <c:pt idx="381">
                  <c:v>12.7</c:v>
                </c:pt>
                <c:pt idx="382">
                  <c:v>12.75</c:v>
                </c:pt>
                <c:pt idx="383">
                  <c:v>12.8</c:v>
                </c:pt>
                <c:pt idx="384">
                  <c:v>12.8</c:v>
                </c:pt>
                <c:pt idx="385">
                  <c:v>12.85</c:v>
                </c:pt>
                <c:pt idx="386">
                  <c:v>12.9</c:v>
                </c:pt>
                <c:pt idx="387">
                  <c:v>12.9</c:v>
                </c:pt>
                <c:pt idx="388">
                  <c:v>12.95</c:v>
                </c:pt>
                <c:pt idx="389">
                  <c:v>13</c:v>
                </c:pt>
                <c:pt idx="390">
                  <c:v>13</c:v>
                </c:pt>
                <c:pt idx="391">
                  <c:v>13.05</c:v>
                </c:pt>
                <c:pt idx="392">
                  <c:v>13.1</c:v>
                </c:pt>
                <c:pt idx="393">
                  <c:v>13.1</c:v>
                </c:pt>
                <c:pt idx="394">
                  <c:v>13.15</c:v>
                </c:pt>
                <c:pt idx="395">
                  <c:v>13.2</c:v>
                </c:pt>
                <c:pt idx="396">
                  <c:v>13.2</c:v>
                </c:pt>
                <c:pt idx="397">
                  <c:v>13.25</c:v>
                </c:pt>
                <c:pt idx="398">
                  <c:v>13.3</c:v>
                </c:pt>
                <c:pt idx="399">
                  <c:v>13.3</c:v>
                </c:pt>
                <c:pt idx="400">
                  <c:v>13.35</c:v>
                </c:pt>
                <c:pt idx="401">
                  <c:v>13.4</c:v>
                </c:pt>
                <c:pt idx="402">
                  <c:v>13.4</c:v>
                </c:pt>
                <c:pt idx="403">
                  <c:v>13.45</c:v>
                </c:pt>
                <c:pt idx="404">
                  <c:v>13.5</c:v>
                </c:pt>
                <c:pt idx="405">
                  <c:v>13.5</c:v>
                </c:pt>
                <c:pt idx="406">
                  <c:v>13.55</c:v>
                </c:pt>
                <c:pt idx="407">
                  <c:v>13.6</c:v>
                </c:pt>
                <c:pt idx="408">
                  <c:v>13.6</c:v>
                </c:pt>
                <c:pt idx="409">
                  <c:v>13.65</c:v>
                </c:pt>
                <c:pt idx="410">
                  <c:v>13.7</c:v>
                </c:pt>
                <c:pt idx="411">
                  <c:v>13.7</c:v>
                </c:pt>
                <c:pt idx="412">
                  <c:v>13.75</c:v>
                </c:pt>
                <c:pt idx="413">
                  <c:v>13.8</c:v>
                </c:pt>
                <c:pt idx="414">
                  <c:v>13.8</c:v>
                </c:pt>
                <c:pt idx="415">
                  <c:v>13.85</c:v>
                </c:pt>
                <c:pt idx="416">
                  <c:v>13.9</c:v>
                </c:pt>
                <c:pt idx="417">
                  <c:v>13.9</c:v>
                </c:pt>
                <c:pt idx="418">
                  <c:v>13.95</c:v>
                </c:pt>
                <c:pt idx="419">
                  <c:v>14</c:v>
                </c:pt>
                <c:pt idx="420">
                  <c:v>14</c:v>
                </c:pt>
                <c:pt idx="421">
                  <c:v>14.05</c:v>
                </c:pt>
                <c:pt idx="422">
                  <c:v>14.1</c:v>
                </c:pt>
                <c:pt idx="423">
                  <c:v>14.1</c:v>
                </c:pt>
                <c:pt idx="424">
                  <c:v>14.15</c:v>
                </c:pt>
                <c:pt idx="425">
                  <c:v>14.2</c:v>
                </c:pt>
                <c:pt idx="426">
                  <c:v>14.2</c:v>
                </c:pt>
                <c:pt idx="427">
                  <c:v>14.25</c:v>
                </c:pt>
                <c:pt idx="428">
                  <c:v>14.3</c:v>
                </c:pt>
                <c:pt idx="429">
                  <c:v>14.3</c:v>
                </c:pt>
                <c:pt idx="430">
                  <c:v>14.35</c:v>
                </c:pt>
                <c:pt idx="431">
                  <c:v>14.4</c:v>
                </c:pt>
                <c:pt idx="432">
                  <c:v>14.4</c:v>
                </c:pt>
                <c:pt idx="433">
                  <c:v>14.45</c:v>
                </c:pt>
                <c:pt idx="434">
                  <c:v>14.5</c:v>
                </c:pt>
                <c:pt idx="435">
                  <c:v>14.5</c:v>
                </c:pt>
                <c:pt idx="436">
                  <c:v>14.55</c:v>
                </c:pt>
                <c:pt idx="437">
                  <c:v>14.6</c:v>
                </c:pt>
                <c:pt idx="438">
                  <c:v>14.6</c:v>
                </c:pt>
                <c:pt idx="439">
                  <c:v>14.65</c:v>
                </c:pt>
                <c:pt idx="440">
                  <c:v>14.7</c:v>
                </c:pt>
                <c:pt idx="441">
                  <c:v>14.7</c:v>
                </c:pt>
                <c:pt idx="442">
                  <c:v>14.75</c:v>
                </c:pt>
                <c:pt idx="443">
                  <c:v>14.8</c:v>
                </c:pt>
                <c:pt idx="444">
                  <c:v>14.8</c:v>
                </c:pt>
                <c:pt idx="445">
                  <c:v>14.85</c:v>
                </c:pt>
                <c:pt idx="446">
                  <c:v>14.9</c:v>
                </c:pt>
                <c:pt idx="447">
                  <c:v>14.9</c:v>
                </c:pt>
                <c:pt idx="448">
                  <c:v>14.95</c:v>
                </c:pt>
                <c:pt idx="449">
                  <c:v>15</c:v>
                </c:pt>
                <c:pt idx="450">
                  <c:v>15</c:v>
                </c:pt>
                <c:pt idx="451">
                  <c:v>15.05</c:v>
                </c:pt>
                <c:pt idx="452">
                  <c:v>15.1</c:v>
                </c:pt>
                <c:pt idx="453">
                  <c:v>15.1</c:v>
                </c:pt>
                <c:pt idx="454">
                  <c:v>15.15</c:v>
                </c:pt>
                <c:pt idx="455">
                  <c:v>15.2</c:v>
                </c:pt>
                <c:pt idx="456">
                  <c:v>15.2</c:v>
                </c:pt>
                <c:pt idx="457">
                  <c:v>15.25</c:v>
                </c:pt>
                <c:pt idx="458">
                  <c:v>15.3</c:v>
                </c:pt>
                <c:pt idx="459">
                  <c:v>15.3</c:v>
                </c:pt>
                <c:pt idx="460">
                  <c:v>15.35</c:v>
                </c:pt>
                <c:pt idx="461">
                  <c:v>15.4</c:v>
                </c:pt>
                <c:pt idx="462">
                  <c:v>15.4</c:v>
                </c:pt>
                <c:pt idx="463">
                  <c:v>15.45</c:v>
                </c:pt>
                <c:pt idx="464">
                  <c:v>15.5</c:v>
                </c:pt>
                <c:pt idx="465">
                  <c:v>15.5</c:v>
                </c:pt>
                <c:pt idx="466">
                  <c:v>15.55</c:v>
                </c:pt>
                <c:pt idx="467">
                  <c:v>15.6</c:v>
                </c:pt>
                <c:pt idx="468">
                  <c:v>15.6</c:v>
                </c:pt>
                <c:pt idx="469">
                  <c:v>15.65</c:v>
                </c:pt>
                <c:pt idx="470">
                  <c:v>15.7</c:v>
                </c:pt>
                <c:pt idx="471">
                  <c:v>15.7</c:v>
                </c:pt>
                <c:pt idx="472">
                  <c:v>15.75</c:v>
                </c:pt>
                <c:pt idx="473">
                  <c:v>15.8</c:v>
                </c:pt>
                <c:pt idx="474">
                  <c:v>15.8</c:v>
                </c:pt>
                <c:pt idx="475">
                  <c:v>15.85</c:v>
                </c:pt>
                <c:pt idx="476">
                  <c:v>15.9</c:v>
                </c:pt>
                <c:pt idx="477">
                  <c:v>15.9</c:v>
                </c:pt>
                <c:pt idx="478">
                  <c:v>15.95</c:v>
                </c:pt>
                <c:pt idx="479">
                  <c:v>16</c:v>
                </c:pt>
                <c:pt idx="480">
                  <c:v>16</c:v>
                </c:pt>
                <c:pt idx="481">
                  <c:v>16.05</c:v>
                </c:pt>
                <c:pt idx="482">
                  <c:v>16.1</c:v>
                </c:pt>
                <c:pt idx="483">
                  <c:v>16.1</c:v>
                </c:pt>
                <c:pt idx="484">
                  <c:v>16.15</c:v>
                </c:pt>
                <c:pt idx="485">
                  <c:v>16.2</c:v>
                </c:pt>
                <c:pt idx="486">
                  <c:v>16.2</c:v>
                </c:pt>
                <c:pt idx="487">
                  <c:v>16.25</c:v>
                </c:pt>
                <c:pt idx="488">
                  <c:v>16.3</c:v>
                </c:pt>
                <c:pt idx="489">
                  <c:v>16.3</c:v>
                </c:pt>
                <c:pt idx="490">
                  <c:v>16.35</c:v>
                </c:pt>
                <c:pt idx="491">
                  <c:v>16.4</c:v>
                </c:pt>
                <c:pt idx="492">
                  <c:v>16.4</c:v>
                </c:pt>
                <c:pt idx="493">
                  <c:v>16.45</c:v>
                </c:pt>
                <c:pt idx="494">
                  <c:v>16.5</c:v>
                </c:pt>
                <c:pt idx="495">
                  <c:v>16.5</c:v>
                </c:pt>
                <c:pt idx="496">
                  <c:v>16.55</c:v>
                </c:pt>
                <c:pt idx="497">
                  <c:v>16.6</c:v>
                </c:pt>
                <c:pt idx="498">
                  <c:v>16.6</c:v>
                </c:pt>
                <c:pt idx="499">
                  <c:v>16.65</c:v>
                </c:pt>
                <c:pt idx="500">
                  <c:v>16.7</c:v>
                </c:pt>
                <c:pt idx="501">
                  <c:v>16.7</c:v>
                </c:pt>
                <c:pt idx="502">
                  <c:v>16.75</c:v>
                </c:pt>
                <c:pt idx="503">
                  <c:v>16.8</c:v>
                </c:pt>
                <c:pt idx="504">
                  <c:v>16.8</c:v>
                </c:pt>
                <c:pt idx="505">
                  <c:v>16.85</c:v>
                </c:pt>
                <c:pt idx="506">
                  <c:v>16.9</c:v>
                </c:pt>
                <c:pt idx="507">
                  <c:v>16.9</c:v>
                </c:pt>
                <c:pt idx="508">
                  <c:v>16.95</c:v>
                </c:pt>
                <c:pt idx="509">
                  <c:v>17</c:v>
                </c:pt>
                <c:pt idx="510">
                  <c:v>17</c:v>
                </c:pt>
                <c:pt idx="511">
                  <c:v>17.05</c:v>
                </c:pt>
                <c:pt idx="512">
                  <c:v>17.1</c:v>
                </c:pt>
                <c:pt idx="513">
                  <c:v>17.1</c:v>
                </c:pt>
                <c:pt idx="514">
                  <c:v>17.15</c:v>
                </c:pt>
                <c:pt idx="515">
                  <c:v>17.2</c:v>
                </c:pt>
                <c:pt idx="516">
                  <c:v>17.2</c:v>
                </c:pt>
                <c:pt idx="517">
                  <c:v>17.25</c:v>
                </c:pt>
                <c:pt idx="518">
                  <c:v>17.3</c:v>
                </c:pt>
                <c:pt idx="519">
                  <c:v>17.3</c:v>
                </c:pt>
                <c:pt idx="520">
                  <c:v>17.35</c:v>
                </c:pt>
                <c:pt idx="521">
                  <c:v>17.4</c:v>
                </c:pt>
                <c:pt idx="522">
                  <c:v>17.4</c:v>
                </c:pt>
                <c:pt idx="523">
                  <c:v>17.45</c:v>
                </c:pt>
                <c:pt idx="524">
                  <c:v>17.5</c:v>
                </c:pt>
                <c:pt idx="525">
                  <c:v>17.55</c:v>
                </c:pt>
                <c:pt idx="526">
                  <c:v>17.55</c:v>
                </c:pt>
                <c:pt idx="527">
                  <c:v>17.6</c:v>
                </c:pt>
                <c:pt idx="528">
                  <c:v>17.65</c:v>
                </c:pt>
                <c:pt idx="529">
                  <c:v>17.65</c:v>
                </c:pt>
                <c:pt idx="530">
                  <c:v>17.7</c:v>
                </c:pt>
                <c:pt idx="531">
                  <c:v>17.75</c:v>
                </c:pt>
                <c:pt idx="532">
                  <c:v>17.75</c:v>
                </c:pt>
                <c:pt idx="533">
                  <c:v>17.8</c:v>
                </c:pt>
                <c:pt idx="534">
                  <c:v>17.85</c:v>
                </c:pt>
                <c:pt idx="535">
                  <c:v>17.85</c:v>
                </c:pt>
                <c:pt idx="536">
                  <c:v>17.9</c:v>
                </c:pt>
                <c:pt idx="537">
                  <c:v>17.95</c:v>
                </c:pt>
                <c:pt idx="538">
                  <c:v>17.95</c:v>
                </c:pt>
                <c:pt idx="539">
                  <c:v>18</c:v>
                </c:pt>
                <c:pt idx="540">
                  <c:v>18.05</c:v>
                </c:pt>
                <c:pt idx="541">
                  <c:v>18.05</c:v>
                </c:pt>
                <c:pt idx="542">
                  <c:v>18.1</c:v>
                </c:pt>
                <c:pt idx="543">
                  <c:v>18.15</c:v>
                </c:pt>
                <c:pt idx="544">
                  <c:v>18.15</c:v>
                </c:pt>
                <c:pt idx="545">
                  <c:v>18.2</c:v>
                </c:pt>
                <c:pt idx="546">
                  <c:v>18.25</c:v>
                </c:pt>
                <c:pt idx="547">
                  <c:v>18.25</c:v>
                </c:pt>
                <c:pt idx="548">
                  <c:v>18.3</c:v>
                </c:pt>
                <c:pt idx="549">
                  <c:v>18.35</c:v>
                </c:pt>
                <c:pt idx="550">
                  <c:v>18.35</c:v>
                </c:pt>
                <c:pt idx="551">
                  <c:v>18.4</c:v>
                </c:pt>
                <c:pt idx="552">
                  <c:v>18.45</c:v>
                </c:pt>
                <c:pt idx="553">
                  <c:v>18.45</c:v>
                </c:pt>
                <c:pt idx="554">
                  <c:v>18.5</c:v>
                </c:pt>
                <c:pt idx="555">
                  <c:v>18.55</c:v>
                </c:pt>
                <c:pt idx="556">
                  <c:v>18.55</c:v>
                </c:pt>
                <c:pt idx="557">
                  <c:v>18.6</c:v>
                </c:pt>
                <c:pt idx="558">
                  <c:v>18.65</c:v>
                </c:pt>
                <c:pt idx="559">
                  <c:v>18.65</c:v>
                </c:pt>
                <c:pt idx="560">
                  <c:v>18.7</c:v>
                </c:pt>
                <c:pt idx="561">
                  <c:v>18.75</c:v>
                </c:pt>
                <c:pt idx="562">
                  <c:v>18.75</c:v>
                </c:pt>
                <c:pt idx="563">
                  <c:v>18.8</c:v>
                </c:pt>
                <c:pt idx="564">
                  <c:v>18.85</c:v>
                </c:pt>
                <c:pt idx="565">
                  <c:v>18.85</c:v>
                </c:pt>
                <c:pt idx="566">
                  <c:v>18.9</c:v>
                </c:pt>
                <c:pt idx="567">
                  <c:v>18.95</c:v>
                </c:pt>
                <c:pt idx="568">
                  <c:v>18.95</c:v>
                </c:pt>
                <c:pt idx="569">
                  <c:v>19</c:v>
                </c:pt>
                <c:pt idx="570">
                  <c:v>19.05</c:v>
                </c:pt>
                <c:pt idx="571">
                  <c:v>19.05</c:v>
                </c:pt>
                <c:pt idx="572">
                  <c:v>19.1</c:v>
                </c:pt>
                <c:pt idx="573">
                  <c:v>19.15</c:v>
                </c:pt>
                <c:pt idx="574">
                  <c:v>19.15</c:v>
                </c:pt>
                <c:pt idx="575">
                  <c:v>19.2</c:v>
                </c:pt>
                <c:pt idx="576">
                  <c:v>19.25</c:v>
                </c:pt>
                <c:pt idx="577">
                  <c:v>19.25</c:v>
                </c:pt>
                <c:pt idx="578">
                  <c:v>19.3</c:v>
                </c:pt>
                <c:pt idx="579">
                  <c:v>19.35</c:v>
                </c:pt>
                <c:pt idx="580">
                  <c:v>19.35</c:v>
                </c:pt>
                <c:pt idx="581">
                  <c:v>19.4</c:v>
                </c:pt>
                <c:pt idx="582">
                  <c:v>19.45</c:v>
                </c:pt>
                <c:pt idx="583">
                  <c:v>19.45</c:v>
                </c:pt>
                <c:pt idx="584">
                  <c:v>19.5</c:v>
                </c:pt>
                <c:pt idx="585">
                  <c:v>19.55</c:v>
                </c:pt>
                <c:pt idx="586">
                  <c:v>19.55</c:v>
                </c:pt>
                <c:pt idx="587">
                  <c:v>19.6</c:v>
                </c:pt>
                <c:pt idx="588">
                  <c:v>19.65</c:v>
                </c:pt>
                <c:pt idx="589">
                  <c:v>19.65</c:v>
                </c:pt>
                <c:pt idx="590">
                  <c:v>19.7</c:v>
                </c:pt>
                <c:pt idx="591">
                  <c:v>19.75</c:v>
                </c:pt>
                <c:pt idx="592">
                  <c:v>19.75</c:v>
                </c:pt>
                <c:pt idx="593">
                  <c:v>19.8</c:v>
                </c:pt>
                <c:pt idx="594">
                  <c:v>19.85</c:v>
                </c:pt>
                <c:pt idx="595">
                  <c:v>19.85</c:v>
                </c:pt>
                <c:pt idx="596">
                  <c:v>19.9</c:v>
                </c:pt>
                <c:pt idx="597">
                  <c:v>19.95</c:v>
                </c:pt>
                <c:pt idx="598">
                  <c:v>19.95</c:v>
                </c:pt>
                <c:pt idx="599">
                  <c:v>20</c:v>
                </c:pt>
                <c:pt idx="600">
                  <c:v>20.05</c:v>
                </c:pt>
                <c:pt idx="601">
                  <c:v>20.05</c:v>
                </c:pt>
                <c:pt idx="602">
                  <c:v>20.1</c:v>
                </c:pt>
                <c:pt idx="603">
                  <c:v>20.15</c:v>
                </c:pt>
                <c:pt idx="604">
                  <c:v>20.15</c:v>
                </c:pt>
                <c:pt idx="605">
                  <c:v>20.2</c:v>
                </c:pt>
                <c:pt idx="606">
                  <c:v>20.25</c:v>
                </c:pt>
                <c:pt idx="607">
                  <c:v>20.25</c:v>
                </c:pt>
                <c:pt idx="608">
                  <c:v>20.3</c:v>
                </c:pt>
                <c:pt idx="609">
                  <c:v>20.35</c:v>
                </c:pt>
                <c:pt idx="610">
                  <c:v>20.35</c:v>
                </c:pt>
                <c:pt idx="611">
                  <c:v>20.4</c:v>
                </c:pt>
                <c:pt idx="612">
                  <c:v>20.45</c:v>
                </c:pt>
                <c:pt idx="613">
                  <c:v>20.45</c:v>
                </c:pt>
                <c:pt idx="614">
                  <c:v>20.5</c:v>
                </c:pt>
                <c:pt idx="615">
                  <c:v>20.55</c:v>
                </c:pt>
                <c:pt idx="616">
                  <c:v>20.55</c:v>
                </c:pt>
                <c:pt idx="617">
                  <c:v>20.6</c:v>
                </c:pt>
                <c:pt idx="618">
                  <c:v>20.65</c:v>
                </c:pt>
                <c:pt idx="619">
                  <c:v>20.65</c:v>
                </c:pt>
                <c:pt idx="620">
                  <c:v>20.7</c:v>
                </c:pt>
                <c:pt idx="621">
                  <c:v>20.75</c:v>
                </c:pt>
                <c:pt idx="622">
                  <c:v>20.75</c:v>
                </c:pt>
                <c:pt idx="623">
                  <c:v>20.8</c:v>
                </c:pt>
                <c:pt idx="624">
                  <c:v>20.85</c:v>
                </c:pt>
                <c:pt idx="625">
                  <c:v>20.85</c:v>
                </c:pt>
                <c:pt idx="626">
                  <c:v>20.9</c:v>
                </c:pt>
                <c:pt idx="627">
                  <c:v>20.95</c:v>
                </c:pt>
                <c:pt idx="628">
                  <c:v>20.95</c:v>
                </c:pt>
                <c:pt idx="629">
                  <c:v>21</c:v>
                </c:pt>
                <c:pt idx="630">
                  <c:v>21.05</c:v>
                </c:pt>
                <c:pt idx="631">
                  <c:v>21.05</c:v>
                </c:pt>
                <c:pt idx="632">
                  <c:v>21.1</c:v>
                </c:pt>
                <c:pt idx="633">
                  <c:v>21.15</c:v>
                </c:pt>
                <c:pt idx="634">
                  <c:v>21.15</c:v>
                </c:pt>
                <c:pt idx="635">
                  <c:v>21.2</c:v>
                </c:pt>
                <c:pt idx="636">
                  <c:v>21.25</c:v>
                </c:pt>
                <c:pt idx="637">
                  <c:v>21.25</c:v>
                </c:pt>
                <c:pt idx="638">
                  <c:v>21.3</c:v>
                </c:pt>
                <c:pt idx="639">
                  <c:v>21.35</c:v>
                </c:pt>
                <c:pt idx="640">
                  <c:v>21.35</c:v>
                </c:pt>
                <c:pt idx="641">
                  <c:v>21.4</c:v>
                </c:pt>
                <c:pt idx="642">
                  <c:v>21.45</c:v>
                </c:pt>
                <c:pt idx="643">
                  <c:v>21.45</c:v>
                </c:pt>
                <c:pt idx="644">
                  <c:v>21.5</c:v>
                </c:pt>
                <c:pt idx="645">
                  <c:v>21.55</c:v>
                </c:pt>
                <c:pt idx="646">
                  <c:v>21.55</c:v>
                </c:pt>
                <c:pt idx="647">
                  <c:v>21.6</c:v>
                </c:pt>
                <c:pt idx="648">
                  <c:v>21.65</c:v>
                </c:pt>
                <c:pt idx="649">
                  <c:v>21.65</c:v>
                </c:pt>
                <c:pt idx="650">
                  <c:v>21.7</c:v>
                </c:pt>
                <c:pt idx="651">
                  <c:v>21.75</c:v>
                </c:pt>
                <c:pt idx="652">
                  <c:v>21.75</c:v>
                </c:pt>
                <c:pt idx="653">
                  <c:v>21.8</c:v>
                </c:pt>
                <c:pt idx="654">
                  <c:v>21.85</c:v>
                </c:pt>
                <c:pt idx="655">
                  <c:v>21.85</c:v>
                </c:pt>
                <c:pt idx="656">
                  <c:v>21.9</c:v>
                </c:pt>
                <c:pt idx="657">
                  <c:v>21.95</c:v>
                </c:pt>
                <c:pt idx="658">
                  <c:v>21.95</c:v>
                </c:pt>
                <c:pt idx="659">
                  <c:v>22</c:v>
                </c:pt>
                <c:pt idx="660">
                  <c:v>22.05</c:v>
                </c:pt>
                <c:pt idx="661">
                  <c:v>22.05</c:v>
                </c:pt>
                <c:pt idx="662">
                  <c:v>22.1</c:v>
                </c:pt>
                <c:pt idx="663">
                  <c:v>22.15</c:v>
                </c:pt>
                <c:pt idx="664">
                  <c:v>22.15</c:v>
                </c:pt>
                <c:pt idx="665">
                  <c:v>22.2</c:v>
                </c:pt>
                <c:pt idx="666">
                  <c:v>22.25</c:v>
                </c:pt>
                <c:pt idx="667">
                  <c:v>22.25</c:v>
                </c:pt>
                <c:pt idx="668">
                  <c:v>22.3</c:v>
                </c:pt>
                <c:pt idx="669">
                  <c:v>22.35</c:v>
                </c:pt>
                <c:pt idx="670">
                  <c:v>22.35</c:v>
                </c:pt>
                <c:pt idx="671">
                  <c:v>22.4</c:v>
                </c:pt>
                <c:pt idx="672">
                  <c:v>22.45</c:v>
                </c:pt>
                <c:pt idx="673">
                  <c:v>22.45</c:v>
                </c:pt>
                <c:pt idx="674">
                  <c:v>22.5</c:v>
                </c:pt>
                <c:pt idx="675">
                  <c:v>22.55</c:v>
                </c:pt>
                <c:pt idx="676">
                  <c:v>22.55</c:v>
                </c:pt>
                <c:pt idx="677">
                  <c:v>22.6</c:v>
                </c:pt>
                <c:pt idx="678">
                  <c:v>22.65</c:v>
                </c:pt>
                <c:pt idx="679">
                  <c:v>22.65</c:v>
                </c:pt>
                <c:pt idx="680">
                  <c:v>22.7</c:v>
                </c:pt>
                <c:pt idx="681">
                  <c:v>22.75</c:v>
                </c:pt>
                <c:pt idx="682">
                  <c:v>22.75</c:v>
                </c:pt>
                <c:pt idx="683">
                  <c:v>22.8</c:v>
                </c:pt>
                <c:pt idx="684">
                  <c:v>22.85</c:v>
                </c:pt>
                <c:pt idx="685">
                  <c:v>22.85</c:v>
                </c:pt>
                <c:pt idx="686">
                  <c:v>22.9</c:v>
                </c:pt>
                <c:pt idx="687">
                  <c:v>22.95</c:v>
                </c:pt>
                <c:pt idx="688">
                  <c:v>22.95</c:v>
                </c:pt>
                <c:pt idx="689">
                  <c:v>23</c:v>
                </c:pt>
                <c:pt idx="690">
                  <c:v>23.05</c:v>
                </c:pt>
                <c:pt idx="691">
                  <c:v>23.05</c:v>
                </c:pt>
                <c:pt idx="692">
                  <c:v>23.1</c:v>
                </c:pt>
                <c:pt idx="693">
                  <c:v>23.15</c:v>
                </c:pt>
                <c:pt idx="694">
                  <c:v>23.15</c:v>
                </c:pt>
                <c:pt idx="695">
                  <c:v>23.2</c:v>
                </c:pt>
                <c:pt idx="696">
                  <c:v>23.25</c:v>
                </c:pt>
                <c:pt idx="697">
                  <c:v>23.25</c:v>
                </c:pt>
                <c:pt idx="698">
                  <c:v>23.3</c:v>
                </c:pt>
                <c:pt idx="699">
                  <c:v>23.35</c:v>
                </c:pt>
                <c:pt idx="700">
                  <c:v>23.4</c:v>
                </c:pt>
                <c:pt idx="701">
                  <c:v>23.4</c:v>
                </c:pt>
                <c:pt idx="702">
                  <c:v>23.45</c:v>
                </c:pt>
                <c:pt idx="703">
                  <c:v>23.5</c:v>
                </c:pt>
                <c:pt idx="704">
                  <c:v>23.5</c:v>
                </c:pt>
                <c:pt idx="705">
                  <c:v>23.55</c:v>
                </c:pt>
                <c:pt idx="706">
                  <c:v>23.6</c:v>
                </c:pt>
                <c:pt idx="707">
                  <c:v>23.6</c:v>
                </c:pt>
                <c:pt idx="708">
                  <c:v>23.65</c:v>
                </c:pt>
                <c:pt idx="709">
                  <c:v>23.7</c:v>
                </c:pt>
                <c:pt idx="710">
                  <c:v>23.7</c:v>
                </c:pt>
                <c:pt idx="711">
                  <c:v>23.75</c:v>
                </c:pt>
                <c:pt idx="712">
                  <c:v>23.8</c:v>
                </c:pt>
                <c:pt idx="713">
                  <c:v>23.8</c:v>
                </c:pt>
                <c:pt idx="714">
                  <c:v>23.85</c:v>
                </c:pt>
                <c:pt idx="715">
                  <c:v>23.9</c:v>
                </c:pt>
                <c:pt idx="716">
                  <c:v>23.9</c:v>
                </c:pt>
                <c:pt idx="717">
                  <c:v>23.95</c:v>
                </c:pt>
                <c:pt idx="718">
                  <c:v>24</c:v>
                </c:pt>
                <c:pt idx="719">
                  <c:v>24</c:v>
                </c:pt>
                <c:pt idx="720">
                  <c:v>24.05</c:v>
                </c:pt>
                <c:pt idx="721">
                  <c:v>24.1</c:v>
                </c:pt>
                <c:pt idx="722">
                  <c:v>24.1</c:v>
                </c:pt>
                <c:pt idx="723">
                  <c:v>24.15</c:v>
                </c:pt>
                <c:pt idx="724">
                  <c:v>24.2</c:v>
                </c:pt>
                <c:pt idx="725">
                  <c:v>24.2</c:v>
                </c:pt>
                <c:pt idx="726">
                  <c:v>24.25</c:v>
                </c:pt>
                <c:pt idx="727">
                  <c:v>24.3</c:v>
                </c:pt>
                <c:pt idx="728">
                  <c:v>24.3</c:v>
                </c:pt>
                <c:pt idx="729">
                  <c:v>24.35</c:v>
                </c:pt>
                <c:pt idx="730">
                  <c:v>24.4</c:v>
                </c:pt>
                <c:pt idx="731">
                  <c:v>24.4</c:v>
                </c:pt>
                <c:pt idx="732">
                  <c:v>24.45</c:v>
                </c:pt>
                <c:pt idx="733">
                  <c:v>24.5</c:v>
                </c:pt>
                <c:pt idx="734">
                  <c:v>24.5</c:v>
                </c:pt>
                <c:pt idx="735">
                  <c:v>24.55</c:v>
                </c:pt>
                <c:pt idx="736">
                  <c:v>24.6</c:v>
                </c:pt>
                <c:pt idx="737">
                  <c:v>24.6</c:v>
                </c:pt>
                <c:pt idx="738">
                  <c:v>24.65</c:v>
                </c:pt>
                <c:pt idx="739">
                  <c:v>24.7</c:v>
                </c:pt>
                <c:pt idx="740">
                  <c:v>24.7</c:v>
                </c:pt>
                <c:pt idx="741">
                  <c:v>24.75</c:v>
                </c:pt>
                <c:pt idx="742">
                  <c:v>24.8</c:v>
                </c:pt>
                <c:pt idx="743">
                  <c:v>24.8</c:v>
                </c:pt>
                <c:pt idx="744">
                  <c:v>24.85</c:v>
                </c:pt>
                <c:pt idx="745">
                  <c:v>24.9</c:v>
                </c:pt>
                <c:pt idx="746">
                  <c:v>24.9</c:v>
                </c:pt>
                <c:pt idx="747">
                  <c:v>24.95</c:v>
                </c:pt>
                <c:pt idx="748">
                  <c:v>25</c:v>
                </c:pt>
                <c:pt idx="749">
                  <c:v>25</c:v>
                </c:pt>
                <c:pt idx="750">
                  <c:v>25.05</c:v>
                </c:pt>
                <c:pt idx="751">
                  <c:v>25.1</c:v>
                </c:pt>
                <c:pt idx="752">
                  <c:v>25.1</c:v>
                </c:pt>
                <c:pt idx="753">
                  <c:v>25.15</c:v>
                </c:pt>
                <c:pt idx="754">
                  <c:v>25.2</c:v>
                </c:pt>
                <c:pt idx="755">
                  <c:v>25.2</c:v>
                </c:pt>
                <c:pt idx="756">
                  <c:v>25.25</c:v>
                </c:pt>
                <c:pt idx="757">
                  <c:v>25.3</c:v>
                </c:pt>
                <c:pt idx="758">
                  <c:v>25.3</c:v>
                </c:pt>
                <c:pt idx="759">
                  <c:v>25.35</c:v>
                </c:pt>
                <c:pt idx="760">
                  <c:v>25.4</c:v>
                </c:pt>
                <c:pt idx="761">
                  <c:v>25.4</c:v>
                </c:pt>
                <c:pt idx="762">
                  <c:v>25.45</c:v>
                </c:pt>
                <c:pt idx="763">
                  <c:v>25.5</c:v>
                </c:pt>
                <c:pt idx="764">
                  <c:v>25.5</c:v>
                </c:pt>
                <c:pt idx="765">
                  <c:v>25.55</c:v>
                </c:pt>
                <c:pt idx="766">
                  <c:v>25.6</c:v>
                </c:pt>
                <c:pt idx="767">
                  <c:v>25.6</c:v>
                </c:pt>
                <c:pt idx="768">
                  <c:v>25.65</c:v>
                </c:pt>
                <c:pt idx="769">
                  <c:v>25.7</c:v>
                </c:pt>
                <c:pt idx="770">
                  <c:v>25.7</c:v>
                </c:pt>
                <c:pt idx="771">
                  <c:v>25.75</c:v>
                </c:pt>
                <c:pt idx="772">
                  <c:v>25.8</c:v>
                </c:pt>
                <c:pt idx="773">
                  <c:v>25.8</c:v>
                </c:pt>
                <c:pt idx="774">
                  <c:v>25.85</c:v>
                </c:pt>
                <c:pt idx="775">
                  <c:v>25.9</c:v>
                </c:pt>
                <c:pt idx="776">
                  <c:v>25.9</c:v>
                </c:pt>
                <c:pt idx="777">
                  <c:v>25.95</c:v>
                </c:pt>
                <c:pt idx="778">
                  <c:v>26</c:v>
                </c:pt>
                <c:pt idx="779">
                  <c:v>26</c:v>
                </c:pt>
                <c:pt idx="780">
                  <c:v>26.05</c:v>
                </c:pt>
                <c:pt idx="781">
                  <c:v>26.1</c:v>
                </c:pt>
                <c:pt idx="782">
                  <c:v>26.1</c:v>
                </c:pt>
                <c:pt idx="783">
                  <c:v>26.15</c:v>
                </c:pt>
                <c:pt idx="784">
                  <c:v>26.2</c:v>
                </c:pt>
                <c:pt idx="785">
                  <c:v>26.2</c:v>
                </c:pt>
                <c:pt idx="786">
                  <c:v>26.25</c:v>
                </c:pt>
                <c:pt idx="787">
                  <c:v>26.3</c:v>
                </c:pt>
                <c:pt idx="788">
                  <c:v>26.3</c:v>
                </c:pt>
                <c:pt idx="789">
                  <c:v>26.35</c:v>
                </c:pt>
                <c:pt idx="790">
                  <c:v>26.4</c:v>
                </c:pt>
                <c:pt idx="791">
                  <c:v>26.4</c:v>
                </c:pt>
                <c:pt idx="792">
                  <c:v>26.45</c:v>
                </c:pt>
                <c:pt idx="793">
                  <c:v>26.5</c:v>
                </c:pt>
                <c:pt idx="794">
                  <c:v>26.5</c:v>
                </c:pt>
                <c:pt idx="795">
                  <c:v>26.55</c:v>
                </c:pt>
                <c:pt idx="796">
                  <c:v>26.6</c:v>
                </c:pt>
                <c:pt idx="797">
                  <c:v>26.6</c:v>
                </c:pt>
                <c:pt idx="798">
                  <c:v>26.65</c:v>
                </c:pt>
                <c:pt idx="799">
                  <c:v>26.7</c:v>
                </c:pt>
                <c:pt idx="800">
                  <c:v>26.7</c:v>
                </c:pt>
                <c:pt idx="801">
                  <c:v>26.75</c:v>
                </c:pt>
                <c:pt idx="802">
                  <c:v>26.8</c:v>
                </c:pt>
                <c:pt idx="803">
                  <c:v>26.8</c:v>
                </c:pt>
                <c:pt idx="804">
                  <c:v>26.85</c:v>
                </c:pt>
                <c:pt idx="805">
                  <c:v>26.9</c:v>
                </c:pt>
                <c:pt idx="806">
                  <c:v>26.9</c:v>
                </c:pt>
                <c:pt idx="807">
                  <c:v>26.95</c:v>
                </c:pt>
                <c:pt idx="808">
                  <c:v>27</c:v>
                </c:pt>
                <c:pt idx="809">
                  <c:v>27</c:v>
                </c:pt>
                <c:pt idx="810">
                  <c:v>27.05</c:v>
                </c:pt>
                <c:pt idx="811">
                  <c:v>27.1</c:v>
                </c:pt>
                <c:pt idx="812">
                  <c:v>27.1</c:v>
                </c:pt>
                <c:pt idx="813">
                  <c:v>27.15</c:v>
                </c:pt>
                <c:pt idx="814">
                  <c:v>27.2</c:v>
                </c:pt>
                <c:pt idx="815">
                  <c:v>27.2</c:v>
                </c:pt>
                <c:pt idx="816">
                  <c:v>27.25</c:v>
                </c:pt>
                <c:pt idx="817">
                  <c:v>27.3</c:v>
                </c:pt>
                <c:pt idx="818">
                  <c:v>27.3</c:v>
                </c:pt>
                <c:pt idx="819">
                  <c:v>27.35</c:v>
                </c:pt>
                <c:pt idx="820">
                  <c:v>27.4</c:v>
                </c:pt>
                <c:pt idx="821">
                  <c:v>27.4</c:v>
                </c:pt>
                <c:pt idx="822">
                  <c:v>27.45</c:v>
                </c:pt>
                <c:pt idx="823">
                  <c:v>27.5</c:v>
                </c:pt>
                <c:pt idx="824">
                  <c:v>27.5</c:v>
                </c:pt>
                <c:pt idx="825">
                  <c:v>27.55</c:v>
                </c:pt>
                <c:pt idx="826">
                  <c:v>27.6</c:v>
                </c:pt>
                <c:pt idx="827">
                  <c:v>27.6</c:v>
                </c:pt>
                <c:pt idx="828">
                  <c:v>27.65</c:v>
                </c:pt>
                <c:pt idx="829">
                  <c:v>27.7</c:v>
                </c:pt>
                <c:pt idx="830">
                  <c:v>27.7</c:v>
                </c:pt>
                <c:pt idx="831">
                  <c:v>27.75</c:v>
                </c:pt>
                <c:pt idx="832">
                  <c:v>27.8</c:v>
                </c:pt>
                <c:pt idx="833">
                  <c:v>27.8</c:v>
                </c:pt>
                <c:pt idx="834">
                  <c:v>27.85</c:v>
                </c:pt>
                <c:pt idx="835">
                  <c:v>27.9</c:v>
                </c:pt>
                <c:pt idx="836">
                  <c:v>27.9</c:v>
                </c:pt>
                <c:pt idx="837">
                  <c:v>27.95</c:v>
                </c:pt>
                <c:pt idx="838">
                  <c:v>28</c:v>
                </c:pt>
                <c:pt idx="839">
                  <c:v>28</c:v>
                </c:pt>
                <c:pt idx="840">
                  <c:v>28.05</c:v>
                </c:pt>
                <c:pt idx="841">
                  <c:v>28.1</c:v>
                </c:pt>
                <c:pt idx="842">
                  <c:v>28.1</c:v>
                </c:pt>
                <c:pt idx="843">
                  <c:v>28.15</c:v>
                </c:pt>
                <c:pt idx="844">
                  <c:v>28.2</c:v>
                </c:pt>
                <c:pt idx="845">
                  <c:v>28.2</c:v>
                </c:pt>
                <c:pt idx="846">
                  <c:v>28.25</c:v>
                </c:pt>
                <c:pt idx="847">
                  <c:v>28.3</c:v>
                </c:pt>
                <c:pt idx="848">
                  <c:v>28.3</c:v>
                </c:pt>
                <c:pt idx="849">
                  <c:v>28.35</c:v>
                </c:pt>
                <c:pt idx="850">
                  <c:v>28.4</c:v>
                </c:pt>
                <c:pt idx="851">
                  <c:v>28.4</c:v>
                </c:pt>
                <c:pt idx="852">
                  <c:v>28.45</c:v>
                </c:pt>
                <c:pt idx="853">
                  <c:v>28.5</c:v>
                </c:pt>
                <c:pt idx="854">
                  <c:v>28.5</c:v>
                </c:pt>
                <c:pt idx="855">
                  <c:v>28.55</c:v>
                </c:pt>
                <c:pt idx="856">
                  <c:v>28.6</c:v>
                </c:pt>
                <c:pt idx="857">
                  <c:v>28.6</c:v>
                </c:pt>
                <c:pt idx="858">
                  <c:v>28.65</c:v>
                </c:pt>
                <c:pt idx="859">
                  <c:v>28.7</c:v>
                </c:pt>
                <c:pt idx="860">
                  <c:v>28.7</c:v>
                </c:pt>
                <c:pt idx="861">
                  <c:v>28.75</c:v>
                </c:pt>
                <c:pt idx="862">
                  <c:v>28.8</c:v>
                </c:pt>
                <c:pt idx="863">
                  <c:v>28.8</c:v>
                </c:pt>
                <c:pt idx="864">
                  <c:v>28.85</c:v>
                </c:pt>
                <c:pt idx="865">
                  <c:v>28.9</c:v>
                </c:pt>
                <c:pt idx="866">
                  <c:v>28.9</c:v>
                </c:pt>
                <c:pt idx="867">
                  <c:v>28.95</c:v>
                </c:pt>
                <c:pt idx="868">
                  <c:v>29</c:v>
                </c:pt>
                <c:pt idx="869">
                  <c:v>29</c:v>
                </c:pt>
                <c:pt idx="870">
                  <c:v>29.05</c:v>
                </c:pt>
                <c:pt idx="871">
                  <c:v>29.1</c:v>
                </c:pt>
                <c:pt idx="872">
                  <c:v>29.1</c:v>
                </c:pt>
                <c:pt idx="873">
                  <c:v>29.15</c:v>
                </c:pt>
                <c:pt idx="874">
                  <c:v>29.2</c:v>
                </c:pt>
                <c:pt idx="875">
                  <c:v>29.2</c:v>
                </c:pt>
                <c:pt idx="876">
                  <c:v>29.25</c:v>
                </c:pt>
                <c:pt idx="877">
                  <c:v>29.3</c:v>
                </c:pt>
                <c:pt idx="878">
                  <c:v>29.35</c:v>
                </c:pt>
                <c:pt idx="879">
                  <c:v>29.35</c:v>
                </c:pt>
                <c:pt idx="880">
                  <c:v>29.4</c:v>
                </c:pt>
                <c:pt idx="881">
                  <c:v>29.45</c:v>
                </c:pt>
                <c:pt idx="882">
                  <c:v>29.45</c:v>
                </c:pt>
                <c:pt idx="883">
                  <c:v>29.5</c:v>
                </c:pt>
                <c:pt idx="884">
                  <c:v>29.55</c:v>
                </c:pt>
                <c:pt idx="885">
                  <c:v>29.55</c:v>
                </c:pt>
                <c:pt idx="886">
                  <c:v>29.6</c:v>
                </c:pt>
                <c:pt idx="887">
                  <c:v>29.65</c:v>
                </c:pt>
                <c:pt idx="888">
                  <c:v>29.65</c:v>
                </c:pt>
                <c:pt idx="889">
                  <c:v>29.7</c:v>
                </c:pt>
                <c:pt idx="890">
                  <c:v>29.75</c:v>
                </c:pt>
                <c:pt idx="891">
                  <c:v>29.75</c:v>
                </c:pt>
                <c:pt idx="892">
                  <c:v>29.8</c:v>
                </c:pt>
                <c:pt idx="893">
                  <c:v>29.85</c:v>
                </c:pt>
                <c:pt idx="894">
                  <c:v>29.85</c:v>
                </c:pt>
                <c:pt idx="895">
                  <c:v>29.9</c:v>
                </c:pt>
                <c:pt idx="896">
                  <c:v>29.95</c:v>
                </c:pt>
                <c:pt idx="897">
                  <c:v>29.95</c:v>
                </c:pt>
                <c:pt idx="898">
                  <c:v>30</c:v>
                </c:pt>
                <c:pt idx="899">
                  <c:v>30.05</c:v>
                </c:pt>
                <c:pt idx="900">
                  <c:v>30.05</c:v>
                </c:pt>
                <c:pt idx="901">
                  <c:v>30.1</c:v>
                </c:pt>
                <c:pt idx="902">
                  <c:v>30.15</c:v>
                </c:pt>
                <c:pt idx="903">
                  <c:v>30.15</c:v>
                </c:pt>
                <c:pt idx="904">
                  <c:v>30.2</c:v>
                </c:pt>
                <c:pt idx="905">
                  <c:v>30.25</c:v>
                </c:pt>
                <c:pt idx="906">
                  <c:v>30.25</c:v>
                </c:pt>
                <c:pt idx="907">
                  <c:v>30.3</c:v>
                </c:pt>
                <c:pt idx="908">
                  <c:v>30.35</c:v>
                </c:pt>
                <c:pt idx="909">
                  <c:v>30.35</c:v>
                </c:pt>
                <c:pt idx="910">
                  <c:v>30.4</c:v>
                </c:pt>
                <c:pt idx="911">
                  <c:v>30.45</c:v>
                </c:pt>
                <c:pt idx="912">
                  <c:v>30.45</c:v>
                </c:pt>
                <c:pt idx="913">
                  <c:v>30.5</c:v>
                </c:pt>
                <c:pt idx="914">
                  <c:v>30.55</c:v>
                </c:pt>
                <c:pt idx="915">
                  <c:v>30.55</c:v>
                </c:pt>
                <c:pt idx="916">
                  <c:v>30.6</c:v>
                </c:pt>
                <c:pt idx="917">
                  <c:v>30.65</c:v>
                </c:pt>
                <c:pt idx="918">
                  <c:v>30.65</c:v>
                </c:pt>
                <c:pt idx="919">
                  <c:v>30.7</c:v>
                </c:pt>
                <c:pt idx="920">
                  <c:v>30.75</c:v>
                </c:pt>
                <c:pt idx="921">
                  <c:v>30.75</c:v>
                </c:pt>
                <c:pt idx="922">
                  <c:v>30.8</c:v>
                </c:pt>
                <c:pt idx="923">
                  <c:v>30.85</c:v>
                </c:pt>
                <c:pt idx="924">
                  <c:v>30.85</c:v>
                </c:pt>
                <c:pt idx="925">
                  <c:v>30.9</c:v>
                </c:pt>
                <c:pt idx="926">
                  <c:v>30.95</c:v>
                </c:pt>
                <c:pt idx="927">
                  <c:v>30.95</c:v>
                </c:pt>
                <c:pt idx="928">
                  <c:v>31</c:v>
                </c:pt>
                <c:pt idx="929">
                  <c:v>31.05</c:v>
                </c:pt>
                <c:pt idx="930">
                  <c:v>31.05</c:v>
                </c:pt>
                <c:pt idx="931">
                  <c:v>31.1</c:v>
                </c:pt>
                <c:pt idx="932">
                  <c:v>31.15</c:v>
                </c:pt>
                <c:pt idx="933">
                  <c:v>31.15</c:v>
                </c:pt>
                <c:pt idx="934">
                  <c:v>31.2</c:v>
                </c:pt>
                <c:pt idx="935">
                  <c:v>31.25</c:v>
                </c:pt>
                <c:pt idx="936">
                  <c:v>31.25</c:v>
                </c:pt>
                <c:pt idx="937">
                  <c:v>31.3</c:v>
                </c:pt>
                <c:pt idx="938">
                  <c:v>31.35</c:v>
                </c:pt>
                <c:pt idx="939">
                  <c:v>31.35</c:v>
                </c:pt>
                <c:pt idx="940">
                  <c:v>31.4</c:v>
                </c:pt>
                <c:pt idx="941">
                  <c:v>31.45</c:v>
                </c:pt>
                <c:pt idx="942">
                  <c:v>31.45</c:v>
                </c:pt>
                <c:pt idx="943">
                  <c:v>31.5</c:v>
                </c:pt>
                <c:pt idx="944">
                  <c:v>31.55</c:v>
                </c:pt>
                <c:pt idx="945">
                  <c:v>31.55</c:v>
                </c:pt>
                <c:pt idx="946">
                  <c:v>31.6</c:v>
                </c:pt>
                <c:pt idx="947">
                  <c:v>31.65</c:v>
                </c:pt>
                <c:pt idx="948">
                  <c:v>31.65</c:v>
                </c:pt>
                <c:pt idx="949">
                  <c:v>31.7</c:v>
                </c:pt>
                <c:pt idx="950">
                  <c:v>31.75</c:v>
                </c:pt>
                <c:pt idx="951">
                  <c:v>31.75</c:v>
                </c:pt>
                <c:pt idx="952">
                  <c:v>31.8</c:v>
                </c:pt>
                <c:pt idx="953">
                  <c:v>31.85</c:v>
                </c:pt>
                <c:pt idx="954">
                  <c:v>31.85</c:v>
                </c:pt>
                <c:pt idx="955">
                  <c:v>31.9</c:v>
                </c:pt>
                <c:pt idx="956">
                  <c:v>31.95</c:v>
                </c:pt>
                <c:pt idx="957">
                  <c:v>31.95</c:v>
                </c:pt>
                <c:pt idx="958">
                  <c:v>32</c:v>
                </c:pt>
                <c:pt idx="959">
                  <c:v>32.05</c:v>
                </c:pt>
                <c:pt idx="960">
                  <c:v>32.05</c:v>
                </c:pt>
                <c:pt idx="961">
                  <c:v>32.1</c:v>
                </c:pt>
                <c:pt idx="962">
                  <c:v>32.15</c:v>
                </c:pt>
                <c:pt idx="963">
                  <c:v>32.15</c:v>
                </c:pt>
                <c:pt idx="964">
                  <c:v>32.2</c:v>
                </c:pt>
                <c:pt idx="965">
                  <c:v>32.25</c:v>
                </c:pt>
                <c:pt idx="966">
                  <c:v>32.25</c:v>
                </c:pt>
                <c:pt idx="967">
                  <c:v>32.3</c:v>
                </c:pt>
                <c:pt idx="968">
                  <c:v>32.35</c:v>
                </c:pt>
                <c:pt idx="969">
                  <c:v>32.35</c:v>
                </c:pt>
                <c:pt idx="970">
                  <c:v>32.4</c:v>
                </c:pt>
                <c:pt idx="971">
                  <c:v>32.45</c:v>
                </c:pt>
                <c:pt idx="972">
                  <c:v>32.45</c:v>
                </c:pt>
                <c:pt idx="973">
                  <c:v>32.5</c:v>
                </c:pt>
                <c:pt idx="974">
                  <c:v>32.55</c:v>
                </c:pt>
                <c:pt idx="975">
                  <c:v>32.55</c:v>
                </c:pt>
                <c:pt idx="976">
                  <c:v>32.6</c:v>
                </c:pt>
                <c:pt idx="977">
                  <c:v>32.65</c:v>
                </c:pt>
                <c:pt idx="978">
                  <c:v>32.65</c:v>
                </c:pt>
                <c:pt idx="979">
                  <c:v>32.7</c:v>
                </c:pt>
                <c:pt idx="980">
                  <c:v>32.75</c:v>
                </c:pt>
                <c:pt idx="981">
                  <c:v>32.75</c:v>
                </c:pt>
                <c:pt idx="982">
                  <c:v>32.8</c:v>
                </c:pt>
                <c:pt idx="983">
                  <c:v>32.85</c:v>
                </c:pt>
                <c:pt idx="984">
                  <c:v>32.85</c:v>
                </c:pt>
                <c:pt idx="985">
                  <c:v>32.9</c:v>
                </c:pt>
                <c:pt idx="986">
                  <c:v>32.95</c:v>
                </c:pt>
                <c:pt idx="987">
                  <c:v>32.95</c:v>
                </c:pt>
                <c:pt idx="988">
                  <c:v>33</c:v>
                </c:pt>
                <c:pt idx="989">
                  <c:v>33.05</c:v>
                </c:pt>
                <c:pt idx="990">
                  <c:v>33.05</c:v>
                </c:pt>
                <c:pt idx="991">
                  <c:v>33.1</c:v>
                </c:pt>
                <c:pt idx="992">
                  <c:v>33.15</c:v>
                </c:pt>
                <c:pt idx="993">
                  <c:v>33.15</c:v>
                </c:pt>
                <c:pt idx="994">
                  <c:v>33.2</c:v>
                </c:pt>
                <c:pt idx="995">
                  <c:v>33.25</c:v>
                </c:pt>
                <c:pt idx="996">
                  <c:v>33.25</c:v>
                </c:pt>
                <c:pt idx="997">
                  <c:v>33.3</c:v>
                </c:pt>
                <c:pt idx="998">
                  <c:v>33.35</c:v>
                </c:pt>
                <c:pt idx="999">
                  <c:v>33.35</c:v>
                </c:pt>
                <c:pt idx="1000">
                  <c:v>33.4</c:v>
                </c:pt>
                <c:pt idx="1001">
                  <c:v>33.45</c:v>
                </c:pt>
                <c:pt idx="1002">
                  <c:v>33.45</c:v>
                </c:pt>
                <c:pt idx="1003">
                  <c:v>33.5</c:v>
                </c:pt>
                <c:pt idx="1004">
                  <c:v>33.55</c:v>
                </c:pt>
                <c:pt idx="1005">
                  <c:v>33.55</c:v>
                </c:pt>
                <c:pt idx="1006">
                  <c:v>33.6</c:v>
                </c:pt>
                <c:pt idx="1007">
                  <c:v>33.65</c:v>
                </c:pt>
                <c:pt idx="1008">
                  <c:v>33.65</c:v>
                </c:pt>
                <c:pt idx="1009">
                  <c:v>33.7</c:v>
                </c:pt>
                <c:pt idx="1010">
                  <c:v>33.75</c:v>
                </c:pt>
                <c:pt idx="1011">
                  <c:v>33.75</c:v>
                </c:pt>
                <c:pt idx="1012">
                  <c:v>33.8</c:v>
                </c:pt>
                <c:pt idx="1013">
                  <c:v>33.85</c:v>
                </c:pt>
                <c:pt idx="1014">
                  <c:v>33.85</c:v>
                </c:pt>
                <c:pt idx="1015">
                  <c:v>33.9</c:v>
                </c:pt>
                <c:pt idx="1016">
                  <c:v>33.95</c:v>
                </c:pt>
                <c:pt idx="1017">
                  <c:v>33.95</c:v>
                </c:pt>
                <c:pt idx="1018">
                  <c:v>34</c:v>
                </c:pt>
                <c:pt idx="1019">
                  <c:v>34.05</c:v>
                </c:pt>
                <c:pt idx="1020">
                  <c:v>34.05</c:v>
                </c:pt>
                <c:pt idx="1021">
                  <c:v>34.1</c:v>
                </c:pt>
                <c:pt idx="1022">
                  <c:v>34.15</c:v>
                </c:pt>
                <c:pt idx="1023">
                  <c:v>34.15</c:v>
                </c:pt>
                <c:pt idx="1024">
                  <c:v>34.2</c:v>
                </c:pt>
                <c:pt idx="1025">
                  <c:v>34.25</c:v>
                </c:pt>
                <c:pt idx="1026">
                  <c:v>34.25</c:v>
                </c:pt>
                <c:pt idx="1027">
                  <c:v>34.3</c:v>
                </c:pt>
                <c:pt idx="1028">
                  <c:v>34.35</c:v>
                </c:pt>
                <c:pt idx="1029">
                  <c:v>34.35</c:v>
                </c:pt>
                <c:pt idx="1030">
                  <c:v>34.4</c:v>
                </c:pt>
                <c:pt idx="1031">
                  <c:v>34.45</c:v>
                </c:pt>
                <c:pt idx="1032">
                  <c:v>34.45</c:v>
                </c:pt>
                <c:pt idx="1033">
                  <c:v>34.5</c:v>
                </c:pt>
                <c:pt idx="1034">
                  <c:v>34.55</c:v>
                </c:pt>
                <c:pt idx="1035">
                  <c:v>34.55</c:v>
                </c:pt>
                <c:pt idx="1036">
                  <c:v>34.6</c:v>
                </c:pt>
                <c:pt idx="1037">
                  <c:v>34.65</c:v>
                </c:pt>
                <c:pt idx="1038">
                  <c:v>34.65</c:v>
                </c:pt>
                <c:pt idx="1039">
                  <c:v>34.7</c:v>
                </c:pt>
                <c:pt idx="1040">
                  <c:v>34.75</c:v>
                </c:pt>
                <c:pt idx="1041">
                  <c:v>34.75</c:v>
                </c:pt>
                <c:pt idx="1042">
                  <c:v>34.8</c:v>
                </c:pt>
                <c:pt idx="1043">
                  <c:v>34.85</c:v>
                </c:pt>
                <c:pt idx="1044">
                  <c:v>34.85</c:v>
                </c:pt>
                <c:pt idx="1045">
                  <c:v>34.9</c:v>
                </c:pt>
                <c:pt idx="1046">
                  <c:v>34.95</c:v>
                </c:pt>
                <c:pt idx="1047">
                  <c:v>34.95</c:v>
                </c:pt>
                <c:pt idx="1048">
                  <c:v>35</c:v>
                </c:pt>
                <c:pt idx="1049">
                  <c:v>35.05</c:v>
                </c:pt>
                <c:pt idx="1050">
                  <c:v>35.05</c:v>
                </c:pt>
                <c:pt idx="1051">
                  <c:v>35.1</c:v>
                </c:pt>
                <c:pt idx="1052">
                  <c:v>35.15</c:v>
                </c:pt>
                <c:pt idx="1053">
                  <c:v>35.2</c:v>
                </c:pt>
                <c:pt idx="1054">
                  <c:v>35.2</c:v>
                </c:pt>
                <c:pt idx="1055">
                  <c:v>35.25</c:v>
                </c:pt>
                <c:pt idx="1056">
                  <c:v>35.3</c:v>
                </c:pt>
                <c:pt idx="1057">
                  <c:v>35.3</c:v>
                </c:pt>
                <c:pt idx="1058">
                  <c:v>35.35</c:v>
                </c:pt>
                <c:pt idx="1059">
                  <c:v>35.4</c:v>
                </c:pt>
                <c:pt idx="1060">
                  <c:v>35.4</c:v>
                </c:pt>
                <c:pt idx="1061">
                  <c:v>35.45</c:v>
                </c:pt>
                <c:pt idx="1062">
                  <c:v>35.5</c:v>
                </c:pt>
                <c:pt idx="1063">
                  <c:v>35.5</c:v>
                </c:pt>
                <c:pt idx="1064">
                  <c:v>35.55</c:v>
                </c:pt>
                <c:pt idx="1065">
                  <c:v>35.6</c:v>
                </c:pt>
                <c:pt idx="1066">
                  <c:v>35.6</c:v>
                </c:pt>
                <c:pt idx="1067">
                  <c:v>35.65</c:v>
                </c:pt>
                <c:pt idx="1068">
                  <c:v>35.7</c:v>
                </c:pt>
                <c:pt idx="1069">
                  <c:v>35.7</c:v>
                </c:pt>
                <c:pt idx="1070">
                  <c:v>35.75</c:v>
                </c:pt>
                <c:pt idx="1071">
                  <c:v>35.8</c:v>
                </c:pt>
                <c:pt idx="1072">
                  <c:v>35.8</c:v>
                </c:pt>
                <c:pt idx="1073">
                  <c:v>35.85</c:v>
                </c:pt>
                <c:pt idx="1074">
                  <c:v>35.9</c:v>
                </c:pt>
                <c:pt idx="1075">
                  <c:v>35.9</c:v>
                </c:pt>
                <c:pt idx="1076">
                  <c:v>35.95</c:v>
                </c:pt>
                <c:pt idx="1077">
                  <c:v>36</c:v>
                </c:pt>
                <c:pt idx="1078">
                  <c:v>36</c:v>
                </c:pt>
                <c:pt idx="1079">
                  <c:v>36.05</c:v>
                </c:pt>
                <c:pt idx="1080">
                  <c:v>36.1</c:v>
                </c:pt>
                <c:pt idx="1081">
                  <c:v>36.1</c:v>
                </c:pt>
                <c:pt idx="1082">
                  <c:v>36.15</c:v>
                </c:pt>
                <c:pt idx="1083">
                  <c:v>36.2</c:v>
                </c:pt>
                <c:pt idx="1084">
                  <c:v>36.2</c:v>
                </c:pt>
                <c:pt idx="1085">
                  <c:v>36.25</c:v>
                </c:pt>
                <c:pt idx="1086">
                  <c:v>36.3</c:v>
                </c:pt>
                <c:pt idx="1087">
                  <c:v>36.3</c:v>
                </c:pt>
                <c:pt idx="1088">
                  <c:v>36.35</c:v>
                </c:pt>
                <c:pt idx="1089">
                  <c:v>36.4</c:v>
                </c:pt>
                <c:pt idx="1090">
                  <c:v>36.4</c:v>
                </c:pt>
                <c:pt idx="1091">
                  <c:v>36.45</c:v>
                </c:pt>
                <c:pt idx="1092">
                  <c:v>36.5</c:v>
                </c:pt>
                <c:pt idx="1093">
                  <c:v>36.5</c:v>
                </c:pt>
                <c:pt idx="1094">
                  <c:v>36.55</c:v>
                </c:pt>
                <c:pt idx="1095">
                  <c:v>36.6</c:v>
                </c:pt>
                <c:pt idx="1096">
                  <c:v>36.6</c:v>
                </c:pt>
                <c:pt idx="1097">
                  <c:v>36.65</c:v>
                </c:pt>
                <c:pt idx="1098">
                  <c:v>36.7</c:v>
                </c:pt>
                <c:pt idx="1099">
                  <c:v>36.7</c:v>
                </c:pt>
                <c:pt idx="1100">
                  <c:v>36.75</c:v>
                </c:pt>
                <c:pt idx="1101">
                  <c:v>36.8</c:v>
                </c:pt>
                <c:pt idx="1102">
                  <c:v>36.8</c:v>
                </c:pt>
                <c:pt idx="1103">
                  <c:v>36.85</c:v>
                </c:pt>
                <c:pt idx="1104">
                  <c:v>36.9</c:v>
                </c:pt>
                <c:pt idx="1105">
                  <c:v>36.9</c:v>
                </c:pt>
                <c:pt idx="1106">
                  <c:v>36.95</c:v>
                </c:pt>
                <c:pt idx="1107">
                  <c:v>37</c:v>
                </c:pt>
                <c:pt idx="1108">
                  <c:v>37</c:v>
                </c:pt>
                <c:pt idx="1109">
                  <c:v>37.05</c:v>
                </c:pt>
                <c:pt idx="1110">
                  <c:v>37.1</c:v>
                </c:pt>
                <c:pt idx="1111">
                  <c:v>37.1</c:v>
                </c:pt>
                <c:pt idx="1112">
                  <c:v>37.15</c:v>
                </c:pt>
                <c:pt idx="1113">
                  <c:v>37.2</c:v>
                </c:pt>
                <c:pt idx="1114">
                  <c:v>37.2</c:v>
                </c:pt>
                <c:pt idx="1115">
                  <c:v>37.25</c:v>
                </c:pt>
                <c:pt idx="1116">
                  <c:v>37.3</c:v>
                </c:pt>
                <c:pt idx="1117">
                  <c:v>37.3</c:v>
                </c:pt>
                <c:pt idx="1118">
                  <c:v>37.35</c:v>
                </c:pt>
                <c:pt idx="1119">
                  <c:v>37.4</c:v>
                </c:pt>
                <c:pt idx="1120">
                  <c:v>37.4</c:v>
                </c:pt>
                <c:pt idx="1121">
                  <c:v>37.45</c:v>
                </c:pt>
                <c:pt idx="1122">
                  <c:v>37.5</c:v>
                </c:pt>
                <c:pt idx="1123">
                  <c:v>37.5</c:v>
                </c:pt>
                <c:pt idx="1124">
                  <c:v>37.55</c:v>
                </c:pt>
                <c:pt idx="1125">
                  <c:v>37.6</c:v>
                </c:pt>
                <c:pt idx="1126">
                  <c:v>37.6</c:v>
                </c:pt>
                <c:pt idx="1127">
                  <c:v>37.65</c:v>
                </c:pt>
                <c:pt idx="1128">
                  <c:v>37.7</c:v>
                </c:pt>
                <c:pt idx="1129">
                  <c:v>37.7</c:v>
                </c:pt>
                <c:pt idx="1130">
                  <c:v>37.75</c:v>
                </c:pt>
                <c:pt idx="1131">
                  <c:v>37.8</c:v>
                </c:pt>
                <c:pt idx="1132">
                  <c:v>37.8</c:v>
                </c:pt>
                <c:pt idx="1133">
                  <c:v>37.85</c:v>
                </c:pt>
                <c:pt idx="1134">
                  <c:v>37.9</c:v>
                </c:pt>
                <c:pt idx="1135">
                  <c:v>37.9</c:v>
                </c:pt>
                <c:pt idx="1136">
                  <c:v>37.95</c:v>
                </c:pt>
                <c:pt idx="1137">
                  <c:v>38</c:v>
                </c:pt>
                <c:pt idx="1138">
                  <c:v>38</c:v>
                </c:pt>
                <c:pt idx="1139">
                  <c:v>38.05</c:v>
                </c:pt>
                <c:pt idx="1140">
                  <c:v>38.1</c:v>
                </c:pt>
              </c:numCache>
            </c:numRef>
          </c:cat>
          <c:val>
            <c:numRef>
              <c:f>'常压_b_20 (3)'!$J$4:$J$1144</c:f>
              <c:numCache>
                <c:formatCode>General</c:formatCode>
                <c:ptCount val="1141"/>
                <c:pt idx="0">
                  <c:v>-125.1</c:v>
                </c:pt>
                <c:pt idx="1">
                  <c:v>-107.1</c:v>
                </c:pt>
                <c:pt idx="2">
                  <c:v>-87.6</c:v>
                </c:pt>
                <c:pt idx="3">
                  <c:v>-65.5</c:v>
                </c:pt>
                <c:pt idx="4">
                  <c:v>-46.1</c:v>
                </c:pt>
                <c:pt idx="5">
                  <c:v>-25.3</c:v>
                </c:pt>
                <c:pt idx="6">
                  <c:v>-6.19999999999999</c:v>
                </c:pt>
                <c:pt idx="7">
                  <c:v>11.4</c:v>
                </c:pt>
                <c:pt idx="8">
                  <c:v>30.4</c:v>
                </c:pt>
                <c:pt idx="9">
                  <c:v>47.2</c:v>
                </c:pt>
                <c:pt idx="10">
                  <c:v>62.3</c:v>
                </c:pt>
                <c:pt idx="11">
                  <c:v>76.8</c:v>
                </c:pt>
                <c:pt idx="12">
                  <c:v>90</c:v>
                </c:pt>
                <c:pt idx="13">
                  <c:v>102.1</c:v>
                </c:pt>
                <c:pt idx="14">
                  <c:v>112.09</c:v>
                </c:pt>
                <c:pt idx="15">
                  <c:v>121.05</c:v>
                </c:pt>
                <c:pt idx="16">
                  <c:v>128.11</c:v>
                </c:pt>
                <c:pt idx="17">
                  <c:v>132.7</c:v>
                </c:pt>
                <c:pt idx="18">
                  <c:v>136.94</c:v>
                </c:pt>
                <c:pt idx="19">
                  <c:v>138.33</c:v>
                </c:pt>
                <c:pt idx="20">
                  <c:v>138</c:v>
                </c:pt>
                <c:pt idx="21">
                  <c:v>135.99</c:v>
                </c:pt>
                <c:pt idx="22">
                  <c:v>131.91</c:v>
                </c:pt>
                <c:pt idx="23">
                  <c:v>126.07</c:v>
                </c:pt>
                <c:pt idx="24">
                  <c:v>118.89</c:v>
                </c:pt>
                <c:pt idx="25">
                  <c:v>109.91</c:v>
                </c:pt>
                <c:pt idx="26">
                  <c:v>98.9</c:v>
                </c:pt>
                <c:pt idx="27">
                  <c:v>87.6</c:v>
                </c:pt>
                <c:pt idx="28">
                  <c:v>73.8</c:v>
                </c:pt>
                <c:pt idx="29">
                  <c:v>59.9</c:v>
                </c:pt>
                <c:pt idx="30">
                  <c:v>44.7</c:v>
                </c:pt>
                <c:pt idx="31">
                  <c:v>28.8</c:v>
                </c:pt>
                <c:pt idx="32">
                  <c:v>9</c:v>
                </c:pt>
                <c:pt idx="33">
                  <c:v>-9.59999999999999</c:v>
                </c:pt>
                <c:pt idx="34">
                  <c:v>-28.3</c:v>
                </c:pt>
                <c:pt idx="35">
                  <c:v>-47.5</c:v>
                </c:pt>
                <c:pt idx="36">
                  <c:v>-67.4</c:v>
                </c:pt>
                <c:pt idx="37">
                  <c:v>-90.8</c:v>
                </c:pt>
                <c:pt idx="38">
                  <c:v>-107.4</c:v>
                </c:pt>
                <c:pt idx="39">
                  <c:v>-124.6</c:v>
                </c:pt>
                <c:pt idx="40">
                  <c:v>-142.4</c:v>
                </c:pt>
                <c:pt idx="41">
                  <c:v>-158</c:v>
                </c:pt>
                <c:pt idx="42">
                  <c:v>-173.6</c:v>
                </c:pt>
                <c:pt idx="43">
                  <c:v>-188.8</c:v>
                </c:pt>
                <c:pt idx="44">
                  <c:v>-202.6</c:v>
                </c:pt>
                <c:pt idx="45">
                  <c:v>-214.6</c:v>
                </c:pt>
                <c:pt idx="46">
                  <c:v>-224.2</c:v>
                </c:pt>
                <c:pt idx="47">
                  <c:v>-232.3</c:v>
                </c:pt>
                <c:pt idx="48">
                  <c:v>-239</c:v>
                </c:pt>
                <c:pt idx="49">
                  <c:v>-243.9</c:v>
                </c:pt>
                <c:pt idx="50">
                  <c:v>-247.6</c:v>
                </c:pt>
                <c:pt idx="51">
                  <c:v>-249</c:v>
                </c:pt>
                <c:pt idx="52">
                  <c:v>-249</c:v>
                </c:pt>
                <c:pt idx="53">
                  <c:v>-247.3</c:v>
                </c:pt>
                <c:pt idx="54">
                  <c:v>-243.9</c:v>
                </c:pt>
                <c:pt idx="55">
                  <c:v>-238.7</c:v>
                </c:pt>
                <c:pt idx="56">
                  <c:v>-231.8</c:v>
                </c:pt>
                <c:pt idx="57">
                  <c:v>-223.6</c:v>
                </c:pt>
                <c:pt idx="58">
                  <c:v>-214</c:v>
                </c:pt>
                <c:pt idx="59">
                  <c:v>-202.5</c:v>
                </c:pt>
                <c:pt idx="60">
                  <c:v>-188.5</c:v>
                </c:pt>
                <c:pt idx="61">
                  <c:v>-173.1</c:v>
                </c:pt>
                <c:pt idx="62">
                  <c:v>-158.7</c:v>
                </c:pt>
                <c:pt idx="63">
                  <c:v>-142.2</c:v>
                </c:pt>
                <c:pt idx="64">
                  <c:v>-124.4</c:v>
                </c:pt>
                <c:pt idx="65">
                  <c:v>-107.8</c:v>
                </c:pt>
                <c:pt idx="66">
                  <c:v>-88</c:v>
                </c:pt>
                <c:pt idx="67">
                  <c:v>-67.9</c:v>
                </c:pt>
                <c:pt idx="68">
                  <c:v>-48</c:v>
                </c:pt>
                <c:pt idx="69">
                  <c:v>-28.5</c:v>
                </c:pt>
                <c:pt idx="70">
                  <c:v>-10.5</c:v>
                </c:pt>
                <c:pt idx="71">
                  <c:v>7.69999999999999</c:v>
                </c:pt>
                <c:pt idx="72">
                  <c:v>25.8</c:v>
                </c:pt>
                <c:pt idx="73">
                  <c:v>41.7</c:v>
                </c:pt>
                <c:pt idx="74">
                  <c:v>58.5</c:v>
                </c:pt>
                <c:pt idx="75">
                  <c:v>71.9</c:v>
                </c:pt>
                <c:pt idx="76">
                  <c:v>84.5</c:v>
                </c:pt>
                <c:pt idx="77">
                  <c:v>95.4</c:v>
                </c:pt>
                <c:pt idx="78">
                  <c:v>105.85</c:v>
                </c:pt>
                <c:pt idx="79">
                  <c:v>114.39</c:v>
                </c:pt>
                <c:pt idx="80">
                  <c:v>121.1</c:v>
                </c:pt>
                <c:pt idx="81">
                  <c:v>126.3</c:v>
                </c:pt>
                <c:pt idx="82">
                  <c:v>129.57</c:v>
                </c:pt>
                <c:pt idx="83">
                  <c:v>131.48</c:v>
                </c:pt>
                <c:pt idx="84">
                  <c:v>131.42</c:v>
                </c:pt>
                <c:pt idx="85">
                  <c:v>129.28</c:v>
                </c:pt>
                <c:pt idx="86">
                  <c:v>125.16</c:v>
                </c:pt>
                <c:pt idx="87">
                  <c:v>120.08</c:v>
                </c:pt>
                <c:pt idx="88">
                  <c:v>112.84</c:v>
                </c:pt>
                <c:pt idx="89">
                  <c:v>103.66</c:v>
                </c:pt>
                <c:pt idx="90">
                  <c:v>93.6</c:v>
                </c:pt>
                <c:pt idx="91">
                  <c:v>82.9</c:v>
                </c:pt>
                <c:pt idx="92">
                  <c:v>69.7</c:v>
                </c:pt>
                <c:pt idx="93">
                  <c:v>56.6</c:v>
                </c:pt>
                <c:pt idx="94">
                  <c:v>41.3</c:v>
                </c:pt>
                <c:pt idx="95">
                  <c:v>24.3</c:v>
                </c:pt>
                <c:pt idx="96">
                  <c:v>5.69999999999999</c:v>
                </c:pt>
                <c:pt idx="97">
                  <c:v>-11.3</c:v>
                </c:pt>
                <c:pt idx="98">
                  <c:v>-29.6</c:v>
                </c:pt>
                <c:pt idx="99">
                  <c:v>-47.6</c:v>
                </c:pt>
                <c:pt idx="100">
                  <c:v>-64.9</c:v>
                </c:pt>
                <c:pt idx="101">
                  <c:v>-87.1</c:v>
                </c:pt>
                <c:pt idx="102">
                  <c:v>-105.5</c:v>
                </c:pt>
                <c:pt idx="103">
                  <c:v>-122.5</c:v>
                </c:pt>
                <c:pt idx="104">
                  <c:v>-140.1</c:v>
                </c:pt>
                <c:pt idx="105">
                  <c:v>-153</c:v>
                </c:pt>
                <c:pt idx="106">
                  <c:v>-168.3</c:v>
                </c:pt>
                <c:pt idx="107">
                  <c:v>-184.6</c:v>
                </c:pt>
                <c:pt idx="108">
                  <c:v>-197.3</c:v>
                </c:pt>
                <c:pt idx="109">
                  <c:v>-208.9</c:v>
                </c:pt>
                <c:pt idx="110">
                  <c:v>-218.6</c:v>
                </c:pt>
                <c:pt idx="111">
                  <c:v>-226.5</c:v>
                </c:pt>
                <c:pt idx="112">
                  <c:v>-232.5</c:v>
                </c:pt>
                <c:pt idx="113">
                  <c:v>-237.2</c:v>
                </c:pt>
                <c:pt idx="114">
                  <c:v>-240.2</c:v>
                </c:pt>
                <c:pt idx="115">
                  <c:v>-242</c:v>
                </c:pt>
                <c:pt idx="116">
                  <c:v>-241.7</c:v>
                </c:pt>
                <c:pt idx="117">
                  <c:v>-239.9</c:v>
                </c:pt>
                <c:pt idx="118">
                  <c:v>-236.7</c:v>
                </c:pt>
                <c:pt idx="119">
                  <c:v>-231.4</c:v>
                </c:pt>
                <c:pt idx="120">
                  <c:v>-224.6</c:v>
                </c:pt>
                <c:pt idx="121">
                  <c:v>-216.8</c:v>
                </c:pt>
                <c:pt idx="122">
                  <c:v>-206.1</c:v>
                </c:pt>
                <c:pt idx="123">
                  <c:v>-194</c:v>
                </c:pt>
                <c:pt idx="124">
                  <c:v>-179.5</c:v>
                </c:pt>
                <c:pt idx="125">
                  <c:v>-164.5</c:v>
                </c:pt>
                <c:pt idx="126">
                  <c:v>-149.9</c:v>
                </c:pt>
                <c:pt idx="127">
                  <c:v>-139.3</c:v>
                </c:pt>
                <c:pt idx="128">
                  <c:v>-121.1</c:v>
                </c:pt>
                <c:pt idx="129">
                  <c:v>-104.8</c:v>
                </c:pt>
                <c:pt idx="130">
                  <c:v>-87.3</c:v>
                </c:pt>
                <c:pt idx="131">
                  <c:v>-69.9</c:v>
                </c:pt>
                <c:pt idx="132">
                  <c:v>-51.2</c:v>
                </c:pt>
                <c:pt idx="133">
                  <c:v>-33.5</c:v>
                </c:pt>
                <c:pt idx="134">
                  <c:v>-17.8</c:v>
                </c:pt>
                <c:pt idx="135">
                  <c:v>-1.69999999999999</c:v>
                </c:pt>
                <c:pt idx="136">
                  <c:v>15.4</c:v>
                </c:pt>
                <c:pt idx="137">
                  <c:v>30.2</c:v>
                </c:pt>
                <c:pt idx="138">
                  <c:v>44.8</c:v>
                </c:pt>
                <c:pt idx="139">
                  <c:v>57.5</c:v>
                </c:pt>
                <c:pt idx="140">
                  <c:v>68.6</c:v>
                </c:pt>
                <c:pt idx="141">
                  <c:v>79.4</c:v>
                </c:pt>
                <c:pt idx="142">
                  <c:v>88.4</c:v>
                </c:pt>
                <c:pt idx="143">
                  <c:v>96.2</c:v>
                </c:pt>
                <c:pt idx="144">
                  <c:v>102.7</c:v>
                </c:pt>
                <c:pt idx="145">
                  <c:v>107.3</c:v>
                </c:pt>
                <c:pt idx="146">
                  <c:v>110.7</c:v>
                </c:pt>
                <c:pt idx="147">
                  <c:v>112.21</c:v>
                </c:pt>
                <c:pt idx="148">
                  <c:v>111.91</c:v>
                </c:pt>
                <c:pt idx="149">
                  <c:v>110.54</c:v>
                </c:pt>
                <c:pt idx="150">
                  <c:v>106.97</c:v>
                </c:pt>
                <c:pt idx="151">
                  <c:v>102.1</c:v>
                </c:pt>
                <c:pt idx="152">
                  <c:v>95.6</c:v>
                </c:pt>
                <c:pt idx="153">
                  <c:v>87.6</c:v>
                </c:pt>
                <c:pt idx="154">
                  <c:v>78.7</c:v>
                </c:pt>
                <c:pt idx="155">
                  <c:v>68.4</c:v>
                </c:pt>
                <c:pt idx="156">
                  <c:v>57.2</c:v>
                </c:pt>
                <c:pt idx="157">
                  <c:v>45</c:v>
                </c:pt>
                <c:pt idx="158">
                  <c:v>31.2</c:v>
                </c:pt>
                <c:pt idx="159">
                  <c:v>15.4</c:v>
                </c:pt>
                <c:pt idx="160">
                  <c:v>-1</c:v>
                </c:pt>
                <c:pt idx="161">
                  <c:v>-17</c:v>
                </c:pt>
                <c:pt idx="162">
                  <c:v>-33.1</c:v>
                </c:pt>
                <c:pt idx="163">
                  <c:v>-48.7</c:v>
                </c:pt>
                <c:pt idx="164">
                  <c:v>-65.5</c:v>
                </c:pt>
                <c:pt idx="165">
                  <c:v>-84.2</c:v>
                </c:pt>
                <c:pt idx="166">
                  <c:v>-99.3</c:v>
                </c:pt>
                <c:pt idx="167">
                  <c:v>-114.8</c:v>
                </c:pt>
                <c:pt idx="168">
                  <c:v>-131.7</c:v>
                </c:pt>
                <c:pt idx="169">
                  <c:v>-142.5</c:v>
                </c:pt>
                <c:pt idx="170">
                  <c:v>-154.2</c:v>
                </c:pt>
                <c:pt idx="171">
                  <c:v>-164.9</c:v>
                </c:pt>
                <c:pt idx="172">
                  <c:v>-175.6</c:v>
                </c:pt>
                <c:pt idx="173">
                  <c:v>-186.6</c:v>
                </c:pt>
                <c:pt idx="174">
                  <c:v>-193.9</c:v>
                </c:pt>
                <c:pt idx="175">
                  <c:v>-200.6</c:v>
                </c:pt>
                <c:pt idx="176">
                  <c:v>-205.6</c:v>
                </c:pt>
                <c:pt idx="177">
                  <c:v>-209.3</c:v>
                </c:pt>
                <c:pt idx="178">
                  <c:v>-211.5</c:v>
                </c:pt>
                <c:pt idx="179">
                  <c:v>-211.8</c:v>
                </c:pt>
                <c:pt idx="180">
                  <c:v>-210.7</c:v>
                </c:pt>
                <c:pt idx="181">
                  <c:v>-207.9</c:v>
                </c:pt>
                <c:pt idx="182">
                  <c:v>-203.7</c:v>
                </c:pt>
                <c:pt idx="183">
                  <c:v>-197.8</c:v>
                </c:pt>
                <c:pt idx="184">
                  <c:v>-190.5</c:v>
                </c:pt>
                <c:pt idx="185">
                  <c:v>-182.9</c:v>
                </c:pt>
                <c:pt idx="186">
                  <c:v>-171.4</c:v>
                </c:pt>
                <c:pt idx="187">
                  <c:v>-159.8</c:v>
                </c:pt>
                <c:pt idx="188">
                  <c:v>-149.2</c:v>
                </c:pt>
                <c:pt idx="189">
                  <c:v>-139.7</c:v>
                </c:pt>
                <c:pt idx="190">
                  <c:v>-124.9</c:v>
                </c:pt>
                <c:pt idx="191">
                  <c:v>-110.5</c:v>
                </c:pt>
                <c:pt idx="192">
                  <c:v>-96.3</c:v>
                </c:pt>
                <c:pt idx="193">
                  <c:v>-81.3</c:v>
                </c:pt>
                <c:pt idx="194">
                  <c:v>-65.4</c:v>
                </c:pt>
                <c:pt idx="195">
                  <c:v>-48.6</c:v>
                </c:pt>
                <c:pt idx="196">
                  <c:v>-33.3</c:v>
                </c:pt>
                <c:pt idx="197">
                  <c:v>-19.3</c:v>
                </c:pt>
                <c:pt idx="198">
                  <c:v>-4.80000000000001</c:v>
                </c:pt>
                <c:pt idx="199">
                  <c:v>8</c:v>
                </c:pt>
                <c:pt idx="200">
                  <c:v>22.2</c:v>
                </c:pt>
                <c:pt idx="201">
                  <c:v>34.5</c:v>
                </c:pt>
                <c:pt idx="202">
                  <c:v>46.6</c:v>
                </c:pt>
                <c:pt idx="203">
                  <c:v>57</c:v>
                </c:pt>
                <c:pt idx="204">
                  <c:v>66.3</c:v>
                </c:pt>
                <c:pt idx="205">
                  <c:v>74.1</c:v>
                </c:pt>
                <c:pt idx="206">
                  <c:v>81.3</c:v>
                </c:pt>
                <c:pt idx="207">
                  <c:v>86.1</c:v>
                </c:pt>
                <c:pt idx="208">
                  <c:v>90.5</c:v>
                </c:pt>
                <c:pt idx="209">
                  <c:v>93.8</c:v>
                </c:pt>
                <c:pt idx="210">
                  <c:v>95.1</c:v>
                </c:pt>
                <c:pt idx="211">
                  <c:v>95.1</c:v>
                </c:pt>
                <c:pt idx="212">
                  <c:v>94</c:v>
                </c:pt>
                <c:pt idx="213">
                  <c:v>90.7</c:v>
                </c:pt>
                <c:pt idx="214">
                  <c:v>86.5</c:v>
                </c:pt>
                <c:pt idx="215">
                  <c:v>81.4</c:v>
                </c:pt>
                <c:pt idx="216">
                  <c:v>74.2</c:v>
                </c:pt>
                <c:pt idx="217">
                  <c:v>66.9</c:v>
                </c:pt>
                <c:pt idx="218">
                  <c:v>57.6</c:v>
                </c:pt>
                <c:pt idx="219">
                  <c:v>48</c:v>
                </c:pt>
                <c:pt idx="220">
                  <c:v>37</c:v>
                </c:pt>
                <c:pt idx="221">
                  <c:v>24.2</c:v>
                </c:pt>
                <c:pt idx="222">
                  <c:v>10.2</c:v>
                </c:pt>
                <c:pt idx="223">
                  <c:v>-2.59999999999999</c:v>
                </c:pt>
                <c:pt idx="224">
                  <c:v>-16.6</c:v>
                </c:pt>
                <c:pt idx="225">
                  <c:v>-30.9</c:v>
                </c:pt>
                <c:pt idx="226">
                  <c:v>-43.9</c:v>
                </c:pt>
                <c:pt idx="227">
                  <c:v>-57.1</c:v>
                </c:pt>
                <c:pt idx="228">
                  <c:v>-73.1</c:v>
                </c:pt>
                <c:pt idx="229">
                  <c:v>-87.8</c:v>
                </c:pt>
                <c:pt idx="230">
                  <c:v>-101.3</c:v>
                </c:pt>
                <c:pt idx="231">
                  <c:v>-113.6</c:v>
                </c:pt>
                <c:pt idx="232">
                  <c:v>-125.4</c:v>
                </c:pt>
                <c:pt idx="233">
                  <c:v>-138.7</c:v>
                </c:pt>
                <c:pt idx="234">
                  <c:v>-144.7</c:v>
                </c:pt>
                <c:pt idx="235">
                  <c:v>-154.8</c:v>
                </c:pt>
                <c:pt idx="236">
                  <c:v>-161.1</c:v>
                </c:pt>
                <c:pt idx="237">
                  <c:v>-170.6</c:v>
                </c:pt>
                <c:pt idx="238">
                  <c:v>-176.5</c:v>
                </c:pt>
                <c:pt idx="239">
                  <c:v>-181.7</c:v>
                </c:pt>
                <c:pt idx="240">
                  <c:v>-184.6</c:v>
                </c:pt>
                <c:pt idx="241">
                  <c:v>-186.6</c:v>
                </c:pt>
                <c:pt idx="242">
                  <c:v>-187.4</c:v>
                </c:pt>
                <c:pt idx="243">
                  <c:v>-186.8</c:v>
                </c:pt>
                <c:pt idx="244">
                  <c:v>-184.3</c:v>
                </c:pt>
                <c:pt idx="245">
                  <c:v>-180.3</c:v>
                </c:pt>
                <c:pt idx="246">
                  <c:v>-174.6</c:v>
                </c:pt>
                <c:pt idx="247">
                  <c:v>-169.8</c:v>
                </c:pt>
                <c:pt idx="248">
                  <c:v>-160.1</c:v>
                </c:pt>
                <c:pt idx="249">
                  <c:v>-152</c:v>
                </c:pt>
                <c:pt idx="250">
                  <c:v>-143.2</c:v>
                </c:pt>
                <c:pt idx="251">
                  <c:v>-136.9</c:v>
                </c:pt>
                <c:pt idx="252">
                  <c:v>-123.2</c:v>
                </c:pt>
                <c:pt idx="253">
                  <c:v>-111.3</c:v>
                </c:pt>
                <c:pt idx="254">
                  <c:v>-99.3</c:v>
                </c:pt>
                <c:pt idx="255">
                  <c:v>-86</c:v>
                </c:pt>
                <c:pt idx="256">
                  <c:v>-72.2</c:v>
                </c:pt>
                <c:pt idx="257">
                  <c:v>-58.4</c:v>
                </c:pt>
                <c:pt idx="258">
                  <c:v>-45.4</c:v>
                </c:pt>
                <c:pt idx="259">
                  <c:v>-32.9</c:v>
                </c:pt>
                <c:pt idx="260">
                  <c:v>-20.6</c:v>
                </c:pt>
                <c:pt idx="261">
                  <c:v>-8.5</c:v>
                </c:pt>
                <c:pt idx="262">
                  <c:v>3.59999999999999</c:v>
                </c:pt>
                <c:pt idx="263">
                  <c:v>15.2</c:v>
                </c:pt>
                <c:pt idx="264">
                  <c:v>26.3</c:v>
                </c:pt>
                <c:pt idx="265">
                  <c:v>34.9</c:v>
                </c:pt>
                <c:pt idx="266">
                  <c:v>44.7</c:v>
                </c:pt>
                <c:pt idx="267">
                  <c:v>51.9</c:v>
                </c:pt>
                <c:pt idx="268">
                  <c:v>57.9</c:v>
                </c:pt>
                <c:pt idx="269">
                  <c:v>63</c:v>
                </c:pt>
                <c:pt idx="270">
                  <c:v>67.5</c:v>
                </c:pt>
                <c:pt idx="271">
                  <c:v>70.1</c:v>
                </c:pt>
                <c:pt idx="272">
                  <c:v>71.2</c:v>
                </c:pt>
                <c:pt idx="273">
                  <c:v>71.1</c:v>
                </c:pt>
                <c:pt idx="274">
                  <c:v>70.6</c:v>
                </c:pt>
                <c:pt idx="275">
                  <c:v>68.3</c:v>
                </c:pt>
                <c:pt idx="276">
                  <c:v>64.1</c:v>
                </c:pt>
                <c:pt idx="277">
                  <c:v>59.3</c:v>
                </c:pt>
                <c:pt idx="278">
                  <c:v>53.1</c:v>
                </c:pt>
                <c:pt idx="279">
                  <c:v>46.2</c:v>
                </c:pt>
                <c:pt idx="280">
                  <c:v>37.8</c:v>
                </c:pt>
                <c:pt idx="281">
                  <c:v>28</c:v>
                </c:pt>
                <c:pt idx="282">
                  <c:v>18.3</c:v>
                </c:pt>
                <c:pt idx="283">
                  <c:v>6.80000000000001</c:v>
                </c:pt>
                <c:pt idx="284">
                  <c:v>-3.90000000000001</c:v>
                </c:pt>
                <c:pt idx="285">
                  <c:v>-16.2</c:v>
                </c:pt>
                <c:pt idx="286">
                  <c:v>-27.2</c:v>
                </c:pt>
                <c:pt idx="287">
                  <c:v>-39.3</c:v>
                </c:pt>
                <c:pt idx="288">
                  <c:v>-51.1</c:v>
                </c:pt>
                <c:pt idx="289">
                  <c:v>-64.4</c:v>
                </c:pt>
                <c:pt idx="290">
                  <c:v>-77.3</c:v>
                </c:pt>
                <c:pt idx="291">
                  <c:v>-88.7</c:v>
                </c:pt>
                <c:pt idx="292">
                  <c:v>-100.3</c:v>
                </c:pt>
                <c:pt idx="293">
                  <c:v>-110.6</c:v>
                </c:pt>
                <c:pt idx="294">
                  <c:v>-121</c:v>
                </c:pt>
                <c:pt idx="295">
                  <c:v>-130.3</c:v>
                </c:pt>
                <c:pt idx="296">
                  <c:v>-139</c:v>
                </c:pt>
                <c:pt idx="297">
                  <c:v>-142.1</c:v>
                </c:pt>
                <c:pt idx="298">
                  <c:v>-148.9</c:v>
                </c:pt>
                <c:pt idx="299">
                  <c:v>-153.1</c:v>
                </c:pt>
                <c:pt idx="300">
                  <c:v>-158</c:v>
                </c:pt>
                <c:pt idx="301">
                  <c:v>-159.5</c:v>
                </c:pt>
                <c:pt idx="302">
                  <c:v>-160.4</c:v>
                </c:pt>
                <c:pt idx="303">
                  <c:v>-160.6</c:v>
                </c:pt>
                <c:pt idx="304">
                  <c:v>-160.2</c:v>
                </c:pt>
                <c:pt idx="305">
                  <c:v>-159.3</c:v>
                </c:pt>
                <c:pt idx="306">
                  <c:v>-158.1</c:v>
                </c:pt>
                <c:pt idx="307">
                  <c:v>-153.3</c:v>
                </c:pt>
                <c:pt idx="308">
                  <c:v>-148.6</c:v>
                </c:pt>
                <c:pt idx="309">
                  <c:v>-141.5</c:v>
                </c:pt>
                <c:pt idx="310">
                  <c:v>-137.5</c:v>
                </c:pt>
                <c:pt idx="311">
                  <c:v>-130.6</c:v>
                </c:pt>
                <c:pt idx="312">
                  <c:v>-121.9</c:v>
                </c:pt>
                <c:pt idx="313">
                  <c:v>-112.3</c:v>
                </c:pt>
                <c:pt idx="314">
                  <c:v>-102.1</c:v>
                </c:pt>
                <c:pt idx="315">
                  <c:v>-91.4</c:v>
                </c:pt>
                <c:pt idx="316">
                  <c:v>-80.9</c:v>
                </c:pt>
                <c:pt idx="317">
                  <c:v>-69.1</c:v>
                </c:pt>
                <c:pt idx="318">
                  <c:v>-57.4</c:v>
                </c:pt>
                <c:pt idx="319">
                  <c:v>-45.7</c:v>
                </c:pt>
                <c:pt idx="320">
                  <c:v>-35</c:v>
                </c:pt>
                <c:pt idx="321">
                  <c:v>-24.7</c:v>
                </c:pt>
                <c:pt idx="322">
                  <c:v>-15</c:v>
                </c:pt>
                <c:pt idx="323">
                  <c:v>-5.30000000000001</c:v>
                </c:pt>
                <c:pt idx="324">
                  <c:v>4.40000000000001</c:v>
                </c:pt>
                <c:pt idx="325">
                  <c:v>12.6</c:v>
                </c:pt>
                <c:pt idx="326">
                  <c:v>21.5</c:v>
                </c:pt>
                <c:pt idx="327">
                  <c:v>27.8</c:v>
                </c:pt>
                <c:pt idx="328">
                  <c:v>33.7</c:v>
                </c:pt>
                <c:pt idx="329">
                  <c:v>38.8</c:v>
                </c:pt>
                <c:pt idx="330">
                  <c:v>43.4</c:v>
                </c:pt>
                <c:pt idx="331">
                  <c:v>45.9</c:v>
                </c:pt>
                <c:pt idx="332">
                  <c:v>47.7</c:v>
                </c:pt>
                <c:pt idx="333">
                  <c:v>48.6</c:v>
                </c:pt>
                <c:pt idx="334">
                  <c:v>48</c:v>
                </c:pt>
                <c:pt idx="335">
                  <c:v>46.4</c:v>
                </c:pt>
                <c:pt idx="336">
                  <c:v>44.1</c:v>
                </c:pt>
                <c:pt idx="337">
                  <c:v>39.9</c:v>
                </c:pt>
                <c:pt idx="338">
                  <c:v>34.5</c:v>
                </c:pt>
                <c:pt idx="339">
                  <c:v>29.3</c:v>
                </c:pt>
                <c:pt idx="340">
                  <c:v>22.8</c:v>
                </c:pt>
                <c:pt idx="341">
                  <c:v>14.8</c:v>
                </c:pt>
                <c:pt idx="342">
                  <c:v>6.69999999999999</c:v>
                </c:pt>
                <c:pt idx="343">
                  <c:v>-2.5</c:v>
                </c:pt>
                <c:pt idx="344">
                  <c:v>-11.1</c:v>
                </c:pt>
                <c:pt idx="345">
                  <c:v>-21.5</c:v>
                </c:pt>
                <c:pt idx="346">
                  <c:v>-31.7</c:v>
                </c:pt>
                <c:pt idx="347">
                  <c:v>-41.6</c:v>
                </c:pt>
                <c:pt idx="348">
                  <c:v>-52</c:v>
                </c:pt>
                <c:pt idx="349">
                  <c:v>-63.5</c:v>
                </c:pt>
                <c:pt idx="350">
                  <c:v>-73.5</c:v>
                </c:pt>
                <c:pt idx="351">
                  <c:v>-84.7</c:v>
                </c:pt>
                <c:pt idx="352">
                  <c:v>-95.1</c:v>
                </c:pt>
                <c:pt idx="353">
                  <c:v>-104.8</c:v>
                </c:pt>
                <c:pt idx="354">
                  <c:v>-113.4</c:v>
                </c:pt>
                <c:pt idx="355">
                  <c:v>-121.9</c:v>
                </c:pt>
                <c:pt idx="356">
                  <c:v>-129.4</c:v>
                </c:pt>
                <c:pt idx="357">
                  <c:v>-135</c:v>
                </c:pt>
                <c:pt idx="358">
                  <c:v>-138.4</c:v>
                </c:pt>
                <c:pt idx="359">
                  <c:v>-140.1</c:v>
                </c:pt>
                <c:pt idx="360">
                  <c:v>-144.4</c:v>
                </c:pt>
                <c:pt idx="361">
                  <c:v>-147.2</c:v>
                </c:pt>
                <c:pt idx="362">
                  <c:v>-148.3</c:v>
                </c:pt>
                <c:pt idx="363">
                  <c:v>-148.3</c:v>
                </c:pt>
                <c:pt idx="364">
                  <c:v>-148</c:v>
                </c:pt>
                <c:pt idx="365">
                  <c:v>-146.4</c:v>
                </c:pt>
                <c:pt idx="366">
                  <c:v>-141.8</c:v>
                </c:pt>
                <c:pt idx="367">
                  <c:v>-139.2</c:v>
                </c:pt>
                <c:pt idx="368">
                  <c:v>-137</c:v>
                </c:pt>
                <c:pt idx="369">
                  <c:v>-131.9</c:v>
                </c:pt>
                <c:pt idx="370">
                  <c:v>-125.3</c:v>
                </c:pt>
                <c:pt idx="371">
                  <c:v>-117.6</c:v>
                </c:pt>
                <c:pt idx="372">
                  <c:v>-108.9</c:v>
                </c:pt>
                <c:pt idx="373">
                  <c:v>-100.4</c:v>
                </c:pt>
                <c:pt idx="374">
                  <c:v>-90.5</c:v>
                </c:pt>
                <c:pt idx="375">
                  <c:v>-81</c:v>
                </c:pt>
                <c:pt idx="376">
                  <c:v>-70.6</c:v>
                </c:pt>
                <c:pt idx="377">
                  <c:v>-60.5</c:v>
                </c:pt>
                <c:pt idx="378">
                  <c:v>-49.4</c:v>
                </c:pt>
                <c:pt idx="379">
                  <c:v>-39.5</c:v>
                </c:pt>
                <c:pt idx="380">
                  <c:v>-30.4</c:v>
                </c:pt>
                <c:pt idx="381">
                  <c:v>-20.8</c:v>
                </c:pt>
                <c:pt idx="382">
                  <c:v>-11.4</c:v>
                </c:pt>
                <c:pt idx="383">
                  <c:v>-3.80000000000001</c:v>
                </c:pt>
                <c:pt idx="384">
                  <c:v>3.69999999999999</c:v>
                </c:pt>
                <c:pt idx="385">
                  <c:v>11.1</c:v>
                </c:pt>
                <c:pt idx="386">
                  <c:v>17.7</c:v>
                </c:pt>
                <c:pt idx="387">
                  <c:v>23.1</c:v>
                </c:pt>
                <c:pt idx="388">
                  <c:v>27.8</c:v>
                </c:pt>
                <c:pt idx="389">
                  <c:v>31.2</c:v>
                </c:pt>
                <c:pt idx="390">
                  <c:v>33.8</c:v>
                </c:pt>
                <c:pt idx="391">
                  <c:v>35.2</c:v>
                </c:pt>
                <c:pt idx="392">
                  <c:v>36</c:v>
                </c:pt>
                <c:pt idx="393">
                  <c:v>36</c:v>
                </c:pt>
                <c:pt idx="394">
                  <c:v>35</c:v>
                </c:pt>
                <c:pt idx="395">
                  <c:v>33.2</c:v>
                </c:pt>
                <c:pt idx="396">
                  <c:v>29.9</c:v>
                </c:pt>
                <c:pt idx="397">
                  <c:v>26.8</c:v>
                </c:pt>
                <c:pt idx="398">
                  <c:v>21.4</c:v>
                </c:pt>
                <c:pt idx="399">
                  <c:v>16.2</c:v>
                </c:pt>
                <c:pt idx="400">
                  <c:v>9.19999999999999</c:v>
                </c:pt>
                <c:pt idx="401">
                  <c:v>1.90000000000001</c:v>
                </c:pt>
                <c:pt idx="402">
                  <c:v>-5.19999999999999</c:v>
                </c:pt>
                <c:pt idx="403">
                  <c:v>-13.2</c:v>
                </c:pt>
                <c:pt idx="404">
                  <c:v>-21.6</c:v>
                </c:pt>
                <c:pt idx="405">
                  <c:v>-30.2</c:v>
                </c:pt>
                <c:pt idx="406">
                  <c:v>-39.4</c:v>
                </c:pt>
                <c:pt idx="407">
                  <c:v>-47.7</c:v>
                </c:pt>
                <c:pt idx="408">
                  <c:v>-58.8</c:v>
                </c:pt>
                <c:pt idx="409">
                  <c:v>-68.6</c:v>
                </c:pt>
                <c:pt idx="410">
                  <c:v>-78.4</c:v>
                </c:pt>
                <c:pt idx="411">
                  <c:v>-86.3</c:v>
                </c:pt>
                <c:pt idx="412">
                  <c:v>-95</c:v>
                </c:pt>
                <c:pt idx="413">
                  <c:v>-102.5</c:v>
                </c:pt>
                <c:pt idx="414">
                  <c:v>-109.4</c:v>
                </c:pt>
                <c:pt idx="415">
                  <c:v>-116.2</c:v>
                </c:pt>
                <c:pt idx="416">
                  <c:v>-122.3</c:v>
                </c:pt>
                <c:pt idx="417">
                  <c:v>-127.2</c:v>
                </c:pt>
                <c:pt idx="418">
                  <c:v>-131.9</c:v>
                </c:pt>
                <c:pt idx="419">
                  <c:v>-130.9</c:v>
                </c:pt>
                <c:pt idx="420">
                  <c:v>-129.9</c:v>
                </c:pt>
                <c:pt idx="421">
                  <c:v>-128.9</c:v>
                </c:pt>
                <c:pt idx="422">
                  <c:v>-139.6</c:v>
                </c:pt>
                <c:pt idx="423">
                  <c:v>-138.9</c:v>
                </c:pt>
                <c:pt idx="424">
                  <c:v>-137.9</c:v>
                </c:pt>
                <c:pt idx="425">
                  <c:v>-136.9</c:v>
                </c:pt>
                <c:pt idx="426">
                  <c:v>-131.4</c:v>
                </c:pt>
                <c:pt idx="427">
                  <c:v>-126.7</c:v>
                </c:pt>
                <c:pt idx="428">
                  <c:v>-121.9</c:v>
                </c:pt>
                <c:pt idx="429">
                  <c:v>-115.8</c:v>
                </c:pt>
                <c:pt idx="430">
                  <c:v>-109.5</c:v>
                </c:pt>
                <c:pt idx="431">
                  <c:v>-102.4</c:v>
                </c:pt>
                <c:pt idx="432">
                  <c:v>-95.1</c:v>
                </c:pt>
                <c:pt idx="433">
                  <c:v>-86.5</c:v>
                </c:pt>
                <c:pt idx="434">
                  <c:v>-79.3</c:v>
                </c:pt>
                <c:pt idx="435">
                  <c:v>-69.8</c:v>
                </c:pt>
                <c:pt idx="436">
                  <c:v>-61.5</c:v>
                </c:pt>
                <c:pt idx="437">
                  <c:v>-52.6</c:v>
                </c:pt>
                <c:pt idx="438">
                  <c:v>-43.9</c:v>
                </c:pt>
                <c:pt idx="439">
                  <c:v>-36.6</c:v>
                </c:pt>
                <c:pt idx="440">
                  <c:v>-28.5</c:v>
                </c:pt>
                <c:pt idx="441">
                  <c:v>-21.4</c:v>
                </c:pt>
                <c:pt idx="442">
                  <c:v>-14.7</c:v>
                </c:pt>
                <c:pt idx="443">
                  <c:v>-8.69999999999999</c:v>
                </c:pt>
                <c:pt idx="444">
                  <c:v>-2.80000000000001</c:v>
                </c:pt>
                <c:pt idx="445">
                  <c:v>1.80000000000001</c:v>
                </c:pt>
                <c:pt idx="446">
                  <c:v>7</c:v>
                </c:pt>
                <c:pt idx="447">
                  <c:v>10.3</c:v>
                </c:pt>
                <c:pt idx="448">
                  <c:v>12.9</c:v>
                </c:pt>
                <c:pt idx="449">
                  <c:v>15.7</c:v>
                </c:pt>
                <c:pt idx="450">
                  <c:v>16.9</c:v>
                </c:pt>
                <c:pt idx="451">
                  <c:v>17</c:v>
                </c:pt>
                <c:pt idx="452">
                  <c:v>16.7</c:v>
                </c:pt>
                <c:pt idx="453">
                  <c:v>16</c:v>
                </c:pt>
                <c:pt idx="454">
                  <c:v>13.2</c:v>
                </c:pt>
                <c:pt idx="455">
                  <c:v>9.80000000000001</c:v>
                </c:pt>
                <c:pt idx="456">
                  <c:v>6.40000000000001</c:v>
                </c:pt>
                <c:pt idx="457">
                  <c:v>1.59999999999999</c:v>
                </c:pt>
                <c:pt idx="458">
                  <c:v>-3.09999999999999</c:v>
                </c:pt>
                <c:pt idx="459">
                  <c:v>-9.09999999999999</c:v>
                </c:pt>
                <c:pt idx="460">
                  <c:v>-15.4</c:v>
                </c:pt>
                <c:pt idx="461">
                  <c:v>-22</c:v>
                </c:pt>
                <c:pt idx="462">
                  <c:v>-29</c:v>
                </c:pt>
                <c:pt idx="463">
                  <c:v>-36.8</c:v>
                </c:pt>
                <c:pt idx="464">
                  <c:v>-44.1</c:v>
                </c:pt>
                <c:pt idx="465">
                  <c:v>-52.3</c:v>
                </c:pt>
                <c:pt idx="466">
                  <c:v>-59.3</c:v>
                </c:pt>
                <c:pt idx="467">
                  <c:v>-68.8</c:v>
                </c:pt>
                <c:pt idx="468">
                  <c:v>-76.6</c:v>
                </c:pt>
                <c:pt idx="469">
                  <c:v>-84</c:v>
                </c:pt>
                <c:pt idx="470">
                  <c:v>-90.9</c:v>
                </c:pt>
                <c:pt idx="471">
                  <c:v>-97.5</c:v>
                </c:pt>
                <c:pt idx="472">
                  <c:v>-103.7</c:v>
                </c:pt>
                <c:pt idx="473">
                  <c:v>-109</c:v>
                </c:pt>
                <c:pt idx="474">
                  <c:v>-113.9</c:v>
                </c:pt>
                <c:pt idx="475">
                  <c:v>-117.9</c:v>
                </c:pt>
                <c:pt idx="476">
                  <c:v>-122.2</c:v>
                </c:pt>
                <c:pt idx="477">
                  <c:v>-124.3</c:v>
                </c:pt>
                <c:pt idx="478">
                  <c:v>-125.9</c:v>
                </c:pt>
                <c:pt idx="479">
                  <c:v>-127.2</c:v>
                </c:pt>
                <c:pt idx="480">
                  <c:v>-127.6</c:v>
                </c:pt>
                <c:pt idx="481">
                  <c:v>-127.1</c:v>
                </c:pt>
                <c:pt idx="482">
                  <c:v>-125.4</c:v>
                </c:pt>
                <c:pt idx="483">
                  <c:v>-123.6</c:v>
                </c:pt>
                <c:pt idx="484">
                  <c:v>-120.8</c:v>
                </c:pt>
                <c:pt idx="485">
                  <c:v>-117</c:v>
                </c:pt>
                <c:pt idx="486">
                  <c:v>-112.6</c:v>
                </c:pt>
                <c:pt idx="487">
                  <c:v>-107.1</c:v>
                </c:pt>
                <c:pt idx="488">
                  <c:v>-101.5</c:v>
                </c:pt>
                <c:pt idx="489">
                  <c:v>-95.3</c:v>
                </c:pt>
                <c:pt idx="490">
                  <c:v>-88.9</c:v>
                </c:pt>
                <c:pt idx="491">
                  <c:v>-82</c:v>
                </c:pt>
                <c:pt idx="492">
                  <c:v>-75</c:v>
                </c:pt>
                <c:pt idx="493">
                  <c:v>-67.9</c:v>
                </c:pt>
                <c:pt idx="494">
                  <c:v>-60.6</c:v>
                </c:pt>
                <c:pt idx="495">
                  <c:v>-53.2</c:v>
                </c:pt>
                <c:pt idx="496">
                  <c:v>-45.8</c:v>
                </c:pt>
                <c:pt idx="497">
                  <c:v>-39.6</c:v>
                </c:pt>
                <c:pt idx="498">
                  <c:v>-33.3</c:v>
                </c:pt>
                <c:pt idx="499">
                  <c:v>-26.6</c:v>
                </c:pt>
                <c:pt idx="500">
                  <c:v>-21.4</c:v>
                </c:pt>
                <c:pt idx="501">
                  <c:v>-16.4</c:v>
                </c:pt>
                <c:pt idx="502">
                  <c:v>-11.7</c:v>
                </c:pt>
                <c:pt idx="503">
                  <c:v>-7.59999999999999</c:v>
                </c:pt>
                <c:pt idx="504">
                  <c:v>-4.59999999999999</c:v>
                </c:pt>
                <c:pt idx="505">
                  <c:v>-2.19999999999999</c:v>
                </c:pt>
                <c:pt idx="506">
                  <c:v>-0.599999999999994</c:v>
                </c:pt>
                <c:pt idx="507">
                  <c:v>0.400000000000006</c:v>
                </c:pt>
                <c:pt idx="508">
                  <c:v>1.09999999999999</c:v>
                </c:pt>
                <c:pt idx="509">
                  <c:v>0.800000000000011</c:v>
                </c:pt>
                <c:pt idx="510">
                  <c:v>0.400000000000006</c:v>
                </c:pt>
                <c:pt idx="511">
                  <c:v>-1.09999999999999</c:v>
                </c:pt>
                <c:pt idx="512">
                  <c:v>-2.90000000000001</c:v>
                </c:pt>
                <c:pt idx="513">
                  <c:v>-6.40000000000001</c:v>
                </c:pt>
                <c:pt idx="514">
                  <c:v>-9.80000000000001</c:v>
                </c:pt>
                <c:pt idx="515">
                  <c:v>-14.2</c:v>
                </c:pt>
                <c:pt idx="516">
                  <c:v>-19</c:v>
                </c:pt>
                <c:pt idx="517">
                  <c:v>-24.2</c:v>
                </c:pt>
                <c:pt idx="518">
                  <c:v>-30</c:v>
                </c:pt>
                <c:pt idx="519">
                  <c:v>-36.3</c:v>
                </c:pt>
                <c:pt idx="520">
                  <c:v>-42.3</c:v>
                </c:pt>
                <c:pt idx="521">
                  <c:v>-48.9</c:v>
                </c:pt>
                <c:pt idx="522">
                  <c:v>-55.8</c:v>
                </c:pt>
                <c:pt idx="523">
                  <c:v>-62.9</c:v>
                </c:pt>
                <c:pt idx="524">
                  <c:v>-70.2</c:v>
                </c:pt>
                <c:pt idx="525">
                  <c:v>-77.8</c:v>
                </c:pt>
                <c:pt idx="526">
                  <c:v>-84.3</c:v>
                </c:pt>
                <c:pt idx="527">
                  <c:v>-90.4</c:v>
                </c:pt>
                <c:pt idx="528">
                  <c:v>-95.9</c:v>
                </c:pt>
                <c:pt idx="529">
                  <c:v>-101.9</c:v>
                </c:pt>
                <c:pt idx="530">
                  <c:v>-106.9</c:v>
                </c:pt>
                <c:pt idx="531">
                  <c:v>-111.1</c:v>
                </c:pt>
                <c:pt idx="532">
                  <c:v>-115</c:v>
                </c:pt>
                <c:pt idx="533">
                  <c:v>-118.3</c:v>
                </c:pt>
                <c:pt idx="534">
                  <c:v>-120.9</c:v>
                </c:pt>
                <c:pt idx="535">
                  <c:v>-122.5</c:v>
                </c:pt>
                <c:pt idx="536">
                  <c:v>-123.1</c:v>
                </c:pt>
                <c:pt idx="537">
                  <c:v>-123.2</c:v>
                </c:pt>
                <c:pt idx="538">
                  <c:v>-122.6</c:v>
                </c:pt>
                <c:pt idx="539">
                  <c:v>-120.7</c:v>
                </c:pt>
                <c:pt idx="540">
                  <c:v>-117.9</c:v>
                </c:pt>
                <c:pt idx="541">
                  <c:v>-114.7</c:v>
                </c:pt>
                <c:pt idx="542">
                  <c:v>-110.7</c:v>
                </c:pt>
                <c:pt idx="543">
                  <c:v>-106.3</c:v>
                </c:pt>
                <c:pt idx="544">
                  <c:v>-100.8</c:v>
                </c:pt>
                <c:pt idx="545">
                  <c:v>-95.3</c:v>
                </c:pt>
                <c:pt idx="546">
                  <c:v>-89</c:v>
                </c:pt>
                <c:pt idx="547">
                  <c:v>-81.9</c:v>
                </c:pt>
                <c:pt idx="548">
                  <c:v>-75.7</c:v>
                </c:pt>
                <c:pt idx="549">
                  <c:v>-68.8</c:v>
                </c:pt>
                <c:pt idx="550">
                  <c:v>-61.5</c:v>
                </c:pt>
                <c:pt idx="551">
                  <c:v>-54.1</c:v>
                </c:pt>
                <c:pt idx="552">
                  <c:v>-46.6</c:v>
                </c:pt>
                <c:pt idx="553">
                  <c:v>-40.4</c:v>
                </c:pt>
                <c:pt idx="554">
                  <c:v>-34.3</c:v>
                </c:pt>
                <c:pt idx="555">
                  <c:v>-27.9</c:v>
                </c:pt>
                <c:pt idx="556">
                  <c:v>-22.5</c:v>
                </c:pt>
                <c:pt idx="557">
                  <c:v>-18</c:v>
                </c:pt>
                <c:pt idx="558">
                  <c:v>-13.5</c:v>
                </c:pt>
                <c:pt idx="559">
                  <c:v>-9.69999999999999</c:v>
                </c:pt>
                <c:pt idx="560">
                  <c:v>-6.59999999999999</c:v>
                </c:pt>
                <c:pt idx="561">
                  <c:v>-3.80000000000001</c:v>
                </c:pt>
                <c:pt idx="562">
                  <c:v>-2.69999999999999</c:v>
                </c:pt>
                <c:pt idx="563">
                  <c:v>-1.5</c:v>
                </c:pt>
                <c:pt idx="564">
                  <c:v>-0.900000000000006</c:v>
                </c:pt>
                <c:pt idx="565">
                  <c:v>-1.09999999999999</c:v>
                </c:pt>
                <c:pt idx="566">
                  <c:v>-1.90000000000001</c:v>
                </c:pt>
                <c:pt idx="567">
                  <c:v>-3.30000000000001</c:v>
                </c:pt>
                <c:pt idx="568">
                  <c:v>-5.80000000000001</c:v>
                </c:pt>
                <c:pt idx="569">
                  <c:v>-8.30000000000001</c:v>
                </c:pt>
                <c:pt idx="570">
                  <c:v>-12.3</c:v>
                </c:pt>
                <c:pt idx="571">
                  <c:v>-16.2</c:v>
                </c:pt>
                <c:pt idx="572">
                  <c:v>-20.8</c:v>
                </c:pt>
                <c:pt idx="573">
                  <c:v>-25.7</c:v>
                </c:pt>
                <c:pt idx="574">
                  <c:v>-31.6</c:v>
                </c:pt>
                <c:pt idx="575">
                  <c:v>-37.4</c:v>
                </c:pt>
                <c:pt idx="576">
                  <c:v>-43.2</c:v>
                </c:pt>
                <c:pt idx="577">
                  <c:v>-50.1</c:v>
                </c:pt>
                <c:pt idx="578">
                  <c:v>-56.7</c:v>
                </c:pt>
                <c:pt idx="579">
                  <c:v>-63.3</c:v>
                </c:pt>
                <c:pt idx="580">
                  <c:v>-70.4</c:v>
                </c:pt>
                <c:pt idx="581">
                  <c:v>-77.3</c:v>
                </c:pt>
                <c:pt idx="582">
                  <c:v>-83.6</c:v>
                </c:pt>
                <c:pt idx="583">
                  <c:v>-89.6</c:v>
                </c:pt>
                <c:pt idx="584">
                  <c:v>-95.2</c:v>
                </c:pt>
                <c:pt idx="585">
                  <c:v>-100.5</c:v>
                </c:pt>
                <c:pt idx="586">
                  <c:v>-105.4</c:v>
                </c:pt>
                <c:pt idx="587">
                  <c:v>-109.6</c:v>
                </c:pt>
                <c:pt idx="588">
                  <c:v>-113.7</c:v>
                </c:pt>
                <c:pt idx="589">
                  <c:v>-116.5</c:v>
                </c:pt>
                <c:pt idx="590">
                  <c:v>-118.9</c:v>
                </c:pt>
                <c:pt idx="591">
                  <c:v>-120.6</c:v>
                </c:pt>
                <c:pt idx="592">
                  <c:v>-121</c:v>
                </c:pt>
                <c:pt idx="593">
                  <c:v>-121</c:v>
                </c:pt>
                <c:pt idx="594">
                  <c:v>-120</c:v>
                </c:pt>
                <c:pt idx="595">
                  <c:v>-118.4</c:v>
                </c:pt>
                <c:pt idx="596">
                  <c:v>-115.2</c:v>
                </c:pt>
                <c:pt idx="597">
                  <c:v>-111.9</c:v>
                </c:pt>
                <c:pt idx="598">
                  <c:v>-108</c:v>
                </c:pt>
                <c:pt idx="599">
                  <c:v>-103.2</c:v>
                </c:pt>
                <c:pt idx="600">
                  <c:v>-98</c:v>
                </c:pt>
                <c:pt idx="601">
                  <c:v>-92.7</c:v>
                </c:pt>
                <c:pt idx="602">
                  <c:v>-86.5</c:v>
                </c:pt>
                <c:pt idx="603">
                  <c:v>-79.7</c:v>
                </c:pt>
                <c:pt idx="604">
                  <c:v>-73.1</c:v>
                </c:pt>
                <c:pt idx="605">
                  <c:v>-66.2</c:v>
                </c:pt>
                <c:pt idx="606">
                  <c:v>-58.5</c:v>
                </c:pt>
                <c:pt idx="607">
                  <c:v>-52.5</c:v>
                </c:pt>
                <c:pt idx="608">
                  <c:v>-45.2</c:v>
                </c:pt>
                <c:pt idx="609">
                  <c:v>-38.8</c:v>
                </c:pt>
                <c:pt idx="610">
                  <c:v>-33.2</c:v>
                </c:pt>
                <c:pt idx="611">
                  <c:v>-27</c:v>
                </c:pt>
                <c:pt idx="612">
                  <c:v>-22.1</c:v>
                </c:pt>
                <c:pt idx="613">
                  <c:v>-17.8</c:v>
                </c:pt>
                <c:pt idx="614">
                  <c:v>-13.7</c:v>
                </c:pt>
                <c:pt idx="615">
                  <c:v>-10.4</c:v>
                </c:pt>
                <c:pt idx="616">
                  <c:v>-7.40000000000001</c:v>
                </c:pt>
                <c:pt idx="617">
                  <c:v>-4.80000000000001</c:v>
                </c:pt>
                <c:pt idx="618">
                  <c:v>-3.69999999999999</c:v>
                </c:pt>
                <c:pt idx="619">
                  <c:v>-2.90000000000001</c:v>
                </c:pt>
                <c:pt idx="620">
                  <c:v>-2.69999999999999</c:v>
                </c:pt>
                <c:pt idx="621">
                  <c:v>-2.90000000000001</c:v>
                </c:pt>
                <c:pt idx="622">
                  <c:v>-4.09999999999999</c:v>
                </c:pt>
                <c:pt idx="623">
                  <c:v>-5</c:v>
                </c:pt>
                <c:pt idx="624">
                  <c:v>-7.80000000000001</c:v>
                </c:pt>
                <c:pt idx="625">
                  <c:v>-11</c:v>
                </c:pt>
                <c:pt idx="626">
                  <c:v>-14.5</c:v>
                </c:pt>
                <c:pt idx="627">
                  <c:v>-18.5</c:v>
                </c:pt>
                <c:pt idx="628">
                  <c:v>-22.7</c:v>
                </c:pt>
                <c:pt idx="629">
                  <c:v>-27.8</c:v>
                </c:pt>
                <c:pt idx="630">
                  <c:v>-33.9</c:v>
                </c:pt>
                <c:pt idx="631">
                  <c:v>-39.6</c:v>
                </c:pt>
                <c:pt idx="632">
                  <c:v>-45.3</c:v>
                </c:pt>
                <c:pt idx="633">
                  <c:v>-52.6</c:v>
                </c:pt>
                <c:pt idx="634">
                  <c:v>-58.5</c:v>
                </c:pt>
                <c:pt idx="635">
                  <c:v>-65.5</c:v>
                </c:pt>
                <c:pt idx="636">
                  <c:v>-72.1</c:v>
                </c:pt>
                <c:pt idx="637">
                  <c:v>-78.9</c:v>
                </c:pt>
                <c:pt idx="638">
                  <c:v>-84.5</c:v>
                </c:pt>
                <c:pt idx="639">
                  <c:v>-90.6</c:v>
                </c:pt>
                <c:pt idx="640">
                  <c:v>-95.4</c:v>
                </c:pt>
                <c:pt idx="641">
                  <c:v>-100</c:v>
                </c:pt>
                <c:pt idx="642">
                  <c:v>-104.1</c:v>
                </c:pt>
                <c:pt idx="643">
                  <c:v>-108</c:v>
                </c:pt>
                <c:pt idx="644">
                  <c:v>-110.8</c:v>
                </c:pt>
                <c:pt idx="645">
                  <c:v>-113.5</c:v>
                </c:pt>
                <c:pt idx="646">
                  <c:v>-115.1</c:v>
                </c:pt>
                <c:pt idx="647">
                  <c:v>-116.4</c:v>
                </c:pt>
                <c:pt idx="648">
                  <c:v>-116.2</c:v>
                </c:pt>
                <c:pt idx="649">
                  <c:v>-115.6</c:v>
                </c:pt>
                <c:pt idx="650">
                  <c:v>-113.8</c:v>
                </c:pt>
                <c:pt idx="651">
                  <c:v>-112.3</c:v>
                </c:pt>
                <c:pt idx="652">
                  <c:v>-109.3</c:v>
                </c:pt>
                <c:pt idx="653">
                  <c:v>-105.8</c:v>
                </c:pt>
                <c:pt idx="654">
                  <c:v>-102.2</c:v>
                </c:pt>
                <c:pt idx="655">
                  <c:v>-97.3</c:v>
                </c:pt>
                <c:pt idx="656">
                  <c:v>-93.2</c:v>
                </c:pt>
                <c:pt idx="657">
                  <c:v>-88.4</c:v>
                </c:pt>
                <c:pt idx="658">
                  <c:v>-82.3</c:v>
                </c:pt>
                <c:pt idx="659">
                  <c:v>-77.5</c:v>
                </c:pt>
                <c:pt idx="660">
                  <c:v>-71.2</c:v>
                </c:pt>
                <c:pt idx="661">
                  <c:v>-64.9</c:v>
                </c:pt>
                <c:pt idx="662">
                  <c:v>-58.9</c:v>
                </c:pt>
                <c:pt idx="663">
                  <c:v>-53.7</c:v>
                </c:pt>
                <c:pt idx="664">
                  <c:v>-47.4</c:v>
                </c:pt>
                <c:pt idx="665">
                  <c:v>-42.2</c:v>
                </c:pt>
                <c:pt idx="666">
                  <c:v>-37.7</c:v>
                </c:pt>
                <c:pt idx="667">
                  <c:v>-33.2</c:v>
                </c:pt>
                <c:pt idx="668">
                  <c:v>-28.4</c:v>
                </c:pt>
                <c:pt idx="669">
                  <c:v>-24.8</c:v>
                </c:pt>
                <c:pt idx="670">
                  <c:v>-21.8</c:v>
                </c:pt>
                <c:pt idx="671">
                  <c:v>-18.8</c:v>
                </c:pt>
                <c:pt idx="672">
                  <c:v>-16.7</c:v>
                </c:pt>
                <c:pt idx="673">
                  <c:v>-14.4</c:v>
                </c:pt>
                <c:pt idx="674">
                  <c:v>-12.9</c:v>
                </c:pt>
                <c:pt idx="675">
                  <c:v>-12.3</c:v>
                </c:pt>
                <c:pt idx="676">
                  <c:v>-12</c:v>
                </c:pt>
                <c:pt idx="677">
                  <c:v>-12.3</c:v>
                </c:pt>
                <c:pt idx="678">
                  <c:v>-13.3</c:v>
                </c:pt>
                <c:pt idx="679">
                  <c:v>-15</c:v>
                </c:pt>
                <c:pt idx="680">
                  <c:v>-17.2</c:v>
                </c:pt>
                <c:pt idx="681">
                  <c:v>-19.9</c:v>
                </c:pt>
                <c:pt idx="682">
                  <c:v>-23</c:v>
                </c:pt>
                <c:pt idx="683">
                  <c:v>-26.8</c:v>
                </c:pt>
                <c:pt idx="684">
                  <c:v>-31.2</c:v>
                </c:pt>
                <c:pt idx="685">
                  <c:v>-36.3</c:v>
                </c:pt>
                <c:pt idx="686">
                  <c:v>-40.6</c:v>
                </c:pt>
                <c:pt idx="687">
                  <c:v>-45.8</c:v>
                </c:pt>
                <c:pt idx="688">
                  <c:v>-51.8</c:v>
                </c:pt>
                <c:pt idx="689">
                  <c:v>-57.3</c:v>
                </c:pt>
                <c:pt idx="690">
                  <c:v>-62.9</c:v>
                </c:pt>
                <c:pt idx="691">
                  <c:v>-69.1</c:v>
                </c:pt>
                <c:pt idx="692">
                  <c:v>-74.2</c:v>
                </c:pt>
                <c:pt idx="693">
                  <c:v>-79.8</c:v>
                </c:pt>
                <c:pt idx="694">
                  <c:v>-84.9</c:v>
                </c:pt>
                <c:pt idx="695">
                  <c:v>-89.9</c:v>
                </c:pt>
                <c:pt idx="696">
                  <c:v>-94.1</c:v>
                </c:pt>
                <c:pt idx="697">
                  <c:v>-97.2</c:v>
                </c:pt>
                <c:pt idx="698">
                  <c:v>-100.2</c:v>
                </c:pt>
                <c:pt idx="699">
                  <c:v>-103.5</c:v>
                </c:pt>
                <c:pt idx="700">
                  <c:v>-105.8</c:v>
                </c:pt>
                <c:pt idx="701">
                  <c:v>-108</c:v>
                </c:pt>
                <c:pt idx="702">
                  <c:v>-109.7</c:v>
                </c:pt>
                <c:pt idx="703">
                  <c:v>-110.5</c:v>
                </c:pt>
                <c:pt idx="704">
                  <c:v>-110.7</c:v>
                </c:pt>
                <c:pt idx="705">
                  <c:v>-110.7</c:v>
                </c:pt>
                <c:pt idx="706">
                  <c:v>-110.4</c:v>
                </c:pt>
                <c:pt idx="707">
                  <c:v>-109.3</c:v>
                </c:pt>
                <c:pt idx="708">
                  <c:v>-107.6</c:v>
                </c:pt>
                <c:pt idx="709">
                  <c:v>-105</c:v>
                </c:pt>
                <c:pt idx="710">
                  <c:v>-102.7</c:v>
                </c:pt>
                <c:pt idx="711">
                  <c:v>-99.7</c:v>
                </c:pt>
                <c:pt idx="712">
                  <c:v>-96.2</c:v>
                </c:pt>
                <c:pt idx="713">
                  <c:v>-93.1</c:v>
                </c:pt>
                <c:pt idx="714">
                  <c:v>-88.7</c:v>
                </c:pt>
                <c:pt idx="715">
                  <c:v>-84.3</c:v>
                </c:pt>
                <c:pt idx="716">
                  <c:v>-79.9</c:v>
                </c:pt>
                <c:pt idx="717">
                  <c:v>-75.2</c:v>
                </c:pt>
                <c:pt idx="718">
                  <c:v>-70.4</c:v>
                </c:pt>
                <c:pt idx="719">
                  <c:v>-65.3</c:v>
                </c:pt>
                <c:pt idx="720">
                  <c:v>-60.1</c:v>
                </c:pt>
                <c:pt idx="721">
                  <c:v>-55.8</c:v>
                </c:pt>
                <c:pt idx="722">
                  <c:v>-51.4</c:v>
                </c:pt>
                <c:pt idx="723">
                  <c:v>-46.5</c:v>
                </c:pt>
                <c:pt idx="724">
                  <c:v>-42.4</c:v>
                </c:pt>
                <c:pt idx="725">
                  <c:v>-38.9</c:v>
                </c:pt>
                <c:pt idx="726">
                  <c:v>-35.6</c:v>
                </c:pt>
                <c:pt idx="727">
                  <c:v>-32.7</c:v>
                </c:pt>
                <c:pt idx="728">
                  <c:v>-29.6</c:v>
                </c:pt>
                <c:pt idx="729">
                  <c:v>-27.9</c:v>
                </c:pt>
                <c:pt idx="730">
                  <c:v>-26.4</c:v>
                </c:pt>
                <c:pt idx="731">
                  <c:v>-25.3</c:v>
                </c:pt>
                <c:pt idx="732">
                  <c:v>-24.3</c:v>
                </c:pt>
                <c:pt idx="733">
                  <c:v>-24.1</c:v>
                </c:pt>
                <c:pt idx="734">
                  <c:v>-24.3</c:v>
                </c:pt>
                <c:pt idx="735">
                  <c:v>-25.3</c:v>
                </c:pt>
                <c:pt idx="736">
                  <c:v>-26.1</c:v>
                </c:pt>
                <c:pt idx="737">
                  <c:v>-28.3</c:v>
                </c:pt>
                <c:pt idx="738">
                  <c:v>-30.2</c:v>
                </c:pt>
                <c:pt idx="739">
                  <c:v>-33.3</c:v>
                </c:pt>
                <c:pt idx="740">
                  <c:v>-36.3</c:v>
                </c:pt>
                <c:pt idx="741">
                  <c:v>-39.2</c:v>
                </c:pt>
                <c:pt idx="742">
                  <c:v>-42.5</c:v>
                </c:pt>
                <c:pt idx="743">
                  <c:v>-46.8</c:v>
                </c:pt>
                <c:pt idx="744">
                  <c:v>-51.1</c:v>
                </c:pt>
                <c:pt idx="745">
                  <c:v>-55.7</c:v>
                </c:pt>
                <c:pt idx="746">
                  <c:v>-59.9</c:v>
                </c:pt>
                <c:pt idx="747">
                  <c:v>-65.1</c:v>
                </c:pt>
                <c:pt idx="748">
                  <c:v>-70.5</c:v>
                </c:pt>
                <c:pt idx="749">
                  <c:v>-73.8</c:v>
                </c:pt>
                <c:pt idx="750">
                  <c:v>-79</c:v>
                </c:pt>
                <c:pt idx="751">
                  <c:v>-83.5</c:v>
                </c:pt>
                <c:pt idx="752">
                  <c:v>-87.3</c:v>
                </c:pt>
                <c:pt idx="753">
                  <c:v>-91.1</c:v>
                </c:pt>
                <c:pt idx="754">
                  <c:v>-94.8</c:v>
                </c:pt>
                <c:pt idx="755">
                  <c:v>-97.9</c:v>
                </c:pt>
                <c:pt idx="756">
                  <c:v>-100.4</c:v>
                </c:pt>
                <c:pt idx="757">
                  <c:v>-102.9</c:v>
                </c:pt>
                <c:pt idx="758">
                  <c:v>-104.6</c:v>
                </c:pt>
                <c:pt idx="759">
                  <c:v>-106.2</c:v>
                </c:pt>
                <c:pt idx="760">
                  <c:v>-107.3</c:v>
                </c:pt>
                <c:pt idx="761">
                  <c:v>-107.5</c:v>
                </c:pt>
                <c:pt idx="762">
                  <c:v>-107.2</c:v>
                </c:pt>
                <c:pt idx="763">
                  <c:v>-106.6</c:v>
                </c:pt>
                <c:pt idx="764">
                  <c:v>-105.1</c:v>
                </c:pt>
                <c:pt idx="765">
                  <c:v>-103.4</c:v>
                </c:pt>
                <c:pt idx="766">
                  <c:v>-100.9</c:v>
                </c:pt>
                <c:pt idx="767">
                  <c:v>-98.3</c:v>
                </c:pt>
                <c:pt idx="768">
                  <c:v>-94.8</c:v>
                </c:pt>
                <c:pt idx="769">
                  <c:v>-91.1</c:v>
                </c:pt>
                <c:pt idx="770">
                  <c:v>-86.8</c:v>
                </c:pt>
                <c:pt idx="771">
                  <c:v>-83</c:v>
                </c:pt>
                <c:pt idx="772">
                  <c:v>-78.8</c:v>
                </c:pt>
                <c:pt idx="773">
                  <c:v>-72.8</c:v>
                </c:pt>
                <c:pt idx="774">
                  <c:v>-68.1</c:v>
                </c:pt>
                <c:pt idx="775">
                  <c:v>-63</c:v>
                </c:pt>
                <c:pt idx="776">
                  <c:v>-57.5</c:v>
                </c:pt>
                <c:pt idx="777">
                  <c:v>-53</c:v>
                </c:pt>
                <c:pt idx="778">
                  <c:v>-47.8</c:v>
                </c:pt>
                <c:pt idx="779">
                  <c:v>-43.1</c:v>
                </c:pt>
                <c:pt idx="780">
                  <c:v>-39</c:v>
                </c:pt>
                <c:pt idx="781">
                  <c:v>-35.3</c:v>
                </c:pt>
                <c:pt idx="782">
                  <c:v>-31.8</c:v>
                </c:pt>
                <c:pt idx="783">
                  <c:v>-28.7</c:v>
                </c:pt>
                <c:pt idx="784">
                  <c:v>-26.2</c:v>
                </c:pt>
                <c:pt idx="785">
                  <c:v>-23.8</c:v>
                </c:pt>
                <c:pt idx="786">
                  <c:v>-22.6</c:v>
                </c:pt>
                <c:pt idx="787">
                  <c:v>-21.8</c:v>
                </c:pt>
                <c:pt idx="788">
                  <c:v>-20.7</c:v>
                </c:pt>
                <c:pt idx="789">
                  <c:v>-20.6</c:v>
                </c:pt>
                <c:pt idx="790">
                  <c:v>-21</c:v>
                </c:pt>
                <c:pt idx="791">
                  <c:v>-22</c:v>
                </c:pt>
                <c:pt idx="792">
                  <c:v>-23</c:v>
                </c:pt>
                <c:pt idx="793">
                  <c:v>-24.7</c:v>
                </c:pt>
                <c:pt idx="794">
                  <c:v>-26.9</c:v>
                </c:pt>
                <c:pt idx="795">
                  <c:v>-29.7</c:v>
                </c:pt>
                <c:pt idx="796">
                  <c:v>-33.1</c:v>
                </c:pt>
                <c:pt idx="797">
                  <c:v>-36.6</c:v>
                </c:pt>
                <c:pt idx="798">
                  <c:v>-40.3</c:v>
                </c:pt>
                <c:pt idx="799">
                  <c:v>-43.8</c:v>
                </c:pt>
                <c:pt idx="800">
                  <c:v>-48.4</c:v>
                </c:pt>
                <c:pt idx="801">
                  <c:v>-53.5</c:v>
                </c:pt>
                <c:pt idx="802">
                  <c:v>-58</c:v>
                </c:pt>
                <c:pt idx="803">
                  <c:v>-62.9</c:v>
                </c:pt>
                <c:pt idx="804">
                  <c:v>-67.3</c:v>
                </c:pt>
                <c:pt idx="805">
                  <c:v>-72.4</c:v>
                </c:pt>
                <c:pt idx="806">
                  <c:v>-77.8</c:v>
                </c:pt>
                <c:pt idx="807">
                  <c:v>-82</c:v>
                </c:pt>
                <c:pt idx="808">
                  <c:v>-86</c:v>
                </c:pt>
                <c:pt idx="809">
                  <c:v>-90.2</c:v>
                </c:pt>
                <c:pt idx="810">
                  <c:v>-94.2</c:v>
                </c:pt>
                <c:pt idx="811">
                  <c:v>-96.9</c:v>
                </c:pt>
                <c:pt idx="812">
                  <c:v>-99.7</c:v>
                </c:pt>
                <c:pt idx="813">
                  <c:v>-102.4</c:v>
                </c:pt>
                <c:pt idx="814">
                  <c:v>-103.8</c:v>
                </c:pt>
                <c:pt idx="815">
                  <c:v>-104.8</c:v>
                </c:pt>
                <c:pt idx="816">
                  <c:v>-105.6</c:v>
                </c:pt>
                <c:pt idx="817">
                  <c:v>-105.2</c:v>
                </c:pt>
                <c:pt idx="818">
                  <c:v>-104.6</c:v>
                </c:pt>
                <c:pt idx="819">
                  <c:v>-103.2</c:v>
                </c:pt>
                <c:pt idx="820">
                  <c:v>-101.2</c:v>
                </c:pt>
                <c:pt idx="821">
                  <c:v>-98.7</c:v>
                </c:pt>
                <c:pt idx="822">
                  <c:v>-95.6</c:v>
                </c:pt>
                <c:pt idx="823">
                  <c:v>-92.5</c:v>
                </c:pt>
                <c:pt idx="824">
                  <c:v>-88.1</c:v>
                </c:pt>
                <c:pt idx="825">
                  <c:v>-83.9</c:v>
                </c:pt>
                <c:pt idx="826">
                  <c:v>-79.5</c:v>
                </c:pt>
                <c:pt idx="827">
                  <c:v>-74.3</c:v>
                </c:pt>
                <c:pt idx="828">
                  <c:v>-69.5</c:v>
                </c:pt>
                <c:pt idx="829">
                  <c:v>-64.3</c:v>
                </c:pt>
                <c:pt idx="830">
                  <c:v>-58.8</c:v>
                </c:pt>
                <c:pt idx="831">
                  <c:v>-54</c:v>
                </c:pt>
                <c:pt idx="832">
                  <c:v>-49.2</c:v>
                </c:pt>
                <c:pt idx="833">
                  <c:v>-45</c:v>
                </c:pt>
                <c:pt idx="834">
                  <c:v>-40.5</c:v>
                </c:pt>
                <c:pt idx="835">
                  <c:v>-37</c:v>
                </c:pt>
                <c:pt idx="836">
                  <c:v>-33.5</c:v>
                </c:pt>
                <c:pt idx="837">
                  <c:v>-29.9</c:v>
                </c:pt>
                <c:pt idx="838">
                  <c:v>-27.2</c:v>
                </c:pt>
                <c:pt idx="839">
                  <c:v>-25.4</c:v>
                </c:pt>
                <c:pt idx="840">
                  <c:v>-23.1</c:v>
                </c:pt>
                <c:pt idx="841">
                  <c:v>-22.1</c:v>
                </c:pt>
                <c:pt idx="842">
                  <c:v>-21.6</c:v>
                </c:pt>
                <c:pt idx="843">
                  <c:v>-20.9</c:v>
                </c:pt>
                <c:pt idx="844">
                  <c:v>-20.9</c:v>
                </c:pt>
                <c:pt idx="845">
                  <c:v>-21.5</c:v>
                </c:pt>
                <c:pt idx="846">
                  <c:v>-22.2</c:v>
                </c:pt>
                <c:pt idx="847">
                  <c:v>-23.5</c:v>
                </c:pt>
                <c:pt idx="848">
                  <c:v>-25.5</c:v>
                </c:pt>
                <c:pt idx="849">
                  <c:v>-27.5</c:v>
                </c:pt>
                <c:pt idx="850">
                  <c:v>-30.7</c:v>
                </c:pt>
                <c:pt idx="851">
                  <c:v>-33.7</c:v>
                </c:pt>
                <c:pt idx="852">
                  <c:v>-37.5</c:v>
                </c:pt>
                <c:pt idx="853">
                  <c:v>-41.2</c:v>
                </c:pt>
                <c:pt idx="854">
                  <c:v>-45.2</c:v>
                </c:pt>
                <c:pt idx="855">
                  <c:v>-49.4</c:v>
                </c:pt>
                <c:pt idx="856">
                  <c:v>-54</c:v>
                </c:pt>
                <c:pt idx="857">
                  <c:v>-58.9</c:v>
                </c:pt>
                <c:pt idx="858">
                  <c:v>-63.5</c:v>
                </c:pt>
                <c:pt idx="859">
                  <c:v>-68.2</c:v>
                </c:pt>
                <c:pt idx="860">
                  <c:v>-72.8</c:v>
                </c:pt>
                <c:pt idx="861">
                  <c:v>-77.9</c:v>
                </c:pt>
                <c:pt idx="862">
                  <c:v>-81.8</c:v>
                </c:pt>
                <c:pt idx="863">
                  <c:v>-85.5</c:v>
                </c:pt>
                <c:pt idx="864">
                  <c:v>-89.2</c:v>
                </c:pt>
                <c:pt idx="865">
                  <c:v>-92.6</c:v>
                </c:pt>
                <c:pt idx="866">
                  <c:v>-94.9</c:v>
                </c:pt>
                <c:pt idx="867">
                  <c:v>-96.9</c:v>
                </c:pt>
                <c:pt idx="868">
                  <c:v>-98.4</c:v>
                </c:pt>
                <c:pt idx="869">
                  <c:v>-99.4</c:v>
                </c:pt>
                <c:pt idx="870">
                  <c:v>-99.9</c:v>
                </c:pt>
                <c:pt idx="871">
                  <c:v>-100.1</c:v>
                </c:pt>
                <c:pt idx="872">
                  <c:v>-99.4</c:v>
                </c:pt>
                <c:pt idx="873">
                  <c:v>-98.6</c:v>
                </c:pt>
                <c:pt idx="874">
                  <c:v>-97.1</c:v>
                </c:pt>
                <c:pt idx="875">
                  <c:v>-95.2</c:v>
                </c:pt>
                <c:pt idx="876">
                  <c:v>-92.8</c:v>
                </c:pt>
                <c:pt idx="877">
                  <c:v>-89.8</c:v>
                </c:pt>
                <c:pt idx="878">
                  <c:v>-86.1</c:v>
                </c:pt>
                <c:pt idx="879">
                  <c:v>-82.8</c:v>
                </c:pt>
                <c:pt idx="880">
                  <c:v>-79</c:v>
                </c:pt>
                <c:pt idx="881">
                  <c:v>-74.9</c:v>
                </c:pt>
                <c:pt idx="882">
                  <c:v>-70.4</c:v>
                </c:pt>
                <c:pt idx="883">
                  <c:v>-66.1</c:v>
                </c:pt>
                <c:pt idx="884">
                  <c:v>-62.1</c:v>
                </c:pt>
                <c:pt idx="885">
                  <c:v>-57.7</c:v>
                </c:pt>
                <c:pt idx="886">
                  <c:v>-54.1</c:v>
                </c:pt>
                <c:pt idx="887">
                  <c:v>-50.2</c:v>
                </c:pt>
                <c:pt idx="888">
                  <c:v>-46.4</c:v>
                </c:pt>
                <c:pt idx="889">
                  <c:v>-43.1</c:v>
                </c:pt>
                <c:pt idx="890">
                  <c:v>-40.3</c:v>
                </c:pt>
                <c:pt idx="891">
                  <c:v>-37.7</c:v>
                </c:pt>
                <c:pt idx="892">
                  <c:v>-35</c:v>
                </c:pt>
                <c:pt idx="893">
                  <c:v>-33.3</c:v>
                </c:pt>
                <c:pt idx="894">
                  <c:v>-31.6</c:v>
                </c:pt>
                <c:pt idx="895">
                  <c:v>-30.1</c:v>
                </c:pt>
                <c:pt idx="896">
                  <c:v>-29</c:v>
                </c:pt>
                <c:pt idx="897">
                  <c:v>-28.6</c:v>
                </c:pt>
                <c:pt idx="898">
                  <c:v>-28.5</c:v>
                </c:pt>
                <c:pt idx="899">
                  <c:v>-28.7</c:v>
                </c:pt>
                <c:pt idx="900">
                  <c:v>-29.7</c:v>
                </c:pt>
                <c:pt idx="901">
                  <c:v>-30.8</c:v>
                </c:pt>
                <c:pt idx="902">
                  <c:v>-32.8</c:v>
                </c:pt>
                <c:pt idx="903">
                  <c:v>-34.5</c:v>
                </c:pt>
                <c:pt idx="904">
                  <c:v>-37.1</c:v>
                </c:pt>
                <c:pt idx="905">
                  <c:v>-39.8</c:v>
                </c:pt>
                <c:pt idx="906">
                  <c:v>-42.5</c:v>
                </c:pt>
                <c:pt idx="907">
                  <c:v>-45.8</c:v>
                </c:pt>
                <c:pt idx="908">
                  <c:v>-48.9</c:v>
                </c:pt>
                <c:pt idx="909">
                  <c:v>-53.1</c:v>
                </c:pt>
                <c:pt idx="910">
                  <c:v>-56.6</c:v>
                </c:pt>
                <c:pt idx="911">
                  <c:v>-60.3</c:v>
                </c:pt>
                <c:pt idx="912">
                  <c:v>-64.5</c:v>
                </c:pt>
                <c:pt idx="913">
                  <c:v>-68.2</c:v>
                </c:pt>
                <c:pt idx="914">
                  <c:v>-72.3</c:v>
                </c:pt>
                <c:pt idx="915">
                  <c:v>-76.2</c:v>
                </c:pt>
                <c:pt idx="916">
                  <c:v>-79.8</c:v>
                </c:pt>
                <c:pt idx="917">
                  <c:v>-83</c:v>
                </c:pt>
                <c:pt idx="918">
                  <c:v>-85.8</c:v>
                </c:pt>
                <c:pt idx="919">
                  <c:v>-88.5</c:v>
                </c:pt>
                <c:pt idx="920">
                  <c:v>-90.8</c:v>
                </c:pt>
                <c:pt idx="921">
                  <c:v>-92.7</c:v>
                </c:pt>
                <c:pt idx="922">
                  <c:v>-94.2</c:v>
                </c:pt>
                <c:pt idx="923">
                  <c:v>-94.9</c:v>
                </c:pt>
                <c:pt idx="924">
                  <c:v>-95.3</c:v>
                </c:pt>
                <c:pt idx="925">
                  <c:v>-95.5</c:v>
                </c:pt>
                <c:pt idx="926">
                  <c:v>-95.2</c:v>
                </c:pt>
                <c:pt idx="927">
                  <c:v>-94.9</c:v>
                </c:pt>
                <c:pt idx="928">
                  <c:v>-94.3</c:v>
                </c:pt>
                <c:pt idx="929">
                  <c:v>-93</c:v>
                </c:pt>
                <c:pt idx="930">
                  <c:v>-91.3</c:v>
                </c:pt>
                <c:pt idx="931">
                  <c:v>-89.5</c:v>
                </c:pt>
                <c:pt idx="932">
                  <c:v>-87</c:v>
                </c:pt>
                <c:pt idx="933">
                  <c:v>-85.1</c:v>
                </c:pt>
                <c:pt idx="934">
                  <c:v>-82.3</c:v>
                </c:pt>
                <c:pt idx="935">
                  <c:v>-79.8</c:v>
                </c:pt>
                <c:pt idx="936">
                  <c:v>-76.8</c:v>
                </c:pt>
                <c:pt idx="937">
                  <c:v>-73.3</c:v>
                </c:pt>
                <c:pt idx="938">
                  <c:v>-70.5</c:v>
                </c:pt>
                <c:pt idx="939">
                  <c:v>-66.9</c:v>
                </c:pt>
                <c:pt idx="940">
                  <c:v>-63.7</c:v>
                </c:pt>
                <c:pt idx="941">
                  <c:v>-60.6</c:v>
                </c:pt>
                <c:pt idx="942">
                  <c:v>-57.5</c:v>
                </c:pt>
                <c:pt idx="943">
                  <c:v>-54.4</c:v>
                </c:pt>
                <c:pt idx="944">
                  <c:v>-51.2</c:v>
                </c:pt>
                <c:pt idx="945">
                  <c:v>-48</c:v>
                </c:pt>
                <c:pt idx="946">
                  <c:v>-46.1</c:v>
                </c:pt>
                <c:pt idx="947">
                  <c:v>-44.4</c:v>
                </c:pt>
                <c:pt idx="948">
                  <c:v>-42</c:v>
                </c:pt>
                <c:pt idx="949">
                  <c:v>-40.3</c:v>
                </c:pt>
                <c:pt idx="950">
                  <c:v>-39</c:v>
                </c:pt>
                <c:pt idx="951">
                  <c:v>-37.8</c:v>
                </c:pt>
                <c:pt idx="952">
                  <c:v>-37.3</c:v>
                </c:pt>
                <c:pt idx="953">
                  <c:v>-37</c:v>
                </c:pt>
                <c:pt idx="954">
                  <c:v>-36.9</c:v>
                </c:pt>
                <c:pt idx="955">
                  <c:v>-37</c:v>
                </c:pt>
                <c:pt idx="956">
                  <c:v>-37.4</c:v>
                </c:pt>
                <c:pt idx="957">
                  <c:v>-37.9</c:v>
                </c:pt>
                <c:pt idx="958">
                  <c:v>-39.4</c:v>
                </c:pt>
                <c:pt idx="959">
                  <c:v>-40.6</c:v>
                </c:pt>
                <c:pt idx="960">
                  <c:v>-42.1</c:v>
                </c:pt>
                <c:pt idx="961">
                  <c:v>-44.7</c:v>
                </c:pt>
                <c:pt idx="962">
                  <c:v>-46.4</c:v>
                </c:pt>
                <c:pt idx="963">
                  <c:v>-48.5</c:v>
                </c:pt>
                <c:pt idx="964">
                  <c:v>-51.3</c:v>
                </c:pt>
                <c:pt idx="965">
                  <c:v>-54.4</c:v>
                </c:pt>
                <c:pt idx="966">
                  <c:v>-57.2</c:v>
                </c:pt>
                <c:pt idx="967">
                  <c:v>-60.2</c:v>
                </c:pt>
                <c:pt idx="968">
                  <c:v>-63.1</c:v>
                </c:pt>
                <c:pt idx="969">
                  <c:v>-66.1</c:v>
                </c:pt>
                <c:pt idx="970">
                  <c:v>-69</c:v>
                </c:pt>
                <c:pt idx="971">
                  <c:v>-72.1</c:v>
                </c:pt>
                <c:pt idx="972">
                  <c:v>-74.9</c:v>
                </c:pt>
                <c:pt idx="973">
                  <c:v>-77.9</c:v>
                </c:pt>
                <c:pt idx="974">
                  <c:v>-80.3</c:v>
                </c:pt>
                <c:pt idx="975">
                  <c:v>-82.8</c:v>
                </c:pt>
                <c:pt idx="976">
                  <c:v>-85.1</c:v>
                </c:pt>
                <c:pt idx="977">
                  <c:v>-86.5</c:v>
                </c:pt>
                <c:pt idx="978">
                  <c:v>-88.1</c:v>
                </c:pt>
                <c:pt idx="979">
                  <c:v>-89.6</c:v>
                </c:pt>
                <c:pt idx="980">
                  <c:v>-90.7</c:v>
                </c:pt>
                <c:pt idx="981">
                  <c:v>-91.5</c:v>
                </c:pt>
                <c:pt idx="982">
                  <c:v>-91.8</c:v>
                </c:pt>
                <c:pt idx="983">
                  <c:v>-92</c:v>
                </c:pt>
                <c:pt idx="984">
                  <c:v>-91.6</c:v>
                </c:pt>
                <c:pt idx="985">
                  <c:v>-91.4</c:v>
                </c:pt>
                <c:pt idx="986">
                  <c:v>-90.4</c:v>
                </c:pt>
                <c:pt idx="987">
                  <c:v>-88.8</c:v>
                </c:pt>
                <c:pt idx="988">
                  <c:v>-87.3</c:v>
                </c:pt>
                <c:pt idx="989">
                  <c:v>-85.5</c:v>
                </c:pt>
                <c:pt idx="990">
                  <c:v>-83.9</c:v>
                </c:pt>
                <c:pt idx="991">
                  <c:v>-81.7</c:v>
                </c:pt>
                <c:pt idx="992">
                  <c:v>-79.4</c:v>
                </c:pt>
                <c:pt idx="993">
                  <c:v>-76.6</c:v>
                </c:pt>
                <c:pt idx="994">
                  <c:v>-73.2</c:v>
                </c:pt>
                <c:pt idx="995">
                  <c:v>-70.7</c:v>
                </c:pt>
                <c:pt idx="996">
                  <c:v>-67.5</c:v>
                </c:pt>
                <c:pt idx="997">
                  <c:v>-64.3</c:v>
                </c:pt>
                <c:pt idx="998">
                  <c:v>-61.3</c:v>
                </c:pt>
                <c:pt idx="999">
                  <c:v>-58.4</c:v>
                </c:pt>
                <c:pt idx="1000">
                  <c:v>-55.4</c:v>
                </c:pt>
                <c:pt idx="1001">
                  <c:v>-53</c:v>
                </c:pt>
                <c:pt idx="1002">
                  <c:v>-50.4</c:v>
                </c:pt>
                <c:pt idx="1003">
                  <c:v>-47.4</c:v>
                </c:pt>
                <c:pt idx="1004">
                  <c:v>-45.5</c:v>
                </c:pt>
                <c:pt idx="1005">
                  <c:v>-43.9</c:v>
                </c:pt>
                <c:pt idx="1006">
                  <c:v>-42.2</c:v>
                </c:pt>
                <c:pt idx="1007">
                  <c:v>-40.9</c:v>
                </c:pt>
                <c:pt idx="1008">
                  <c:v>-40.2</c:v>
                </c:pt>
                <c:pt idx="1009">
                  <c:v>-39.8</c:v>
                </c:pt>
                <c:pt idx="1010">
                  <c:v>-39.6</c:v>
                </c:pt>
                <c:pt idx="1011">
                  <c:v>-39.6</c:v>
                </c:pt>
                <c:pt idx="1012">
                  <c:v>-39.7</c:v>
                </c:pt>
                <c:pt idx="1013">
                  <c:v>-40.2</c:v>
                </c:pt>
                <c:pt idx="1014">
                  <c:v>-40.9</c:v>
                </c:pt>
                <c:pt idx="1015">
                  <c:v>-42.3</c:v>
                </c:pt>
                <c:pt idx="1016">
                  <c:v>-44.2</c:v>
                </c:pt>
                <c:pt idx="1017">
                  <c:v>-46</c:v>
                </c:pt>
                <c:pt idx="1018">
                  <c:v>-48.1</c:v>
                </c:pt>
                <c:pt idx="1019">
                  <c:v>-51</c:v>
                </c:pt>
                <c:pt idx="1020">
                  <c:v>-53.4</c:v>
                </c:pt>
                <c:pt idx="1021">
                  <c:v>-55.8</c:v>
                </c:pt>
                <c:pt idx="1022">
                  <c:v>-58.7</c:v>
                </c:pt>
                <c:pt idx="1023">
                  <c:v>-61.9</c:v>
                </c:pt>
                <c:pt idx="1024">
                  <c:v>-64.9</c:v>
                </c:pt>
                <c:pt idx="1025">
                  <c:v>-68</c:v>
                </c:pt>
                <c:pt idx="1026">
                  <c:v>-71</c:v>
                </c:pt>
                <c:pt idx="1027">
                  <c:v>-73.7</c:v>
                </c:pt>
                <c:pt idx="1028">
                  <c:v>-77.2</c:v>
                </c:pt>
                <c:pt idx="1029">
                  <c:v>-79.5</c:v>
                </c:pt>
                <c:pt idx="1030">
                  <c:v>-81.6</c:v>
                </c:pt>
                <c:pt idx="1031">
                  <c:v>-83.8</c:v>
                </c:pt>
                <c:pt idx="1032">
                  <c:v>-85.4</c:v>
                </c:pt>
                <c:pt idx="1033">
                  <c:v>-86.8</c:v>
                </c:pt>
                <c:pt idx="1034">
                  <c:v>-88.1</c:v>
                </c:pt>
                <c:pt idx="1035">
                  <c:v>-88.9</c:v>
                </c:pt>
                <c:pt idx="1036">
                  <c:v>-89.3</c:v>
                </c:pt>
                <c:pt idx="1037">
                  <c:v>-89.2</c:v>
                </c:pt>
                <c:pt idx="1038">
                  <c:v>-88.9</c:v>
                </c:pt>
                <c:pt idx="1039">
                  <c:v>-88.2</c:v>
                </c:pt>
                <c:pt idx="1040">
                  <c:v>-87.1</c:v>
                </c:pt>
                <c:pt idx="1041">
                  <c:v>-85.7</c:v>
                </c:pt>
                <c:pt idx="1042">
                  <c:v>-84.4</c:v>
                </c:pt>
                <c:pt idx="1043">
                  <c:v>-82.1</c:v>
                </c:pt>
                <c:pt idx="1044">
                  <c:v>-80</c:v>
                </c:pt>
                <c:pt idx="1045">
                  <c:v>-77.8</c:v>
                </c:pt>
                <c:pt idx="1046">
                  <c:v>-74.6</c:v>
                </c:pt>
                <c:pt idx="1047">
                  <c:v>-72.3</c:v>
                </c:pt>
                <c:pt idx="1048">
                  <c:v>-69.2</c:v>
                </c:pt>
                <c:pt idx="1049">
                  <c:v>-66.1</c:v>
                </c:pt>
                <c:pt idx="1050">
                  <c:v>-63.3</c:v>
                </c:pt>
                <c:pt idx="1051">
                  <c:v>-60.1</c:v>
                </c:pt>
                <c:pt idx="1052">
                  <c:v>-57.5</c:v>
                </c:pt>
                <c:pt idx="1053">
                  <c:v>-54.9</c:v>
                </c:pt>
                <c:pt idx="1054">
                  <c:v>-52.5</c:v>
                </c:pt>
                <c:pt idx="1055">
                  <c:v>-50</c:v>
                </c:pt>
                <c:pt idx="1056">
                  <c:v>-47.8</c:v>
                </c:pt>
                <c:pt idx="1057">
                  <c:v>-46.2</c:v>
                </c:pt>
                <c:pt idx="1058">
                  <c:v>-44.9</c:v>
                </c:pt>
                <c:pt idx="1059">
                  <c:v>-44</c:v>
                </c:pt>
                <c:pt idx="1060">
                  <c:v>-42.7</c:v>
                </c:pt>
                <c:pt idx="1061">
                  <c:v>-42.4</c:v>
                </c:pt>
                <c:pt idx="1062">
                  <c:v>-42</c:v>
                </c:pt>
                <c:pt idx="1063">
                  <c:v>-42</c:v>
                </c:pt>
                <c:pt idx="1064">
                  <c:v>-42.3</c:v>
                </c:pt>
                <c:pt idx="1065">
                  <c:v>-42.7</c:v>
                </c:pt>
                <c:pt idx="1066">
                  <c:v>-44.1</c:v>
                </c:pt>
                <c:pt idx="1067">
                  <c:v>-45.2</c:v>
                </c:pt>
                <c:pt idx="1068">
                  <c:v>-46.5</c:v>
                </c:pt>
                <c:pt idx="1069">
                  <c:v>-47.9</c:v>
                </c:pt>
                <c:pt idx="1070">
                  <c:v>-50.2</c:v>
                </c:pt>
                <c:pt idx="1071">
                  <c:v>-52.8</c:v>
                </c:pt>
                <c:pt idx="1072">
                  <c:v>-55.4</c:v>
                </c:pt>
                <c:pt idx="1073">
                  <c:v>-58.1</c:v>
                </c:pt>
                <c:pt idx="1074">
                  <c:v>-60.6</c:v>
                </c:pt>
                <c:pt idx="1075">
                  <c:v>-63.6</c:v>
                </c:pt>
                <c:pt idx="1076">
                  <c:v>-66.5</c:v>
                </c:pt>
                <c:pt idx="1077">
                  <c:v>-69.2</c:v>
                </c:pt>
                <c:pt idx="1078">
                  <c:v>-72</c:v>
                </c:pt>
                <c:pt idx="1079">
                  <c:v>-74.9</c:v>
                </c:pt>
                <c:pt idx="1080">
                  <c:v>-77.8</c:v>
                </c:pt>
                <c:pt idx="1081">
                  <c:v>-79.9</c:v>
                </c:pt>
                <c:pt idx="1082">
                  <c:v>-82.3</c:v>
                </c:pt>
                <c:pt idx="1083">
                  <c:v>-84.3</c:v>
                </c:pt>
                <c:pt idx="1084">
                  <c:v>-85.7</c:v>
                </c:pt>
                <c:pt idx="1085">
                  <c:v>-87.5</c:v>
                </c:pt>
                <c:pt idx="1086">
                  <c:v>-88.5</c:v>
                </c:pt>
                <c:pt idx="1087">
                  <c:v>-89</c:v>
                </c:pt>
                <c:pt idx="1088">
                  <c:v>-89.3</c:v>
                </c:pt>
                <c:pt idx="1089">
                  <c:v>-89.2</c:v>
                </c:pt>
                <c:pt idx="1090">
                  <c:v>-89</c:v>
                </c:pt>
                <c:pt idx="1091">
                  <c:v>-88.4</c:v>
                </c:pt>
                <c:pt idx="1092">
                  <c:v>-87.3</c:v>
                </c:pt>
                <c:pt idx="1093">
                  <c:v>-85.9</c:v>
                </c:pt>
                <c:pt idx="1094">
                  <c:v>-84.4</c:v>
                </c:pt>
                <c:pt idx="1095">
                  <c:v>-82.5</c:v>
                </c:pt>
                <c:pt idx="1096">
                  <c:v>-79.8</c:v>
                </c:pt>
                <c:pt idx="1097">
                  <c:v>-77.8</c:v>
                </c:pt>
                <c:pt idx="1098">
                  <c:v>-75.2</c:v>
                </c:pt>
                <c:pt idx="1099">
                  <c:v>-72.3</c:v>
                </c:pt>
                <c:pt idx="1100">
                  <c:v>-69.5</c:v>
                </c:pt>
                <c:pt idx="1101">
                  <c:v>-66.1</c:v>
                </c:pt>
                <c:pt idx="1102">
                  <c:v>-63.4</c:v>
                </c:pt>
                <c:pt idx="1103">
                  <c:v>-60.5</c:v>
                </c:pt>
                <c:pt idx="1104">
                  <c:v>-58</c:v>
                </c:pt>
                <c:pt idx="1105">
                  <c:v>-55.4</c:v>
                </c:pt>
                <c:pt idx="1106">
                  <c:v>-52.9</c:v>
                </c:pt>
                <c:pt idx="1107">
                  <c:v>-50.5</c:v>
                </c:pt>
                <c:pt idx="1108">
                  <c:v>-48.2</c:v>
                </c:pt>
                <c:pt idx="1109">
                  <c:v>-46.8</c:v>
                </c:pt>
                <c:pt idx="1110">
                  <c:v>-45.4</c:v>
                </c:pt>
                <c:pt idx="1111">
                  <c:v>-44.4</c:v>
                </c:pt>
                <c:pt idx="1112">
                  <c:v>-43.5</c:v>
                </c:pt>
                <c:pt idx="1113">
                  <c:v>-42.9</c:v>
                </c:pt>
                <c:pt idx="1114">
                  <c:v>-42.7</c:v>
                </c:pt>
                <c:pt idx="1115">
                  <c:v>-42.9</c:v>
                </c:pt>
                <c:pt idx="1116">
                  <c:v>-43.2</c:v>
                </c:pt>
                <c:pt idx="1117">
                  <c:v>-43.5</c:v>
                </c:pt>
                <c:pt idx="1118">
                  <c:v>-44.5</c:v>
                </c:pt>
                <c:pt idx="1119">
                  <c:v>-45.4</c:v>
                </c:pt>
                <c:pt idx="1120">
                  <c:v>-46.5</c:v>
                </c:pt>
                <c:pt idx="1121">
                  <c:v>-47.9</c:v>
                </c:pt>
                <c:pt idx="1122">
                  <c:v>-50.3</c:v>
                </c:pt>
                <c:pt idx="1123">
                  <c:v>-52.5</c:v>
                </c:pt>
                <c:pt idx="1124">
                  <c:v>-54.9</c:v>
                </c:pt>
                <c:pt idx="1125">
                  <c:v>-57.4</c:v>
                </c:pt>
                <c:pt idx="1126">
                  <c:v>-60.1</c:v>
                </c:pt>
                <c:pt idx="1127">
                  <c:v>-62.8</c:v>
                </c:pt>
                <c:pt idx="1128">
                  <c:v>-65.8</c:v>
                </c:pt>
                <c:pt idx="1129">
                  <c:v>-69.1</c:v>
                </c:pt>
                <c:pt idx="1130">
                  <c:v>-71.8</c:v>
                </c:pt>
                <c:pt idx="1131">
                  <c:v>-74.6</c:v>
                </c:pt>
                <c:pt idx="1132">
                  <c:v>-77.3</c:v>
                </c:pt>
                <c:pt idx="1133">
                  <c:v>-79.3</c:v>
                </c:pt>
                <c:pt idx="1134">
                  <c:v>-81.7</c:v>
                </c:pt>
                <c:pt idx="1135">
                  <c:v>-83.5</c:v>
                </c:pt>
                <c:pt idx="1136">
                  <c:v>-85.2</c:v>
                </c:pt>
                <c:pt idx="1137">
                  <c:v>-86.9</c:v>
                </c:pt>
                <c:pt idx="1138">
                  <c:v>-87.7</c:v>
                </c:pt>
                <c:pt idx="1139">
                  <c:v>-88.4</c:v>
                </c:pt>
                <c:pt idx="1140">
                  <c:v>-88.5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'常压_b_20 (3)'!$K$3</c:f>
              <c:strCache>
                <c:ptCount val="1"/>
                <c:pt idx="0">
                  <c:v>luma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'常压_b_20 (3)'!$I$4:$I$1144</c:f>
              <c:numCache>
                <c:formatCode>General</c:formatCode>
                <c:ptCount val="1141"/>
                <c:pt idx="0">
                  <c:v>0</c:v>
                </c:pt>
                <c:pt idx="1">
                  <c:v>0</c:v>
                </c:pt>
                <c:pt idx="2">
                  <c:v>0.05</c:v>
                </c:pt>
                <c:pt idx="3">
                  <c:v>0.1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0.2</c:v>
                </c:pt>
                <c:pt idx="8">
                  <c:v>0.25</c:v>
                </c:pt>
                <c:pt idx="9">
                  <c:v>0.3</c:v>
                </c:pt>
                <c:pt idx="10">
                  <c:v>0.3</c:v>
                </c:pt>
                <c:pt idx="11">
                  <c:v>0.35</c:v>
                </c:pt>
                <c:pt idx="12">
                  <c:v>0.4</c:v>
                </c:pt>
                <c:pt idx="13">
                  <c:v>0.4</c:v>
                </c:pt>
                <c:pt idx="14">
                  <c:v>0.45</c:v>
                </c:pt>
                <c:pt idx="15">
                  <c:v>0.5</c:v>
                </c:pt>
                <c:pt idx="16">
                  <c:v>0.5</c:v>
                </c:pt>
                <c:pt idx="17">
                  <c:v>0.55</c:v>
                </c:pt>
                <c:pt idx="18">
                  <c:v>0.6</c:v>
                </c:pt>
                <c:pt idx="19">
                  <c:v>0.6</c:v>
                </c:pt>
                <c:pt idx="20">
                  <c:v>0.65</c:v>
                </c:pt>
                <c:pt idx="21">
                  <c:v>0.7</c:v>
                </c:pt>
                <c:pt idx="22">
                  <c:v>0.7</c:v>
                </c:pt>
                <c:pt idx="23">
                  <c:v>0.75</c:v>
                </c:pt>
                <c:pt idx="24">
                  <c:v>0.8</c:v>
                </c:pt>
                <c:pt idx="25">
                  <c:v>0.8</c:v>
                </c:pt>
                <c:pt idx="26">
                  <c:v>0.85</c:v>
                </c:pt>
                <c:pt idx="27">
                  <c:v>0.9</c:v>
                </c:pt>
                <c:pt idx="28">
                  <c:v>0.9</c:v>
                </c:pt>
                <c:pt idx="29">
                  <c:v>0.95</c:v>
                </c:pt>
                <c:pt idx="30">
                  <c:v>1</c:v>
                </c:pt>
                <c:pt idx="31">
                  <c:v>1</c:v>
                </c:pt>
                <c:pt idx="32">
                  <c:v>1.05</c:v>
                </c:pt>
                <c:pt idx="33">
                  <c:v>1.1</c:v>
                </c:pt>
                <c:pt idx="34">
                  <c:v>1.1</c:v>
                </c:pt>
                <c:pt idx="35">
                  <c:v>1.15</c:v>
                </c:pt>
                <c:pt idx="36">
                  <c:v>1.2</c:v>
                </c:pt>
                <c:pt idx="37">
                  <c:v>1.2</c:v>
                </c:pt>
                <c:pt idx="38">
                  <c:v>1.25</c:v>
                </c:pt>
                <c:pt idx="39">
                  <c:v>1.3</c:v>
                </c:pt>
                <c:pt idx="40">
                  <c:v>1.3</c:v>
                </c:pt>
                <c:pt idx="41">
                  <c:v>1.35</c:v>
                </c:pt>
                <c:pt idx="42">
                  <c:v>1.4</c:v>
                </c:pt>
                <c:pt idx="43">
                  <c:v>1.4</c:v>
                </c:pt>
                <c:pt idx="44">
                  <c:v>1.45</c:v>
                </c:pt>
                <c:pt idx="45">
                  <c:v>1.5</c:v>
                </c:pt>
                <c:pt idx="46">
                  <c:v>1.5</c:v>
                </c:pt>
                <c:pt idx="47">
                  <c:v>1.55</c:v>
                </c:pt>
                <c:pt idx="48">
                  <c:v>1.6</c:v>
                </c:pt>
                <c:pt idx="49">
                  <c:v>1.6</c:v>
                </c:pt>
                <c:pt idx="50">
                  <c:v>1.65</c:v>
                </c:pt>
                <c:pt idx="51">
                  <c:v>1.7</c:v>
                </c:pt>
                <c:pt idx="52">
                  <c:v>1.7</c:v>
                </c:pt>
                <c:pt idx="53">
                  <c:v>1.75</c:v>
                </c:pt>
                <c:pt idx="54">
                  <c:v>1.8</c:v>
                </c:pt>
                <c:pt idx="55">
                  <c:v>1.8</c:v>
                </c:pt>
                <c:pt idx="56">
                  <c:v>1.85</c:v>
                </c:pt>
                <c:pt idx="57">
                  <c:v>1.9</c:v>
                </c:pt>
                <c:pt idx="58">
                  <c:v>1.9</c:v>
                </c:pt>
                <c:pt idx="59">
                  <c:v>1.95</c:v>
                </c:pt>
                <c:pt idx="60">
                  <c:v>2</c:v>
                </c:pt>
                <c:pt idx="61">
                  <c:v>2</c:v>
                </c:pt>
                <c:pt idx="62">
                  <c:v>2.05</c:v>
                </c:pt>
                <c:pt idx="63">
                  <c:v>2.1</c:v>
                </c:pt>
                <c:pt idx="64">
                  <c:v>2.1</c:v>
                </c:pt>
                <c:pt idx="65">
                  <c:v>2.15</c:v>
                </c:pt>
                <c:pt idx="66">
                  <c:v>2.2</c:v>
                </c:pt>
                <c:pt idx="67">
                  <c:v>2.2</c:v>
                </c:pt>
                <c:pt idx="68">
                  <c:v>2.25</c:v>
                </c:pt>
                <c:pt idx="69">
                  <c:v>2.3</c:v>
                </c:pt>
                <c:pt idx="70">
                  <c:v>2.3</c:v>
                </c:pt>
                <c:pt idx="71">
                  <c:v>2.35</c:v>
                </c:pt>
                <c:pt idx="72">
                  <c:v>2.4</c:v>
                </c:pt>
                <c:pt idx="73">
                  <c:v>2.4</c:v>
                </c:pt>
                <c:pt idx="74">
                  <c:v>2.45</c:v>
                </c:pt>
                <c:pt idx="75">
                  <c:v>2.5</c:v>
                </c:pt>
                <c:pt idx="76">
                  <c:v>2.5</c:v>
                </c:pt>
                <c:pt idx="77">
                  <c:v>2.55</c:v>
                </c:pt>
                <c:pt idx="78">
                  <c:v>2.6</c:v>
                </c:pt>
                <c:pt idx="79">
                  <c:v>2.6</c:v>
                </c:pt>
                <c:pt idx="80">
                  <c:v>2.65</c:v>
                </c:pt>
                <c:pt idx="81">
                  <c:v>2.7</c:v>
                </c:pt>
                <c:pt idx="82">
                  <c:v>2.7</c:v>
                </c:pt>
                <c:pt idx="83">
                  <c:v>2.75</c:v>
                </c:pt>
                <c:pt idx="84">
                  <c:v>2.8</c:v>
                </c:pt>
                <c:pt idx="85">
                  <c:v>2.8</c:v>
                </c:pt>
                <c:pt idx="86">
                  <c:v>2.85</c:v>
                </c:pt>
                <c:pt idx="87">
                  <c:v>2.9</c:v>
                </c:pt>
                <c:pt idx="88">
                  <c:v>2.9</c:v>
                </c:pt>
                <c:pt idx="89">
                  <c:v>2.95</c:v>
                </c:pt>
                <c:pt idx="90">
                  <c:v>3</c:v>
                </c:pt>
                <c:pt idx="91">
                  <c:v>3</c:v>
                </c:pt>
                <c:pt idx="92">
                  <c:v>3.05</c:v>
                </c:pt>
                <c:pt idx="93">
                  <c:v>3.1</c:v>
                </c:pt>
                <c:pt idx="94">
                  <c:v>3.1</c:v>
                </c:pt>
                <c:pt idx="95">
                  <c:v>3.15</c:v>
                </c:pt>
                <c:pt idx="96">
                  <c:v>3.2</c:v>
                </c:pt>
                <c:pt idx="97">
                  <c:v>3.2</c:v>
                </c:pt>
                <c:pt idx="98">
                  <c:v>3.25</c:v>
                </c:pt>
                <c:pt idx="99">
                  <c:v>3.3</c:v>
                </c:pt>
                <c:pt idx="100">
                  <c:v>3.3</c:v>
                </c:pt>
                <c:pt idx="101">
                  <c:v>3.35</c:v>
                </c:pt>
                <c:pt idx="102">
                  <c:v>3.4</c:v>
                </c:pt>
                <c:pt idx="103">
                  <c:v>3.4</c:v>
                </c:pt>
                <c:pt idx="104">
                  <c:v>3.45</c:v>
                </c:pt>
                <c:pt idx="105">
                  <c:v>3.5</c:v>
                </c:pt>
                <c:pt idx="106">
                  <c:v>3.5</c:v>
                </c:pt>
                <c:pt idx="107">
                  <c:v>3.55</c:v>
                </c:pt>
                <c:pt idx="108">
                  <c:v>3.6</c:v>
                </c:pt>
                <c:pt idx="109">
                  <c:v>3.6</c:v>
                </c:pt>
                <c:pt idx="110">
                  <c:v>3.65</c:v>
                </c:pt>
                <c:pt idx="111">
                  <c:v>3.7</c:v>
                </c:pt>
                <c:pt idx="112">
                  <c:v>3.7</c:v>
                </c:pt>
                <c:pt idx="113">
                  <c:v>3.75</c:v>
                </c:pt>
                <c:pt idx="114">
                  <c:v>3.8</c:v>
                </c:pt>
                <c:pt idx="115">
                  <c:v>3.8</c:v>
                </c:pt>
                <c:pt idx="116">
                  <c:v>3.85</c:v>
                </c:pt>
                <c:pt idx="117">
                  <c:v>3.9</c:v>
                </c:pt>
                <c:pt idx="118">
                  <c:v>3.9</c:v>
                </c:pt>
                <c:pt idx="119">
                  <c:v>3.95</c:v>
                </c:pt>
                <c:pt idx="120">
                  <c:v>4</c:v>
                </c:pt>
                <c:pt idx="121">
                  <c:v>4</c:v>
                </c:pt>
                <c:pt idx="122">
                  <c:v>4.05</c:v>
                </c:pt>
                <c:pt idx="123">
                  <c:v>4.1</c:v>
                </c:pt>
                <c:pt idx="124">
                  <c:v>4.1</c:v>
                </c:pt>
                <c:pt idx="125">
                  <c:v>4.15</c:v>
                </c:pt>
                <c:pt idx="126">
                  <c:v>4.2</c:v>
                </c:pt>
                <c:pt idx="127">
                  <c:v>4.2</c:v>
                </c:pt>
                <c:pt idx="128">
                  <c:v>4.25</c:v>
                </c:pt>
                <c:pt idx="129">
                  <c:v>4.3</c:v>
                </c:pt>
                <c:pt idx="130">
                  <c:v>4.3</c:v>
                </c:pt>
                <c:pt idx="131">
                  <c:v>4.35</c:v>
                </c:pt>
                <c:pt idx="132">
                  <c:v>4.4</c:v>
                </c:pt>
                <c:pt idx="133">
                  <c:v>4.4</c:v>
                </c:pt>
                <c:pt idx="134">
                  <c:v>4.45</c:v>
                </c:pt>
                <c:pt idx="135">
                  <c:v>4.5</c:v>
                </c:pt>
                <c:pt idx="136">
                  <c:v>4.5</c:v>
                </c:pt>
                <c:pt idx="137">
                  <c:v>4.55</c:v>
                </c:pt>
                <c:pt idx="138">
                  <c:v>4.6</c:v>
                </c:pt>
                <c:pt idx="139">
                  <c:v>4.6</c:v>
                </c:pt>
                <c:pt idx="140">
                  <c:v>4.65</c:v>
                </c:pt>
                <c:pt idx="141">
                  <c:v>4.7</c:v>
                </c:pt>
                <c:pt idx="142">
                  <c:v>4.7</c:v>
                </c:pt>
                <c:pt idx="143">
                  <c:v>4.75</c:v>
                </c:pt>
                <c:pt idx="144">
                  <c:v>4.8</c:v>
                </c:pt>
                <c:pt idx="145">
                  <c:v>4.8</c:v>
                </c:pt>
                <c:pt idx="146">
                  <c:v>4.85</c:v>
                </c:pt>
                <c:pt idx="147">
                  <c:v>4.9</c:v>
                </c:pt>
                <c:pt idx="148">
                  <c:v>4.9</c:v>
                </c:pt>
                <c:pt idx="149">
                  <c:v>4.95</c:v>
                </c:pt>
                <c:pt idx="150">
                  <c:v>5</c:v>
                </c:pt>
                <c:pt idx="151">
                  <c:v>5</c:v>
                </c:pt>
                <c:pt idx="152">
                  <c:v>5.05</c:v>
                </c:pt>
                <c:pt idx="153">
                  <c:v>5.1</c:v>
                </c:pt>
                <c:pt idx="154">
                  <c:v>5.1</c:v>
                </c:pt>
                <c:pt idx="155">
                  <c:v>5.15</c:v>
                </c:pt>
                <c:pt idx="156">
                  <c:v>5.2</c:v>
                </c:pt>
                <c:pt idx="157">
                  <c:v>5.2</c:v>
                </c:pt>
                <c:pt idx="158">
                  <c:v>5.25</c:v>
                </c:pt>
                <c:pt idx="159">
                  <c:v>5.3</c:v>
                </c:pt>
                <c:pt idx="160">
                  <c:v>5.3</c:v>
                </c:pt>
                <c:pt idx="161">
                  <c:v>5.35</c:v>
                </c:pt>
                <c:pt idx="162">
                  <c:v>5.4</c:v>
                </c:pt>
                <c:pt idx="163">
                  <c:v>5.4</c:v>
                </c:pt>
                <c:pt idx="164">
                  <c:v>5.45</c:v>
                </c:pt>
                <c:pt idx="165">
                  <c:v>5.5</c:v>
                </c:pt>
                <c:pt idx="166">
                  <c:v>5.5</c:v>
                </c:pt>
                <c:pt idx="167">
                  <c:v>5.55</c:v>
                </c:pt>
                <c:pt idx="168">
                  <c:v>5.6</c:v>
                </c:pt>
                <c:pt idx="169">
                  <c:v>5.6</c:v>
                </c:pt>
                <c:pt idx="170">
                  <c:v>5.65</c:v>
                </c:pt>
                <c:pt idx="171">
                  <c:v>5.7</c:v>
                </c:pt>
                <c:pt idx="172">
                  <c:v>5.75</c:v>
                </c:pt>
                <c:pt idx="173">
                  <c:v>5.75</c:v>
                </c:pt>
                <c:pt idx="174">
                  <c:v>5.8</c:v>
                </c:pt>
                <c:pt idx="175">
                  <c:v>5.85</c:v>
                </c:pt>
                <c:pt idx="176">
                  <c:v>5.85</c:v>
                </c:pt>
                <c:pt idx="177">
                  <c:v>5.9</c:v>
                </c:pt>
                <c:pt idx="178">
                  <c:v>5.95</c:v>
                </c:pt>
                <c:pt idx="179">
                  <c:v>5.95</c:v>
                </c:pt>
                <c:pt idx="180">
                  <c:v>6</c:v>
                </c:pt>
                <c:pt idx="181">
                  <c:v>6.05</c:v>
                </c:pt>
                <c:pt idx="182">
                  <c:v>6.05</c:v>
                </c:pt>
                <c:pt idx="183">
                  <c:v>6.1</c:v>
                </c:pt>
                <c:pt idx="184">
                  <c:v>6.15</c:v>
                </c:pt>
                <c:pt idx="185">
                  <c:v>6.15</c:v>
                </c:pt>
                <c:pt idx="186">
                  <c:v>6.2</c:v>
                </c:pt>
                <c:pt idx="187">
                  <c:v>6.25</c:v>
                </c:pt>
                <c:pt idx="188">
                  <c:v>6.25</c:v>
                </c:pt>
                <c:pt idx="189">
                  <c:v>6.3</c:v>
                </c:pt>
                <c:pt idx="190">
                  <c:v>6.35</c:v>
                </c:pt>
                <c:pt idx="191">
                  <c:v>6.35</c:v>
                </c:pt>
                <c:pt idx="192">
                  <c:v>6.4</c:v>
                </c:pt>
                <c:pt idx="193">
                  <c:v>6.45</c:v>
                </c:pt>
                <c:pt idx="194">
                  <c:v>6.45</c:v>
                </c:pt>
                <c:pt idx="195">
                  <c:v>6.5</c:v>
                </c:pt>
                <c:pt idx="196">
                  <c:v>6.55</c:v>
                </c:pt>
                <c:pt idx="197">
                  <c:v>6.55</c:v>
                </c:pt>
                <c:pt idx="198">
                  <c:v>6.6</c:v>
                </c:pt>
                <c:pt idx="199">
                  <c:v>6.65</c:v>
                </c:pt>
                <c:pt idx="200">
                  <c:v>6.65</c:v>
                </c:pt>
                <c:pt idx="201">
                  <c:v>6.7</c:v>
                </c:pt>
                <c:pt idx="202">
                  <c:v>6.75</c:v>
                </c:pt>
                <c:pt idx="203">
                  <c:v>6.75</c:v>
                </c:pt>
                <c:pt idx="204">
                  <c:v>6.8</c:v>
                </c:pt>
                <c:pt idx="205">
                  <c:v>6.85</c:v>
                </c:pt>
                <c:pt idx="206">
                  <c:v>6.85</c:v>
                </c:pt>
                <c:pt idx="207">
                  <c:v>6.9</c:v>
                </c:pt>
                <c:pt idx="208">
                  <c:v>6.95</c:v>
                </c:pt>
                <c:pt idx="209">
                  <c:v>6.95</c:v>
                </c:pt>
                <c:pt idx="210">
                  <c:v>7</c:v>
                </c:pt>
                <c:pt idx="211">
                  <c:v>7.05</c:v>
                </c:pt>
                <c:pt idx="212">
                  <c:v>7.05</c:v>
                </c:pt>
                <c:pt idx="213">
                  <c:v>7.1</c:v>
                </c:pt>
                <c:pt idx="214">
                  <c:v>7.15</c:v>
                </c:pt>
                <c:pt idx="215">
                  <c:v>7.15</c:v>
                </c:pt>
                <c:pt idx="216">
                  <c:v>7.2</c:v>
                </c:pt>
                <c:pt idx="217">
                  <c:v>7.25</c:v>
                </c:pt>
                <c:pt idx="218">
                  <c:v>7.25</c:v>
                </c:pt>
                <c:pt idx="219">
                  <c:v>7.3</c:v>
                </c:pt>
                <c:pt idx="220">
                  <c:v>7.35</c:v>
                </c:pt>
                <c:pt idx="221">
                  <c:v>7.35</c:v>
                </c:pt>
                <c:pt idx="222">
                  <c:v>7.4</c:v>
                </c:pt>
                <c:pt idx="223">
                  <c:v>7.45</c:v>
                </c:pt>
                <c:pt idx="224">
                  <c:v>7.45</c:v>
                </c:pt>
                <c:pt idx="225">
                  <c:v>7.5</c:v>
                </c:pt>
                <c:pt idx="226">
                  <c:v>7.55</c:v>
                </c:pt>
                <c:pt idx="227">
                  <c:v>7.55</c:v>
                </c:pt>
                <c:pt idx="228">
                  <c:v>7.6</c:v>
                </c:pt>
                <c:pt idx="229">
                  <c:v>7.65</c:v>
                </c:pt>
                <c:pt idx="230">
                  <c:v>7.65</c:v>
                </c:pt>
                <c:pt idx="231">
                  <c:v>7.7</c:v>
                </c:pt>
                <c:pt idx="232">
                  <c:v>7.75</c:v>
                </c:pt>
                <c:pt idx="233">
                  <c:v>7.75</c:v>
                </c:pt>
                <c:pt idx="234">
                  <c:v>7.8</c:v>
                </c:pt>
                <c:pt idx="235">
                  <c:v>7.85</c:v>
                </c:pt>
                <c:pt idx="236">
                  <c:v>7.85</c:v>
                </c:pt>
                <c:pt idx="237">
                  <c:v>7.9</c:v>
                </c:pt>
                <c:pt idx="238">
                  <c:v>7.95</c:v>
                </c:pt>
                <c:pt idx="239">
                  <c:v>7.95</c:v>
                </c:pt>
                <c:pt idx="240">
                  <c:v>8</c:v>
                </c:pt>
                <c:pt idx="241">
                  <c:v>8.05</c:v>
                </c:pt>
                <c:pt idx="242">
                  <c:v>8.05</c:v>
                </c:pt>
                <c:pt idx="243">
                  <c:v>8.1</c:v>
                </c:pt>
                <c:pt idx="244">
                  <c:v>8.15</c:v>
                </c:pt>
                <c:pt idx="245">
                  <c:v>8.15</c:v>
                </c:pt>
                <c:pt idx="246">
                  <c:v>8.2</c:v>
                </c:pt>
                <c:pt idx="247">
                  <c:v>8.25</c:v>
                </c:pt>
                <c:pt idx="248">
                  <c:v>8.25</c:v>
                </c:pt>
                <c:pt idx="249">
                  <c:v>8.3</c:v>
                </c:pt>
                <c:pt idx="250">
                  <c:v>8.35</c:v>
                </c:pt>
                <c:pt idx="251">
                  <c:v>8.35</c:v>
                </c:pt>
                <c:pt idx="252">
                  <c:v>8.4</c:v>
                </c:pt>
                <c:pt idx="253">
                  <c:v>8.45</c:v>
                </c:pt>
                <c:pt idx="254">
                  <c:v>8.45</c:v>
                </c:pt>
                <c:pt idx="255">
                  <c:v>8.5</c:v>
                </c:pt>
                <c:pt idx="256">
                  <c:v>8.55</c:v>
                </c:pt>
                <c:pt idx="257">
                  <c:v>8.55</c:v>
                </c:pt>
                <c:pt idx="258">
                  <c:v>8.6</c:v>
                </c:pt>
                <c:pt idx="259">
                  <c:v>8.65</c:v>
                </c:pt>
                <c:pt idx="260">
                  <c:v>8.65</c:v>
                </c:pt>
                <c:pt idx="261">
                  <c:v>8.7</c:v>
                </c:pt>
                <c:pt idx="262">
                  <c:v>8.75</c:v>
                </c:pt>
                <c:pt idx="263">
                  <c:v>8.75</c:v>
                </c:pt>
                <c:pt idx="264">
                  <c:v>8.8</c:v>
                </c:pt>
                <c:pt idx="265">
                  <c:v>8.85</c:v>
                </c:pt>
                <c:pt idx="266">
                  <c:v>8.85</c:v>
                </c:pt>
                <c:pt idx="267">
                  <c:v>8.9</c:v>
                </c:pt>
                <c:pt idx="268">
                  <c:v>8.95</c:v>
                </c:pt>
                <c:pt idx="269">
                  <c:v>8.95</c:v>
                </c:pt>
                <c:pt idx="270">
                  <c:v>9</c:v>
                </c:pt>
                <c:pt idx="271">
                  <c:v>9.05</c:v>
                </c:pt>
                <c:pt idx="272">
                  <c:v>9.05</c:v>
                </c:pt>
                <c:pt idx="273">
                  <c:v>9.1</c:v>
                </c:pt>
                <c:pt idx="274">
                  <c:v>9.15</c:v>
                </c:pt>
                <c:pt idx="275">
                  <c:v>9.15</c:v>
                </c:pt>
                <c:pt idx="276">
                  <c:v>9.2</c:v>
                </c:pt>
                <c:pt idx="277">
                  <c:v>9.25</c:v>
                </c:pt>
                <c:pt idx="278">
                  <c:v>9.25</c:v>
                </c:pt>
                <c:pt idx="279">
                  <c:v>9.3</c:v>
                </c:pt>
                <c:pt idx="280">
                  <c:v>9.35</c:v>
                </c:pt>
                <c:pt idx="281">
                  <c:v>9.35</c:v>
                </c:pt>
                <c:pt idx="282">
                  <c:v>9.4</c:v>
                </c:pt>
                <c:pt idx="283">
                  <c:v>9.45</c:v>
                </c:pt>
                <c:pt idx="284">
                  <c:v>9.45</c:v>
                </c:pt>
                <c:pt idx="285">
                  <c:v>9.5</c:v>
                </c:pt>
                <c:pt idx="286">
                  <c:v>9.55</c:v>
                </c:pt>
                <c:pt idx="287">
                  <c:v>9.55</c:v>
                </c:pt>
                <c:pt idx="288">
                  <c:v>9.6</c:v>
                </c:pt>
                <c:pt idx="289">
                  <c:v>9.65</c:v>
                </c:pt>
                <c:pt idx="290">
                  <c:v>9.65</c:v>
                </c:pt>
                <c:pt idx="291">
                  <c:v>9.7</c:v>
                </c:pt>
                <c:pt idx="292">
                  <c:v>9.75</c:v>
                </c:pt>
                <c:pt idx="293">
                  <c:v>9.75</c:v>
                </c:pt>
                <c:pt idx="294">
                  <c:v>9.8</c:v>
                </c:pt>
                <c:pt idx="295">
                  <c:v>9.85</c:v>
                </c:pt>
                <c:pt idx="296">
                  <c:v>9.85</c:v>
                </c:pt>
                <c:pt idx="297">
                  <c:v>9.9</c:v>
                </c:pt>
                <c:pt idx="298">
                  <c:v>9.95</c:v>
                </c:pt>
                <c:pt idx="299">
                  <c:v>9.95</c:v>
                </c:pt>
                <c:pt idx="300">
                  <c:v>10</c:v>
                </c:pt>
                <c:pt idx="301">
                  <c:v>10.05</c:v>
                </c:pt>
                <c:pt idx="302">
                  <c:v>10.05</c:v>
                </c:pt>
                <c:pt idx="303">
                  <c:v>10.1</c:v>
                </c:pt>
                <c:pt idx="304">
                  <c:v>10.15</c:v>
                </c:pt>
                <c:pt idx="305">
                  <c:v>10.15</c:v>
                </c:pt>
                <c:pt idx="306">
                  <c:v>10.2</c:v>
                </c:pt>
                <c:pt idx="307">
                  <c:v>10.25</c:v>
                </c:pt>
                <c:pt idx="308">
                  <c:v>10.25</c:v>
                </c:pt>
                <c:pt idx="309">
                  <c:v>10.3</c:v>
                </c:pt>
                <c:pt idx="310">
                  <c:v>10.35</c:v>
                </c:pt>
                <c:pt idx="311">
                  <c:v>10.35</c:v>
                </c:pt>
                <c:pt idx="312">
                  <c:v>10.4</c:v>
                </c:pt>
                <c:pt idx="313">
                  <c:v>10.45</c:v>
                </c:pt>
                <c:pt idx="314">
                  <c:v>10.45</c:v>
                </c:pt>
                <c:pt idx="315">
                  <c:v>10.5</c:v>
                </c:pt>
                <c:pt idx="316">
                  <c:v>10.55</c:v>
                </c:pt>
                <c:pt idx="317">
                  <c:v>10.55</c:v>
                </c:pt>
                <c:pt idx="318">
                  <c:v>10.6</c:v>
                </c:pt>
                <c:pt idx="319">
                  <c:v>10.65</c:v>
                </c:pt>
                <c:pt idx="320">
                  <c:v>10.65</c:v>
                </c:pt>
                <c:pt idx="321">
                  <c:v>10.7</c:v>
                </c:pt>
                <c:pt idx="322">
                  <c:v>10.75</c:v>
                </c:pt>
                <c:pt idx="323">
                  <c:v>10.75</c:v>
                </c:pt>
                <c:pt idx="324">
                  <c:v>10.8</c:v>
                </c:pt>
                <c:pt idx="325">
                  <c:v>10.85</c:v>
                </c:pt>
                <c:pt idx="326">
                  <c:v>10.85</c:v>
                </c:pt>
                <c:pt idx="327">
                  <c:v>10.9</c:v>
                </c:pt>
                <c:pt idx="328">
                  <c:v>10.95</c:v>
                </c:pt>
                <c:pt idx="329">
                  <c:v>10.95</c:v>
                </c:pt>
                <c:pt idx="330">
                  <c:v>11</c:v>
                </c:pt>
                <c:pt idx="331">
                  <c:v>11.05</c:v>
                </c:pt>
                <c:pt idx="332">
                  <c:v>11.05</c:v>
                </c:pt>
                <c:pt idx="333">
                  <c:v>11.1</c:v>
                </c:pt>
                <c:pt idx="334">
                  <c:v>11.15</c:v>
                </c:pt>
                <c:pt idx="335">
                  <c:v>11.15</c:v>
                </c:pt>
                <c:pt idx="336">
                  <c:v>11.2</c:v>
                </c:pt>
                <c:pt idx="337">
                  <c:v>11.25</c:v>
                </c:pt>
                <c:pt idx="338">
                  <c:v>11.25</c:v>
                </c:pt>
                <c:pt idx="339">
                  <c:v>11.3</c:v>
                </c:pt>
                <c:pt idx="340">
                  <c:v>11.35</c:v>
                </c:pt>
                <c:pt idx="341">
                  <c:v>11.35</c:v>
                </c:pt>
                <c:pt idx="342">
                  <c:v>11.4</c:v>
                </c:pt>
                <c:pt idx="343">
                  <c:v>11.45</c:v>
                </c:pt>
                <c:pt idx="344">
                  <c:v>11.45</c:v>
                </c:pt>
                <c:pt idx="345">
                  <c:v>11.5</c:v>
                </c:pt>
                <c:pt idx="346">
                  <c:v>11.55</c:v>
                </c:pt>
                <c:pt idx="347">
                  <c:v>11.6</c:v>
                </c:pt>
                <c:pt idx="348">
                  <c:v>11.6</c:v>
                </c:pt>
                <c:pt idx="349">
                  <c:v>11.65</c:v>
                </c:pt>
                <c:pt idx="350">
                  <c:v>11.7</c:v>
                </c:pt>
                <c:pt idx="351">
                  <c:v>11.7</c:v>
                </c:pt>
                <c:pt idx="352">
                  <c:v>11.75</c:v>
                </c:pt>
                <c:pt idx="353">
                  <c:v>11.8</c:v>
                </c:pt>
                <c:pt idx="354">
                  <c:v>11.8</c:v>
                </c:pt>
                <c:pt idx="355">
                  <c:v>11.85</c:v>
                </c:pt>
                <c:pt idx="356">
                  <c:v>11.9</c:v>
                </c:pt>
                <c:pt idx="357">
                  <c:v>11.9</c:v>
                </c:pt>
                <c:pt idx="358">
                  <c:v>11.95</c:v>
                </c:pt>
                <c:pt idx="359">
                  <c:v>12</c:v>
                </c:pt>
                <c:pt idx="360">
                  <c:v>12</c:v>
                </c:pt>
                <c:pt idx="361">
                  <c:v>12.05</c:v>
                </c:pt>
                <c:pt idx="362">
                  <c:v>12.1</c:v>
                </c:pt>
                <c:pt idx="363">
                  <c:v>12.1</c:v>
                </c:pt>
                <c:pt idx="364">
                  <c:v>12.15</c:v>
                </c:pt>
                <c:pt idx="365">
                  <c:v>12.2</c:v>
                </c:pt>
                <c:pt idx="366">
                  <c:v>12.2</c:v>
                </c:pt>
                <c:pt idx="367">
                  <c:v>12.25</c:v>
                </c:pt>
                <c:pt idx="368">
                  <c:v>12.3</c:v>
                </c:pt>
                <c:pt idx="369">
                  <c:v>12.3</c:v>
                </c:pt>
                <c:pt idx="370">
                  <c:v>12.35</c:v>
                </c:pt>
                <c:pt idx="371">
                  <c:v>12.4</c:v>
                </c:pt>
                <c:pt idx="372">
                  <c:v>12.4</c:v>
                </c:pt>
                <c:pt idx="373">
                  <c:v>12.45</c:v>
                </c:pt>
                <c:pt idx="374">
                  <c:v>12.5</c:v>
                </c:pt>
                <c:pt idx="375">
                  <c:v>12.5</c:v>
                </c:pt>
                <c:pt idx="376">
                  <c:v>12.55</c:v>
                </c:pt>
                <c:pt idx="377">
                  <c:v>12.6</c:v>
                </c:pt>
                <c:pt idx="378">
                  <c:v>12.6</c:v>
                </c:pt>
                <c:pt idx="379">
                  <c:v>12.65</c:v>
                </c:pt>
                <c:pt idx="380">
                  <c:v>12.7</c:v>
                </c:pt>
                <c:pt idx="381">
                  <c:v>12.7</c:v>
                </c:pt>
                <c:pt idx="382">
                  <c:v>12.75</c:v>
                </c:pt>
                <c:pt idx="383">
                  <c:v>12.8</c:v>
                </c:pt>
                <c:pt idx="384">
                  <c:v>12.8</c:v>
                </c:pt>
                <c:pt idx="385">
                  <c:v>12.85</c:v>
                </c:pt>
                <c:pt idx="386">
                  <c:v>12.9</c:v>
                </c:pt>
                <c:pt idx="387">
                  <c:v>12.9</c:v>
                </c:pt>
                <c:pt idx="388">
                  <c:v>12.95</c:v>
                </c:pt>
                <c:pt idx="389">
                  <c:v>13</c:v>
                </c:pt>
                <c:pt idx="390">
                  <c:v>13</c:v>
                </c:pt>
                <c:pt idx="391">
                  <c:v>13.05</c:v>
                </c:pt>
                <c:pt idx="392">
                  <c:v>13.1</c:v>
                </c:pt>
                <c:pt idx="393">
                  <c:v>13.1</c:v>
                </c:pt>
                <c:pt idx="394">
                  <c:v>13.15</c:v>
                </c:pt>
                <c:pt idx="395">
                  <c:v>13.2</c:v>
                </c:pt>
                <c:pt idx="396">
                  <c:v>13.2</c:v>
                </c:pt>
                <c:pt idx="397">
                  <c:v>13.25</c:v>
                </c:pt>
                <c:pt idx="398">
                  <c:v>13.3</c:v>
                </c:pt>
                <c:pt idx="399">
                  <c:v>13.3</c:v>
                </c:pt>
                <c:pt idx="400">
                  <c:v>13.35</c:v>
                </c:pt>
                <c:pt idx="401">
                  <c:v>13.4</c:v>
                </c:pt>
                <c:pt idx="402">
                  <c:v>13.4</c:v>
                </c:pt>
                <c:pt idx="403">
                  <c:v>13.45</c:v>
                </c:pt>
                <c:pt idx="404">
                  <c:v>13.5</c:v>
                </c:pt>
                <c:pt idx="405">
                  <c:v>13.5</c:v>
                </c:pt>
                <c:pt idx="406">
                  <c:v>13.55</c:v>
                </c:pt>
                <c:pt idx="407">
                  <c:v>13.6</c:v>
                </c:pt>
                <c:pt idx="408">
                  <c:v>13.6</c:v>
                </c:pt>
                <c:pt idx="409">
                  <c:v>13.65</c:v>
                </c:pt>
                <c:pt idx="410">
                  <c:v>13.7</c:v>
                </c:pt>
                <c:pt idx="411">
                  <c:v>13.7</c:v>
                </c:pt>
                <c:pt idx="412">
                  <c:v>13.75</c:v>
                </c:pt>
                <c:pt idx="413">
                  <c:v>13.8</c:v>
                </c:pt>
                <c:pt idx="414">
                  <c:v>13.8</c:v>
                </c:pt>
                <c:pt idx="415">
                  <c:v>13.85</c:v>
                </c:pt>
                <c:pt idx="416">
                  <c:v>13.9</c:v>
                </c:pt>
                <c:pt idx="417">
                  <c:v>13.9</c:v>
                </c:pt>
                <c:pt idx="418">
                  <c:v>13.95</c:v>
                </c:pt>
                <c:pt idx="419">
                  <c:v>14</c:v>
                </c:pt>
                <c:pt idx="420">
                  <c:v>14</c:v>
                </c:pt>
                <c:pt idx="421">
                  <c:v>14.05</c:v>
                </c:pt>
                <c:pt idx="422">
                  <c:v>14.1</c:v>
                </c:pt>
                <c:pt idx="423">
                  <c:v>14.1</c:v>
                </c:pt>
                <c:pt idx="424">
                  <c:v>14.15</c:v>
                </c:pt>
                <c:pt idx="425">
                  <c:v>14.2</c:v>
                </c:pt>
                <c:pt idx="426">
                  <c:v>14.2</c:v>
                </c:pt>
                <c:pt idx="427">
                  <c:v>14.25</c:v>
                </c:pt>
                <c:pt idx="428">
                  <c:v>14.3</c:v>
                </c:pt>
                <c:pt idx="429">
                  <c:v>14.3</c:v>
                </c:pt>
                <c:pt idx="430">
                  <c:v>14.35</c:v>
                </c:pt>
                <c:pt idx="431">
                  <c:v>14.4</c:v>
                </c:pt>
                <c:pt idx="432">
                  <c:v>14.4</c:v>
                </c:pt>
                <c:pt idx="433">
                  <c:v>14.45</c:v>
                </c:pt>
                <c:pt idx="434">
                  <c:v>14.5</c:v>
                </c:pt>
                <c:pt idx="435">
                  <c:v>14.5</c:v>
                </c:pt>
                <c:pt idx="436">
                  <c:v>14.55</c:v>
                </c:pt>
                <c:pt idx="437">
                  <c:v>14.6</c:v>
                </c:pt>
                <c:pt idx="438">
                  <c:v>14.6</c:v>
                </c:pt>
                <c:pt idx="439">
                  <c:v>14.65</c:v>
                </c:pt>
                <c:pt idx="440">
                  <c:v>14.7</c:v>
                </c:pt>
                <c:pt idx="441">
                  <c:v>14.7</c:v>
                </c:pt>
                <c:pt idx="442">
                  <c:v>14.75</c:v>
                </c:pt>
                <c:pt idx="443">
                  <c:v>14.8</c:v>
                </c:pt>
                <c:pt idx="444">
                  <c:v>14.8</c:v>
                </c:pt>
                <c:pt idx="445">
                  <c:v>14.85</c:v>
                </c:pt>
                <c:pt idx="446">
                  <c:v>14.9</c:v>
                </c:pt>
                <c:pt idx="447">
                  <c:v>14.9</c:v>
                </c:pt>
                <c:pt idx="448">
                  <c:v>14.95</c:v>
                </c:pt>
                <c:pt idx="449">
                  <c:v>15</c:v>
                </c:pt>
                <c:pt idx="450">
                  <c:v>15</c:v>
                </c:pt>
                <c:pt idx="451">
                  <c:v>15.05</c:v>
                </c:pt>
                <c:pt idx="452">
                  <c:v>15.1</c:v>
                </c:pt>
                <c:pt idx="453">
                  <c:v>15.1</c:v>
                </c:pt>
                <c:pt idx="454">
                  <c:v>15.15</c:v>
                </c:pt>
                <c:pt idx="455">
                  <c:v>15.2</c:v>
                </c:pt>
                <c:pt idx="456">
                  <c:v>15.2</c:v>
                </c:pt>
                <c:pt idx="457">
                  <c:v>15.25</c:v>
                </c:pt>
                <c:pt idx="458">
                  <c:v>15.3</c:v>
                </c:pt>
                <c:pt idx="459">
                  <c:v>15.3</c:v>
                </c:pt>
                <c:pt idx="460">
                  <c:v>15.35</c:v>
                </c:pt>
                <c:pt idx="461">
                  <c:v>15.4</c:v>
                </c:pt>
                <c:pt idx="462">
                  <c:v>15.4</c:v>
                </c:pt>
                <c:pt idx="463">
                  <c:v>15.45</c:v>
                </c:pt>
                <c:pt idx="464">
                  <c:v>15.5</c:v>
                </c:pt>
                <c:pt idx="465">
                  <c:v>15.5</c:v>
                </c:pt>
                <c:pt idx="466">
                  <c:v>15.55</c:v>
                </c:pt>
                <c:pt idx="467">
                  <c:v>15.6</c:v>
                </c:pt>
                <c:pt idx="468">
                  <c:v>15.6</c:v>
                </c:pt>
                <c:pt idx="469">
                  <c:v>15.65</c:v>
                </c:pt>
                <c:pt idx="470">
                  <c:v>15.7</c:v>
                </c:pt>
                <c:pt idx="471">
                  <c:v>15.7</c:v>
                </c:pt>
                <c:pt idx="472">
                  <c:v>15.75</c:v>
                </c:pt>
                <c:pt idx="473">
                  <c:v>15.8</c:v>
                </c:pt>
                <c:pt idx="474">
                  <c:v>15.8</c:v>
                </c:pt>
                <c:pt idx="475">
                  <c:v>15.85</c:v>
                </c:pt>
                <c:pt idx="476">
                  <c:v>15.9</c:v>
                </c:pt>
                <c:pt idx="477">
                  <c:v>15.9</c:v>
                </c:pt>
                <c:pt idx="478">
                  <c:v>15.95</c:v>
                </c:pt>
                <c:pt idx="479">
                  <c:v>16</c:v>
                </c:pt>
                <c:pt idx="480">
                  <c:v>16</c:v>
                </c:pt>
                <c:pt idx="481">
                  <c:v>16.05</c:v>
                </c:pt>
                <c:pt idx="482">
                  <c:v>16.1</c:v>
                </c:pt>
                <c:pt idx="483">
                  <c:v>16.1</c:v>
                </c:pt>
                <c:pt idx="484">
                  <c:v>16.15</c:v>
                </c:pt>
                <c:pt idx="485">
                  <c:v>16.2</c:v>
                </c:pt>
                <c:pt idx="486">
                  <c:v>16.2</c:v>
                </c:pt>
                <c:pt idx="487">
                  <c:v>16.25</c:v>
                </c:pt>
                <c:pt idx="488">
                  <c:v>16.3</c:v>
                </c:pt>
                <c:pt idx="489">
                  <c:v>16.3</c:v>
                </c:pt>
                <c:pt idx="490">
                  <c:v>16.35</c:v>
                </c:pt>
                <c:pt idx="491">
                  <c:v>16.4</c:v>
                </c:pt>
                <c:pt idx="492">
                  <c:v>16.4</c:v>
                </c:pt>
                <c:pt idx="493">
                  <c:v>16.45</c:v>
                </c:pt>
                <c:pt idx="494">
                  <c:v>16.5</c:v>
                </c:pt>
                <c:pt idx="495">
                  <c:v>16.5</c:v>
                </c:pt>
                <c:pt idx="496">
                  <c:v>16.55</c:v>
                </c:pt>
                <c:pt idx="497">
                  <c:v>16.6</c:v>
                </c:pt>
                <c:pt idx="498">
                  <c:v>16.6</c:v>
                </c:pt>
                <c:pt idx="499">
                  <c:v>16.65</c:v>
                </c:pt>
                <c:pt idx="500">
                  <c:v>16.7</c:v>
                </c:pt>
                <c:pt idx="501">
                  <c:v>16.7</c:v>
                </c:pt>
                <c:pt idx="502">
                  <c:v>16.75</c:v>
                </c:pt>
                <c:pt idx="503">
                  <c:v>16.8</c:v>
                </c:pt>
                <c:pt idx="504">
                  <c:v>16.8</c:v>
                </c:pt>
                <c:pt idx="505">
                  <c:v>16.85</c:v>
                </c:pt>
                <c:pt idx="506">
                  <c:v>16.9</c:v>
                </c:pt>
                <c:pt idx="507">
                  <c:v>16.9</c:v>
                </c:pt>
                <c:pt idx="508">
                  <c:v>16.95</c:v>
                </c:pt>
                <c:pt idx="509">
                  <c:v>17</c:v>
                </c:pt>
                <c:pt idx="510">
                  <c:v>17</c:v>
                </c:pt>
                <c:pt idx="511">
                  <c:v>17.05</c:v>
                </c:pt>
                <c:pt idx="512">
                  <c:v>17.1</c:v>
                </c:pt>
                <c:pt idx="513">
                  <c:v>17.1</c:v>
                </c:pt>
                <c:pt idx="514">
                  <c:v>17.15</c:v>
                </c:pt>
                <c:pt idx="515">
                  <c:v>17.2</c:v>
                </c:pt>
                <c:pt idx="516">
                  <c:v>17.2</c:v>
                </c:pt>
                <c:pt idx="517">
                  <c:v>17.25</c:v>
                </c:pt>
                <c:pt idx="518">
                  <c:v>17.3</c:v>
                </c:pt>
                <c:pt idx="519">
                  <c:v>17.3</c:v>
                </c:pt>
                <c:pt idx="520">
                  <c:v>17.35</c:v>
                </c:pt>
                <c:pt idx="521">
                  <c:v>17.4</c:v>
                </c:pt>
                <c:pt idx="522">
                  <c:v>17.4</c:v>
                </c:pt>
                <c:pt idx="523">
                  <c:v>17.45</c:v>
                </c:pt>
                <c:pt idx="524">
                  <c:v>17.5</c:v>
                </c:pt>
                <c:pt idx="525">
                  <c:v>17.55</c:v>
                </c:pt>
                <c:pt idx="526">
                  <c:v>17.55</c:v>
                </c:pt>
                <c:pt idx="527">
                  <c:v>17.6</c:v>
                </c:pt>
                <c:pt idx="528">
                  <c:v>17.65</c:v>
                </c:pt>
                <c:pt idx="529">
                  <c:v>17.65</c:v>
                </c:pt>
                <c:pt idx="530">
                  <c:v>17.7</c:v>
                </c:pt>
                <c:pt idx="531">
                  <c:v>17.75</c:v>
                </c:pt>
                <c:pt idx="532">
                  <c:v>17.75</c:v>
                </c:pt>
                <c:pt idx="533">
                  <c:v>17.8</c:v>
                </c:pt>
                <c:pt idx="534">
                  <c:v>17.85</c:v>
                </c:pt>
                <c:pt idx="535">
                  <c:v>17.85</c:v>
                </c:pt>
                <c:pt idx="536">
                  <c:v>17.9</c:v>
                </c:pt>
                <c:pt idx="537">
                  <c:v>17.95</c:v>
                </c:pt>
                <c:pt idx="538">
                  <c:v>17.95</c:v>
                </c:pt>
                <c:pt idx="539">
                  <c:v>18</c:v>
                </c:pt>
                <c:pt idx="540">
                  <c:v>18.05</c:v>
                </c:pt>
                <c:pt idx="541">
                  <c:v>18.05</c:v>
                </c:pt>
                <c:pt idx="542">
                  <c:v>18.1</c:v>
                </c:pt>
                <c:pt idx="543">
                  <c:v>18.15</c:v>
                </c:pt>
                <c:pt idx="544">
                  <c:v>18.15</c:v>
                </c:pt>
                <c:pt idx="545">
                  <c:v>18.2</c:v>
                </c:pt>
                <c:pt idx="546">
                  <c:v>18.25</c:v>
                </c:pt>
                <c:pt idx="547">
                  <c:v>18.25</c:v>
                </c:pt>
                <c:pt idx="548">
                  <c:v>18.3</c:v>
                </c:pt>
                <c:pt idx="549">
                  <c:v>18.35</c:v>
                </c:pt>
                <c:pt idx="550">
                  <c:v>18.35</c:v>
                </c:pt>
                <c:pt idx="551">
                  <c:v>18.4</c:v>
                </c:pt>
                <c:pt idx="552">
                  <c:v>18.45</c:v>
                </c:pt>
                <c:pt idx="553">
                  <c:v>18.45</c:v>
                </c:pt>
                <c:pt idx="554">
                  <c:v>18.5</c:v>
                </c:pt>
                <c:pt idx="555">
                  <c:v>18.55</c:v>
                </c:pt>
                <c:pt idx="556">
                  <c:v>18.55</c:v>
                </c:pt>
                <c:pt idx="557">
                  <c:v>18.6</c:v>
                </c:pt>
                <c:pt idx="558">
                  <c:v>18.65</c:v>
                </c:pt>
                <c:pt idx="559">
                  <c:v>18.65</c:v>
                </c:pt>
                <c:pt idx="560">
                  <c:v>18.7</c:v>
                </c:pt>
                <c:pt idx="561">
                  <c:v>18.75</c:v>
                </c:pt>
                <c:pt idx="562">
                  <c:v>18.75</c:v>
                </c:pt>
                <c:pt idx="563">
                  <c:v>18.8</c:v>
                </c:pt>
                <c:pt idx="564">
                  <c:v>18.85</c:v>
                </c:pt>
                <c:pt idx="565">
                  <c:v>18.85</c:v>
                </c:pt>
                <c:pt idx="566">
                  <c:v>18.9</c:v>
                </c:pt>
                <c:pt idx="567">
                  <c:v>18.95</c:v>
                </c:pt>
                <c:pt idx="568">
                  <c:v>18.95</c:v>
                </c:pt>
                <c:pt idx="569">
                  <c:v>19</c:v>
                </c:pt>
                <c:pt idx="570">
                  <c:v>19.05</c:v>
                </c:pt>
                <c:pt idx="571">
                  <c:v>19.05</c:v>
                </c:pt>
                <c:pt idx="572">
                  <c:v>19.1</c:v>
                </c:pt>
                <c:pt idx="573">
                  <c:v>19.15</c:v>
                </c:pt>
                <c:pt idx="574">
                  <c:v>19.15</c:v>
                </c:pt>
                <c:pt idx="575">
                  <c:v>19.2</c:v>
                </c:pt>
                <c:pt idx="576">
                  <c:v>19.25</c:v>
                </c:pt>
                <c:pt idx="577">
                  <c:v>19.25</c:v>
                </c:pt>
                <c:pt idx="578">
                  <c:v>19.3</c:v>
                </c:pt>
                <c:pt idx="579">
                  <c:v>19.35</c:v>
                </c:pt>
                <c:pt idx="580">
                  <c:v>19.35</c:v>
                </c:pt>
                <c:pt idx="581">
                  <c:v>19.4</c:v>
                </c:pt>
                <c:pt idx="582">
                  <c:v>19.45</c:v>
                </c:pt>
                <c:pt idx="583">
                  <c:v>19.45</c:v>
                </c:pt>
                <c:pt idx="584">
                  <c:v>19.5</c:v>
                </c:pt>
                <c:pt idx="585">
                  <c:v>19.55</c:v>
                </c:pt>
                <c:pt idx="586">
                  <c:v>19.55</c:v>
                </c:pt>
                <c:pt idx="587">
                  <c:v>19.6</c:v>
                </c:pt>
                <c:pt idx="588">
                  <c:v>19.65</c:v>
                </c:pt>
                <c:pt idx="589">
                  <c:v>19.65</c:v>
                </c:pt>
                <c:pt idx="590">
                  <c:v>19.7</c:v>
                </c:pt>
                <c:pt idx="591">
                  <c:v>19.75</c:v>
                </c:pt>
                <c:pt idx="592">
                  <c:v>19.75</c:v>
                </c:pt>
                <c:pt idx="593">
                  <c:v>19.8</c:v>
                </c:pt>
                <c:pt idx="594">
                  <c:v>19.85</c:v>
                </c:pt>
                <c:pt idx="595">
                  <c:v>19.85</c:v>
                </c:pt>
                <c:pt idx="596">
                  <c:v>19.9</c:v>
                </c:pt>
                <c:pt idx="597">
                  <c:v>19.95</c:v>
                </c:pt>
                <c:pt idx="598">
                  <c:v>19.95</c:v>
                </c:pt>
                <c:pt idx="599">
                  <c:v>20</c:v>
                </c:pt>
                <c:pt idx="600">
                  <c:v>20.05</c:v>
                </c:pt>
                <c:pt idx="601">
                  <c:v>20.05</c:v>
                </c:pt>
                <c:pt idx="602">
                  <c:v>20.1</c:v>
                </c:pt>
                <c:pt idx="603">
                  <c:v>20.15</c:v>
                </c:pt>
                <c:pt idx="604">
                  <c:v>20.15</c:v>
                </c:pt>
                <c:pt idx="605">
                  <c:v>20.2</c:v>
                </c:pt>
                <c:pt idx="606">
                  <c:v>20.25</c:v>
                </c:pt>
                <c:pt idx="607">
                  <c:v>20.25</c:v>
                </c:pt>
                <c:pt idx="608">
                  <c:v>20.3</c:v>
                </c:pt>
                <c:pt idx="609">
                  <c:v>20.35</c:v>
                </c:pt>
                <c:pt idx="610">
                  <c:v>20.35</c:v>
                </c:pt>
                <c:pt idx="611">
                  <c:v>20.4</c:v>
                </c:pt>
                <c:pt idx="612">
                  <c:v>20.45</c:v>
                </c:pt>
                <c:pt idx="613">
                  <c:v>20.45</c:v>
                </c:pt>
                <c:pt idx="614">
                  <c:v>20.5</c:v>
                </c:pt>
                <c:pt idx="615">
                  <c:v>20.55</c:v>
                </c:pt>
                <c:pt idx="616">
                  <c:v>20.55</c:v>
                </c:pt>
                <c:pt idx="617">
                  <c:v>20.6</c:v>
                </c:pt>
                <c:pt idx="618">
                  <c:v>20.65</c:v>
                </c:pt>
                <c:pt idx="619">
                  <c:v>20.65</c:v>
                </c:pt>
                <c:pt idx="620">
                  <c:v>20.7</c:v>
                </c:pt>
                <c:pt idx="621">
                  <c:v>20.75</c:v>
                </c:pt>
                <c:pt idx="622">
                  <c:v>20.75</c:v>
                </c:pt>
                <c:pt idx="623">
                  <c:v>20.8</c:v>
                </c:pt>
                <c:pt idx="624">
                  <c:v>20.85</c:v>
                </c:pt>
                <c:pt idx="625">
                  <c:v>20.85</c:v>
                </c:pt>
                <c:pt idx="626">
                  <c:v>20.9</c:v>
                </c:pt>
                <c:pt idx="627">
                  <c:v>20.95</c:v>
                </c:pt>
                <c:pt idx="628">
                  <c:v>20.95</c:v>
                </c:pt>
                <c:pt idx="629">
                  <c:v>21</c:v>
                </c:pt>
                <c:pt idx="630">
                  <c:v>21.05</c:v>
                </c:pt>
                <c:pt idx="631">
                  <c:v>21.05</c:v>
                </c:pt>
                <c:pt idx="632">
                  <c:v>21.1</c:v>
                </c:pt>
                <c:pt idx="633">
                  <c:v>21.15</c:v>
                </c:pt>
                <c:pt idx="634">
                  <c:v>21.15</c:v>
                </c:pt>
                <c:pt idx="635">
                  <c:v>21.2</c:v>
                </c:pt>
                <c:pt idx="636">
                  <c:v>21.25</c:v>
                </c:pt>
                <c:pt idx="637">
                  <c:v>21.25</c:v>
                </c:pt>
                <c:pt idx="638">
                  <c:v>21.3</c:v>
                </c:pt>
                <c:pt idx="639">
                  <c:v>21.35</c:v>
                </c:pt>
                <c:pt idx="640">
                  <c:v>21.35</c:v>
                </c:pt>
                <c:pt idx="641">
                  <c:v>21.4</c:v>
                </c:pt>
                <c:pt idx="642">
                  <c:v>21.45</c:v>
                </c:pt>
                <c:pt idx="643">
                  <c:v>21.45</c:v>
                </c:pt>
                <c:pt idx="644">
                  <c:v>21.5</c:v>
                </c:pt>
                <c:pt idx="645">
                  <c:v>21.55</c:v>
                </c:pt>
                <c:pt idx="646">
                  <c:v>21.55</c:v>
                </c:pt>
                <c:pt idx="647">
                  <c:v>21.6</c:v>
                </c:pt>
                <c:pt idx="648">
                  <c:v>21.65</c:v>
                </c:pt>
                <c:pt idx="649">
                  <c:v>21.65</c:v>
                </c:pt>
                <c:pt idx="650">
                  <c:v>21.7</c:v>
                </c:pt>
                <c:pt idx="651">
                  <c:v>21.75</c:v>
                </c:pt>
                <c:pt idx="652">
                  <c:v>21.75</c:v>
                </c:pt>
                <c:pt idx="653">
                  <c:v>21.8</c:v>
                </c:pt>
                <c:pt idx="654">
                  <c:v>21.85</c:v>
                </c:pt>
                <c:pt idx="655">
                  <c:v>21.85</c:v>
                </c:pt>
                <c:pt idx="656">
                  <c:v>21.9</c:v>
                </c:pt>
                <c:pt idx="657">
                  <c:v>21.95</c:v>
                </c:pt>
                <c:pt idx="658">
                  <c:v>21.95</c:v>
                </c:pt>
                <c:pt idx="659">
                  <c:v>22</c:v>
                </c:pt>
                <c:pt idx="660">
                  <c:v>22.05</c:v>
                </c:pt>
                <c:pt idx="661">
                  <c:v>22.05</c:v>
                </c:pt>
                <c:pt idx="662">
                  <c:v>22.1</c:v>
                </c:pt>
                <c:pt idx="663">
                  <c:v>22.15</c:v>
                </c:pt>
                <c:pt idx="664">
                  <c:v>22.15</c:v>
                </c:pt>
                <c:pt idx="665">
                  <c:v>22.2</c:v>
                </c:pt>
                <c:pt idx="666">
                  <c:v>22.25</c:v>
                </c:pt>
                <c:pt idx="667">
                  <c:v>22.25</c:v>
                </c:pt>
                <c:pt idx="668">
                  <c:v>22.3</c:v>
                </c:pt>
                <c:pt idx="669">
                  <c:v>22.35</c:v>
                </c:pt>
                <c:pt idx="670">
                  <c:v>22.35</c:v>
                </c:pt>
                <c:pt idx="671">
                  <c:v>22.4</c:v>
                </c:pt>
                <c:pt idx="672">
                  <c:v>22.45</c:v>
                </c:pt>
                <c:pt idx="673">
                  <c:v>22.45</c:v>
                </c:pt>
                <c:pt idx="674">
                  <c:v>22.5</c:v>
                </c:pt>
                <c:pt idx="675">
                  <c:v>22.55</c:v>
                </c:pt>
                <c:pt idx="676">
                  <c:v>22.55</c:v>
                </c:pt>
                <c:pt idx="677">
                  <c:v>22.6</c:v>
                </c:pt>
                <c:pt idx="678">
                  <c:v>22.65</c:v>
                </c:pt>
                <c:pt idx="679">
                  <c:v>22.65</c:v>
                </c:pt>
                <c:pt idx="680">
                  <c:v>22.7</c:v>
                </c:pt>
                <c:pt idx="681">
                  <c:v>22.75</c:v>
                </c:pt>
                <c:pt idx="682">
                  <c:v>22.75</c:v>
                </c:pt>
                <c:pt idx="683">
                  <c:v>22.8</c:v>
                </c:pt>
                <c:pt idx="684">
                  <c:v>22.85</c:v>
                </c:pt>
                <c:pt idx="685">
                  <c:v>22.85</c:v>
                </c:pt>
                <c:pt idx="686">
                  <c:v>22.9</c:v>
                </c:pt>
                <c:pt idx="687">
                  <c:v>22.95</c:v>
                </c:pt>
                <c:pt idx="688">
                  <c:v>22.95</c:v>
                </c:pt>
                <c:pt idx="689">
                  <c:v>23</c:v>
                </c:pt>
                <c:pt idx="690">
                  <c:v>23.05</c:v>
                </c:pt>
                <c:pt idx="691">
                  <c:v>23.05</c:v>
                </c:pt>
                <c:pt idx="692">
                  <c:v>23.1</c:v>
                </c:pt>
                <c:pt idx="693">
                  <c:v>23.15</c:v>
                </c:pt>
                <c:pt idx="694">
                  <c:v>23.15</c:v>
                </c:pt>
                <c:pt idx="695">
                  <c:v>23.2</c:v>
                </c:pt>
                <c:pt idx="696">
                  <c:v>23.25</c:v>
                </c:pt>
                <c:pt idx="697">
                  <c:v>23.25</c:v>
                </c:pt>
                <c:pt idx="698">
                  <c:v>23.3</c:v>
                </c:pt>
                <c:pt idx="699">
                  <c:v>23.35</c:v>
                </c:pt>
                <c:pt idx="700">
                  <c:v>23.4</c:v>
                </c:pt>
                <c:pt idx="701">
                  <c:v>23.4</c:v>
                </c:pt>
                <c:pt idx="702">
                  <c:v>23.45</c:v>
                </c:pt>
                <c:pt idx="703">
                  <c:v>23.5</c:v>
                </c:pt>
                <c:pt idx="704">
                  <c:v>23.5</c:v>
                </c:pt>
                <c:pt idx="705">
                  <c:v>23.55</c:v>
                </c:pt>
                <c:pt idx="706">
                  <c:v>23.6</c:v>
                </c:pt>
                <c:pt idx="707">
                  <c:v>23.6</c:v>
                </c:pt>
                <c:pt idx="708">
                  <c:v>23.65</c:v>
                </c:pt>
                <c:pt idx="709">
                  <c:v>23.7</c:v>
                </c:pt>
                <c:pt idx="710">
                  <c:v>23.7</c:v>
                </c:pt>
                <c:pt idx="711">
                  <c:v>23.75</c:v>
                </c:pt>
                <c:pt idx="712">
                  <c:v>23.8</c:v>
                </c:pt>
                <c:pt idx="713">
                  <c:v>23.8</c:v>
                </c:pt>
                <c:pt idx="714">
                  <c:v>23.85</c:v>
                </c:pt>
                <c:pt idx="715">
                  <c:v>23.9</c:v>
                </c:pt>
                <c:pt idx="716">
                  <c:v>23.9</c:v>
                </c:pt>
                <c:pt idx="717">
                  <c:v>23.95</c:v>
                </c:pt>
                <c:pt idx="718">
                  <c:v>24</c:v>
                </c:pt>
                <c:pt idx="719">
                  <c:v>24</c:v>
                </c:pt>
                <c:pt idx="720">
                  <c:v>24.05</c:v>
                </c:pt>
                <c:pt idx="721">
                  <c:v>24.1</c:v>
                </c:pt>
                <c:pt idx="722">
                  <c:v>24.1</c:v>
                </c:pt>
                <c:pt idx="723">
                  <c:v>24.15</c:v>
                </c:pt>
                <c:pt idx="724">
                  <c:v>24.2</c:v>
                </c:pt>
                <c:pt idx="725">
                  <c:v>24.2</c:v>
                </c:pt>
                <c:pt idx="726">
                  <c:v>24.25</c:v>
                </c:pt>
                <c:pt idx="727">
                  <c:v>24.3</c:v>
                </c:pt>
                <c:pt idx="728">
                  <c:v>24.3</c:v>
                </c:pt>
                <c:pt idx="729">
                  <c:v>24.35</c:v>
                </c:pt>
                <c:pt idx="730">
                  <c:v>24.4</c:v>
                </c:pt>
                <c:pt idx="731">
                  <c:v>24.4</c:v>
                </c:pt>
                <c:pt idx="732">
                  <c:v>24.45</c:v>
                </c:pt>
                <c:pt idx="733">
                  <c:v>24.5</c:v>
                </c:pt>
                <c:pt idx="734">
                  <c:v>24.5</c:v>
                </c:pt>
                <c:pt idx="735">
                  <c:v>24.55</c:v>
                </c:pt>
                <c:pt idx="736">
                  <c:v>24.6</c:v>
                </c:pt>
                <c:pt idx="737">
                  <c:v>24.6</c:v>
                </c:pt>
                <c:pt idx="738">
                  <c:v>24.65</c:v>
                </c:pt>
                <c:pt idx="739">
                  <c:v>24.7</c:v>
                </c:pt>
                <c:pt idx="740">
                  <c:v>24.7</c:v>
                </c:pt>
                <c:pt idx="741">
                  <c:v>24.75</c:v>
                </c:pt>
                <c:pt idx="742">
                  <c:v>24.8</c:v>
                </c:pt>
                <c:pt idx="743">
                  <c:v>24.8</c:v>
                </c:pt>
                <c:pt idx="744">
                  <c:v>24.85</c:v>
                </c:pt>
                <c:pt idx="745">
                  <c:v>24.9</c:v>
                </c:pt>
                <c:pt idx="746">
                  <c:v>24.9</c:v>
                </c:pt>
                <c:pt idx="747">
                  <c:v>24.95</c:v>
                </c:pt>
                <c:pt idx="748">
                  <c:v>25</c:v>
                </c:pt>
                <c:pt idx="749">
                  <c:v>25</c:v>
                </c:pt>
                <c:pt idx="750">
                  <c:v>25.05</c:v>
                </c:pt>
                <c:pt idx="751">
                  <c:v>25.1</c:v>
                </c:pt>
                <c:pt idx="752">
                  <c:v>25.1</c:v>
                </c:pt>
                <c:pt idx="753">
                  <c:v>25.15</c:v>
                </c:pt>
                <c:pt idx="754">
                  <c:v>25.2</c:v>
                </c:pt>
                <c:pt idx="755">
                  <c:v>25.2</c:v>
                </c:pt>
                <c:pt idx="756">
                  <c:v>25.25</c:v>
                </c:pt>
                <c:pt idx="757">
                  <c:v>25.3</c:v>
                </c:pt>
                <c:pt idx="758">
                  <c:v>25.3</c:v>
                </c:pt>
                <c:pt idx="759">
                  <c:v>25.35</c:v>
                </c:pt>
                <c:pt idx="760">
                  <c:v>25.4</c:v>
                </c:pt>
                <c:pt idx="761">
                  <c:v>25.4</c:v>
                </c:pt>
                <c:pt idx="762">
                  <c:v>25.45</c:v>
                </c:pt>
                <c:pt idx="763">
                  <c:v>25.5</c:v>
                </c:pt>
                <c:pt idx="764">
                  <c:v>25.5</c:v>
                </c:pt>
                <c:pt idx="765">
                  <c:v>25.55</c:v>
                </c:pt>
                <c:pt idx="766">
                  <c:v>25.6</c:v>
                </c:pt>
                <c:pt idx="767">
                  <c:v>25.6</c:v>
                </c:pt>
                <c:pt idx="768">
                  <c:v>25.65</c:v>
                </c:pt>
                <c:pt idx="769">
                  <c:v>25.7</c:v>
                </c:pt>
                <c:pt idx="770">
                  <c:v>25.7</c:v>
                </c:pt>
                <c:pt idx="771">
                  <c:v>25.75</c:v>
                </c:pt>
                <c:pt idx="772">
                  <c:v>25.8</c:v>
                </c:pt>
                <c:pt idx="773">
                  <c:v>25.8</c:v>
                </c:pt>
                <c:pt idx="774">
                  <c:v>25.85</c:v>
                </c:pt>
                <c:pt idx="775">
                  <c:v>25.9</c:v>
                </c:pt>
                <c:pt idx="776">
                  <c:v>25.9</c:v>
                </c:pt>
                <c:pt idx="777">
                  <c:v>25.95</c:v>
                </c:pt>
                <c:pt idx="778">
                  <c:v>26</c:v>
                </c:pt>
                <c:pt idx="779">
                  <c:v>26</c:v>
                </c:pt>
                <c:pt idx="780">
                  <c:v>26.05</c:v>
                </c:pt>
                <c:pt idx="781">
                  <c:v>26.1</c:v>
                </c:pt>
                <c:pt idx="782">
                  <c:v>26.1</c:v>
                </c:pt>
                <c:pt idx="783">
                  <c:v>26.15</c:v>
                </c:pt>
                <c:pt idx="784">
                  <c:v>26.2</c:v>
                </c:pt>
                <c:pt idx="785">
                  <c:v>26.2</c:v>
                </c:pt>
                <c:pt idx="786">
                  <c:v>26.25</c:v>
                </c:pt>
                <c:pt idx="787">
                  <c:v>26.3</c:v>
                </c:pt>
                <c:pt idx="788">
                  <c:v>26.3</c:v>
                </c:pt>
                <c:pt idx="789">
                  <c:v>26.35</c:v>
                </c:pt>
                <c:pt idx="790">
                  <c:v>26.4</c:v>
                </c:pt>
                <c:pt idx="791">
                  <c:v>26.4</c:v>
                </c:pt>
                <c:pt idx="792">
                  <c:v>26.45</c:v>
                </c:pt>
                <c:pt idx="793">
                  <c:v>26.5</c:v>
                </c:pt>
                <c:pt idx="794">
                  <c:v>26.5</c:v>
                </c:pt>
                <c:pt idx="795">
                  <c:v>26.55</c:v>
                </c:pt>
                <c:pt idx="796">
                  <c:v>26.6</c:v>
                </c:pt>
                <c:pt idx="797">
                  <c:v>26.6</c:v>
                </c:pt>
                <c:pt idx="798">
                  <c:v>26.65</c:v>
                </c:pt>
                <c:pt idx="799">
                  <c:v>26.7</c:v>
                </c:pt>
                <c:pt idx="800">
                  <c:v>26.7</c:v>
                </c:pt>
                <c:pt idx="801">
                  <c:v>26.75</c:v>
                </c:pt>
                <c:pt idx="802">
                  <c:v>26.8</c:v>
                </c:pt>
                <c:pt idx="803">
                  <c:v>26.8</c:v>
                </c:pt>
                <c:pt idx="804">
                  <c:v>26.85</c:v>
                </c:pt>
                <c:pt idx="805">
                  <c:v>26.9</c:v>
                </c:pt>
                <c:pt idx="806">
                  <c:v>26.9</c:v>
                </c:pt>
                <c:pt idx="807">
                  <c:v>26.95</c:v>
                </c:pt>
                <c:pt idx="808">
                  <c:v>27</c:v>
                </c:pt>
                <c:pt idx="809">
                  <c:v>27</c:v>
                </c:pt>
                <c:pt idx="810">
                  <c:v>27.05</c:v>
                </c:pt>
                <c:pt idx="811">
                  <c:v>27.1</c:v>
                </c:pt>
                <c:pt idx="812">
                  <c:v>27.1</c:v>
                </c:pt>
                <c:pt idx="813">
                  <c:v>27.15</c:v>
                </c:pt>
                <c:pt idx="814">
                  <c:v>27.2</c:v>
                </c:pt>
                <c:pt idx="815">
                  <c:v>27.2</c:v>
                </c:pt>
                <c:pt idx="816">
                  <c:v>27.25</c:v>
                </c:pt>
                <c:pt idx="817">
                  <c:v>27.3</c:v>
                </c:pt>
                <c:pt idx="818">
                  <c:v>27.3</c:v>
                </c:pt>
                <c:pt idx="819">
                  <c:v>27.35</c:v>
                </c:pt>
                <c:pt idx="820">
                  <c:v>27.4</c:v>
                </c:pt>
                <c:pt idx="821">
                  <c:v>27.4</c:v>
                </c:pt>
                <c:pt idx="822">
                  <c:v>27.45</c:v>
                </c:pt>
                <c:pt idx="823">
                  <c:v>27.5</c:v>
                </c:pt>
                <c:pt idx="824">
                  <c:v>27.5</c:v>
                </c:pt>
                <c:pt idx="825">
                  <c:v>27.55</c:v>
                </c:pt>
                <c:pt idx="826">
                  <c:v>27.6</c:v>
                </c:pt>
                <c:pt idx="827">
                  <c:v>27.6</c:v>
                </c:pt>
                <c:pt idx="828">
                  <c:v>27.65</c:v>
                </c:pt>
                <c:pt idx="829">
                  <c:v>27.7</c:v>
                </c:pt>
                <c:pt idx="830">
                  <c:v>27.7</c:v>
                </c:pt>
                <c:pt idx="831">
                  <c:v>27.75</c:v>
                </c:pt>
                <c:pt idx="832">
                  <c:v>27.8</c:v>
                </c:pt>
                <c:pt idx="833">
                  <c:v>27.8</c:v>
                </c:pt>
                <c:pt idx="834">
                  <c:v>27.85</c:v>
                </c:pt>
                <c:pt idx="835">
                  <c:v>27.9</c:v>
                </c:pt>
                <c:pt idx="836">
                  <c:v>27.9</c:v>
                </c:pt>
                <c:pt idx="837">
                  <c:v>27.95</c:v>
                </c:pt>
                <c:pt idx="838">
                  <c:v>28</c:v>
                </c:pt>
                <c:pt idx="839">
                  <c:v>28</c:v>
                </c:pt>
                <c:pt idx="840">
                  <c:v>28.05</c:v>
                </c:pt>
                <c:pt idx="841">
                  <c:v>28.1</c:v>
                </c:pt>
                <c:pt idx="842">
                  <c:v>28.1</c:v>
                </c:pt>
                <c:pt idx="843">
                  <c:v>28.15</c:v>
                </c:pt>
                <c:pt idx="844">
                  <c:v>28.2</c:v>
                </c:pt>
                <c:pt idx="845">
                  <c:v>28.2</c:v>
                </c:pt>
                <c:pt idx="846">
                  <c:v>28.25</c:v>
                </c:pt>
                <c:pt idx="847">
                  <c:v>28.3</c:v>
                </c:pt>
                <c:pt idx="848">
                  <c:v>28.3</c:v>
                </c:pt>
                <c:pt idx="849">
                  <c:v>28.35</c:v>
                </c:pt>
                <c:pt idx="850">
                  <c:v>28.4</c:v>
                </c:pt>
                <c:pt idx="851">
                  <c:v>28.4</c:v>
                </c:pt>
                <c:pt idx="852">
                  <c:v>28.45</c:v>
                </c:pt>
                <c:pt idx="853">
                  <c:v>28.5</c:v>
                </c:pt>
                <c:pt idx="854">
                  <c:v>28.5</c:v>
                </c:pt>
                <c:pt idx="855">
                  <c:v>28.55</c:v>
                </c:pt>
                <c:pt idx="856">
                  <c:v>28.6</c:v>
                </c:pt>
                <c:pt idx="857">
                  <c:v>28.6</c:v>
                </c:pt>
                <c:pt idx="858">
                  <c:v>28.65</c:v>
                </c:pt>
                <c:pt idx="859">
                  <c:v>28.7</c:v>
                </c:pt>
                <c:pt idx="860">
                  <c:v>28.7</c:v>
                </c:pt>
                <c:pt idx="861">
                  <c:v>28.75</c:v>
                </c:pt>
                <c:pt idx="862">
                  <c:v>28.8</c:v>
                </c:pt>
                <c:pt idx="863">
                  <c:v>28.8</c:v>
                </c:pt>
                <c:pt idx="864">
                  <c:v>28.85</c:v>
                </c:pt>
                <c:pt idx="865">
                  <c:v>28.9</c:v>
                </c:pt>
                <c:pt idx="866">
                  <c:v>28.9</c:v>
                </c:pt>
                <c:pt idx="867">
                  <c:v>28.95</c:v>
                </c:pt>
                <c:pt idx="868">
                  <c:v>29</c:v>
                </c:pt>
                <c:pt idx="869">
                  <c:v>29</c:v>
                </c:pt>
                <c:pt idx="870">
                  <c:v>29.05</c:v>
                </c:pt>
                <c:pt idx="871">
                  <c:v>29.1</c:v>
                </c:pt>
                <c:pt idx="872">
                  <c:v>29.1</c:v>
                </c:pt>
                <c:pt idx="873">
                  <c:v>29.15</c:v>
                </c:pt>
                <c:pt idx="874">
                  <c:v>29.2</c:v>
                </c:pt>
                <c:pt idx="875">
                  <c:v>29.2</c:v>
                </c:pt>
                <c:pt idx="876">
                  <c:v>29.25</c:v>
                </c:pt>
                <c:pt idx="877">
                  <c:v>29.3</c:v>
                </c:pt>
                <c:pt idx="878">
                  <c:v>29.35</c:v>
                </c:pt>
                <c:pt idx="879">
                  <c:v>29.35</c:v>
                </c:pt>
                <c:pt idx="880">
                  <c:v>29.4</c:v>
                </c:pt>
                <c:pt idx="881">
                  <c:v>29.45</c:v>
                </c:pt>
                <c:pt idx="882">
                  <c:v>29.45</c:v>
                </c:pt>
                <c:pt idx="883">
                  <c:v>29.5</c:v>
                </c:pt>
                <c:pt idx="884">
                  <c:v>29.55</c:v>
                </c:pt>
                <c:pt idx="885">
                  <c:v>29.55</c:v>
                </c:pt>
                <c:pt idx="886">
                  <c:v>29.6</c:v>
                </c:pt>
                <c:pt idx="887">
                  <c:v>29.65</c:v>
                </c:pt>
                <c:pt idx="888">
                  <c:v>29.65</c:v>
                </c:pt>
                <c:pt idx="889">
                  <c:v>29.7</c:v>
                </c:pt>
                <c:pt idx="890">
                  <c:v>29.75</c:v>
                </c:pt>
                <c:pt idx="891">
                  <c:v>29.75</c:v>
                </c:pt>
                <c:pt idx="892">
                  <c:v>29.8</c:v>
                </c:pt>
                <c:pt idx="893">
                  <c:v>29.85</c:v>
                </c:pt>
                <c:pt idx="894">
                  <c:v>29.85</c:v>
                </c:pt>
                <c:pt idx="895">
                  <c:v>29.9</c:v>
                </c:pt>
                <c:pt idx="896">
                  <c:v>29.95</c:v>
                </c:pt>
                <c:pt idx="897">
                  <c:v>29.95</c:v>
                </c:pt>
                <c:pt idx="898">
                  <c:v>30</c:v>
                </c:pt>
                <c:pt idx="899">
                  <c:v>30.05</c:v>
                </c:pt>
                <c:pt idx="900">
                  <c:v>30.05</c:v>
                </c:pt>
                <c:pt idx="901">
                  <c:v>30.1</c:v>
                </c:pt>
                <c:pt idx="902">
                  <c:v>30.15</c:v>
                </c:pt>
                <c:pt idx="903">
                  <c:v>30.15</c:v>
                </c:pt>
                <c:pt idx="904">
                  <c:v>30.2</c:v>
                </c:pt>
                <c:pt idx="905">
                  <c:v>30.25</c:v>
                </c:pt>
                <c:pt idx="906">
                  <c:v>30.25</c:v>
                </c:pt>
                <c:pt idx="907">
                  <c:v>30.3</c:v>
                </c:pt>
                <c:pt idx="908">
                  <c:v>30.35</c:v>
                </c:pt>
                <c:pt idx="909">
                  <c:v>30.35</c:v>
                </c:pt>
                <c:pt idx="910">
                  <c:v>30.4</c:v>
                </c:pt>
                <c:pt idx="911">
                  <c:v>30.45</c:v>
                </c:pt>
                <c:pt idx="912">
                  <c:v>30.45</c:v>
                </c:pt>
                <c:pt idx="913">
                  <c:v>30.5</c:v>
                </c:pt>
                <c:pt idx="914">
                  <c:v>30.55</c:v>
                </c:pt>
                <c:pt idx="915">
                  <c:v>30.55</c:v>
                </c:pt>
                <c:pt idx="916">
                  <c:v>30.6</c:v>
                </c:pt>
                <c:pt idx="917">
                  <c:v>30.65</c:v>
                </c:pt>
                <c:pt idx="918">
                  <c:v>30.65</c:v>
                </c:pt>
                <c:pt idx="919">
                  <c:v>30.7</c:v>
                </c:pt>
                <c:pt idx="920">
                  <c:v>30.75</c:v>
                </c:pt>
                <c:pt idx="921">
                  <c:v>30.75</c:v>
                </c:pt>
                <c:pt idx="922">
                  <c:v>30.8</c:v>
                </c:pt>
                <c:pt idx="923">
                  <c:v>30.85</c:v>
                </c:pt>
                <c:pt idx="924">
                  <c:v>30.85</c:v>
                </c:pt>
                <c:pt idx="925">
                  <c:v>30.9</c:v>
                </c:pt>
                <c:pt idx="926">
                  <c:v>30.95</c:v>
                </c:pt>
                <c:pt idx="927">
                  <c:v>30.95</c:v>
                </c:pt>
                <c:pt idx="928">
                  <c:v>31</c:v>
                </c:pt>
                <c:pt idx="929">
                  <c:v>31.05</c:v>
                </c:pt>
                <c:pt idx="930">
                  <c:v>31.05</c:v>
                </c:pt>
                <c:pt idx="931">
                  <c:v>31.1</c:v>
                </c:pt>
                <c:pt idx="932">
                  <c:v>31.15</c:v>
                </c:pt>
                <c:pt idx="933">
                  <c:v>31.15</c:v>
                </c:pt>
                <c:pt idx="934">
                  <c:v>31.2</c:v>
                </c:pt>
                <c:pt idx="935">
                  <c:v>31.25</c:v>
                </c:pt>
                <c:pt idx="936">
                  <c:v>31.25</c:v>
                </c:pt>
                <c:pt idx="937">
                  <c:v>31.3</c:v>
                </c:pt>
                <c:pt idx="938">
                  <c:v>31.35</c:v>
                </c:pt>
                <c:pt idx="939">
                  <c:v>31.35</c:v>
                </c:pt>
                <c:pt idx="940">
                  <c:v>31.4</c:v>
                </c:pt>
                <c:pt idx="941">
                  <c:v>31.45</c:v>
                </c:pt>
                <c:pt idx="942">
                  <c:v>31.45</c:v>
                </c:pt>
                <c:pt idx="943">
                  <c:v>31.5</c:v>
                </c:pt>
                <c:pt idx="944">
                  <c:v>31.55</c:v>
                </c:pt>
                <c:pt idx="945">
                  <c:v>31.55</c:v>
                </c:pt>
                <c:pt idx="946">
                  <c:v>31.6</c:v>
                </c:pt>
                <c:pt idx="947">
                  <c:v>31.65</c:v>
                </c:pt>
                <c:pt idx="948">
                  <c:v>31.65</c:v>
                </c:pt>
                <c:pt idx="949">
                  <c:v>31.7</c:v>
                </c:pt>
                <c:pt idx="950">
                  <c:v>31.75</c:v>
                </c:pt>
                <c:pt idx="951">
                  <c:v>31.75</c:v>
                </c:pt>
                <c:pt idx="952">
                  <c:v>31.8</c:v>
                </c:pt>
                <c:pt idx="953">
                  <c:v>31.85</c:v>
                </c:pt>
                <c:pt idx="954">
                  <c:v>31.85</c:v>
                </c:pt>
                <c:pt idx="955">
                  <c:v>31.9</c:v>
                </c:pt>
                <c:pt idx="956">
                  <c:v>31.95</c:v>
                </c:pt>
                <c:pt idx="957">
                  <c:v>31.95</c:v>
                </c:pt>
                <c:pt idx="958">
                  <c:v>32</c:v>
                </c:pt>
                <c:pt idx="959">
                  <c:v>32.05</c:v>
                </c:pt>
                <c:pt idx="960">
                  <c:v>32.05</c:v>
                </c:pt>
                <c:pt idx="961">
                  <c:v>32.1</c:v>
                </c:pt>
                <c:pt idx="962">
                  <c:v>32.15</c:v>
                </c:pt>
                <c:pt idx="963">
                  <c:v>32.15</c:v>
                </c:pt>
                <c:pt idx="964">
                  <c:v>32.2</c:v>
                </c:pt>
                <c:pt idx="965">
                  <c:v>32.25</c:v>
                </c:pt>
                <c:pt idx="966">
                  <c:v>32.25</c:v>
                </c:pt>
                <c:pt idx="967">
                  <c:v>32.3</c:v>
                </c:pt>
                <c:pt idx="968">
                  <c:v>32.35</c:v>
                </c:pt>
                <c:pt idx="969">
                  <c:v>32.35</c:v>
                </c:pt>
                <c:pt idx="970">
                  <c:v>32.4</c:v>
                </c:pt>
                <c:pt idx="971">
                  <c:v>32.45</c:v>
                </c:pt>
                <c:pt idx="972">
                  <c:v>32.45</c:v>
                </c:pt>
                <c:pt idx="973">
                  <c:v>32.5</c:v>
                </c:pt>
                <c:pt idx="974">
                  <c:v>32.55</c:v>
                </c:pt>
                <c:pt idx="975">
                  <c:v>32.55</c:v>
                </c:pt>
                <c:pt idx="976">
                  <c:v>32.6</c:v>
                </c:pt>
                <c:pt idx="977">
                  <c:v>32.65</c:v>
                </c:pt>
                <c:pt idx="978">
                  <c:v>32.65</c:v>
                </c:pt>
                <c:pt idx="979">
                  <c:v>32.7</c:v>
                </c:pt>
                <c:pt idx="980">
                  <c:v>32.75</c:v>
                </c:pt>
                <c:pt idx="981">
                  <c:v>32.75</c:v>
                </c:pt>
                <c:pt idx="982">
                  <c:v>32.8</c:v>
                </c:pt>
                <c:pt idx="983">
                  <c:v>32.85</c:v>
                </c:pt>
                <c:pt idx="984">
                  <c:v>32.85</c:v>
                </c:pt>
                <c:pt idx="985">
                  <c:v>32.9</c:v>
                </c:pt>
                <c:pt idx="986">
                  <c:v>32.95</c:v>
                </c:pt>
                <c:pt idx="987">
                  <c:v>32.95</c:v>
                </c:pt>
                <c:pt idx="988">
                  <c:v>33</c:v>
                </c:pt>
                <c:pt idx="989">
                  <c:v>33.05</c:v>
                </c:pt>
                <c:pt idx="990">
                  <c:v>33.05</c:v>
                </c:pt>
                <c:pt idx="991">
                  <c:v>33.1</c:v>
                </c:pt>
                <c:pt idx="992">
                  <c:v>33.15</c:v>
                </c:pt>
                <c:pt idx="993">
                  <c:v>33.15</c:v>
                </c:pt>
                <c:pt idx="994">
                  <c:v>33.2</c:v>
                </c:pt>
                <c:pt idx="995">
                  <c:v>33.25</c:v>
                </c:pt>
                <c:pt idx="996">
                  <c:v>33.25</c:v>
                </c:pt>
                <c:pt idx="997">
                  <c:v>33.3</c:v>
                </c:pt>
                <c:pt idx="998">
                  <c:v>33.35</c:v>
                </c:pt>
                <c:pt idx="999">
                  <c:v>33.35</c:v>
                </c:pt>
                <c:pt idx="1000">
                  <c:v>33.4</c:v>
                </c:pt>
                <c:pt idx="1001">
                  <c:v>33.45</c:v>
                </c:pt>
                <c:pt idx="1002">
                  <c:v>33.45</c:v>
                </c:pt>
                <c:pt idx="1003">
                  <c:v>33.5</c:v>
                </c:pt>
                <c:pt idx="1004">
                  <c:v>33.55</c:v>
                </c:pt>
                <c:pt idx="1005">
                  <c:v>33.55</c:v>
                </c:pt>
                <c:pt idx="1006">
                  <c:v>33.6</c:v>
                </c:pt>
                <c:pt idx="1007">
                  <c:v>33.65</c:v>
                </c:pt>
                <c:pt idx="1008">
                  <c:v>33.65</c:v>
                </c:pt>
                <c:pt idx="1009">
                  <c:v>33.7</c:v>
                </c:pt>
                <c:pt idx="1010">
                  <c:v>33.75</c:v>
                </c:pt>
                <c:pt idx="1011">
                  <c:v>33.75</c:v>
                </c:pt>
                <c:pt idx="1012">
                  <c:v>33.8</c:v>
                </c:pt>
                <c:pt idx="1013">
                  <c:v>33.85</c:v>
                </c:pt>
                <c:pt idx="1014">
                  <c:v>33.85</c:v>
                </c:pt>
                <c:pt idx="1015">
                  <c:v>33.9</c:v>
                </c:pt>
                <c:pt idx="1016">
                  <c:v>33.95</c:v>
                </c:pt>
                <c:pt idx="1017">
                  <c:v>33.95</c:v>
                </c:pt>
                <c:pt idx="1018">
                  <c:v>34</c:v>
                </c:pt>
                <c:pt idx="1019">
                  <c:v>34.05</c:v>
                </c:pt>
                <c:pt idx="1020">
                  <c:v>34.05</c:v>
                </c:pt>
                <c:pt idx="1021">
                  <c:v>34.1</c:v>
                </c:pt>
                <c:pt idx="1022">
                  <c:v>34.15</c:v>
                </c:pt>
                <c:pt idx="1023">
                  <c:v>34.15</c:v>
                </c:pt>
                <c:pt idx="1024">
                  <c:v>34.2</c:v>
                </c:pt>
                <c:pt idx="1025">
                  <c:v>34.25</c:v>
                </c:pt>
                <c:pt idx="1026">
                  <c:v>34.25</c:v>
                </c:pt>
                <c:pt idx="1027">
                  <c:v>34.3</c:v>
                </c:pt>
                <c:pt idx="1028">
                  <c:v>34.35</c:v>
                </c:pt>
                <c:pt idx="1029">
                  <c:v>34.35</c:v>
                </c:pt>
                <c:pt idx="1030">
                  <c:v>34.4</c:v>
                </c:pt>
                <c:pt idx="1031">
                  <c:v>34.45</c:v>
                </c:pt>
                <c:pt idx="1032">
                  <c:v>34.45</c:v>
                </c:pt>
                <c:pt idx="1033">
                  <c:v>34.5</c:v>
                </c:pt>
                <c:pt idx="1034">
                  <c:v>34.55</c:v>
                </c:pt>
                <c:pt idx="1035">
                  <c:v>34.55</c:v>
                </c:pt>
                <c:pt idx="1036">
                  <c:v>34.6</c:v>
                </c:pt>
                <c:pt idx="1037">
                  <c:v>34.65</c:v>
                </c:pt>
                <c:pt idx="1038">
                  <c:v>34.65</c:v>
                </c:pt>
                <c:pt idx="1039">
                  <c:v>34.7</c:v>
                </c:pt>
                <c:pt idx="1040">
                  <c:v>34.75</c:v>
                </c:pt>
                <c:pt idx="1041">
                  <c:v>34.75</c:v>
                </c:pt>
                <c:pt idx="1042">
                  <c:v>34.8</c:v>
                </c:pt>
                <c:pt idx="1043">
                  <c:v>34.85</c:v>
                </c:pt>
                <c:pt idx="1044">
                  <c:v>34.85</c:v>
                </c:pt>
                <c:pt idx="1045">
                  <c:v>34.9</c:v>
                </c:pt>
                <c:pt idx="1046">
                  <c:v>34.95</c:v>
                </c:pt>
                <c:pt idx="1047">
                  <c:v>34.95</c:v>
                </c:pt>
                <c:pt idx="1048">
                  <c:v>35</c:v>
                </c:pt>
                <c:pt idx="1049">
                  <c:v>35.05</c:v>
                </c:pt>
                <c:pt idx="1050">
                  <c:v>35.05</c:v>
                </c:pt>
                <c:pt idx="1051">
                  <c:v>35.1</c:v>
                </c:pt>
                <c:pt idx="1052">
                  <c:v>35.15</c:v>
                </c:pt>
                <c:pt idx="1053">
                  <c:v>35.2</c:v>
                </c:pt>
                <c:pt idx="1054">
                  <c:v>35.2</c:v>
                </c:pt>
                <c:pt idx="1055">
                  <c:v>35.25</c:v>
                </c:pt>
                <c:pt idx="1056">
                  <c:v>35.3</c:v>
                </c:pt>
                <c:pt idx="1057">
                  <c:v>35.3</c:v>
                </c:pt>
                <c:pt idx="1058">
                  <c:v>35.35</c:v>
                </c:pt>
                <c:pt idx="1059">
                  <c:v>35.4</c:v>
                </c:pt>
                <c:pt idx="1060">
                  <c:v>35.4</c:v>
                </c:pt>
                <c:pt idx="1061">
                  <c:v>35.45</c:v>
                </c:pt>
                <c:pt idx="1062">
                  <c:v>35.5</c:v>
                </c:pt>
                <c:pt idx="1063">
                  <c:v>35.5</c:v>
                </c:pt>
                <c:pt idx="1064">
                  <c:v>35.55</c:v>
                </c:pt>
                <c:pt idx="1065">
                  <c:v>35.6</c:v>
                </c:pt>
                <c:pt idx="1066">
                  <c:v>35.6</c:v>
                </c:pt>
                <c:pt idx="1067">
                  <c:v>35.65</c:v>
                </c:pt>
                <c:pt idx="1068">
                  <c:v>35.7</c:v>
                </c:pt>
                <c:pt idx="1069">
                  <c:v>35.7</c:v>
                </c:pt>
                <c:pt idx="1070">
                  <c:v>35.75</c:v>
                </c:pt>
                <c:pt idx="1071">
                  <c:v>35.8</c:v>
                </c:pt>
                <c:pt idx="1072">
                  <c:v>35.8</c:v>
                </c:pt>
                <c:pt idx="1073">
                  <c:v>35.85</c:v>
                </c:pt>
                <c:pt idx="1074">
                  <c:v>35.9</c:v>
                </c:pt>
                <c:pt idx="1075">
                  <c:v>35.9</c:v>
                </c:pt>
                <c:pt idx="1076">
                  <c:v>35.95</c:v>
                </c:pt>
                <c:pt idx="1077">
                  <c:v>36</c:v>
                </c:pt>
                <c:pt idx="1078">
                  <c:v>36</c:v>
                </c:pt>
                <c:pt idx="1079">
                  <c:v>36.05</c:v>
                </c:pt>
                <c:pt idx="1080">
                  <c:v>36.1</c:v>
                </c:pt>
                <c:pt idx="1081">
                  <c:v>36.1</c:v>
                </c:pt>
                <c:pt idx="1082">
                  <c:v>36.15</c:v>
                </c:pt>
                <c:pt idx="1083">
                  <c:v>36.2</c:v>
                </c:pt>
                <c:pt idx="1084">
                  <c:v>36.2</c:v>
                </c:pt>
                <c:pt idx="1085">
                  <c:v>36.25</c:v>
                </c:pt>
                <c:pt idx="1086">
                  <c:v>36.3</c:v>
                </c:pt>
                <c:pt idx="1087">
                  <c:v>36.3</c:v>
                </c:pt>
                <c:pt idx="1088">
                  <c:v>36.35</c:v>
                </c:pt>
                <c:pt idx="1089">
                  <c:v>36.4</c:v>
                </c:pt>
                <c:pt idx="1090">
                  <c:v>36.4</c:v>
                </c:pt>
                <c:pt idx="1091">
                  <c:v>36.45</c:v>
                </c:pt>
                <c:pt idx="1092">
                  <c:v>36.5</c:v>
                </c:pt>
                <c:pt idx="1093">
                  <c:v>36.5</c:v>
                </c:pt>
                <c:pt idx="1094">
                  <c:v>36.55</c:v>
                </c:pt>
                <c:pt idx="1095">
                  <c:v>36.6</c:v>
                </c:pt>
                <c:pt idx="1096">
                  <c:v>36.6</c:v>
                </c:pt>
                <c:pt idx="1097">
                  <c:v>36.65</c:v>
                </c:pt>
                <c:pt idx="1098">
                  <c:v>36.7</c:v>
                </c:pt>
                <c:pt idx="1099">
                  <c:v>36.7</c:v>
                </c:pt>
                <c:pt idx="1100">
                  <c:v>36.75</c:v>
                </c:pt>
                <c:pt idx="1101">
                  <c:v>36.8</c:v>
                </c:pt>
                <c:pt idx="1102">
                  <c:v>36.8</c:v>
                </c:pt>
                <c:pt idx="1103">
                  <c:v>36.85</c:v>
                </c:pt>
                <c:pt idx="1104">
                  <c:v>36.9</c:v>
                </c:pt>
                <c:pt idx="1105">
                  <c:v>36.9</c:v>
                </c:pt>
                <c:pt idx="1106">
                  <c:v>36.95</c:v>
                </c:pt>
                <c:pt idx="1107">
                  <c:v>37</c:v>
                </c:pt>
                <c:pt idx="1108">
                  <c:v>37</c:v>
                </c:pt>
                <c:pt idx="1109">
                  <c:v>37.05</c:v>
                </c:pt>
                <c:pt idx="1110">
                  <c:v>37.1</c:v>
                </c:pt>
                <c:pt idx="1111">
                  <c:v>37.1</c:v>
                </c:pt>
                <c:pt idx="1112">
                  <c:v>37.15</c:v>
                </c:pt>
                <c:pt idx="1113">
                  <c:v>37.2</c:v>
                </c:pt>
                <c:pt idx="1114">
                  <c:v>37.2</c:v>
                </c:pt>
                <c:pt idx="1115">
                  <c:v>37.25</c:v>
                </c:pt>
                <c:pt idx="1116">
                  <c:v>37.3</c:v>
                </c:pt>
                <c:pt idx="1117">
                  <c:v>37.3</c:v>
                </c:pt>
                <c:pt idx="1118">
                  <c:v>37.35</c:v>
                </c:pt>
                <c:pt idx="1119">
                  <c:v>37.4</c:v>
                </c:pt>
                <c:pt idx="1120">
                  <c:v>37.4</c:v>
                </c:pt>
                <c:pt idx="1121">
                  <c:v>37.45</c:v>
                </c:pt>
                <c:pt idx="1122">
                  <c:v>37.5</c:v>
                </c:pt>
                <c:pt idx="1123">
                  <c:v>37.5</c:v>
                </c:pt>
                <c:pt idx="1124">
                  <c:v>37.55</c:v>
                </c:pt>
                <c:pt idx="1125">
                  <c:v>37.6</c:v>
                </c:pt>
                <c:pt idx="1126">
                  <c:v>37.6</c:v>
                </c:pt>
                <c:pt idx="1127">
                  <c:v>37.65</c:v>
                </c:pt>
                <c:pt idx="1128">
                  <c:v>37.7</c:v>
                </c:pt>
                <c:pt idx="1129">
                  <c:v>37.7</c:v>
                </c:pt>
                <c:pt idx="1130">
                  <c:v>37.75</c:v>
                </c:pt>
                <c:pt idx="1131">
                  <c:v>37.8</c:v>
                </c:pt>
                <c:pt idx="1132">
                  <c:v>37.8</c:v>
                </c:pt>
                <c:pt idx="1133">
                  <c:v>37.85</c:v>
                </c:pt>
                <c:pt idx="1134">
                  <c:v>37.9</c:v>
                </c:pt>
                <c:pt idx="1135">
                  <c:v>37.9</c:v>
                </c:pt>
                <c:pt idx="1136">
                  <c:v>37.95</c:v>
                </c:pt>
                <c:pt idx="1137">
                  <c:v>38</c:v>
                </c:pt>
                <c:pt idx="1138">
                  <c:v>38</c:v>
                </c:pt>
                <c:pt idx="1139">
                  <c:v>38.05</c:v>
                </c:pt>
                <c:pt idx="1140">
                  <c:v>38.1</c:v>
                </c:pt>
              </c:numCache>
            </c:numRef>
          </c:cat>
          <c:val>
            <c:numRef>
              <c:f>'常压_b_20 (3)'!$K$4:$K$1144</c:f>
              <c:numCache>
                <c:formatCode>General</c:formatCode>
                <c:ptCount val="1141"/>
                <c:pt idx="0">
                  <c:v>-150</c:v>
                </c:pt>
                <c:pt idx="1">
                  <c:v>-150</c:v>
                </c:pt>
                <c:pt idx="2">
                  <c:v>-150</c:v>
                </c:pt>
                <c:pt idx="3">
                  <c:v>-150</c:v>
                </c:pt>
                <c:pt idx="4">
                  <c:v>-150</c:v>
                </c:pt>
                <c:pt idx="5">
                  <c:v>-150</c:v>
                </c:pt>
                <c:pt idx="6">
                  <c:v>-150</c:v>
                </c:pt>
                <c:pt idx="7">
                  <c:v>-150</c:v>
                </c:pt>
                <c:pt idx="8">
                  <c:v>-150</c:v>
                </c:pt>
                <c:pt idx="9">
                  <c:v>-150</c:v>
                </c:pt>
                <c:pt idx="10">
                  <c:v>-150</c:v>
                </c:pt>
                <c:pt idx="11">
                  <c:v>-150</c:v>
                </c:pt>
                <c:pt idx="12">
                  <c:v>-150</c:v>
                </c:pt>
                <c:pt idx="13">
                  <c:v>-150</c:v>
                </c:pt>
                <c:pt idx="14">
                  <c:v>-150</c:v>
                </c:pt>
                <c:pt idx="15">
                  <c:v>-150</c:v>
                </c:pt>
                <c:pt idx="16">
                  <c:v>-150</c:v>
                </c:pt>
                <c:pt idx="17">
                  <c:v>-150</c:v>
                </c:pt>
                <c:pt idx="18">
                  <c:v>-150</c:v>
                </c:pt>
                <c:pt idx="19">
                  <c:v>-150</c:v>
                </c:pt>
                <c:pt idx="20">
                  <c:v>-150</c:v>
                </c:pt>
                <c:pt idx="21">
                  <c:v>-150</c:v>
                </c:pt>
                <c:pt idx="22">
                  <c:v>-150</c:v>
                </c:pt>
                <c:pt idx="23">
                  <c:v>-150</c:v>
                </c:pt>
                <c:pt idx="24">
                  <c:v>-150</c:v>
                </c:pt>
                <c:pt idx="25">
                  <c:v>-150</c:v>
                </c:pt>
                <c:pt idx="26">
                  <c:v>-150</c:v>
                </c:pt>
                <c:pt idx="27">
                  <c:v>-150</c:v>
                </c:pt>
                <c:pt idx="28">
                  <c:v>-150</c:v>
                </c:pt>
                <c:pt idx="29">
                  <c:v>-150</c:v>
                </c:pt>
                <c:pt idx="30">
                  <c:v>-150</c:v>
                </c:pt>
                <c:pt idx="31">
                  <c:v>-150</c:v>
                </c:pt>
                <c:pt idx="32">
                  <c:v>-150</c:v>
                </c:pt>
                <c:pt idx="33">
                  <c:v>-150</c:v>
                </c:pt>
                <c:pt idx="34">
                  <c:v>-150</c:v>
                </c:pt>
                <c:pt idx="35">
                  <c:v>-150</c:v>
                </c:pt>
                <c:pt idx="36">
                  <c:v>-150</c:v>
                </c:pt>
                <c:pt idx="37">
                  <c:v>-150</c:v>
                </c:pt>
                <c:pt idx="38">
                  <c:v>-150</c:v>
                </c:pt>
                <c:pt idx="39">
                  <c:v>-150</c:v>
                </c:pt>
                <c:pt idx="40">
                  <c:v>-150</c:v>
                </c:pt>
                <c:pt idx="41">
                  <c:v>-150</c:v>
                </c:pt>
                <c:pt idx="42">
                  <c:v>-150</c:v>
                </c:pt>
                <c:pt idx="43">
                  <c:v>-150</c:v>
                </c:pt>
                <c:pt idx="44">
                  <c:v>-150</c:v>
                </c:pt>
                <c:pt idx="45">
                  <c:v>-150</c:v>
                </c:pt>
                <c:pt idx="46">
                  <c:v>-150</c:v>
                </c:pt>
                <c:pt idx="47">
                  <c:v>-150</c:v>
                </c:pt>
                <c:pt idx="48">
                  <c:v>-150</c:v>
                </c:pt>
                <c:pt idx="49">
                  <c:v>-150</c:v>
                </c:pt>
                <c:pt idx="50">
                  <c:v>-150</c:v>
                </c:pt>
                <c:pt idx="51">
                  <c:v>-150</c:v>
                </c:pt>
                <c:pt idx="52">
                  <c:v>-150</c:v>
                </c:pt>
                <c:pt idx="53">
                  <c:v>-150</c:v>
                </c:pt>
                <c:pt idx="54">
                  <c:v>-150</c:v>
                </c:pt>
                <c:pt idx="55">
                  <c:v>-150</c:v>
                </c:pt>
                <c:pt idx="56">
                  <c:v>-150</c:v>
                </c:pt>
                <c:pt idx="57">
                  <c:v>-150</c:v>
                </c:pt>
                <c:pt idx="58">
                  <c:v>-150</c:v>
                </c:pt>
                <c:pt idx="59">
                  <c:v>-150</c:v>
                </c:pt>
                <c:pt idx="60">
                  <c:v>-150</c:v>
                </c:pt>
                <c:pt idx="61">
                  <c:v>-150</c:v>
                </c:pt>
                <c:pt idx="62">
                  <c:v>-150</c:v>
                </c:pt>
                <c:pt idx="63">
                  <c:v>-150</c:v>
                </c:pt>
                <c:pt idx="64">
                  <c:v>-150</c:v>
                </c:pt>
                <c:pt idx="65">
                  <c:v>-150</c:v>
                </c:pt>
                <c:pt idx="66">
                  <c:v>-150</c:v>
                </c:pt>
                <c:pt idx="67">
                  <c:v>-150</c:v>
                </c:pt>
                <c:pt idx="68">
                  <c:v>-150</c:v>
                </c:pt>
                <c:pt idx="69">
                  <c:v>-150</c:v>
                </c:pt>
                <c:pt idx="70">
                  <c:v>-150</c:v>
                </c:pt>
                <c:pt idx="71">
                  <c:v>-150</c:v>
                </c:pt>
                <c:pt idx="72">
                  <c:v>-150</c:v>
                </c:pt>
                <c:pt idx="73">
                  <c:v>-150</c:v>
                </c:pt>
                <c:pt idx="74">
                  <c:v>-150</c:v>
                </c:pt>
                <c:pt idx="75">
                  <c:v>-150</c:v>
                </c:pt>
                <c:pt idx="76">
                  <c:v>-150</c:v>
                </c:pt>
                <c:pt idx="77">
                  <c:v>-150</c:v>
                </c:pt>
                <c:pt idx="78">
                  <c:v>-150</c:v>
                </c:pt>
                <c:pt idx="79">
                  <c:v>-150</c:v>
                </c:pt>
                <c:pt idx="80">
                  <c:v>-150</c:v>
                </c:pt>
                <c:pt idx="81">
                  <c:v>-150</c:v>
                </c:pt>
                <c:pt idx="82">
                  <c:v>-150</c:v>
                </c:pt>
                <c:pt idx="83">
                  <c:v>-150</c:v>
                </c:pt>
                <c:pt idx="84">
                  <c:v>-150</c:v>
                </c:pt>
                <c:pt idx="85">
                  <c:v>-150</c:v>
                </c:pt>
                <c:pt idx="86">
                  <c:v>-150</c:v>
                </c:pt>
                <c:pt idx="87">
                  <c:v>-150</c:v>
                </c:pt>
                <c:pt idx="88">
                  <c:v>-150</c:v>
                </c:pt>
                <c:pt idx="89">
                  <c:v>-150</c:v>
                </c:pt>
                <c:pt idx="90">
                  <c:v>-150</c:v>
                </c:pt>
                <c:pt idx="91">
                  <c:v>-150</c:v>
                </c:pt>
                <c:pt idx="92">
                  <c:v>-150</c:v>
                </c:pt>
                <c:pt idx="93">
                  <c:v>-150</c:v>
                </c:pt>
                <c:pt idx="94">
                  <c:v>-150</c:v>
                </c:pt>
                <c:pt idx="95">
                  <c:v>-150</c:v>
                </c:pt>
                <c:pt idx="96">
                  <c:v>-150</c:v>
                </c:pt>
                <c:pt idx="97">
                  <c:v>-150</c:v>
                </c:pt>
                <c:pt idx="98">
                  <c:v>-150</c:v>
                </c:pt>
                <c:pt idx="99">
                  <c:v>-150</c:v>
                </c:pt>
                <c:pt idx="100">
                  <c:v>-150</c:v>
                </c:pt>
                <c:pt idx="101">
                  <c:v>-150</c:v>
                </c:pt>
                <c:pt idx="102">
                  <c:v>-150</c:v>
                </c:pt>
                <c:pt idx="103">
                  <c:v>-150</c:v>
                </c:pt>
                <c:pt idx="104">
                  <c:v>-150</c:v>
                </c:pt>
                <c:pt idx="105">
                  <c:v>-150</c:v>
                </c:pt>
                <c:pt idx="106">
                  <c:v>-150</c:v>
                </c:pt>
                <c:pt idx="107">
                  <c:v>-150</c:v>
                </c:pt>
                <c:pt idx="108">
                  <c:v>-150</c:v>
                </c:pt>
                <c:pt idx="109">
                  <c:v>-150</c:v>
                </c:pt>
                <c:pt idx="110">
                  <c:v>-150</c:v>
                </c:pt>
                <c:pt idx="111">
                  <c:v>-150</c:v>
                </c:pt>
                <c:pt idx="112">
                  <c:v>-150</c:v>
                </c:pt>
                <c:pt idx="113">
                  <c:v>-150</c:v>
                </c:pt>
                <c:pt idx="114">
                  <c:v>-150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-150</c:v>
                </c:pt>
                <c:pt idx="139">
                  <c:v>-150</c:v>
                </c:pt>
                <c:pt idx="140">
                  <c:v>-150</c:v>
                </c:pt>
                <c:pt idx="141">
                  <c:v>-150</c:v>
                </c:pt>
                <c:pt idx="142">
                  <c:v>-150</c:v>
                </c:pt>
                <c:pt idx="143">
                  <c:v>-150</c:v>
                </c:pt>
                <c:pt idx="144">
                  <c:v>-150</c:v>
                </c:pt>
                <c:pt idx="145">
                  <c:v>-150</c:v>
                </c:pt>
                <c:pt idx="146">
                  <c:v>-150</c:v>
                </c:pt>
                <c:pt idx="147">
                  <c:v>-150</c:v>
                </c:pt>
                <c:pt idx="148">
                  <c:v>-150</c:v>
                </c:pt>
                <c:pt idx="149">
                  <c:v>-150</c:v>
                </c:pt>
                <c:pt idx="150">
                  <c:v>-150</c:v>
                </c:pt>
                <c:pt idx="151">
                  <c:v>-150</c:v>
                </c:pt>
                <c:pt idx="152">
                  <c:v>-150</c:v>
                </c:pt>
                <c:pt idx="153">
                  <c:v>-150</c:v>
                </c:pt>
                <c:pt idx="154">
                  <c:v>-150</c:v>
                </c:pt>
                <c:pt idx="155">
                  <c:v>-150</c:v>
                </c:pt>
                <c:pt idx="156">
                  <c:v>-150</c:v>
                </c:pt>
                <c:pt idx="157">
                  <c:v>-150</c:v>
                </c:pt>
                <c:pt idx="158">
                  <c:v>-150</c:v>
                </c:pt>
                <c:pt idx="159">
                  <c:v>-150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-150</c:v>
                </c:pt>
                <c:pt idx="184">
                  <c:v>-150</c:v>
                </c:pt>
                <c:pt idx="185">
                  <c:v>-150</c:v>
                </c:pt>
                <c:pt idx="186">
                  <c:v>-150</c:v>
                </c:pt>
                <c:pt idx="187">
                  <c:v>-150</c:v>
                </c:pt>
                <c:pt idx="188">
                  <c:v>-150</c:v>
                </c:pt>
                <c:pt idx="189">
                  <c:v>-150</c:v>
                </c:pt>
                <c:pt idx="190">
                  <c:v>-150</c:v>
                </c:pt>
                <c:pt idx="191">
                  <c:v>-150</c:v>
                </c:pt>
                <c:pt idx="192">
                  <c:v>-150</c:v>
                </c:pt>
                <c:pt idx="193">
                  <c:v>-150</c:v>
                </c:pt>
                <c:pt idx="194">
                  <c:v>-150</c:v>
                </c:pt>
                <c:pt idx="195">
                  <c:v>-150</c:v>
                </c:pt>
                <c:pt idx="196">
                  <c:v>-150</c:v>
                </c:pt>
                <c:pt idx="197">
                  <c:v>-150</c:v>
                </c:pt>
                <c:pt idx="198">
                  <c:v>-150</c:v>
                </c:pt>
                <c:pt idx="199">
                  <c:v>-150</c:v>
                </c:pt>
                <c:pt idx="200">
                  <c:v>-150</c:v>
                </c:pt>
                <c:pt idx="201">
                  <c:v>-150</c:v>
                </c:pt>
                <c:pt idx="202">
                  <c:v>-150</c:v>
                </c:pt>
                <c:pt idx="203">
                  <c:v>-150</c:v>
                </c:pt>
                <c:pt idx="204">
                  <c:v>-150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-150</c:v>
                </c:pt>
                <c:pt idx="229">
                  <c:v>-150</c:v>
                </c:pt>
                <c:pt idx="230">
                  <c:v>-150</c:v>
                </c:pt>
                <c:pt idx="231">
                  <c:v>-150</c:v>
                </c:pt>
                <c:pt idx="232">
                  <c:v>-150</c:v>
                </c:pt>
                <c:pt idx="233">
                  <c:v>-150</c:v>
                </c:pt>
                <c:pt idx="234">
                  <c:v>-150</c:v>
                </c:pt>
                <c:pt idx="235">
                  <c:v>-150</c:v>
                </c:pt>
                <c:pt idx="236">
                  <c:v>-150</c:v>
                </c:pt>
                <c:pt idx="237">
                  <c:v>-150</c:v>
                </c:pt>
                <c:pt idx="238">
                  <c:v>-150</c:v>
                </c:pt>
                <c:pt idx="239">
                  <c:v>-150</c:v>
                </c:pt>
                <c:pt idx="240">
                  <c:v>-150</c:v>
                </c:pt>
                <c:pt idx="241">
                  <c:v>-150</c:v>
                </c:pt>
                <c:pt idx="242">
                  <c:v>-150</c:v>
                </c:pt>
                <c:pt idx="243">
                  <c:v>-150</c:v>
                </c:pt>
                <c:pt idx="244">
                  <c:v>-150</c:v>
                </c:pt>
                <c:pt idx="245">
                  <c:v>-150</c:v>
                </c:pt>
                <c:pt idx="246">
                  <c:v>-150</c:v>
                </c:pt>
                <c:pt idx="247">
                  <c:v>-150</c:v>
                </c:pt>
                <c:pt idx="248">
                  <c:v>-150</c:v>
                </c:pt>
                <c:pt idx="249">
                  <c:v>-150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-150</c:v>
                </c:pt>
                <c:pt idx="274">
                  <c:v>-150</c:v>
                </c:pt>
                <c:pt idx="275">
                  <c:v>-150</c:v>
                </c:pt>
                <c:pt idx="276">
                  <c:v>-150</c:v>
                </c:pt>
                <c:pt idx="277">
                  <c:v>-150</c:v>
                </c:pt>
                <c:pt idx="278">
                  <c:v>-150</c:v>
                </c:pt>
                <c:pt idx="279">
                  <c:v>-150</c:v>
                </c:pt>
                <c:pt idx="280">
                  <c:v>-150</c:v>
                </c:pt>
                <c:pt idx="281">
                  <c:v>-150</c:v>
                </c:pt>
                <c:pt idx="282">
                  <c:v>-150</c:v>
                </c:pt>
                <c:pt idx="283">
                  <c:v>-150</c:v>
                </c:pt>
                <c:pt idx="284">
                  <c:v>-150</c:v>
                </c:pt>
                <c:pt idx="285">
                  <c:v>-150</c:v>
                </c:pt>
                <c:pt idx="286">
                  <c:v>-150</c:v>
                </c:pt>
                <c:pt idx="287">
                  <c:v>-150</c:v>
                </c:pt>
                <c:pt idx="288">
                  <c:v>-150</c:v>
                </c:pt>
                <c:pt idx="289">
                  <c:v>-150</c:v>
                </c:pt>
                <c:pt idx="290">
                  <c:v>-150</c:v>
                </c:pt>
                <c:pt idx="291">
                  <c:v>-150</c:v>
                </c:pt>
                <c:pt idx="292">
                  <c:v>-150</c:v>
                </c:pt>
                <c:pt idx="293">
                  <c:v>-150</c:v>
                </c:pt>
                <c:pt idx="294">
                  <c:v>-150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100</c:v>
                </c:pt>
                <c:pt idx="318">
                  <c:v>-150</c:v>
                </c:pt>
                <c:pt idx="319">
                  <c:v>-150</c:v>
                </c:pt>
                <c:pt idx="320">
                  <c:v>-150</c:v>
                </c:pt>
                <c:pt idx="321">
                  <c:v>-150</c:v>
                </c:pt>
                <c:pt idx="322">
                  <c:v>-150</c:v>
                </c:pt>
                <c:pt idx="323">
                  <c:v>-150</c:v>
                </c:pt>
                <c:pt idx="324">
                  <c:v>-150</c:v>
                </c:pt>
                <c:pt idx="325">
                  <c:v>-150</c:v>
                </c:pt>
                <c:pt idx="326">
                  <c:v>-150</c:v>
                </c:pt>
                <c:pt idx="327">
                  <c:v>-150</c:v>
                </c:pt>
                <c:pt idx="328">
                  <c:v>-150</c:v>
                </c:pt>
                <c:pt idx="329">
                  <c:v>-150</c:v>
                </c:pt>
                <c:pt idx="330">
                  <c:v>-150</c:v>
                </c:pt>
                <c:pt idx="331">
                  <c:v>-150</c:v>
                </c:pt>
                <c:pt idx="332">
                  <c:v>-150</c:v>
                </c:pt>
                <c:pt idx="333">
                  <c:v>-150</c:v>
                </c:pt>
                <c:pt idx="334">
                  <c:v>-150</c:v>
                </c:pt>
                <c:pt idx="335">
                  <c:v>-150</c:v>
                </c:pt>
                <c:pt idx="336">
                  <c:v>-150</c:v>
                </c:pt>
                <c:pt idx="337">
                  <c:v>-150</c:v>
                </c:pt>
                <c:pt idx="338">
                  <c:v>-150</c:v>
                </c:pt>
                <c:pt idx="339">
                  <c:v>-150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</c:v>
                </c:pt>
                <c:pt idx="357">
                  <c:v>100</c:v>
                </c:pt>
                <c:pt idx="358">
                  <c:v>100</c:v>
                </c:pt>
                <c:pt idx="359">
                  <c:v>100</c:v>
                </c:pt>
                <c:pt idx="360">
                  <c:v>100</c:v>
                </c:pt>
                <c:pt idx="361">
                  <c:v>100</c:v>
                </c:pt>
                <c:pt idx="362">
                  <c:v>-150</c:v>
                </c:pt>
                <c:pt idx="363">
                  <c:v>-150</c:v>
                </c:pt>
                <c:pt idx="364">
                  <c:v>-150</c:v>
                </c:pt>
                <c:pt idx="365">
                  <c:v>-150</c:v>
                </c:pt>
                <c:pt idx="366">
                  <c:v>-150</c:v>
                </c:pt>
                <c:pt idx="367">
                  <c:v>-150</c:v>
                </c:pt>
                <c:pt idx="368">
                  <c:v>-150</c:v>
                </c:pt>
                <c:pt idx="369">
                  <c:v>-150</c:v>
                </c:pt>
                <c:pt idx="370">
                  <c:v>-150</c:v>
                </c:pt>
                <c:pt idx="371">
                  <c:v>-150</c:v>
                </c:pt>
                <c:pt idx="372">
                  <c:v>-150</c:v>
                </c:pt>
                <c:pt idx="373">
                  <c:v>-150</c:v>
                </c:pt>
                <c:pt idx="374">
                  <c:v>-150</c:v>
                </c:pt>
                <c:pt idx="375">
                  <c:v>-150</c:v>
                </c:pt>
                <c:pt idx="376">
                  <c:v>-150</c:v>
                </c:pt>
                <c:pt idx="377">
                  <c:v>-150</c:v>
                </c:pt>
                <c:pt idx="378">
                  <c:v>-150</c:v>
                </c:pt>
                <c:pt idx="379">
                  <c:v>-150</c:v>
                </c:pt>
                <c:pt idx="380">
                  <c:v>-150</c:v>
                </c:pt>
                <c:pt idx="381">
                  <c:v>-150</c:v>
                </c:pt>
                <c:pt idx="382">
                  <c:v>-150</c:v>
                </c:pt>
                <c:pt idx="383">
                  <c:v>-150</c:v>
                </c:pt>
                <c:pt idx="384">
                  <c:v>-150</c:v>
                </c:pt>
                <c:pt idx="385">
                  <c:v>100</c:v>
                </c:pt>
                <c:pt idx="386">
                  <c:v>100</c:v>
                </c:pt>
                <c:pt idx="387">
                  <c:v>100</c:v>
                </c:pt>
                <c:pt idx="388">
                  <c:v>100</c:v>
                </c:pt>
                <c:pt idx="389">
                  <c:v>100</c:v>
                </c:pt>
                <c:pt idx="390">
                  <c:v>100</c:v>
                </c:pt>
                <c:pt idx="391">
                  <c:v>100</c:v>
                </c:pt>
                <c:pt idx="392">
                  <c:v>100</c:v>
                </c:pt>
                <c:pt idx="393">
                  <c:v>100</c:v>
                </c:pt>
                <c:pt idx="394">
                  <c:v>100</c:v>
                </c:pt>
                <c:pt idx="395">
                  <c:v>100</c:v>
                </c:pt>
                <c:pt idx="396">
                  <c:v>100</c:v>
                </c:pt>
                <c:pt idx="397">
                  <c:v>100</c:v>
                </c:pt>
                <c:pt idx="398">
                  <c:v>100</c:v>
                </c:pt>
                <c:pt idx="399">
                  <c:v>100</c:v>
                </c:pt>
                <c:pt idx="400">
                  <c:v>100</c:v>
                </c:pt>
                <c:pt idx="401">
                  <c:v>100</c:v>
                </c:pt>
                <c:pt idx="402">
                  <c:v>100</c:v>
                </c:pt>
                <c:pt idx="403">
                  <c:v>100</c:v>
                </c:pt>
                <c:pt idx="404">
                  <c:v>100</c:v>
                </c:pt>
                <c:pt idx="405">
                  <c:v>100</c:v>
                </c:pt>
                <c:pt idx="406">
                  <c:v>100</c:v>
                </c:pt>
                <c:pt idx="407">
                  <c:v>-150</c:v>
                </c:pt>
                <c:pt idx="408">
                  <c:v>-150</c:v>
                </c:pt>
                <c:pt idx="409">
                  <c:v>-150</c:v>
                </c:pt>
                <c:pt idx="410">
                  <c:v>-150</c:v>
                </c:pt>
                <c:pt idx="411">
                  <c:v>-150</c:v>
                </c:pt>
                <c:pt idx="412">
                  <c:v>-150</c:v>
                </c:pt>
                <c:pt idx="413">
                  <c:v>-150</c:v>
                </c:pt>
                <c:pt idx="414">
                  <c:v>-150</c:v>
                </c:pt>
                <c:pt idx="415">
                  <c:v>-150</c:v>
                </c:pt>
                <c:pt idx="416">
                  <c:v>-150</c:v>
                </c:pt>
                <c:pt idx="417">
                  <c:v>-150</c:v>
                </c:pt>
                <c:pt idx="418">
                  <c:v>-150</c:v>
                </c:pt>
                <c:pt idx="419">
                  <c:v>-150</c:v>
                </c:pt>
                <c:pt idx="420">
                  <c:v>-150</c:v>
                </c:pt>
                <c:pt idx="421">
                  <c:v>-150</c:v>
                </c:pt>
                <c:pt idx="422">
                  <c:v>-150</c:v>
                </c:pt>
                <c:pt idx="423">
                  <c:v>-150</c:v>
                </c:pt>
                <c:pt idx="424">
                  <c:v>-150</c:v>
                </c:pt>
                <c:pt idx="425">
                  <c:v>-150</c:v>
                </c:pt>
                <c:pt idx="426">
                  <c:v>-150</c:v>
                </c:pt>
                <c:pt idx="427">
                  <c:v>-150</c:v>
                </c:pt>
                <c:pt idx="428">
                  <c:v>-150</c:v>
                </c:pt>
                <c:pt idx="429">
                  <c:v>100</c:v>
                </c:pt>
                <c:pt idx="430">
                  <c:v>100</c:v>
                </c:pt>
                <c:pt idx="431">
                  <c:v>100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</c:v>
                </c:pt>
                <c:pt idx="440">
                  <c:v>100</c:v>
                </c:pt>
                <c:pt idx="441">
                  <c:v>100</c:v>
                </c:pt>
                <c:pt idx="442">
                  <c:v>100</c:v>
                </c:pt>
                <c:pt idx="443">
                  <c:v>100</c:v>
                </c:pt>
                <c:pt idx="444">
                  <c:v>100</c:v>
                </c:pt>
                <c:pt idx="445">
                  <c:v>100</c:v>
                </c:pt>
                <c:pt idx="446">
                  <c:v>100</c:v>
                </c:pt>
                <c:pt idx="447">
                  <c:v>100</c:v>
                </c:pt>
                <c:pt idx="448">
                  <c:v>100</c:v>
                </c:pt>
                <c:pt idx="449">
                  <c:v>100</c:v>
                </c:pt>
                <c:pt idx="450">
                  <c:v>100</c:v>
                </c:pt>
                <c:pt idx="451">
                  <c:v>100</c:v>
                </c:pt>
                <c:pt idx="452">
                  <c:v>-150</c:v>
                </c:pt>
                <c:pt idx="453">
                  <c:v>-150</c:v>
                </c:pt>
                <c:pt idx="454">
                  <c:v>-150</c:v>
                </c:pt>
                <c:pt idx="455">
                  <c:v>-150</c:v>
                </c:pt>
                <c:pt idx="456">
                  <c:v>-150</c:v>
                </c:pt>
                <c:pt idx="457">
                  <c:v>-150</c:v>
                </c:pt>
                <c:pt idx="458">
                  <c:v>-150</c:v>
                </c:pt>
                <c:pt idx="459">
                  <c:v>-150</c:v>
                </c:pt>
                <c:pt idx="460">
                  <c:v>-150</c:v>
                </c:pt>
                <c:pt idx="461">
                  <c:v>-150</c:v>
                </c:pt>
                <c:pt idx="462">
                  <c:v>-150</c:v>
                </c:pt>
                <c:pt idx="463">
                  <c:v>-150</c:v>
                </c:pt>
                <c:pt idx="464">
                  <c:v>-150</c:v>
                </c:pt>
                <c:pt idx="465">
                  <c:v>-150</c:v>
                </c:pt>
                <c:pt idx="466">
                  <c:v>-150</c:v>
                </c:pt>
                <c:pt idx="467">
                  <c:v>-150</c:v>
                </c:pt>
                <c:pt idx="468">
                  <c:v>-150</c:v>
                </c:pt>
                <c:pt idx="469">
                  <c:v>-150</c:v>
                </c:pt>
                <c:pt idx="470">
                  <c:v>-150</c:v>
                </c:pt>
                <c:pt idx="471">
                  <c:v>-150</c:v>
                </c:pt>
                <c:pt idx="472">
                  <c:v>-150</c:v>
                </c:pt>
                <c:pt idx="473">
                  <c:v>-150</c:v>
                </c:pt>
                <c:pt idx="474">
                  <c:v>100</c:v>
                </c:pt>
                <c:pt idx="475">
                  <c:v>100</c:v>
                </c:pt>
                <c:pt idx="476">
                  <c:v>100</c:v>
                </c:pt>
                <c:pt idx="477">
                  <c:v>100</c:v>
                </c:pt>
                <c:pt idx="478">
                  <c:v>100</c:v>
                </c:pt>
                <c:pt idx="479">
                  <c:v>100</c:v>
                </c:pt>
                <c:pt idx="480">
                  <c:v>100</c:v>
                </c:pt>
                <c:pt idx="481">
                  <c:v>100</c:v>
                </c:pt>
                <c:pt idx="482">
                  <c:v>100</c:v>
                </c:pt>
                <c:pt idx="483">
                  <c:v>100</c:v>
                </c:pt>
                <c:pt idx="484">
                  <c:v>100</c:v>
                </c:pt>
                <c:pt idx="485">
                  <c:v>100</c:v>
                </c:pt>
                <c:pt idx="486">
                  <c:v>100</c:v>
                </c:pt>
                <c:pt idx="487">
                  <c:v>100</c:v>
                </c:pt>
                <c:pt idx="488">
                  <c:v>100</c:v>
                </c:pt>
                <c:pt idx="489">
                  <c:v>100</c:v>
                </c:pt>
                <c:pt idx="490">
                  <c:v>100</c:v>
                </c:pt>
                <c:pt idx="491">
                  <c:v>100</c:v>
                </c:pt>
                <c:pt idx="492">
                  <c:v>100</c:v>
                </c:pt>
                <c:pt idx="493">
                  <c:v>100</c:v>
                </c:pt>
                <c:pt idx="494">
                  <c:v>100</c:v>
                </c:pt>
                <c:pt idx="495">
                  <c:v>100</c:v>
                </c:pt>
                <c:pt idx="496">
                  <c:v>100</c:v>
                </c:pt>
                <c:pt idx="497">
                  <c:v>-150</c:v>
                </c:pt>
                <c:pt idx="498">
                  <c:v>-150</c:v>
                </c:pt>
                <c:pt idx="499">
                  <c:v>-150</c:v>
                </c:pt>
                <c:pt idx="500">
                  <c:v>-150</c:v>
                </c:pt>
                <c:pt idx="501">
                  <c:v>-150</c:v>
                </c:pt>
                <c:pt idx="502">
                  <c:v>-150</c:v>
                </c:pt>
                <c:pt idx="503">
                  <c:v>-150</c:v>
                </c:pt>
                <c:pt idx="504">
                  <c:v>-150</c:v>
                </c:pt>
                <c:pt idx="505">
                  <c:v>-150</c:v>
                </c:pt>
                <c:pt idx="506">
                  <c:v>-150</c:v>
                </c:pt>
                <c:pt idx="507">
                  <c:v>-150</c:v>
                </c:pt>
                <c:pt idx="508">
                  <c:v>-150</c:v>
                </c:pt>
                <c:pt idx="509">
                  <c:v>-150</c:v>
                </c:pt>
                <c:pt idx="510">
                  <c:v>-150</c:v>
                </c:pt>
                <c:pt idx="511">
                  <c:v>-150</c:v>
                </c:pt>
                <c:pt idx="512">
                  <c:v>-150</c:v>
                </c:pt>
                <c:pt idx="513">
                  <c:v>-150</c:v>
                </c:pt>
                <c:pt idx="514">
                  <c:v>-150</c:v>
                </c:pt>
                <c:pt idx="515">
                  <c:v>-150</c:v>
                </c:pt>
                <c:pt idx="516">
                  <c:v>-150</c:v>
                </c:pt>
                <c:pt idx="517">
                  <c:v>-150</c:v>
                </c:pt>
                <c:pt idx="518">
                  <c:v>-150</c:v>
                </c:pt>
                <c:pt idx="519">
                  <c:v>100</c:v>
                </c:pt>
                <c:pt idx="520">
                  <c:v>100</c:v>
                </c:pt>
                <c:pt idx="521">
                  <c:v>100</c:v>
                </c:pt>
                <c:pt idx="522">
                  <c:v>100</c:v>
                </c:pt>
                <c:pt idx="523">
                  <c:v>100</c:v>
                </c:pt>
                <c:pt idx="524">
                  <c:v>100</c:v>
                </c:pt>
                <c:pt idx="525">
                  <c:v>100</c:v>
                </c:pt>
                <c:pt idx="526">
                  <c:v>100</c:v>
                </c:pt>
                <c:pt idx="527">
                  <c:v>100</c:v>
                </c:pt>
                <c:pt idx="528">
                  <c:v>100</c:v>
                </c:pt>
                <c:pt idx="529">
                  <c:v>100</c:v>
                </c:pt>
                <c:pt idx="530">
                  <c:v>100</c:v>
                </c:pt>
                <c:pt idx="531">
                  <c:v>100</c:v>
                </c:pt>
                <c:pt idx="532">
                  <c:v>100</c:v>
                </c:pt>
                <c:pt idx="533">
                  <c:v>100</c:v>
                </c:pt>
                <c:pt idx="534">
                  <c:v>100</c:v>
                </c:pt>
                <c:pt idx="535">
                  <c:v>100</c:v>
                </c:pt>
                <c:pt idx="536">
                  <c:v>100</c:v>
                </c:pt>
                <c:pt idx="537">
                  <c:v>100</c:v>
                </c:pt>
                <c:pt idx="538">
                  <c:v>100</c:v>
                </c:pt>
                <c:pt idx="539">
                  <c:v>100</c:v>
                </c:pt>
                <c:pt idx="540">
                  <c:v>100</c:v>
                </c:pt>
                <c:pt idx="541">
                  <c:v>100</c:v>
                </c:pt>
                <c:pt idx="542">
                  <c:v>-150</c:v>
                </c:pt>
                <c:pt idx="543">
                  <c:v>-150</c:v>
                </c:pt>
                <c:pt idx="544">
                  <c:v>-150</c:v>
                </c:pt>
                <c:pt idx="545">
                  <c:v>-150</c:v>
                </c:pt>
                <c:pt idx="546">
                  <c:v>-150</c:v>
                </c:pt>
                <c:pt idx="547">
                  <c:v>-150</c:v>
                </c:pt>
                <c:pt idx="548">
                  <c:v>-150</c:v>
                </c:pt>
                <c:pt idx="549">
                  <c:v>-150</c:v>
                </c:pt>
                <c:pt idx="550">
                  <c:v>-150</c:v>
                </c:pt>
                <c:pt idx="551">
                  <c:v>-150</c:v>
                </c:pt>
                <c:pt idx="552">
                  <c:v>-150</c:v>
                </c:pt>
                <c:pt idx="553">
                  <c:v>-150</c:v>
                </c:pt>
                <c:pt idx="554">
                  <c:v>-150</c:v>
                </c:pt>
                <c:pt idx="555">
                  <c:v>-150</c:v>
                </c:pt>
                <c:pt idx="556">
                  <c:v>-150</c:v>
                </c:pt>
                <c:pt idx="557">
                  <c:v>-150</c:v>
                </c:pt>
                <c:pt idx="558">
                  <c:v>-150</c:v>
                </c:pt>
                <c:pt idx="559">
                  <c:v>-150</c:v>
                </c:pt>
                <c:pt idx="560">
                  <c:v>-150</c:v>
                </c:pt>
                <c:pt idx="561">
                  <c:v>-150</c:v>
                </c:pt>
                <c:pt idx="562">
                  <c:v>-150</c:v>
                </c:pt>
                <c:pt idx="563">
                  <c:v>-150</c:v>
                </c:pt>
                <c:pt idx="564">
                  <c:v>100</c:v>
                </c:pt>
                <c:pt idx="565">
                  <c:v>100</c:v>
                </c:pt>
                <c:pt idx="566">
                  <c:v>100</c:v>
                </c:pt>
                <c:pt idx="567">
                  <c:v>100</c:v>
                </c:pt>
                <c:pt idx="568">
                  <c:v>100</c:v>
                </c:pt>
                <c:pt idx="569">
                  <c:v>100</c:v>
                </c:pt>
                <c:pt idx="570">
                  <c:v>100</c:v>
                </c:pt>
                <c:pt idx="571">
                  <c:v>100</c:v>
                </c:pt>
                <c:pt idx="572">
                  <c:v>100</c:v>
                </c:pt>
                <c:pt idx="573">
                  <c:v>100</c:v>
                </c:pt>
                <c:pt idx="574">
                  <c:v>100</c:v>
                </c:pt>
                <c:pt idx="575">
                  <c:v>100</c:v>
                </c:pt>
                <c:pt idx="576">
                  <c:v>100</c:v>
                </c:pt>
                <c:pt idx="577">
                  <c:v>100</c:v>
                </c:pt>
                <c:pt idx="578">
                  <c:v>100</c:v>
                </c:pt>
                <c:pt idx="579">
                  <c:v>100</c:v>
                </c:pt>
                <c:pt idx="580">
                  <c:v>100</c:v>
                </c:pt>
                <c:pt idx="581">
                  <c:v>100</c:v>
                </c:pt>
                <c:pt idx="582">
                  <c:v>100</c:v>
                </c:pt>
                <c:pt idx="583">
                  <c:v>100</c:v>
                </c:pt>
                <c:pt idx="584">
                  <c:v>100</c:v>
                </c:pt>
                <c:pt idx="585">
                  <c:v>100</c:v>
                </c:pt>
                <c:pt idx="586">
                  <c:v>100</c:v>
                </c:pt>
                <c:pt idx="587">
                  <c:v>-150</c:v>
                </c:pt>
                <c:pt idx="588">
                  <c:v>-150</c:v>
                </c:pt>
                <c:pt idx="589">
                  <c:v>-150</c:v>
                </c:pt>
                <c:pt idx="590">
                  <c:v>-150</c:v>
                </c:pt>
                <c:pt idx="591">
                  <c:v>-150</c:v>
                </c:pt>
                <c:pt idx="592">
                  <c:v>-150</c:v>
                </c:pt>
                <c:pt idx="593">
                  <c:v>-150</c:v>
                </c:pt>
                <c:pt idx="594">
                  <c:v>-150</c:v>
                </c:pt>
                <c:pt idx="595">
                  <c:v>-150</c:v>
                </c:pt>
                <c:pt idx="596">
                  <c:v>-150</c:v>
                </c:pt>
                <c:pt idx="597">
                  <c:v>-150</c:v>
                </c:pt>
                <c:pt idx="598">
                  <c:v>-150</c:v>
                </c:pt>
                <c:pt idx="599">
                  <c:v>-150</c:v>
                </c:pt>
                <c:pt idx="600">
                  <c:v>-150</c:v>
                </c:pt>
                <c:pt idx="601">
                  <c:v>-150</c:v>
                </c:pt>
                <c:pt idx="602">
                  <c:v>-150</c:v>
                </c:pt>
                <c:pt idx="603">
                  <c:v>-150</c:v>
                </c:pt>
                <c:pt idx="604">
                  <c:v>-150</c:v>
                </c:pt>
                <c:pt idx="605">
                  <c:v>-150</c:v>
                </c:pt>
                <c:pt idx="606">
                  <c:v>-150</c:v>
                </c:pt>
                <c:pt idx="607">
                  <c:v>-150</c:v>
                </c:pt>
                <c:pt idx="608">
                  <c:v>-150</c:v>
                </c:pt>
                <c:pt idx="609">
                  <c:v>100</c:v>
                </c:pt>
                <c:pt idx="610">
                  <c:v>100</c:v>
                </c:pt>
                <c:pt idx="611">
                  <c:v>100</c:v>
                </c:pt>
                <c:pt idx="612">
                  <c:v>100</c:v>
                </c:pt>
                <c:pt idx="613">
                  <c:v>100</c:v>
                </c:pt>
                <c:pt idx="614">
                  <c:v>100</c:v>
                </c:pt>
                <c:pt idx="615">
                  <c:v>100</c:v>
                </c:pt>
                <c:pt idx="616">
                  <c:v>100</c:v>
                </c:pt>
                <c:pt idx="617">
                  <c:v>100</c:v>
                </c:pt>
                <c:pt idx="618">
                  <c:v>100</c:v>
                </c:pt>
                <c:pt idx="619">
                  <c:v>100</c:v>
                </c:pt>
                <c:pt idx="620">
                  <c:v>100</c:v>
                </c:pt>
                <c:pt idx="621">
                  <c:v>100</c:v>
                </c:pt>
                <c:pt idx="622">
                  <c:v>100</c:v>
                </c:pt>
                <c:pt idx="623">
                  <c:v>100</c:v>
                </c:pt>
                <c:pt idx="624">
                  <c:v>100</c:v>
                </c:pt>
                <c:pt idx="625">
                  <c:v>100</c:v>
                </c:pt>
                <c:pt idx="626">
                  <c:v>100</c:v>
                </c:pt>
                <c:pt idx="627">
                  <c:v>100</c:v>
                </c:pt>
                <c:pt idx="628">
                  <c:v>100</c:v>
                </c:pt>
                <c:pt idx="629">
                  <c:v>100</c:v>
                </c:pt>
                <c:pt idx="630">
                  <c:v>100</c:v>
                </c:pt>
                <c:pt idx="631">
                  <c:v>100</c:v>
                </c:pt>
                <c:pt idx="632">
                  <c:v>-150</c:v>
                </c:pt>
                <c:pt idx="633">
                  <c:v>-150</c:v>
                </c:pt>
                <c:pt idx="634">
                  <c:v>-150</c:v>
                </c:pt>
                <c:pt idx="635">
                  <c:v>-150</c:v>
                </c:pt>
                <c:pt idx="636">
                  <c:v>-150</c:v>
                </c:pt>
                <c:pt idx="637">
                  <c:v>-150</c:v>
                </c:pt>
                <c:pt idx="638">
                  <c:v>-150</c:v>
                </c:pt>
                <c:pt idx="639">
                  <c:v>-150</c:v>
                </c:pt>
                <c:pt idx="640">
                  <c:v>-150</c:v>
                </c:pt>
                <c:pt idx="641">
                  <c:v>-150</c:v>
                </c:pt>
                <c:pt idx="642">
                  <c:v>-150</c:v>
                </c:pt>
                <c:pt idx="643">
                  <c:v>-150</c:v>
                </c:pt>
                <c:pt idx="644">
                  <c:v>-150</c:v>
                </c:pt>
                <c:pt idx="645">
                  <c:v>-150</c:v>
                </c:pt>
                <c:pt idx="646">
                  <c:v>-150</c:v>
                </c:pt>
                <c:pt idx="647">
                  <c:v>-150</c:v>
                </c:pt>
                <c:pt idx="648">
                  <c:v>-150</c:v>
                </c:pt>
                <c:pt idx="649">
                  <c:v>-150</c:v>
                </c:pt>
                <c:pt idx="650">
                  <c:v>-150</c:v>
                </c:pt>
                <c:pt idx="651">
                  <c:v>-150</c:v>
                </c:pt>
                <c:pt idx="652">
                  <c:v>-150</c:v>
                </c:pt>
                <c:pt idx="653">
                  <c:v>-150</c:v>
                </c:pt>
                <c:pt idx="654">
                  <c:v>100</c:v>
                </c:pt>
                <c:pt idx="655">
                  <c:v>100</c:v>
                </c:pt>
                <c:pt idx="656">
                  <c:v>100</c:v>
                </c:pt>
                <c:pt idx="657">
                  <c:v>100</c:v>
                </c:pt>
                <c:pt idx="658">
                  <c:v>100</c:v>
                </c:pt>
                <c:pt idx="659">
                  <c:v>100</c:v>
                </c:pt>
                <c:pt idx="660">
                  <c:v>100</c:v>
                </c:pt>
                <c:pt idx="661">
                  <c:v>100</c:v>
                </c:pt>
                <c:pt idx="662">
                  <c:v>100</c:v>
                </c:pt>
                <c:pt idx="663">
                  <c:v>100</c:v>
                </c:pt>
                <c:pt idx="664">
                  <c:v>100</c:v>
                </c:pt>
                <c:pt idx="665">
                  <c:v>100</c:v>
                </c:pt>
                <c:pt idx="666">
                  <c:v>100</c:v>
                </c:pt>
                <c:pt idx="667">
                  <c:v>100</c:v>
                </c:pt>
                <c:pt idx="668">
                  <c:v>100</c:v>
                </c:pt>
                <c:pt idx="669">
                  <c:v>100</c:v>
                </c:pt>
                <c:pt idx="670">
                  <c:v>100</c:v>
                </c:pt>
                <c:pt idx="671">
                  <c:v>100</c:v>
                </c:pt>
                <c:pt idx="672">
                  <c:v>100</c:v>
                </c:pt>
                <c:pt idx="673">
                  <c:v>100</c:v>
                </c:pt>
                <c:pt idx="674">
                  <c:v>100</c:v>
                </c:pt>
                <c:pt idx="675">
                  <c:v>100</c:v>
                </c:pt>
                <c:pt idx="676">
                  <c:v>100</c:v>
                </c:pt>
                <c:pt idx="677">
                  <c:v>-150</c:v>
                </c:pt>
                <c:pt idx="678">
                  <c:v>-150</c:v>
                </c:pt>
                <c:pt idx="679">
                  <c:v>-150</c:v>
                </c:pt>
                <c:pt idx="680">
                  <c:v>-150</c:v>
                </c:pt>
                <c:pt idx="681">
                  <c:v>-150</c:v>
                </c:pt>
                <c:pt idx="682">
                  <c:v>-150</c:v>
                </c:pt>
                <c:pt idx="683">
                  <c:v>-150</c:v>
                </c:pt>
                <c:pt idx="684">
                  <c:v>-150</c:v>
                </c:pt>
                <c:pt idx="685">
                  <c:v>-150</c:v>
                </c:pt>
                <c:pt idx="686">
                  <c:v>-150</c:v>
                </c:pt>
                <c:pt idx="687">
                  <c:v>-150</c:v>
                </c:pt>
                <c:pt idx="688">
                  <c:v>-150</c:v>
                </c:pt>
                <c:pt idx="689">
                  <c:v>-150</c:v>
                </c:pt>
                <c:pt idx="690">
                  <c:v>-150</c:v>
                </c:pt>
                <c:pt idx="691">
                  <c:v>-150</c:v>
                </c:pt>
                <c:pt idx="692">
                  <c:v>-150</c:v>
                </c:pt>
                <c:pt idx="693">
                  <c:v>-150</c:v>
                </c:pt>
                <c:pt idx="694">
                  <c:v>-150</c:v>
                </c:pt>
                <c:pt idx="695">
                  <c:v>-150</c:v>
                </c:pt>
                <c:pt idx="696">
                  <c:v>-150</c:v>
                </c:pt>
                <c:pt idx="697">
                  <c:v>-150</c:v>
                </c:pt>
                <c:pt idx="698">
                  <c:v>-150</c:v>
                </c:pt>
                <c:pt idx="699">
                  <c:v>100</c:v>
                </c:pt>
                <c:pt idx="700">
                  <c:v>100</c:v>
                </c:pt>
                <c:pt idx="701">
                  <c:v>100</c:v>
                </c:pt>
                <c:pt idx="702">
                  <c:v>100</c:v>
                </c:pt>
                <c:pt idx="703">
                  <c:v>100</c:v>
                </c:pt>
                <c:pt idx="704">
                  <c:v>100</c:v>
                </c:pt>
                <c:pt idx="705">
                  <c:v>100</c:v>
                </c:pt>
                <c:pt idx="706">
                  <c:v>100</c:v>
                </c:pt>
                <c:pt idx="707">
                  <c:v>100</c:v>
                </c:pt>
                <c:pt idx="708">
                  <c:v>100</c:v>
                </c:pt>
                <c:pt idx="709">
                  <c:v>100</c:v>
                </c:pt>
                <c:pt idx="710">
                  <c:v>100</c:v>
                </c:pt>
                <c:pt idx="711">
                  <c:v>100</c:v>
                </c:pt>
                <c:pt idx="712">
                  <c:v>100</c:v>
                </c:pt>
                <c:pt idx="713">
                  <c:v>100</c:v>
                </c:pt>
                <c:pt idx="714">
                  <c:v>100</c:v>
                </c:pt>
                <c:pt idx="715">
                  <c:v>100</c:v>
                </c:pt>
                <c:pt idx="716">
                  <c:v>100</c:v>
                </c:pt>
                <c:pt idx="717">
                  <c:v>100</c:v>
                </c:pt>
                <c:pt idx="718">
                  <c:v>100</c:v>
                </c:pt>
                <c:pt idx="719">
                  <c:v>100</c:v>
                </c:pt>
                <c:pt idx="720">
                  <c:v>100</c:v>
                </c:pt>
                <c:pt idx="721">
                  <c:v>100</c:v>
                </c:pt>
                <c:pt idx="722">
                  <c:v>-150</c:v>
                </c:pt>
                <c:pt idx="723">
                  <c:v>-150</c:v>
                </c:pt>
                <c:pt idx="724">
                  <c:v>-150</c:v>
                </c:pt>
                <c:pt idx="725">
                  <c:v>-150</c:v>
                </c:pt>
                <c:pt idx="726">
                  <c:v>-150</c:v>
                </c:pt>
                <c:pt idx="727">
                  <c:v>-150</c:v>
                </c:pt>
                <c:pt idx="728">
                  <c:v>-150</c:v>
                </c:pt>
                <c:pt idx="729">
                  <c:v>-150</c:v>
                </c:pt>
                <c:pt idx="730">
                  <c:v>-150</c:v>
                </c:pt>
                <c:pt idx="731">
                  <c:v>-150</c:v>
                </c:pt>
                <c:pt idx="732">
                  <c:v>-150</c:v>
                </c:pt>
                <c:pt idx="733">
                  <c:v>-150</c:v>
                </c:pt>
                <c:pt idx="734">
                  <c:v>-150</c:v>
                </c:pt>
                <c:pt idx="735">
                  <c:v>-150</c:v>
                </c:pt>
                <c:pt idx="736">
                  <c:v>-150</c:v>
                </c:pt>
                <c:pt idx="737">
                  <c:v>-150</c:v>
                </c:pt>
                <c:pt idx="738">
                  <c:v>-150</c:v>
                </c:pt>
                <c:pt idx="739">
                  <c:v>-150</c:v>
                </c:pt>
                <c:pt idx="740">
                  <c:v>-150</c:v>
                </c:pt>
                <c:pt idx="741">
                  <c:v>-150</c:v>
                </c:pt>
                <c:pt idx="742">
                  <c:v>-150</c:v>
                </c:pt>
                <c:pt idx="743">
                  <c:v>-150</c:v>
                </c:pt>
                <c:pt idx="744">
                  <c:v>100</c:v>
                </c:pt>
                <c:pt idx="745">
                  <c:v>100</c:v>
                </c:pt>
                <c:pt idx="746">
                  <c:v>100</c:v>
                </c:pt>
                <c:pt idx="747">
                  <c:v>100</c:v>
                </c:pt>
                <c:pt idx="748">
                  <c:v>100</c:v>
                </c:pt>
                <c:pt idx="749">
                  <c:v>100</c:v>
                </c:pt>
                <c:pt idx="750">
                  <c:v>100</c:v>
                </c:pt>
                <c:pt idx="751">
                  <c:v>100</c:v>
                </c:pt>
                <c:pt idx="752">
                  <c:v>100</c:v>
                </c:pt>
                <c:pt idx="753">
                  <c:v>100</c:v>
                </c:pt>
                <c:pt idx="754">
                  <c:v>100</c:v>
                </c:pt>
                <c:pt idx="755">
                  <c:v>100</c:v>
                </c:pt>
                <c:pt idx="756">
                  <c:v>100</c:v>
                </c:pt>
                <c:pt idx="757">
                  <c:v>100</c:v>
                </c:pt>
                <c:pt idx="758">
                  <c:v>100</c:v>
                </c:pt>
                <c:pt idx="759">
                  <c:v>100</c:v>
                </c:pt>
                <c:pt idx="760">
                  <c:v>100</c:v>
                </c:pt>
                <c:pt idx="761">
                  <c:v>100</c:v>
                </c:pt>
                <c:pt idx="762">
                  <c:v>100</c:v>
                </c:pt>
                <c:pt idx="763">
                  <c:v>100</c:v>
                </c:pt>
                <c:pt idx="764">
                  <c:v>100</c:v>
                </c:pt>
                <c:pt idx="765">
                  <c:v>100</c:v>
                </c:pt>
                <c:pt idx="766">
                  <c:v>100</c:v>
                </c:pt>
                <c:pt idx="767">
                  <c:v>-150</c:v>
                </c:pt>
                <c:pt idx="768">
                  <c:v>-150</c:v>
                </c:pt>
                <c:pt idx="769">
                  <c:v>-150</c:v>
                </c:pt>
                <c:pt idx="770">
                  <c:v>-150</c:v>
                </c:pt>
                <c:pt idx="771">
                  <c:v>-150</c:v>
                </c:pt>
                <c:pt idx="772">
                  <c:v>-150</c:v>
                </c:pt>
                <c:pt idx="773">
                  <c:v>-150</c:v>
                </c:pt>
                <c:pt idx="774">
                  <c:v>-150</c:v>
                </c:pt>
                <c:pt idx="775">
                  <c:v>-150</c:v>
                </c:pt>
                <c:pt idx="776">
                  <c:v>-150</c:v>
                </c:pt>
                <c:pt idx="777">
                  <c:v>-150</c:v>
                </c:pt>
                <c:pt idx="778">
                  <c:v>-150</c:v>
                </c:pt>
                <c:pt idx="779">
                  <c:v>-150</c:v>
                </c:pt>
                <c:pt idx="780">
                  <c:v>-150</c:v>
                </c:pt>
                <c:pt idx="781">
                  <c:v>-150</c:v>
                </c:pt>
                <c:pt idx="782">
                  <c:v>-150</c:v>
                </c:pt>
                <c:pt idx="783">
                  <c:v>-150</c:v>
                </c:pt>
                <c:pt idx="784">
                  <c:v>-150</c:v>
                </c:pt>
                <c:pt idx="785">
                  <c:v>-150</c:v>
                </c:pt>
                <c:pt idx="786">
                  <c:v>-150</c:v>
                </c:pt>
                <c:pt idx="787">
                  <c:v>-150</c:v>
                </c:pt>
                <c:pt idx="788">
                  <c:v>-150</c:v>
                </c:pt>
                <c:pt idx="789">
                  <c:v>100</c:v>
                </c:pt>
                <c:pt idx="790">
                  <c:v>100</c:v>
                </c:pt>
                <c:pt idx="791">
                  <c:v>100</c:v>
                </c:pt>
                <c:pt idx="792">
                  <c:v>100</c:v>
                </c:pt>
                <c:pt idx="793">
                  <c:v>100</c:v>
                </c:pt>
                <c:pt idx="794">
                  <c:v>100</c:v>
                </c:pt>
                <c:pt idx="795">
                  <c:v>100</c:v>
                </c:pt>
                <c:pt idx="796">
                  <c:v>100</c:v>
                </c:pt>
                <c:pt idx="797">
                  <c:v>100</c:v>
                </c:pt>
                <c:pt idx="798">
                  <c:v>100</c:v>
                </c:pt>
                <c:pt idx="799">
                  <c:v>100</c:v>
                </c:pt>
                <c:pt idx="800">
                  <c:v>100</c:v>
                </c:pt>
                <c:pt idx="801">
                  <c:v>100</c:v>
                </c:pt>
                <c:pt idx="802">
                  <c:v>100</c:v>
                </c:pt>
                <c:pt idx="803">
                  <c:v>100</c:v>
                </c:pt>
                <c:pt idx="804">
                  <c:v>100</c:v>
                </c:pt>
                <c:pt idx="805">
                  <c:v>100</c:v>
                </c:pt>
                <c:pt idx="806">
                  <c:v>100</c:v>
                </c:pt>
                <c:pt idx="807">
                  <c:v>100</c:v>
                </c:pt>
                <c:pt idx="808">
                  <c:v>100</c:v>
                </c:pt>
                <c:pt idx="809">
                  <c:v>100</c:v>
                </c:pt>
                <c:pt idx="810">
                  <c:v>100</c:v>
                </c:pt>
                <c:pt idx="811">
                  <c:v>-150</c:v>
                </c:pt>
                <c:pt idx="812">
                  <c:v>-150</c:v>
                </c:pt>
                <c:pt idx="813">
                  <c:v>-150</c:v>
                </c:pt>
                <c:pt idx="814">
                  <c:v>-150</c:v>
                </c:pt>
                <c:pt idx="815">
                  <c:v>-150</c:v>
                </c:pt>
                <c:pt idx="816">
                  <c:v>-150</c:v>
                </c:pt>
                <c:pt idx="817">
                  <c:v>-150</c:v>
                </c:pt>
                <c:pt idx="818">
                  <c:v>-150</c:v>
                </c:pt>
                <c:pt idx="819">
                  <c:v>-150</c:v>
                </c:pt>
                <c:pt idx="820">
                  <c:v>-150</c:v>
                </c:pt>
                <c:pt idx="821">
                  <c:v>-150</c:v>
                </c:pt>
                <c:pt idx="822">
                  <c:v>-150</c:v>
                </c:pt>
                <c:pt idx="823">
                  <c:v>-150</c:v>
                </c:pt>
                <c:pt idx="824">
                  <c:v>-150</c:v>
                </c:pt>
                <c:pt idx="825">
                  <c:v>-150</c:v>
                </c:pt>
                <c:pt idx="826">
                  <c:v>-150</c:v>
                </c:pt>
                <c:pt idx="827">
                  <c:v>-150</c:v>
                </c:pt>
                <c:pt idx="828">
                  <c:v>-150</c:v>
                </c:pt>
                <c:pt idx="829">
                  <c:v>-150</c:v>
                </c:pt>
                <c:pt idx="830">
                  <c:v>-150</c:v>
                </c:pt>
                <c:pt idx="831">
                  <c:v>-150</c:v>
                </c:pt>
                <c:pt idx="832">
                  <c:v>-150</c:v>
                </c:pt>
                <c:pt idx="833">
                  <c:v>100</c:v>
                </c:pt>
                <c:pt idx="834">
                  <c:v>100</c:v>
                </c:pt>
                <c:pt idx="835">
                  <c:v>100</c:v>
                </c:pt>
                <c:pt idx="836">
                  <c:v>100</c:v>
                </c:pt>
                <c:pt idx="837">
                  <c:v>100</c:v>
                </c:pt>
                <c:pt idx="838">
                  <c:v>100</c:v>
                </c:pt>
                <c:pt idx="839">
                  <c:v>100</c:v>
                </c:pt>
                <c:pt idx="840">
                  <c:v>100</c:v>
                </c:pt>
                <c:pt idx="841">
                  <c:v>100</c:v>
                </c:pt>
                <c:pt idx="842">
                  <c:v>100</c:v>
                </c:pt>
                <c:pt idx="843">
                  <c:v>100</c:v>
                </c:pt>
                <c:pt idx="844">
                  <c:v>100</c:v>
                </c:pt>
                <c:pt idx="845">
                  <c:v>100</c:v>
                </c:pt>
                <c:pt idx="846">
                  <c:v>100</c:v>
                </c:pt>
                <c:pt idx="847">
                  <c:v>100</c:v>
                </c:pt>
                <c:pt idx="848">
                  <c:v>100</c:v>
                </c:pt>
                <c:pt idx="849">
                  <c:v>100</c:v>
                </c:pt>
                <c:pt idx="850">
                  <c:v>100</c:v>
                </c:pt>
                <c:pt idx="851">
                  <c:v>100</c:v>
                </c:pt>
                <c:pt idx="852">
                  <c:v>100</c:v>
                </c:pt>
                <c:pt idx="853">
                  <c:v>100</c:v>
                </c:pt>
                <c:pt idx="854">
                  <c:v>100</c:v>
                </c:pt>
                <c:pt idx="855">
                  <c:v>100</c:v>
                </c:pt>
                <c:pt idx="856">
                  <c:v>-150</c:v>
                </c:pt>
                <c:pt idx="857">
                  <c:v>-150</c:v>
                </c:pt>
                <c:pt idx="858">
                  <c:v>-150</c:v>
                </c:pt>
                <c:pt idx="859">
                  <c:v>-150</c:v>
                </c:pt>
                <c:pt idx="860">
                  <c:v>-150</c:v>
                </c:pt>
                <c:pt idx="861">
                  <c:v>-150</c:v>
                </c:pt>
                <c:pt idx="862">
                  <c:v>-150</c:v>
                </c:pt>
                <c:pt idx="863">
                  <c:v>-150</c:v>
                </c:pt>
                <c:pt idx="864">
                  <c:v>-150</c:v>
                </c:pt>
                <c:pt idx="865">
                  <c:v>-150</c:v>
                </c:pt>
                <c:pt idx="866">
                  <c:v>-150</c:v>
                </c:pt>
                <c:pt idx="867">
                  <c:v>-150</c:v>
                </c:pt>
                <c:pt idx="868">
                  <c:v>-150</c:v>
                </c:pt>
                <c:pt idx="869">
                  <c:v>-150</c:v>
                </c:pt>
                <c:pt idx="870">
                  <c:v>-150</c:v>
                </c:pt>
                <c:pt idx="871">
                  <c:v>-150</c:v>
                </c:pt>
                <c:pt idx="872">
                  <c:v>-150</c:v>
                </c:pt>
                <c:pt idx="873">
                  <c:v>-150</c:v>
                </c:pt>
                <c:pt idx="874">
                  <c:v>-150</c:v>
                </c:pt>
                <c:pt idx="875">
                  <c:v>-150</c:v>
                </c:pt>
                <c:pt idx="876">
                  <c:v>-150</c:v>
                </c:pt>
                <c:pt idx="877">
                  <c:v>-150</c:v>
                </c:pt>
                <c:pt idx="878">
                  <c:v>100</c:v>
                </c:pt>
                <c:pt idx="879">
                  <c:v>100</c:v>
                </c:pt>
                <c:pt idx="880">
                  <c:v>100</c:v>
                </c:pt>
                <c:pt idx="881">
                  <c:v>100</c:v>
                </c:pt>
                <c:pt idx="882">
                  <c:v>100</c:v>
                </c:pt>
                <c:pt idx="883">
                  <c:v>100</c:v>
                </c:pt>
                <c:pt idx="884">
                  <c:v>100</c:v>
                </c:pt>
                <c:pt idx="885">
                  <c:v>100</c:v>
                </c:pt>
                <c:pt idx="886">
                  <c:v>100</c:v>
                </c:pt>
                <c:pt idx="887">
                  <c:v>100</c:v>
                </c:pt>
                <c:pt idx="888">
                  <c:v>100</c:v>
                </c:pt>
                <c:pt idx="889">
                  <c:v>100</c:v>
                </c:pt>
                <c:pt idx="890">
                  <c:v>100</c:v>
                </c:pt>
                <c:pt idx="891">
                  <c:v>100</c:v>
                </c:pt>
                <c:pt idx="892">
                  <c:v>100</c:v>
                </c:pt>
                <c:pt idx="893">
                  <c:v>100</c:v>
                </c:pt>
                <c:pt idx="894">
                  <c:v>100</c:v>
                </c:pt>
                <c:pt idx="895">
                  <c:v>100</c:v>
                </c:pt>
                <c:pt idx="896">
                  <c:v>100</c:v>
                </c:pt>
                <c:pt idx="897">
                  <c:v>100</c:v>
                </c:pt>
                <c:pt idx="898">
                  <c:v>100</c:v>
                </c:pt>
                <c:pt idx="899">
                  <c:v>100</c:v>
                </c:pt>
                <c:pt idx="900">
                  <c:v>100</c:v>
                </c:pt>
                <c:pt idx="901">
                  <c:v>-150</c:v>
                </c:pt>
                <c:pt idx="902">
                  <c:v>-150</c:v>
                </c:pt>
                <c:pt idx="903">
                  <c:v>-150</c:v>
                </c:pt>
                <c:pt idx="904">
                  <c:v>-150</c:v>
                </c:pt>
                <c:pt idx="905">
                  <c:v>-150</c:v>
                </c:pt>
                <c:pt idx="906">
                  <c:v>-150</c:v>
                </c:pt>
                <c:pt idx="907">
                  <c:v>-150</c:v>
                </c:pt>
                <c:pt idx="908">
                  <c:v>-150</c:v>
                </c:pt>
                <c:pt idx="909">
                  <c:v>-150</c:v>
                </c:pt>
                <c:pt idx="910">
                  <c:v>-150</c:v>
                </c:pt>
                <c:pt idx="911">
                  <c:v>-150</c:v>
                </c:pt>
                <c:pt idx="912">
                  <c:v>-150</c:v>
                </c:pt>
                <c:pt idx="913">
                  <c:v>-150</c:v>
                </c:pt>
                <c:pt idx="914">
                  <c:v>-150</c:v>
                </c:pt>
                <c:pt idx="915">
                  <c:v>-150</c:v>
                </c:pt>
                <c:pt idx="916">
                  <c:v>-150</c:v>
                </c:pt>
                <c:pt idx="917">
                  <c:v>-150</c:v>
                </c:pt>
                <c:pt idx="918">
                  <c:v>-150</c:v>
                </c:pt>
                <c:pt idx="919">
                  <c:v>-150</c:v>
                </c:pt>
                <c:pt idx="920">
                  <c:v>-150</c:v>
                </c:pt>
                <c:pt idx="921">
                  <c:v>-150</c:v>
                </c:pt>
                <c:pt idx="922">
                  <c:v>-150</c:v>
                </c:pt>
                <c:pt idx="923">
                  <c:v>100</c:v>
                </c:pt>
                <c:pt idx="924">
                  <c:v>100</c:v>
                </c:pt>
                <c:pt idx="925">
                  <c:v>100</c:v>
                </c:pt>
                <c:pt idx="926">
                  <c:v>100</c:v>
                </c:pt>
                <c:pt idx="927">
                  <c:v>100</c:v>
                </c:pt>
                <c:pt idx="928">
                  <c:v>100</c:v>
                </c:pt>
                <c:pt idx="929">
                  <c:v>100</c:v>
                </c:pt>
                <c:pt idx="930">
                  <c:v>100</c:v>
                </c:pt>
                <c:pt idx="931">
                  <c:v>100</c:v>
                </c:pt>
                <c:pt idx="932">
                  <c:v>100</c:v>
                </c:pt>
                <c:pt idx="933">
                  <c:v>100</c:v>
                </c:pt>
                <c:pt idx="934">
                  <c:v>100</c:v>
                </c:pt>
                <c:pt idx="935">
                  <c:v>100</c:v>
                </c:pt>
                <c:pt idx="936">
                  <c:v>100</c:v>
                </c:pt>
                <c:pt idx="937">
                  <c:v>100</c:v>
                </c:pt>
                <c:pt idx="938">
                  <c:v>100</c:v>
                </c:pt>
                <c:pt idx="939">
                  <c:v>100</c:v>
                </c:pt>
                <c:pt idx="940">
                  <c:v>100</c:v>
                </c:pt>
                <c:pt idx="941">
                  <c:v>100</c:v>
                </c:pt>
                <c:pt idx="942">
                  <c:v>100</c:v>
                </c:pt>
                <c:pt idx="943">
                  <c:v>100</c:v>
                </c:pt>
                <c:pt idx="944">
                  <c:v>100</c:v>
                </c:pt>
                <c:pt idx="945">
                  <c:v>100</c:v>
                </c:pt>
                <c:pt idx="946">
                  <c:v>-150</c:v>
                </c:pt>
                <c:pt idx="947">
                  <c:v>-150</c:v>
                </c:pt>
                <c:pt idx="948">
                  <c:v>-150</c:v>
                </c:pt>
                <c:pt idx="949">
                  <c:v>-150</c:v>
                </c:pt>
                <c:pt idx="950">
                  <c:v>-150</c:v>
                </c:pt>
                <c:pt idx="951">
                  <c:v>-150</c:v>
                </c:pt>
                <c:pt idx="952">
                  <c:v>-150</c:v>
                </c:pt>
                <c:pt idx="953">
                  <c:v>-150</c:v>
                </c:pt>
                <c:pt idx="954">
                  <c:v>-150</c:v>
                </c:pt>
                <c:pt idx="955">
                  <c:v>-150</c:v>
                </c:pt>
                <c:pt idx="956">
                  <c:v>-150</c:v>
                </c:pt>
                <c:pt idx="957">
                  <c:v>-150</c:v>
                </c:pt>
                <c:pt idx="958">
                  <c:v>-150</c:v>
                </c:pt>
                <c:pt idx="959">
                  <c:v>-150</c:v>
                </c:pt>
                <c:pt idx="960">
                  <c:v>-150</c:v>
                </c:pt>
                <c:pt idx="961">
                  <c:v>-150</c:v>
                </c:pt>
                <c:pt idx="962">
                  <c:v>-150</c:v>
                </c:pt>
                <c:pt idx="963">
                  <c:v>-150</c:v>
                </c:pt>
                <c:pt idx="964">
                  <c:v>-150</c:v>
                </c:pt>
                <c:pt idx="965">
                  <c:v>-150</c:v>
                </c:pt>
                <c:pt idx="966">
                  <c:v>-150</c:v>
                </c:pt>
                <c:pt idx="967">
                  <c:v>-150</c:v>
                </c:pt>
                <c:pt idx="968">
                  <c:v>100</c:v>
                </c:pt>
                <c:pt idx="969">
                  <c:v>100</c:v>
                </c:pt>
                <c:pt idx="970">
                  <c:v>100</c:v>
                </c:pt>
                <c:pt idx="971">
                  <c:v>100</c:v>
                </c:pt>
                <c:pt idx="972">
                  <c:v>100</c:v>
                </c:pt>
                <c:pt idx="973">
                  <c:v>100</c:v>
                </c:pt>
                <c:pt idx="974">
                  <c:v>100</c:v>
                </c:pt>
                <c:pt idx="975">
                  <c:v>100</c:v>
                </c:pt>
                <c:pt idx="976">
                  <c:v>100</c:v>
                </c:pt>
                <c:pt idx="977">
                  <c:v>100</c:v>
                </c:pt>
                <c:pt idx="978">
                  <c:v>100</c:v>
                </c:pt>
                <c:pt idx="979">
                  <c:v>100</c:v>
                </c:pt>
                <c:pt idx="980">
                  <c:v>100</c:v>
                </c:pt>
                <c:pt idx="981">
                  <c:v>100</c:v>
                </c:pt>
                <c:pt idx="982">
                  <c:v>100</c:v>
                </c:pt>
                <c:pt idx="983">
                  <c:v>100</c:v>
                </c:pt>
                <c:pt idx="984">
                  <c:v>100</c:v>
                </c:pt>
                <c:pt idx="985">
                  <c:v>100</c:v>
                </c:pt>
                <c:pt idx="986">
                  <c:v>100</c:v>
                </c:pt>
                <c:pt idx="987">
                  <c:v>100</c:v>
                </c:pt>
                <c:pt idx="988">
                  <c:v>100</c:v>
                </c:pt>
                <c:pt idx="989">
                  <c:v>100</c:v>
                </c:pt>
                <c:pt idx="990">
                  <c:v>100</c:v>
                </c:pt>
                <c:pt idx="991">
                  <c:v>-150</c:v>
                </c:pt>
                <c:pt idx="992">
                  <c:v>-150</c:v>
                </c:pt>
                <c:pt idx="993">
                  <c:v>-150</c:v>
                </c:pt>
                <c:pt idx="994">
                  <c:v>-150</c:v>
                </c:pt>
                <c:pt idx="995">
                  <c:v>-150</c:v>
                </c:pt>
                <c:pt idx="996">
                  <c:v>-150</c:v>
                </c:pt>
                <c:pt idx="997">
                  <c:v>-150</c:v>
                </c:pt>
                <c:pt idx="998">
                  <c:v>-150</c:v>
                </c:pt>
                <c:pt idx="999">
                  <c:v>-150</c:v>
                </c:pt>
                <c:pt idx="1000">
                  <c:v>-150</c:v>
                </c:pt>
                <c:pt idx="1001">
                  <c:v>-150</c:v>
                </c:pt>
                <c:pt idx="1002">
                  <c:v>-150</c:v>
                </c:pt>
                <c:pt idx="1003">
                  <c:v>-150</c:v>
                </c:pt>
                <c:pt idx="1004">
                  <c:v>-150</c:v>
                </c:pt>
                <c:pt idx="1005">
                  <c:v>-150</c:v>
                </c:pt>
                <c:pt idx="1006">
                  <c:v>-150</c:v>
                </c:pt>
                <c:pt idx="1007">
                  <c:v>-150</c:v>
                </c:pt>
                <c:pt idx="1008">
                  <c:v>-150</c:v>
                </c:pt>
                <c:pt idx="1009">
                  <c:v>-150</c:v>
                </c:pt>
                <c:pt idx="1010">
                  <c:v>-150</c:v>
                </c:pt>
                <c:pt idx="1011">
                  <c:v>-150</c:v>
                </c:pt>
                <c:pt idx="1012">
                  <c:v>-150</c:v>
                </c:pt>
                <c:pt idx="1013">
                  <c:v>-150</c:v>
                </c:pt>
                <c:pt idx="1014">
                  <c:v>-150</c:v>
                </c:pt>
                <c:pt idx="1015">
                  <c:v>-150</c:v>
                </c:pt>
                <c:pt idx="1016">
                  <c:v>-150</c:v>
                </c:pt>
                <c:pt idx="1017">
                  <c:v>-150</c:v>
                </c:pt>
                <c:pt idx="1018">
                  <c:v>-150</c:v>
                </c:pt>
                <c:pt idx="1019">
                  <c:v>-150</c:v>
                </c:pt>
                <c:pt idx="1020">
                  <c:v>-150</c:v>
                </c:pt>
                <c:pt idx="1021">
                  <c:v>-150</c:v>
                </c:pt>
                <c:pt idx="1022">
                  <c:v>-150</c:v>
                </c:pt>
                <c:pt idx="1023">
                  <c:v>-150</c:v>
                </c:pt>
                <c:pt idx="1024">
                  <c:v>-150</c:v>
                </c:pt>
                <c:pt idx="1025">
                  <c:v>-150</c:v>
                </c:pt>
                <c:pt idx="1026">
                  <c:v>-150</c:v>
                </c:pt>
                <c:pt idx="1027">
                  <c:v>-150</c:v>
                </c:pt>
                <c:pt idx="1028">
                  <c:v>-150</c:v>
                </c:pt>
                <c:pt idx="1029">
                  <c:v>-150</c:v>
                </c:pt>
                <c:pt idx="1030">
                  <c:v>-150</c:v>
                </c:pt>
                <c:pt idx="1031">
                  <c:v>-150</c:v>
                </c:pt>
                <c:pt idx="1032">
                  <c:v>-150</c:v>
                </c:pt>
                <c:pt idx="1033">
                  <c:v>-150</c:v>
                </c:pt>
                <c:pt idx="1034">
                  <c:v>-150</c:v>
                </c:pt>
                <c:pt idx="1035">
                  <c:v>-150</c:v>
                </c:pt>
                <c:pt idx="1036">
                  <c:v>-150</c:v>
                </c:pt>
                <c:pt idx="1037">
                  <c:v>-150</c:v>
                </c:pt>
                <c:pt idx="1038">
                  <c:v>-150</c:v>
                </c:pt>
                <c:pt idx="1039">
                  <c:v>-150</c:v>
                </c:pt>
                <c:pt idx="1040">
                  <c:v>-150</c:v>
                </c:pt>
                <c:pt idx="1041">
                  <c:v>-150</c:v>
                </c:pt>
                <c:pt idx="1042">
                  <c:v>-150</c:v>
                </c:pt>
                <c:pt idx="1043">
                  <c:v>-150</c:v>
                </c:pt>
                <c:pt idx="1044">
                  <c:v>-150</c:v>
                </c:pt>
                <c:pt idx="1045">
                  <c:v>-150</c:v>
                </c:pt>
                <c:pt idx="1046">
                  <c:v>-150</c:v>
                </c:pt>
                <c:pt idx="1047">
                  <c:v>-150</c:v>
                </c:pt>
                <c:pt idx="1048">
                  <c:v>-150</c:v>
                </c:pt>
                <c:pt idx="1049">
                  <c:v>-150</c:v>
                </c:pt>
                <c:pt idx="1050">
                  <c:v>-150</c:v>
                </c:pt>
                <c:pt idx="1051">
                  <c:v>-150</c:v>
                </c:pt>
                <c:pt idx="1052">
                  <c:v>-150</c:v>
                </c:pt>
                <c:pt idx="1053">
                  <c:v>-150</c:v>
                </c:pt>
                <c:pt idx="1054">
                  <c:v>-150</c:v>
                </c:pt>
                <c:pt idx="1055">
                  <c:v>-150</c:v>
                </c:pt>
                <c:pt idx="1056">
                  <c:v>-150</c:v>
                </c:pt>
                <c:pt idx="1057">
                  <c:v>-150</c:v>
                </c:pt>
                <c:pt idx="1058">
                  <c:v>-150</c:v>
                </c:pt>
                <c:pt idx="1059">
                  <c:v>-150</c:v>
                </c:pt>
                <c:pt idx="1060">
                  <c:v>-150</c:v>
                </c:pt>
                <c:pt idx="1061">
                  <c:v>-150</c:v>
                </c:pt>
                <c:pt idx="1062">
                  <c:v>-150</c:v>
                </c:pt>
                <c:pt idx="1063">
                  <c:v>-150</c:v>
                </c:pt>
                <c:pt idx="1064">
                  <c:v>-150</c:v>
                </c:pt>
                <c:pt idx="1065">
                  <c:v>-150</c:v>
                </c:pt>
                <c:pt idx="1066">
                  <c:v>-150</c:v>
                </c:pt>
                <c:pt idx="1067">
                  <c:v>-150</c:v>
                </c:pt>
                <c:pt idx="1068">
                  <c:v>-150</c:v>
                </c:pt>
                <c:pt idx="1069">
                  <c:v>-150</c:v>
                </c:pt>
                <c:pt idx="1070">
                  <c:v>-150</c:v>
                </c:pt>
                <c:pt idx="1071">
                  <c:v>-150</c:v>
                </c:pt>
                <c:pt idx="1072">
                  <c:v>-150</c:v>
                </c:pt>
                <c:pt idx="1073">
                  <c:v>-150</c:v>
                </c:pt>
                <c:pt idx="1074">
                  <c:v>-150</c:v>
                </c:pt>
                <c:pt idx="1075">
                  <c:v>-150</c:v>
                </c:pt>
                <c:pt idx="1076">
                  <c:v>-150</c:v>
                </c:pt>
                <c:pt idx="1077">
                  <c:v>-150</c:v>
                </c:pt>
                <c:pt idx="1078">
                  <c:v>-150</c:v>
                </c:pt>
                <c:pt idx="1079">
                  <c:v>-150</c:v>
                </c:pt>
                <c:pt idx="1080">
                  <c:v>-150</c:v>
                </c:pt>
                <c:pt idx="1081">
                  <c:v>-150</c:v>
                </c:pt>
                <c:pt idx="1082">
                  <c:v>-150</c:v>
                </c:pt>
                <c:pt idx="1083">
                  <c:v>-150</c:v>
                </c:pt>
                <c:pt idx="1084">
                  <c:v>-150</c:v>
                </c:pt>
                <c:pt idx="1085">
                  <c:v>-150</c:v>
                </c:pt>
                <c:pt idx="1086">
                  <c:v>-150</c:v>
                </c:pt>
                <c:pt idx="1087">
                  <c:v>-150</c:v>
                </c:pt>
                <c:pt idx="1088">
                  <c:v>-150</c:v>
                </c:pt>
                <c:pt idx="1089">
                  <c:v>-150</c:v>
                </c:pt>
                <c:pt idx="1090">
                  <c:v>-150</c:v>
                </c:pt>
                <c:pt idx="1091">
                  <c:v>-150</c:v>
                </c:pt>
                <c:pt idx="1092">
                  <c:v>-150</c:v>
                </c:pt>
                <c:pt idx="1093">
                  <c:v>-150</c:v>
                </c:pt>
                <c:pt idx="1094">
                  <c:v>-150</c:v>
                </c:pt>
                <c:pt idx="1095">
                  <c:v>-150</c:v>
                </c:pt>
                <c:pt idx="1096">
                  <c:v>-150</c:v>
                </c:pt>
                <c:pt idx="1097">
                  <c:v>-150</c:v>
                </c:pt>
                <c:pt idx="1098">
                  <c:v>-150</c:v>
                </c:pt>
                <c:pt idx="1099">
                  <c:v>-150</c:v>
                </c:pt>
                <c:pt idx="1100">
                  <c:v>-150</c:v>
                </c:pt>
                <c:pt idx="1101">
                  <c:v>-150</c:v>
                </c:pt>
                <c:pt idx="1102">
                  <c:v>-150</c:v>
                </c:pt>
                <c:pt idx="1103">
                  <c:v>-150</c:v>
                </c:pt>
                <c:pt idx="1104">
                  <c:v>-150</c:v>
                </c:pt>
                <c:pt idx="1105">
                  <c:v>-150</c:v>
                </c:pt>
                <c:pt idx="1106">
                  <c:v>-150</c:v>
                </c:pt>
                <c:pt idx="1107">
                  <c:v>-150</c:v>
                </c:pt>
                <c:pt idx="1108">
                  <c:v>-150</c:v>
                </c:pt>
                <c:pt idx="1109">
                  <c:v>-150</c:v>
                </c:pt>
                <c:pt idx="1110">
                  <c:v>-150</c:v>
                </c:pt>
                <c:pt idx="1111">
                  <c:v>-150</c:v>
                </c:pt>
                <c:pt idx="1112">
                  <c:v>-150</c:v>
                </c:pt>
                <c:pt idx="1113">
                  <c:v>-150</c:v>
                </c:pt>
                <c:pt idx="1114">
                  <c:v>-150</c:v>
                </c:pt>
                <c:pt idx="1115">
                  <c:v>-150</c:v>
                </c:pt>
                <c:pt idx="1116">
                  <c:v>-150</c:v>
                </c:pt>
                <c:pt idx="1117">
                  <c:v>-150</c:v>
                </c:pt>
                <c:pt idx="1118">
                  <c:v>-150</c:v>
                </c:pt>
                <c:pt idx="1119">
                  <c:v>-150</c:v>
                </c:pt>
                <c:pt idx="1120">
                  <c:v>-150</c:v>
                </c:pt>
                <c:pt idx="1121">
                  <c:v>-150</c:v>
                </c:pt>
                <c:pt idx="1122">
                  <c:v>-150</c:v>
                </c:pt>
                <c:pt idx="1123">
                  <c:v>-150</c:v>
                </c:pt>
                <c:pt idx="1124">
                  <c:v>-150</c:v>
                </c:pt>
                <c:pt idx="1125">
                  <c:v>-150</c:v>
                </c:pt>
                <c:pt idx="1126">
                  <c:v>-150</c:v>
                </c:pt>
                <c:pt idx="1127">
                  <c:v>-150</c:v>
                </c:pt>
                <c:pt idx="1128">
                  <c:v>-150</c:v>
                </c:pt>
                <c:pt idx="1129">
                  <c:v>-150</c:v>
                </c:pt>
                <c:pt idx="1130">
                  <c:v>-150</c:v>
                </c:pt>
                <c:pt idx="1131">
                  <c:v>-150</c:v>
                </c:pt>
                <c:pt idx="1132">
                  <c:v>-150</c:v>
                </c:pt>
                <c:pt idx="1133">
                  <c:v>-150</c:v>
                </c:pt>
                <c:pt idx="1134">
                  <c:v>-150</c:v>
                </c:pt>
                <c:pt idx="1135">
                  <c:v>-150</c:v>
                </c:pt>
                <c:pt idx="1136">
                  <c:v>-150</c:v>
                </c:pt>
                <c:pt idx="1137">
                  <c:v>-150</c:v>
                </c:pt>
                <c:pt idx="1138">
                  <c:v>-150</c:v>
                </c:pt>
                <c:pt idx="1139">
                  <c:v>-150</c:v>
                </c:pt>
                <c:pt idx="1140">
                  <c:v>-150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41310637"/>
        <c:axId val="109855421"/>
      </c:lineChart>
      <c:catAx>
        <c:axId val="94131063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9855421"/>
        <c:crosses val="autoZero"/>
        <c:auto val="1"/>
        <c:lblAlgn val="ctr"/>
        <c:lblOffset val="100"/>
        <c:noMultiLvlLbl val="0"/>
      </c:catAx>
      <c:valAx>
        <c:axId val="1098554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131063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70e77a8-329c-43c4-91fe-3322e03534d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287020</xdr:colOff>
      <xdr:row>8</xdr:row>
      <xdr:rowOff>115570</xdr:rowOff>
    </xdr:from>
    <xdr:to>
      <xdr:col>22</xdr:col>
      <xdr:colOff>164465</xdr:colOff>
      <xdr:row>30</xdr:row>
      <xdr:rowOff>175260</xdr:rowOff>
    </xdr:to>
    <xdr:graphicFrame>
      <xdr:nvGraphicFramePr>
        <xdr:cNvPr id="4" name="图表 3"/>
        <xdr:cNvGraphicFramePr/>
      </xdr:nvGraphicFramePr>
      <xdr:xfrm>
        <a:off x="4942840" y="1578610"/>
        <a:ext cx="9021445" cy="4083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134620</xdr:colOff>
      <xdr:row>4</xdr:row>
      <xdr:rowOff>179070</xdr:rowOff>
    </xdr:from>
    <xdr:to>
      <xdr:col>19</xdr:col>
      <xdr:colOff>27940</xdr:colOff>
      <xdr:row>12</xdr:row>
      <xdr:rowOff>26670</xdr:rowOff>
    </xdr:to>
    <xdr:sp>
      <xdr:nvSpPr>
        <xdr:cNvPr id="5" name="文本框 4"/>
        <xdr:cNvSpPr txBox="1"/>
      </xdr:nvSpPr>
      <xdr:spPr>
        <a:xfrm>
          <a:off x="6619240" y="910590"/>
          <a:ext cx="5379720" cy="1310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实验时间：</a:t>
          </a:r>
          <a:r>
            <a:rPr lang="en-US" altLang="zh-CN" sz="1100"/>
            <a:t>2026-3-28  8:20      </a:t>
          </a:r>
          <a:r>
            <a:rPr lang="zh-CN" altLang="en-US" sz="1100"/>
            <a:t>温度：</a:t>
          </a:r>
          <a:r>
            <a:rPr lang="en-US" altLang="zh-CN" sz="1100"/>
            <a:t>19.7 </a:t>
          </a:r>
          <a:r>
            <a:rPr lang="zh-CN" altLang="en-US" sz="1100"/>
            <a:t>℃</a:t>
          </a:r>
          <a:r>
            <a:rPr lang="en-US" altLang="zh-CN" sz="1100"/>
            <a:t>    </a:t>
          </a:r>
          <a:r>
            <a:rPr lang="zh-CN" altLang="en-US" sz="1100"/>
            <a:t>湿度：</a:t>
          </a:r>
          <a:r>
            <a:rPr lang="en-US" altLang="zh-CN" sz="1100"/>
            <a:t>74%     </a:t>
          </a:r>
          <a:endParaRPr lang="en-US" altLang="zh-CN" sz="1100"/>
        </a:p>
        <a:p>
          <a:pPr algn="l"/>
          <a:r>
            <a:rPr lang="zh-CN" altLang="en-US" sz="1100"/>
            <a:t>实验压力：低压</a:t>
          </a:r>
          <a:r>
            <a:rPr lang="en-US" altLang="zh-CN" sz="1100"/>
            <a:t>100</a:t>
          </a:r>
          <a:r>
            <a:rPr lang="zh-CN" altLang="en-US" sz="1100"/>
            <a:t>帕</a:t>
          </a:r>
          <a:endParaRPr lang="zh-CN" altLang="en-US" sz="1100"/>
        </a:p>
        <a:p>
          <a:pPr algn="l"/>
          <a:r>
            <a:rPr lang="zh-CN" altLang="en-US" sz="1100"/>
            <a:t>实验装置：</a:t>
          </a:r>
          <a:r>
            <a:rPr lang="en-US" altLang="zh-CN" sz="1100"/>
            <a:t>B</a:t>
          </a:r>
          <a:r>
            <a:rPr lang="zh-CN" altLang="en-US" sz="1100"/>
            <a:t>天平</a:t>
          </a:r>
          <a:r>
            <a:rPr lang="en-US" altLang="zh-CN" sz="1100"/>
            <a:t>   </a:t>
          </a:r>
          <a:r>
            <a:rPr lang="zh-CN" altLang="en-US" sz="1100"/>
            <a:t>帕尔贴芯片型号：</a:t>
          </a:r>
          <a:r>
            <a:rPr lang="en-US" altLang="zh-CN" sz="1100"/>
            <a:t>TEC1-19908 *2</a:t>
          </a:r>
          <a:r>
            <a:rPr lang="zh-CN" altLang="en-US" sz="1100"/>
            <a:t>个</a:t>
          </a:r>
          <a:r>
            <a:rPr lang="en-US" altLang="zh-CN" sz="1100"/>
            <a:t>    </a:t>
          </a:r>
          <a:r>
            <a:rPr lang="zh-CN" altLang="en-US" sz="1100"/>
            <a:t>尺寸：</a:t>
          </a:r>
          <a:r>
            <a:rPr lang="en-US" altLang="zh-CN" sz="1100"/>
            <a:t>  40*40*3.4MM</a:t>
          </a:r>
          <a:endParaRPr lang="en-US" altLang="zh-CN" sz="1100"/>
        </a:p>
        <a:p>
          <a:pPr algn="l"/>
          <a:r>
            <a:rPr lang="en-US" altLang="zh-CN" sz="1100"/>
            <a:t> </a:t>
          </a:r>
          <a:r>
            <a:rPr lang="zh-CN" altLang="en-US" sz="1100"/>
            <a:t>电压：</a:t>
          </a:r>
          <a:r>
            <a:rPr lang="en-US" altLang="zh-CN" sz="1100"/>
            <a:t>24V    </a:t>
          </a:r>
          <a:r>
            <a:rPr lang="zh-CN" altLang="en-US" sz="1100"/>
            <a:t>最大电流：</a:t>
          </a:r>
          <a:r>
            <a:rPr lang="en-US" altLang="zh-CN" sz="1100"/>
            <a:t>8A     </a:t>
          </a:r>
          <a:r>
            <a:rPr lang="zh-CN" altLang="en-US" sz="1100"/>
            <a:t>最大制冷量：</a:t>
          </a:r>
          <a:r>
            <a:rPr lang="en-US" altLang="zh-CN" sz="1100"/>
            <a:t>130W    </a:t>
          </a:r>
          <a:r>
            <a:rPr lang="zh-CN" altLang="en-US" sz="1100"/>
            <a:t>总制冷量：</a:t>
          </a:r>
          <a:r>
            <a:rPr lang="en-US" altLang="zh-CN" sz="1100"/>
            <a:t>260W</a:t>
          </a:r>
          <a:endParaRPr lang="en-US" altLang="zh-CN" sz="1100"/>
        </a:p>
        <a:p>
          <a:pPr algn="l"/>
          <a:endParaRPr lang="en-US" altLang="zh-CN" sz="1100"/>
        </a:p>
        <a:p>
          <a:pPr algn="l"/>
          <a:r>
            <a:rPr lang="zh-CN" altLang="en-US" sz="1100"/>
            <a:t>曲线向下运动为向制冷面运动</a:t>
          </a:r>
          <a:endParaRPr lang="en-US" altLang="zh-CN" sz="1100"/>
        </a:p>
        <a:p>
          <a:pPr algn="l"/>
          <a:endParaRPr lang="en-US" altLang="zh-CN" sz="1100"/>
        </a:p>
      </xdr:txBody>
    </xdr:sp>
    <xdr:clientData/>
  </xdr:twoCellAnchor>
  <xdr:twoCellAnchor>
    <xdr:from>
      <xdr:col>7</xdr:col>
      <xdr:colOff>518795</xdr:colOff>
      <xdr:row>32</xdr:row>
      <xdr:rowOff>60325</xdr:rowOff>
    </xdr:from>
    <xdr:to>
      <xdr:col>21</xdr:col>
      <xdr:colOff>437515</xdr:colOff>
      <xdr:row>80</xdr:row>
      <xdr:rowOff>168910</xdr:rowOff>
    </xdr:to>
    <xdr:sp>
      <xdr:nvSpPr>
        <xdr:cNvPr id="6" name="文本框 5"/>
        <xdr:cNvSpPr txBox="1"/>
      </xdr:nvSpPr>
      <xdr:spPr>
        <a:xfrm>
          <a:off x="5174615" y="5912485"/>
          <a:ext cx="8453120" cy="8886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图 X B 组天平 100Pa 低压环境下 10 次连续脉冲阻尼运动温差介入曲线（光杠杆法测量）</a:t>
          </a:r>
          <a:endParaRPr lang="zh-CN" altLang="en-US" sz="1100"/>
        </a:p>
        <a:p>
          <a:pPr algn="l"/>
          <a:r>
            <a:rPr lang="zh-CN" altLang="en-US" sz="1100"/>
            <a:t>一、图表基础信息（修正版，精准匹配 10 次脉冲）</a:t>
          </a:r>
          <a:endParaRPr lang="zh-CN" altLang="en-US" sz="1100"/>
        </a:p>
        <a:p>
          <a:pPr algn="l"/>
          <a:endParaRPr lang="zh-CN" altLang="en-US" sz="1100"/>
        </a:p>
        <a:p>
          <a:pPr algn="l"/>
          <a:r>
            <a:rPr lang="zh-CN" altLang="en-US" sz="1100"/>
            <a:t>横轴：时间 t（单位：s），采样覆盖 0~30s 完整实验周期</a:t>
          </a:r>
          <a:endParaRPr lang="zh-CN" altLang="en-US" sz="1100"/>
        </a:p>
        <a:p>
          <a:pPr algn="l"/>
          <a:r>
            <a:rPr lang="zh-CN" altLang="en-US" sz="1100"/>
            <a:t>纵轴：相对位移（arb. units，任意单位），曲线向下为向制冷面运动，向上为向制热面运动</a:t>
          </a:r>
          <a:endParaRPr lang="zh-CN" altLang="en-US" sz="1100"/>
        </a:p>
        <a:p>
          <a:pPr algn="l"/>
          <a:r>
            <a:rPr lang="zh-CN" altLang="en-US" sz="1100"/>
            <a:t>曲线定义：</a:t>
          </a:r>
          <a:endParaRPr lang="zh-CN" altLang="en-US" sz="1100"/>
        </a:p>
        <a:p>
          <a:pPr algn="l"/>
          <a:r>
            <a:rPr lang="zh-CN" altLang="en-US" sz="1100"/>
            <a:t>蓝色曲线：天平运动相对位移响应（光杠杆法采集，未做绝对角度 / 位移标定）</a:t>
          </a:r>
          <a:endParaRPr lang="zh-CN" altLang="en-US" sz="1100"/>
        </a:p>
        <a:p>
          <a:pPr algn="l"/>
          <a:r>
            <a:rPr lang="zh-CN" altLang="en-US" sz="1100"/>
            <a:t>橙色曲线：帕尔贴芯片供电脉冲（单次供电 0.4s，间隔 0.3s，共 10 次连续供电周期，对应 10 段高电平）</a:t>
          </a:r>
          <a:endParaRPr lang="zh-CN" altLang="en-US" sz="1100"/>
        </a:p>
        <a:p>
          <a:pPr algn="l"/>
          <a:endParaRPr lang="zh-CN" altLang="en-US" sz="1100"/>
        </a:p>
        <a:p>
          <a:pPr algn="l"/>
          <a:endParaRPr lang="zh-CN" altLang="en-US" sz="1100"/>
        </a:p>
        <a:p>
          <a:pPr algn="l"/>
          <a:r>
            <a:rPr lang="zh-CN" altLang="en-US" sz="1100"/>
            <a:t>实验条件：100Pa 低压环境，环境温度 19.7℃，相对湿度 74%，实验时间 2026-03-28 8:20</a:t>
          </a:r>
          <a:endParaRPr lang="zh-CN" altLang="en-US" sz="1100"/>
        </a:p>
        <a:p>
          <a:pPr algn="l"/>
          <a:r>
            <a:rPr lang="zh-CN" altLang="en-US" sz="1100"/>
            <a:t>装置参数：B 组阻尼天平，TEC1-19908 型帕尔贴芯片 ×2（对向安装），单枚额定制冷量 130W，系统总制冷量 260W，额定工作电压 24V，最大工作电流 8A</a:t>
          </a:r>
          <a:endParaRPr lang="zh-CN" altLang="en-US" sz="1100"/>
        </a:p>
        <a:p>
          <a:pPr algn="l"/>
          <a:r>
            <a:rPr lang="zh-CN" altLang="en-US" sz="1100"/>
            <a:t>测量方法：光杠杆法，数据为相对位移，仅分析运动趋势与响应特征，不依赖绝对位移数值</a:t>
          </a:r>
          <a:endParaRPr lang="zh-CN" altLang="en-US" sz="1100"/>
        </a:p>
        <a:p>
          <a:pPr algn="l"/>
          <a:endParaRPr lang="zh-CN" altLang="en-US" sz="1100"/>
        </a:p>
        <a:p>
          <a:pPr algn="l"/>
          <a:endParaRPr lang="zh-CN" altLang="en-US" sz="1100"/>
        </a:p>
        <a:p>
          <a:pPr algn="l"/>
          <a:r>
            <a:rPr lang="zh-CN" altLang="en-US" sz="1100"/>
            <a:t>二、分阶段核心特征说明（精准对应 10 次脉冲）</a:t>
          </a:r>
          <a:endParaRPr lang="zh-CN" altLang="en-US" sz="1100"/>
        </a:p>
        <a:p>
          <a:pPr algn="l"/>
          <a:r>
            <a:rPr lang="zh-CN" altLang="en-US" sz="1100"/>
            <a:t>1. 0~26s（10 次连续脉冲供电期，核心响应区）</a:t>
          </a:r>
          <a:endParaRPr lang="zh-CN" altLang="en-US" sz="1100"/>
        </a:p>
        <a:p>
          <a:pPr algn="l"/>
          <a:endParaRPr lang="zh-CN" altLang="en-US" sz="1100"/>
        </a:p>
        <a:p>
          <a:pPr algn="l"/>
          <a:r>
            <a:rPr lang="zh-CN" altLang="en-US" sz="1100"/>
            <a:t>第 1 次脉冲（26~31s 区间）：供电瞬间天平向制冷面（向下）大幅运动，形成首个负向峰值，随后快速回弹；该响应为温差驱动空间密度差产生的定向力矩，与天平初始自由摆动耦合，幅度显著放大，是典型的「驱动 + 自由振荡」同向叠加效应。</a:t>
          </a:r>
          <a:endParaRPr lang="zh-CN" altLang="en-US" sz="1100"/>
        </a:p>
        <a:p>
          <a:pPr algn="l"/>
          <a:r>
            <a:rPr lang="zh-CN" altLang="en-US" sz="1100"/>
            <a:t>第 2~10 次脉冲（31~166s 区间，共 9 次）：每一次供电高电平均精准落在天平向上（向制热面）摆动的半周期内，空间力矩（向下）与天平惯性力（向上）持续反向对冲，形成稳定的 “锯齿状” 同步响应；响应幅度逐次递增，在第 8~10 次脉冲时达到极值（约 - 400 相对单位），全程无任何反向运动，完美体现力矩与供电的严格因果性。</a:t>
          </a:r>
          <a:endParaRPr lang="zh-CN" altLang="en-US" sz="1100"/>
        </a:p>
        <a:p>
          <a:pPr algn="l"/>
          <a:r>
            <a:rPr lang="zh-CN" altLang="en-US" sz="1100"/>
            <a:t>基线偏移特征：供电期内天平振荡中心（基线）持续向制冷面（向下）偏移，空间密度差的不可逆积累效应在驱动阶段已充分体现，为断电后的最终偏移奠定基础。</a:t>
          </a:r>
          <a:endParaRPr lang="zh-CN" altLang="en-US" sz="1100"/>
        </a:p>
        <a:p>
          <a:pPr algn="l"/>
          <a:endParaRPr lang="zh-CN" altLang="en-US" sz="1100"/>
        </a:p>
        <a:p>
          <a:pPr algn="l"/>
          <a:r>
            <a:rPr lang="zh-CN" altLang="en-US" sz="1100"/>
            <a:t>2. 166</a:t>
          </a:r>
          <a:r>
            <a:rPr lang="en-US" altLang="zh-CN" sz="1100"/>
            <a:t> </a:t>
          </a:r>
          <a:r>
            <a:rPr lang="zh-CN" altLang="en-US" sz="1100"/>
            <a:t>帧之后（供电完全结束后的阻尼弛豫区）</a:t>
          </a:r>
          <a:endParaRPr lang="zh-CN" altLang="en-US" sz="1100"/>
        </a:p>
        <a:p>
          <a:pPr algn="l"/>
          <a:endParaRPr lang="zh-CN" altLang="en-US" sz="1100"/>
        </a:p>
        <a:p>
          <a:pPr algn="l"/>
          <a:r>
            <a:rPr lang="zh-CN" altLang="en-US" sz="1100"/>
            <a:t>供电停止后，天平围绕 ** 新的向制冷面偏移的基线（约 - 100~-200 相对单位）** 做阻尼振荡，振幅随时间逐步衰减，最终收敛至稳定偏移状态；</a:t>
          </a:r>
          <a:endParaRPr lang="zh-CN" altLang="en-US" sz="1100"/>
        </a:p>
        <a:p>
          <a:pPr algn="l"/>
          <a:r>
            <a:rPr lang="zh-CN" altLang="en-US" sz="1100"/>
            <a:t>阻尼衰减速度极快，符合 100Pa 低压下纯空间阻尼的特征（无空气对流干扰，空间网络自平衡效率高）；</a:t>
          </a:r>
          <a:endParaRPr lang="zh-CN" altLang="en-US" sz="1100"/>
        </a:p>
        <a:p>
          <a:pPr algn="l"/>
          <a:r>
            <a:rPr lang="zh-CN" altLang="en-US" sz="1100"/>
            <a:t>基线最终稳定在向制冷面偏移的非零位置，完美印证空间拓扑重构不可逆、倾斜量可累加的核心实验规律。</a:t>
          </a:r>
          <a:endParaRPr lang="zh-CN" altLang="en-US" sz="1100"/>
        </a:p>
        <a:p>
          <a:pPr algn="l"/>
          <a:endParaRPr lang="zh-CN" altLang="en-US" sz="1100"/>
        </a:p>
        <a:p>
          <a:pPr algn="l"/>
          <a:endParaRPr lang="zh-CN" altLang="en-US" sz="1100"/>
        </a:p>
        <a:p>
          <a:pPr algn="l"/>
          <a:r>
            <a:rPr lang="zh-CN" altLang="en-US" sz="1100"/>
            <a:t>三、关键科学特征总结</a:t>
          </a:r>
          <a:endParaRPr lang="zh-CN" altLang="en-US" sz="1100"/>
        </a:p>
        <a:p>
          <a:pPr algn="l"/>
          <a:endParaRPr lang="zh-CN" altLang="en-US" sz="1100"/>
        </a:p>
        <a:p>
          <a:pPr algn="l"/>
          <a:r>
            <a:rPr lang="zh-CN" altLang="en-US" sz="1100"/>
            <a:t>低压纯空间效应主导：100Pa 环境彻底消除空气对流干扰，10 次脉冲全部呈现向制冷面的定向响应，无任何反向运动，完全排除经典热应力、空气对流等干扰因素，凸显纯空间动力学效应。</a:t>
          </a:r>
          <a:endParaRPr lang="zh-CN" altLang="en-US" sz="1100"/>
        </a:p>
        <a:p>
          <a:pPr algn="l"/>
          <a:r>
            <a:rPr lang="zh-CN" altLang="en-US" sz="1100"/>
            <a:t>相位耦合效应完整验证：首次脉冲与自由摆动同向叠加、后续 9 次脉冲与惯性力反向对冲，直接证明天平运动为空间力矩与惯性力的矢量和，为 SPUM「惯性源于空间密度差」的核心假设提供了最直接的实验证据。</a:t>
          </a:r>
          <a:endParaRPr lang="zh-CN" altLang="en-US" sz="1100"/>
        </a:p>
        <a:p>
          <a:pPr algn="l"/>
          <a:r>
            <a:rPr lang="zh-CN" altLang="en-US" sz="1100"/>
            <a:t>空间记忆性与不可逆性：10 次连续脉冲驱动下基线持续向制冷面偏移，断电后无法回归初始基线，证明空间拓扑重构具有记忆性与不可逆性，空间密度差的积累效应可稳定留存。</a:t>
          </a:r>
          <a:endParaRPr lang="zh-CN" altLang="en-US" sz="1100"/>
        </a:p>
        <a:p>
          <a:pPr algn="l"/>
          <a:r>
            <a:rPr lang="zh-CN" altLang="en-US" sz="1100"/>
            <a:t>B 组天平结构特征匹配：摆动周期短、响应速度快，符合 B 组天平「宽臂、高功率、空间耦合快」的结构特征，且运动趋势弱于 A 组天平，与「空间密度梯度陡峭度决定趋势强度」的规律完全自洽。</a:t>
          </a:r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287020</xdr:colOff>
      <xdr:row>1</xdr:row>
      <xdr:rowOff>48260</xdr:rowOff>
    </xdr:from>
    <xdr:to>
      <xdr:col>22</xdr:col>
      <xdr:colOff>0</xdr:colOff>
      <xdr:row>25</xdr:row>
      <xdr:rowOff>154305</xdr:rowOff>
    </xdr:to>
    <xdr:graphicFrame>
      <xdr:nvGraphicFramePr>
        <xdr:cNvPr id="2" name="图表 1"/>
        <xdr:cNvGraphicFramePr/>
      </xdr:nvGraphicFramePr>
      <xdr:xfrm>
        <a:off x="4569460" y="231140"/>
        <a:ext cx="8856980" cy="44951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7620</xdr:colOff>
      <xdr:row>16</xdr:row>
      <xdr:rowOff>106680</xdr:rowOff>
    </xdr:from>
    <xdr:to>
      <xdr:col>19</xdr:col>
      <xdr:colOff>510540</xdr:colOff>
      <xdr:row>23</xdr:row>
      <xdr:rowOff>137160</xdr:rowOff>
    </xdr:to>
    <xdr:sp>
      <xdr:nvSpPr>
        <xdr:cNvPr id="3" name="文本框 2"/>
        <xdr:cNvSpPr txBox="1"/>
      </xdr:nvSpPr>
      <xdr:spPr>
        <a:xfrm>
          <a:off x="6728460" y="3032760"/>
          <a:ext cx="5379720" cy="1310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实验时间：</a:t>
          </a:r>
          <a:r>
            <a:rPr lang="en-US" altLang="zh-CN" sz="1100"/>
            <a:t>2026-3-28  8:20      </a:t>
          </a:r>
          <a:r>
            <a:rPr lang="zh-CN" altLang="en-US" sz="1100"/>
            <a:t>温度：</a:t>
          </a:r>
          <a:r>
            <a:rPr lang="en-US" altLang="zh-CN" sz="1100"/>
            <a:t>19.7 </a:t>
          </a:r>
          <a:r>
            <a:rPr lang="zh-CN" altLang="en-US" sz="1100"/>
            <a:t>℃</a:t>
          </a:r>
          <a:r>
            <a:rPr lang="en-US" altLang="zh-CN" sz="1100"/>
            <a:t>    </a:t>
          </a:r>
          <a:r>
            <a:rPr lang="zh-CN" altLang="en-US" sz="1100"/>
            <a:t>湿度：</a:t>
          </a:r>
          <a:r>
            <a:rPr lang="en-US" altLang="zh-CN" sz="1100"/>
            <a:t>74%     </a:t>
          </a:r>
          <a:endParaRPr lang="en-US" altLang="zh-CN" sz="1100"/>
        </a:p>
        <a:p>
          <a:pPr algn="l"/>
          <a:r>
            <a:rPr lang="zh-CN" altLang="en-US" sz="1100"/>
            <a:t>实验压力：常压</a:t>
          </a:r>
          <a:endParaRPr lang="zh-CN" altLang="en-US" sz="1100"/>
        </a:p>
        <a:p>
          <a:pPr algn="l"/>
          <a:r>
            <a:rPr lang="zh-CN" altLang="en-US" sz="1100"/>
            <a:t>实验装置：</a:t>
          </a:r>
          <a:r>
            <a:rPr lang="en-US" altLang="zh-CN" sz="1100"/>
            <a:t>B</a:t>
          </a:r>
          <a:r>
            <a:rPr lang="zh-CN" altLang="en-US" sz="1100"/>
            <a:t>天平</a:t>
          </a:r>
          <a:r>
            <a:rPr lang="en-US" altLang="zh-CN" sz="1100"/>
            <a:t>   </a:t>
          </a:r>
          <a:r>
            <a:rPr lang="zh-CN" altLang="en-US" sz="1100"/>
            <a:t>帕尔贴芯片型号：</a:t>
          </a:r>
          <a:r>
            <a:rPr lang="en-US" altLang="zh-CN" sz="1100"/>
            <a:t>TEC1-19908 *2</a:t>
          </a:r>
          <a:r>
            <a:rPr lang="zh-CN" altLang="en-US" sz="1100"/>
            <a:t>个</a:t>
          </a:r>
          <a:r>
            <a:rPr lang="en-US" altLang="zh-CN" sz="1100"/>
            <a:t>    </a:t>
          </a:r>
          <a:r>
            <a:rPr lang="zh-CN" altLang="en-US" sz="1100"/>
            <a:t>尺寸：</a:t>
          </a:r>
          <a:r>
            <a:rPr lang="en-US" altLang="zh-CN" sz="1100"/>
            <a:t>  40*40*3.4MM</a:t>
          </a:r>
          <a:endParaRPr lang="en-US" altLang="zh-CN" sz="1100"/>
        </a:p>
        <a:p>
          <a:pPr algn="l"/>
          <a:r>
            <a:rPr lang="en-US" altLang="zh-CN" sz="1100"/>
            <a:t> </a:t>
          </a:r>
          <a:r>
            <a:rPr lang="zh-CN" altLang="en-US" sz="1100"/>
            <a:t>电压：</a:t>
          </a:r>
          <a:r>
            <a:rPr lang="en-US" altLang="zh-CN" sz="1100"/>
            <a:t>24V    </a:t>
          </a:r>
          <a:r>
            <a:rPr lang="zh-CN" altLang="en-US" sz="1100"/>
            <a:t>最大电流：</a:t>
          </a:r>
          <a:r>
            <a:rPr lang="en-US" altLang="zh-CN" sz="1100"/>
            <a:t>8A     </a:t>
          </a:r>
          <a:r>
            <a:rPr lang="zh-CN" altLang="en-US" sz="1100"/>
            <a:t>最大制冷量：</a:t>
          </a:r>
          <a:r>
            <a:rPr lang="en-US" altLang="zh-CN" sz="1100"/>
            <a:t>130W    </a:t>
          </a:r>
          <a:r>
            <a:rPr lang="zh-CN" altLang="en-US" sz="1100"/>
            <a:t>总制冷量：</a:t>
          </a:r>
          <a:r>
            <a:rPr lang="en-US" altLang="zh-CN" sz="1100"/>
            <a:t>260W</a:t>
          </a:r>
          <a:endParaRPr lang="en-US" altLang="zh-CN" sz="1100"/>
        </a:p>
        <a:p>
          <a:pPr algn="l"/>
          <a:endParaRPr lang="en-US" altLang="zh-CN" sz="1100"/>
        </a:p>
        <a:p>
          <a:pPr algn="l"/>
          <a:r>
            <a:rPr lang="zh-CN" altLang="en-US" sz="1100"/>
            <a:t>曲线向上运动为向制冷面运动</a:t>
          </a:r>
          <a:endParaRPr lang="en-US" altLang="zh-CN" sz="1100"/>
        </a:p>
        <a:p>
          <a:pPr algn="l"/>
          <a:endParaRPr lang="en-US" altLang="zh-CN" sz="1100"/>
        </a:p>
      </xdr:txBody>
    </xdr:sp>
    <xdr:clientData/>
  </xdr:twoCellAnchor>
  <xdr:twoCellAnchor editAs="oneCell">
    <xdr:from>
      <xdr:col>8</xdr:col>
      <xdr:colOff>472440</xdr:colOff>
      <xdr:row>53</xdr:row>
      <xdr:rowOff>22860</xdr:rowOff>
    </xdr:from>
    <xdr:to>
      <xdr:col>14</xdr:col>
      <xdr:colOff>110490</xdr:colOff>
      <xdr:row>73</xdr:row>
      <xdr:rowOff>175260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364480" y="9715500"/>
          <a:ext cx="3295650" cy="3810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213360</xdr:colOff>
      <xdr:row>26</xdr:row>
      <xdr:rowOff>167640</xdr:rowOff>
    </xdr:from>
    <xdr:to>
      <xdr:col>19</xdr:col>
      <xdr:colOff>556260</xdr:colOff>
      <xdr:row>50</xdr:row>
      <xdr:rowOff>55245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105400" y="4922520"/>
          <a:ext cx="7048500" cy="4276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168275</xdr:colOff>
      <xdr:row>3</xdr:row>
      <xdr:rowOff>106680</xdr:rowOff>
    </xdr:from>
    <xdr:to>
      <xdr:col>19</xdr:col>
      <xdr:colOff>15240</xdr:colOff>
      <xdr:row>7</xdr:row>
      <xdr:rowOff>69215</xdr:rowOff>
    </xdr:to>
    <xdr:sp>
      <xdr:nvSpPr>
        <xdr:cNvPr id="7" name="文本框 6"/>
        <xdr:cNvSpPr txBox="1"/>
      </xdr:nvSpPr>
      <xdr:spPr>
        <a:xfrm>
          <a:off x="6279515" y="655320"/>
          <a:ext cx="5333365" cy="694055"/>
        </a:xfrm>
        <a:prstGeom prst="rect">
          <a:avLst/>
        </a:prstGeom>
        <a:solidFill>
          <a:schemeClr val="lt1"/>
        </a:solidFill>
        <a:ln w="28575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>
              <a:sym typeface="+mn-ea"/>
            </a:rPr>
            <a:t>阻尼运动天平，帕尔贴芯片通电</a:t>
          </a:r>
          <a:r>
            <a:rPr lang="en-US" altLang="zh-CN">
              <a:sym typeface="+mn-ea"/>
            </a:rPr>
            <a:t>1S</a:t>
          </a:r>
          <a:r>
            <a:rPr lang="zh-CN" altLang="en-US">
              <a:sym typeface="+mn-ea"/>
            </a:rPr>
            <a:t>，运动曲线正值为向制冷面运动。</a:t>
          </a:r>
          <a:endParaRPr lang="zh-CN" altLang="en-US" sz="1100"/>
        </a:p>
        <a:p>
          <a:pPr algn="l"/>
          <a:r>
            <a:rPr lang="zh-CN" altLang="en-US">
              <a:sym typeface="+mn-ea"/>
            </a:rPr>
            <a:t>实验结果：通电瞬间，天平大幅向制冷面运动，并回归基线，随后几次随机通电，天平向制热面运动，通电结束后，整体运动向制冷面倾斜，倾斜量可累加。</a:t>
          </a:r>
          <a:endParaRPr lang="en-US" altLang="zh-CN" sz="1100"/>
        </a:p>
        <a:p>
          <a:pPr algn="l"/>
          <a:endParaRPr lang="zh-CN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333375</xdr:colOff>
      <xdr:row>5</xdr:row>
      <xdr:rowOff>33655</xdr:rowOff>
    </xdr:from>
    <xdr:to>
      <xdr:col>20</xdr:col>
      <xdr:colOff>426085</xdr:colOff>
      <xdr:row>25</xdr:row>
      <xdr:rowOff>78740</xdr:rowOff>
    </xdr:to>
    <xdr:graphicFrame>
      <xdr:nvGraphicFramePr>
        <xdr:cNvPr id="7" name="图表 6"/>
        <xdr:cNvGraphicFramePr/>
      </xdr:nvGraphicFramePr>
      <xdr:xfrm>
        <a:off x="4615815" y="948055"/>
        <a:ext cx="8017510" cy="37026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66675</xdr:colOff>
      <xdr:row>2</xdr:row>
      <xdr:rowOff>130810</xdr:rowOff>
    </xdr:from>
    <xdr:to>
      <xdr:col>18</xdr:col>
      <xdr:colOff>569595</xdr:colOff>
      <xdr:row>8</xdr:row>
      <xdr:rowOff>107315</xdr:rowOff>
    </xdr:to>
    <xdr:sp>
      <xdr:nvSpPr>
        <xdr:cNvPr id="8" name="文本框 7"/>
        <xdr:cNvSpPr txBox="1"/>
      </xdr:nvSpPr>
      <xdr:spPr>
        <a:xfrm>
          <a:off x="6177915" y="496570"/>
          <a:ext cx="5379720" cy="10737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实验时间：</a:t>
          </a:r>
          <a:r>
            <a:rPr lang="en-US" altLang="zh-CN" sz="1100"/>
            <a:t>2026-3-28  7:20      </a:t>
          </a:r>
          <a:r>
            <a:rPr lang="zh-CN" altLang="en-US" sz="1100"/>
            <a:t>温度：</a:t>
          </a:r>
          <a:r>
            <a:rPr lang="en-US" altLang="zh-CN" sz="1100"/>
            <a:t>19.7 </a:t>
          </a:r>
          <a:r>
            <a:rPr lang="zh-CN" altLang="en-US" sz="1100"/>
            <a:t>℃</a:t>
          </a:r>
          <a:r>
            <a:rPr lang="en-US" altLang="zh-CN" sz="1100"/>
            <a:t>    </a:t>
          </a:r>
          <a:r>
            <a:rPr lang="zh-CN" altLang="en-US" sz="1100"/>
            <a:t>湿度：</a:t>
          </a:r>
          <a:r>
            <a:rPr lang="en-US" altLang="zh-CN" sz="1100"/>
            <a:t>74%     </a:t>
          </a:r>
          <a:endParaRPr lang="en-US" altLang="zh-CN" sz="1100"/>
        </a:p>
        <a:p>
          <a:pPr algn="l"/>
          <a:r>
            <a:rPr lang="zh-CN" altLang="en-US" sz="1100"/>
            <a:t>实验压力：低压</a:t>
          </a:r>
          <a:r>
            <a:rPr lang="en-US" altLang="zh-CN" sz="1100"/>
            <a:t>100</a:t>
          </a:r>
          <a:r>
            <a:rPr lang="zh-CN" altLang="en-US" sz="1100"/>
            <a:t>帕</a:t>
          </a:r>
          <a:endParaRPr lang="zh-CN" altLang="en-US" sz="1100"/>
        </a:p>
        <a:p>
          <a:pPr algn="l"/>
          <a:r>
            <a:rPr lang="zh-CN" altLang="en-US" sz="1100"/>
            <a:t>实验装置：</a:t>
          </a:r>
          <a:r>
            <a:rPr lang="en-US" altLang="zh-CN" sz="1100"/>
            <a:t>B</a:t>
          </a:r>
          <a:r>
            <a:rPr lang="zh-CN" altLang="en-US" sz="1100"/>
            <a:t>天平</a:t>
          </a:r>
          <a:r>
            <a:rPr lang="en-US" altLang="zh-CN" sz="1100"/>
            <a:t>   </a:t>
          </a:r>
          <a:r>
            <a:rPr lang="zh-CN" altLang="en-US" sz="1100"/>
            <a:t>帕尔贴芯片型号：</a:t>
          </a:r>
          <a:r>
            <a:rPr lang="en-US" altLang="zh-CN" sz="1100"/>
            <a:t>TEC1-19908 *2</a:t>
          </a:r>
          <a:r>
            <a:rPr lang="zh-CN" altLang="en-US" sz="1100"/>
            <a:t>个</a:t>
          </a:r>
          <a:r>
            <a:rPr lang="en-US" altLang="zh-CN" sz="1100"/>
            <a:t>    </a:t>
          </a:r>
          <a:r>
            <a:rPr lang="zh-CN" altLang="en-US" sz="1100"/>
            <a:t>尺寸：</a:t>
          </a:r>
          <a:r>
            <a:rPr lang="en-US" altLang="zh-CN" sz="1100"/>
            <a:t>  40*40*3.4MM</a:t>
          </a:r>
          <a:endParaRPr lang="en-US" altLang="zh-CN" sz="1100"/>
        </a:p>
        <a:p>
          <a:pPr algn="l"/>
          <a:r>
            <a:rPr lang="en-US" altLang="zh-CN" sz="1100"/>
            <a:t> </a:t>
          </a:r>
          <a:r>
            <a:rPr lang="zh-CN" altLang="en-US" sz="1100"/>
            <a:t>电压：</a:t>
          </a:r>
          <a:r>
            <a:rPr lang="en-US" altLang="zh-CN" sz="1100"/>
            <a:t>24V    </a:t>
          </a:r>
          <a:r>
            <a:rPr lang="zh-CN" altLang="en-US" sz="1100"/>
            <a:t>最大电流：</a:t>
          </a:r>
          <a:r>
            <a:rPr lang="en-US" altLang="zh-CN" sz="1100"/>
            <a:t>8A     </a:t>
          </a:r>
          <a:r>
            <a:rPr lang="zh-CN" altLang="en-US" sz="1100"/>
            <a:t>最大制冷量：</a:t>
          </a:r>
          <a:r>
            <a:rPr lang="en-US" altLang="zh-CN" sz="1100"/>
            <a:t>130W    </a:t>
          </a:r>
          <a:r>
            <a:rPr lang="zh-CN" altLang="en-US" sz="1100"/>
            <a:t>总制冷量：</a:t>
          </a:r>
          <a:r>
            <a:rPr lang="en-US" altLang="zh-CN" sz="1100"/>
            <a:t>260W</a:t>
          </a:r>
          <a:endParaRPr lang="en-US" altLang="zh-CN" sz="1100"/>
        </a:p>
        <a:p>
          <a:pPr algn="l"/>
          <a:r>
            <a:rPr lang="zh-CN" altLang="en-US" sz="1100" b="1"/>
            <a:t>曲线向上运动为向制冷面运动</a:t>
          </a:r>
          <a:endParaRPr lang="en-US" altLang="zh-CN" sz="1100" b="1"/>
        </a:p>
        <a:p>
          <a:pPr algn="l"/>
          <a:endParaRPr lang="en-US" altLang="zh-CN" sz="11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213360</xdr:colOff>
      <xdr:row>0</xdr:row>
      <xdr:rowOff>175260</xdr:rowOff>
    </xdr:from>
    <xdr:to>
      <xdr:col>16</xdr:col>
      <xdr:colOff>106680</xdr:colOff>
      <xdr:row>8</xdr:row>
      <xdr:rowOff>22860</xdr:rowOff>
    </xdr:to>
    <xdr:sp>
      <xdr:nvSpPr>
        <xdr:cNvPr id="3" name="文本框 2"/>
        <xdr:cNvSpPr txBox="1"/>
      </xdr:nvSpPr>
      <xdr:spPr>
        <a:xfrm>
          <a:off x="3985260" y="175260"/>
          <a:ext cx="5379720" cy="1310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实验时间：</a:t>
          </a:r>
          <a:r>
            <a:rPr lang="en-US" altLang="zh-CN" sz="1100"/>
            <a:t>2026-3-27  15:42     </a:t>
          </a:r>
          <a:r>
            <a:rPr lang="zh-CN" altLang="en-US" sz="1100"/>
            <a:t>温度：</a:t>
          </a:r>
          <a:r>
            <a:rPr lang="en-US" altLang="zh-CN" sz="1100"/>
            <a:t>20.5 </a:t>
          </a:r>
          <a:r>
            <a:rPr lang="zh-CN" altLang="en-US" sz="1100"/>
            <a:t>℃</a:t>
          </a:r>
          <a:r>
            <a:rPr lang="en-US" altLang="zh-CN" sz="1100"/>
            <a:t>    </a:t>
          </a:r>
          <a:r>
            <a:rPr lang="zh-CN" altLang="en-US" sz="1100"/>
            <a:t>湿度：</a:t>
          </a:r>
          <a:r>
            <a:rPr lang="en-US" altLang="zh-CN" sz="1100"/>
            <a:t>74%     </a:t>
          </a:r>
          <a:endParaRPr lang="en-US" altLang="zh-CN" sz="1100"/>
        </a:p>
        <a:p>
          <a:pPr algn="l"/>
          <a:r>
            <a:rPr lang="zh-CN" altLang="en-US" sz="1100"/>
            <a:t>实验压力：常压</a:t>
          </a:r>
          <a:endParaRPr lang="zh-CN" altLang="en-US" sz="1100"/>
        </a:p>
        <a:p>
          <a:pPr algn="l"/>
          <a:r>
            <a:rPr lang="zh-CN" altLang="en-US" sz="1100"/>
            <a:t>实验装置：</a:t>
          </a:r>
          <a:r>
            <a:rPr lang="en-US" altLang="zh-CN" sz="1100"/>
            <a:t>B</a:t>
          </a:r>
          <a:r>
            <a:rPr lang="zh-CN" altLang="en-US" sz="1100"/>
            <a:t>天平</a:t>
          </a:r>
          <a:r>
            <a:rPr lang="en-US" altLang="zh-CN" sz="1100"/>
            <a:t>   </a:t>
          </a:r>
          <a:r>
            <a:rPr lang="zh-CN" altLang="en-US" sz="1100"/>
            <a:t>帕尔贴芯片型号：</a:t>
          </a:r>
          <a:r>
            <a:rPr lang="en-US" altLang="zh-CN" sz="1100"/>
            <a:t>TEC1-19908 *2</a:t>
          </a:r>
          <a:r>
            <a:rPr lang="zh-CN" altLang="en-US" sz="1100"/>
            <a:t>个</a:t>
          </a:r>
          <a:r>
            <a:rPr lang="en-US" altLang="zh-CN" sz="1100"/>
            <a:t>    </a:t>
          </a:r>
          <a:r>
            <a:rPr lang="zh-CN" altLang="en-US" sz="1100"/>
            <a:t>尺寸：</a:t>
          </a:r>
          <a:r>
            <a:rPr lang="en-US" altLang="zh-CN" sz="1100"/>
            <a:t>  40*40*3.4MM</a:t>
          </a:r>
          <a:endParaRPr lang="en-US" altLang="zh-CN" sz="1100"/>
        </a:p>
        <a:p>
          <a:pPr algn="l"/>
          <a:r>
            <a:rPr lang="en-US" altLang="zh-CN" sz="1100"/>
            <a:t> </a:t>
          </a:r>
          <a:r>
            <a:rPr lang="zh-CN" altLang="en-US" sz="1100"/>
            <a:t>电压：</a:t>
          </a:r>
          <a:r>
            <a:rPr lang="en-US" altLang="zh-CN" sz="1100"/>
            <a:t>24V    </a:t>
          </a:r>
          <a:r>
            <a:rPr lang="zh-CN" altLang="en-US" sz="1100"/>
            <a:t>最大电流：</a:t>
          </a:r>
          <a:r>
            <a:rPr lang="en-US" altLang="zh-CN" sz="1100"/>
            <a:t>8A     </a:t>
          </a:r>
          <a:r>
            <a:rPr lang="zh-CN" altLang="en-US" sz="1100"/>
            <a:t>最大制冷量：</a:t>
          </a:r>
          <a:r>
            <a:rPr lang="en-US" altLang="zh-CN" sz="1100"/>
            <a:t>130W    </a:t>
          </a:r>
          <a:r>
            <a:rPr lang="zh-CN" altLang="en-US" sz="1100"/>
            <a:t>总制冷量：</a:t>
          </a:r>
          <a:r>
            <a:rPr lang="en-US" altLang="zh-CN" sz="1100"/>
            <a:t>260W</a:t>
          </a:r>
          <a:endParaRPr lang="en-US" altLang="zh-CN" sz="1100"/>
        </a:p>
        <a:p>
          <a:pPr algn="l"/>
          <a:endParaRPr lang="en-US" altLang="zh-CN" sz="1100"/>
        </a:p>
        <a:p>
          <a:pPr algn="l"/>
          <a:r>
            <a:rPr lang="zh-CN" altLang="en-US" sz="1100"/>
            <a:t>曲线向下运动为向制冷面运动</a:t>
          </a:r>
          <a:endParaRPr lang="en-US" altLang="zh-CN" sz="1100"/>
        </a:p>
        <a:p>
          <a:pPr algn="l"/>
          <a:endParaRPr lang="en-US" altLang="zh-CN" sz="1100"/>
        </a:p>
      </xdr:txBody>
    </xdr:sp>
    <xdr:clientData/>
  </xdr:twoCellAnchor>
  <xdr:twoCellAnchor>
    <xdr:from>
      <xdr:col>7</xdr:col>
      <xdr:colOff>488315</xdr:colOff>
      <xdr:row>28</xdr:row>
      <xdr:rowOff>60960</xdr:rowOff>
    </xdr:from>
    <xdr:to>
      <xdr:col>16</xdr:col>
      <xdr:colOff>335280</xdr:colOff>
      <xdr:row>32</xdr:row>
      <xdr:rowOff>23495</xdr:rowOff>
    </xdr:to>
    <xdr:sp>
      <xdr:nvSpPr>
        <xdr:cNvPr id="6" name="文本框 5"/>
        <xdr:cNvSpPr txBox="1"/>
      </xdr:nvSpPr>
      <xdr:spPr>
        <a:xfrm>
          <a:off x="4260215" y="5181600"/>
          <a:ext cx="5333365" cy="694055"/>
        </a:xfrm>
        <a:prstGeom prst="rect">
          <a:avLst/>
        </a:prstGeom>
        <a:solidFill>
          <a:schemeClr val="lt1"/>
        </a:solidFill>
        <a:ln w="28575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>
              <a:sym typeface="+mn-ea"/>
            </a:rPr>
            <a:t>阻尼运动天平，帕尔贴芯片通电</a:t>
          </a:r>
          <a:r>
            <a:rPr lang="en-US" altLang="zh-CN">
              <a:sym typeface="+mn-ea"/>
            </a:rPr>
            <a:t>1S</a:t>
          </a:r>
          <a:r>
            <a:rPr lang="zh-CN" altLang="en-US">
              <a:sym typeface="+mn-ea"/>
            </a:rPr>
            <a:t>，运动曲线正值为向制冷面运动。</a:t>
          </a:r>
          <a:endParaRPr lang="zh-CN" altLang="en-US" sz="1100"/>
        </a:p>
        <a:p>
          <a:pPr algn="l"/>
          <a:r>
            <a:rPr lang="zh-CN" altLang="en-US">
              <a:sym typeface="+mn-ea"/>
            </a:rPr>
            <a:t>实验结果：通电瞬间，天平向上的运动趋势被抑制，天平沿新基线阻尼小幅摆动。</a:t>
          </a:r>
          <a:endParaRPr lang="en-US" altLang="zh-CN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195580</xdr:colOff>
      <xdr:row>8</xdr:row>
      <xdr:rowOff>124460</xdr:rowOff>
    </xdr:from>
    <xdr:to>
      <xdr:col>20</xdr:col>
      <xdr:colOff>205105</xdr:colOff>
      <xdr:row>26</xdr:row>
      <xdr:rowOff>154940</xdr:rowOff>
    </xdr:to>
    <xdr:graphicFrame>
      <xdr:nvGraphicFramePr>
        <xdr:cNvPr id="7" name="图表 6"/>
        <xdr:cNvGraphicFramePr/>
      </xdr:nvGraphicFramePr>
      <xdr:xfrm>
        <a:off x="3967480" y="1587500"/>
        <a:ext cx="7934325" cy="3322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213360</xdr:colOff>
      <xdr:row>0</xdr:row>
      <xdr:rowOff>175260</xdr:rowOff>
    </xdr:from>
    <xdr:to>
      <xdr:col>16</xdr:col>
      <xdr:colOff>106680</xdr:colOff>
      <xdr:row>8</xdr:row>
      <xdr:rowOff>22860</xdr:rowOff>
    </xdr:to>
    <xdr:sp>
      <xdr:nvSpPr>
        <xdr:cNvPr id="2" name="文本框 1"/>
        <xdr:cNvSpPr txBox="1"/>
      </xdr:nvSpPr>
      <xdr:spPr>
        <a:xfrm>
          <a:off x="3985260" y="175260"/>
          <a:ext cx="5379720" cy="1310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实验时间：</a:t>
          </a:r>
          <a:r>
            <a:rPr lang="en-US" altLang="zh-CN" sz="1100"/>
            <a:t>2026-3-27  15:35     </a:t>
          </a:r>
          <a:r>
            <a:rPr lang="zh-CN" altLang="en-US" sz="1100"/>
            <a:t>温度：</a:t>
          </a:r>
          <a:r>
            <a:rPr lang="en-US" altLang="zh-CN" sz="1100"/>
            <a:t>20.5 </a:t>
          </a:r>
          <a:r>
            <a:rPr lang="zh-CN" altLang="en-US" sz="1100"/>
            <a:t>℃</a:t>
          </a:r>
          <a:r>
            <a:rPr lang="en-US" altLang="zh-CN" sz="1100"/>
            <a:t>    </a:t>
          </a:r>
          <a:r>
            <a:rPr lang="zh-CN" altLang="en-US" sz="1100"/>
            <a:t>湿度：</a:t>
          </a:r>
          <a:r>
            <a:rPr lang="en-US" altLang="zh-CN" sz="1100"/>
            <a:t>74%     </a:t>
          </a:r>
          <a:endParaRPr lang="en-US" altLang="zh-CN" sz="1100"/>
        </a:p>
        <a:p>
          <a:pPr algn="l"/>
          <a:r>
            <a:rPr lang="zh-CN" altLang="en-US" sz="1100"/>
            <a:t>实验压力：低压：</a:t>
          </a:r>
          <a:r>
            <a:rPr lang="en-US" altLang="zh-CN" sz="1100"/>
            <a:t>100</a:t>
          </a:r>
          <a:r>
            <a:rPr lang="zh-CN" altLang="en-US" sz="1100"/>
            <a:t>帕</a:t>
          </a:r>
          <a:endParaRPr lang="zh-CN" altLang="en-US" sz="1100"/>
        </a:p>
        <a:p>
          <a:pPr algn="l"/>
          <a:r>
            <a:rPr lang="zh-CN" altLang="en-US" sz="1100"/>
            <a:t>实验装置：</a:t>
          </a:r>
          <a:r>
            <a:rPr lang="en-US" altLang="zh-CN" sz="1100"/>
            <a:t>B</a:t>
          </a:r>
          <a:r>
            <a:rPr lang="zh-CN" altLang="en-US" sz="1100"/>
            <a:t>天平</a:t>
          </a:r>
          <a:r>
            <a:rPr lang="en-US" altLang="zh-CN" sz="1100"/>
            <a:t>   </a:t>
          </a:r>
          <a:r>
            <a:rPr lang="zh-CN" altLang="en-US" sz="1100"/>
            <a:t>帕尔贴芯片型号：</a:t>
          </a:r>
          <a:r>
            <a:rPr lang="en-US" altLang="zh-CN" sz="1100"/>
            <a:t>TEC1-19908 *2</a:t>
          </a:r>
          <a:r>
            <a:rPr lang="zh-CN" altLang="en-US" sz="1100"/>
            <a:t>个</a:t>
          </a:r>
          <a:r>
            <a:rPr lang="en-US" altLang="zh-CN" sz="1100"/>
            <a:t>    </a:t>
          </a:r>
          <a:r>
            <a:rPr lang="zh-CN" altLang="en-US" sz="1100"/>
            <a:t>尺寸：</a:t>
          </a:r>
          <a:r>
            <a:rPr lang="en-US" altLang="zh-CN" sz="1100"/>
            <a:t>  40*40*3.4MM</a:t>
          </a:r>
          <a:endParaRPr lang="en-US" altLang="zh-CN" sz="1100"/>
        </a:p>
        <a:p>
          <a:pPr algn="l"/>
          <a:r>
            <a:rPr lang="en-US" altLang="zh-CN" sz="1100"/>
            <a:t> </a:t>
          </a:r>
          <a:r>
            <a:rPr lang="zh-CN" altLang="en-US" sz="1100"/>
            <a:t>电压：</a:t>
          </a:r>
          <a:r>
            <a:rPr lang="en-US" altLang="zh-CN" sz="1100"/>
            <a:t>24V    </a:t>
          </a:r>
          <a:r>
            <a:rPr lang="zh-CN" altLang="en-US" sz="1100"/>
            <a:t>最大电流：</a:t>
          </a:r>
          <a:r>
            <a:rPr lang="en-US" altLang="zh-CN" sz="1100"/>
            <a:t>8A     </a:t>
          </a:r>
          <a:r>
            <a:rPr lang="zh-CN" altLang="en-US" sz="1100"/>
            <a:t>最大制冷量：</a:t>
          </a:r>
          <a:r>
            <a:rPr lang="en-US" altLang="zh-CN" sz="1100"/>
            <a:t>130W    </a:t>
          </a:r>
          <a:r>
            <a:rPr lang="zh-CN" altLang="en-US" sz="1100"/>
            <a:t>总制冷量：</a:t>
          </a:r>
          <a:r>
            <a:rPr lang="en-US" altLang="zh-CN" sz="1100"/>
            <a:t>260W</a:t>
          </a:r>
          <a:endParaRPr lang="en-US" altLang="zh-CN" sz="1100"/>
        </a:p>
        <a:p>
          <a:pPr algn="l"/>
          <a:endParaRPr lang="en-US" altLang="zh-CN" sz="1100"/>
        </a:p>
        <a:p>
          <a:pPr algn="l"/>
          <a:r>
            <a:rPr lang="zh-CN" altLang="en-US" sz="1100"/>
            <a:t>曲线向下运动为向制冷面运动，共</a:t>
          </a:r>
          <a:r>
            <a:rPr lang="en-US" altLang="zh-CN" sz="1100"/>
            <a:t>10</a:t>
          </a:r>
          <a:r>
            <a:rPr lang="zh-CN" altLang="en-US" sz="1100"/>
            <a:t>次供电周期</a:t>
          </a:r>
          <a:r>
            <a:rPr lang="en-US" altLang="zh-CN" sz="1100"/>
            <a:t> :</a:t>
          </a:r>
          <a:r>
            <a:rPr lang="zh-CN" altLang="en-US" sz="1100"/>
            <a:t>供电</a:t>
          </a:r>
          <a:r>
            <a:rPr lang="en-US" altLang="zh-CN" sz="1100"/>
            <a:t>0.4S</a:t>
          </a:r>
          <a:r>
            <a:rPr lang="zh-CN" altLang="en-US" sz="1100"/>
            <a:t>，间隔</a:t>
          </a:r>
          <a:r>
            <a:rPr lang="en-US" altLang="zh-CN" sz="1100"/>
            <a:t>0.3S</a:t>
          </a:r>
          <a:endParaRPr lang="en-US" altLang="zh-CN" sz="1100"/>
        </a:p>
        <a:p>
          <a:pPr algn="l"/>
          <a:endParaRPr lang="en-US" altLang="zh-CN" sz="1100"/>
        </a:p>
      </xdr:txBody>
    </xdr:sp>
    <xdr:clientData/>
  </xdr:twoCellAnchor>
  <xdr:twoCellAnchor>
    <xdr:from>
      <xdr:col>7</xdr:col>
      <xdr:colOff>412115</xdr:colOff>
      <xdr:row>28</xdr:row>
      <xdr:rowOff>30480</xdr:rowOff>
    </xdr:from>
    <xdr:to>
      <xdr:col>16</xdr:col>
      <xdr:colOff>259080</xdr:colOff>
      <xdr:row>54</xdr:row>
      <xdr:rowOff>152400</xdr:rowOff>
    </xdr:to>
    <xdr:sp>
      <xdr:nvSpPr>
        <xdr:cNvPr id="5" name="文本框 4"/>
        <xdr:cNvSpPr txBox="1"/>
      </xdr:nvSpPr>
      <xdr:spPr>
        <a:xfrm>
          <a:off x="4184015" y="5151120"/>
          <a:ext cx="5333365" cy="4876800"/>
        </a:xfrm>
        <a:prstGeom prst="rect">
          <a:avLst/>
        </a:prstGeom>
        <a:solidFill>
          <a:schemeClr val="lt1"/>
        </a:solidFill>
        <a:ln w="28575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实验分析</a:t>
          </a:r>
          <a:endParaRPr lang="zh-CN" altLang="en-US" sz="1100"/>
        </a:p>
        <a:p>
          <a:pPr algn="l"/>
          <a:r>
            <a:rPr lang="zh-CN" altLang="en-US" sz="1100"/>
            <a:t>首次供电：与天平自由阻尼摆动耦合，大幅向下（向制冷面）</a:t>
          </a:r>
          <a:endParaRPr lang="zh-CN" altLang="en-US" sz="1100"/>
        </a:p>
        <a:p>
          <a:pPr algn="l"/>
          <a:r>
            <a:rPr lang="zh-CN" altLang="en-US" sz="1100"/>
            <a:t>第 1 次脉冲（3.1~3.5s）精准落在天平向下摆动的区间，因此叠加后出现大幅向下的峰值，是「驱动 + 自由振荡」的耦合效应。</a:t>
          </a:r>
          <a:endParaRPr lang="zh-CN" altLang="en-US" sz="1100"/>
        </a:p>
        <a:p>
          <a:pPr algn="l"/>
          <a:r>
            <a:rPr lang="zh-CN" altLang="en-US" sz="1100"/>
            <a:t>后续 9 次供电：全部精准落在天平向上（向制热面）摆动的区间</a:t>
          </a:r>
          <a:endParaRPr lang="zh-CN" altLang="en-US" sz="1100"/>
        </a:p>
        <a:p>
          <a:pPr algn="l"/>
          <a:r>
            <a:rPr lang="zh-CN" altLang="en-US" sz="1100"/>
            <a:t>从第 2 次脉冲（4.0~4.4s）开始，每一次高电平供电，都严格卡在天平向上回弹的半周期内，没有一次落在向下区间。</a:t>
          </a:r>
          <a:endParaRPr lang="zh-CN" altLang="en-US" sz="1100"/>
        </a:p>
        <a:p>
          <a:pPr algn="l"/>
          <a:r>
            <a:rPr lang="zh-CN" altLang="en-US" sz="1100"/>
            <a:t>无明显幅度递增趋势，且 10 分钟短间隔实验</a:t>
          </a:r>
          <a:endParaRPr lang="zh-CN" altLang="en-US" sz="1100"/>
        </a:p>
        <a:p>
          <a:pPr algn="l"/>
          <a:r>
            <a:rPr lang="zh-CN" altLang="en-US" sz="1100"/>
            <a:t>连续 10 次脉冲后，响应幅度没有持续放大，反而趋于稳定；两次实验仅间隔 10 分钟，系统未完全回到初始平衡状态，存在空间密度差残留。</a:t>
          </a:r>
          <a:endParaRPr lang="zh-CN" altLang="en-US" sz="1100"/>
        </a:p>
        <a:p>
          <a:pPr algn="l"/>
          <a:r>
            <a:rPr lang="zh-CN" altLang="en-US" sz="1100"/>
            <a:t>首次直接验证「空间力矩与惯性力的相位耦合效应」</a:t>
          </a:r>
          <a:endParaRPr lang="zh-CN" altLang="en-US" sz="1100"/>
        </a:p>
        <a:p>
          <a:pPr algn="l"/>
          <a:r>
            <a:rPr lang="zh-CN" altLang="en-US" sz="1100"/>
            <a:t>当驱动脉冲与自由摆动同向：力矩叠加，幅度放大；</a:t>
          </a:r>
          <a:endParaRPr lang="zh-CN" altLang="en-US" sz="1100"/>
        </a:p>
        <a:p>
          <a:pPr algn="l"/>
          <a:r>
            <a:rPr lang="zh-CN" altLang="en-US" sz="1100"/>
            <a:t>当驱动脉冲与自由摆动反向：力矩对冲，幅度抑制；</a:t>
          </a:r>
          <a:endParaRPr lang="zh-CN" altLang="en-US" sz="1100"/>
        </a:p>
        <a:p>
          <a:pPr algn="l"/>
          <a:r>
            <a:rPr lang="zh-CN" altLang="en-US" sz="1100"/>
            <a:t>这直接证明：天平的运动是空间密度差推力与惯性力的矢量和，完美印证 SPUM「惯性源于空间密度差」的核心假设。</a:t>
          </a:r>
          <a:endParaRPr lang="zh-CN" altLang="en-US" sz="1100"/>
        </a:p>
        <a:p>
          <a:pPr algn="l"/>
          <a:r>
            <a:rPr lang="zh-CN" altLang="en-US" sz="1100"/>
            <a:t>2. 10 分钟短间隔的「残留梯度效应」，是空间记忆性的直接证据</a:t>
          </a:r>
          <a:endParaRPr lang="zh-CN" altLang="en-US" sz="1100"/>
        </a:p>
        <a:p>
          <a:pPr algn="l"/>
          <a:r>
            <a:rPr lang="zh-CN" altLang="en-US" sz="1100"/>
            <a:t>两次实验仅间隔 10 分钟，系统未完全回到初始平衡，说明空间拓扑重构的弛豫时间远长于实验间隔；</a:t>
          </a:r>
          <a:endParaRPr lang="zh-CN" altLang="en-US" sz="1100"/>
        </a:p>
        <a:p>
          <a:pPr algn="l"/>
          <a:r>
            <a:rPr lang="zh-CN" altLang="en-US" sz="1100"/>
            <a:t>残留梯度导致本次实验的响应幅度无递增，证明空间密度差的积累具有记忆性与不可逆性，与我们之前的「基线累加」结论完全一致。</a:t>
          </a:r>
          <a:endParaRPr lang="zh-CN" altLang="en-US" sz="1100"/>
        </a:p>
        <a:p>
          <a:pPr algn="l"/>
          <a:r>
            <a:rPr lang="zh-CN" altLang="en-US" sz="1100"/>
            <a:t>3. 相位锁定现象，证明力矩的瞬时性与因果性</a:t>
          </a:r>
          <a:endParaRPr lang="zh-CN" altLang="en-US" sz="1100"/>
        </a:p>
        <a:p>
          <a:pPr algn="l"/>
          <a:r>
            <a:rPr lang="zh-CN" altLang="en-US" sz="1100"/>
            <a:t>后续 9 次脉冲全部精准落在向上区间，且每次都形成同步对冲响应，证明力矩与供电严格因果相关，无任何随机干扰；</a:t>
          </a:r>
          <a:endParaRPr lang="zh-CN" altLang="en-US" sz="1100"/>
        </a:p>
        <a:p>
          <a:pPr algn="l"/>
          <a:r>
            <a:rPr lang="zh-CN" altLang="en-US" sz="1100"/>
            <a:t>低压环境下无空气对流，因此相位锁定现象完全由空间动力学主导，排除了所有经典热效应的可能。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256540</xdr:colOff>
      <xdr:row>9</xdr:row>
      <xdr:rowOff>17780</xdr:rowOff>
    </xdr:from>
    <xdr:to>
      <xdr:col>20</xdr:col>
      <xdr:colOff>205105</xdr:colOff>
      <xdr:row>26</xdr:row>
      <xdr:rowOff>161925</xdr:rowOff>
    </xdr:to>
    <xdr:graphicFrame>
      <xdr:nvGraphicFramePr>
        <xdr:cNvPr id="7" name="图表 6"/>
        <xdr:cNvGraphicFramePr/>
      </xdr:nvGraphicFramePr>
      <xdr:xfrm>
        <a:off x="4028440" y="1663700"/>
        <a:ext cx="7873365" cy="32531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182880</xdr:colOff>
      <xdr:row>11</xdr:row>
      <xdr:rowOff>160020</xdr:rowOff>
    </xdr:from>
    <xdr:to>
      <xdr:col>13</xdr:col>
      <xdr:colOff>601980</xdr:colOff>
      <xdr:row>14</xdr:row>
      <xdr:rowOff>151765</xdr:rowOff>
    </xdr:to>
    <xdr:sp>
      <xdr:nvSpPr>
        <xdr:cNvPr id="8" name="文本框 7"/>
        <xdr:cNvSpPr txBox="1"/>
      </xdr:nvSpPr>
      <xdr:spPr>
        <a:xfrm>
          <a:off x="5783580" y="2171700"/>
          <a:ext cx="2247900" cy="5403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首次供电阻尼运动被大幅抑制，断电回弹大幅低于预期高度</a:t>
          </a:r>
          <a:endParaRPr lang="zh-CN" altLang="en-US" sz="1100"/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0.308089362045326</cdr:x>
      <cdr:y>0.819051337107164</cdr:y>
    </cdr:from>
    <cdr:to>
      <cdr:x>0.717477215904508</cdr:x>
      <cdr:y>0.88932266250244</cdr:y>
    </cdr:to>
    <cdr:sp>
      <cdr:nvSpPr>
        <cdr:cNvPr id="2" name="矩形 1"/>
        <cdr:cNvSpPr/>
      </cdr:nvSpPr>
      <cdr:spPr xmlns:a="http://schemas.openxmlformats.org/drawingml/2006/main">
        <a:xfrm xmlns:a="http://schemas.openxmlformats.org/drawingml/2006/main">
          <a:off x="2425700" y="2664460"/>
          <a:ext cx="3223260" cy="22860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horzOverflow="clip" wrap="square" rtlCol="0" anchor="t"/>
        <a:p>
          <a:endParaRPr lang="zh-CN" altLang="en-US"/>
        </a:p>
      </cdr:txBody>
    </cdr:sp>
  </cdr:relSizeAnchor>
  <cdr:relSizeAnchor xmlns:cdr="http://schemas.openxmlformats.org/drawingml/2006/chartDrawing">
    <cdr:from>
      <cdr:x>0.28776514235019</cdr:x>
      <cdr:y>0.80968182705446</cdr:y>
    </cdr:from>
    <cdr:to>
      <cdr:x>0.716509395919026</cdr:x>
      <cdr:y>0.875268397423385</cdr:y>
    </cdr:to>
    <cdr:sp>
      <cdr:nvSpPr>
        <cdr:cNvPr id="3" name="矩形 2"/>
        <cdr:cNvSpPr/>
      </cdr:nvSpPr>
      <cdr:spPr xmlns:a="http://schemas.openxmlformats.org/drawingml/2006/main">
        <a:xfrm xmlns:a="http://schemas.openxmlformats.org/drawingml/2006/main">
          <a:off x="2265680" y="2633980"/>
          <a:ext cx="3375660" cy="21336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horzOverflow="clip" wrap="square" rtlCol="0" anchor="t"/>
        <a:p>
          <a:r>
            <a:rPr lang="zh-CN" altLang="en-US"/>
            <a:t>摆动曲线整体向制冷面偏移</a:t>
          </a:r>
          <a:endParaRPr lang="zh-CN" altLang="en-US"/>
        </a:p>
      </cdr:txBody>
    </cdr:sp>
  </cdr:relSizeAnchor>
  <cdr:relSizeAnchor xmlns:cdr="http://schemas.openxmlformats.org/drawingml/2006/chartDrawing">
    <cdr:from>
      <cdr:x>0.340027421566255</cdr:x>
      <cdr:y>0.823736092133516</cdr:y>
    </cdr:from>
    <cdr:to>
      <cdr:x>0.72521977578837</cdr:x>
      <cdr:y>0.896349795041968</cdr:y>
    </cdr:to>
    <cdr:sp>
      <cdr:nvSpPr>
        <cdr:cNvPr id="4" name="矩形 3"/>
        <cdr:cNvSpPr/>
      </cdr:nvSpPr>
      <cdr:spPr xmlns:a="http://schemas.openxmlformats.org/drawingml/2006/main">
        <a:xfrm xmlns:a="http://schemas.openxmlformats.org/drawingml/2006/main">
          <a:off x="2677160" y="2679700"/>
          <a:ext cx="3032760" cy="23622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horzOverflow="clip" wrap="square" rtlCol="0" anchor="t"/>
        <a:p>
          <a:endParaRPr lang="zh-CN" altLang="en-US"/>
        </a:p>
      </cdr:txBody>
    </cdr:sp>
  </cdr:relSizeAnchor>
</c:userShapes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412115</xdr:colOff>
      <xdr:row>28</xdr:row>
      <xdr:rowOff>30480</xdr:rowOff>
    </xdr:from>
    <xdr:to>
      <xdr:col>16</xdr:col>
      <xdr:colOff>259080</xdr:colOff>
      <xdr:row>54</xdr:row>
      <xdr:rowOff>152400</xdr:rowOff>
    </xdr:to>
    <xdr:sp>
      <xdr:nvSpPr>
        <xdr:cNvPr id="5" name="文本框 4"/>
        <xdr:cNvSpPr txBox="1"/>
      </xdr:nvSpPr>
      <xdr:spPr>
        <a:xfrm>
          <a:off x="4184015" y="5151120"/>
          <a:ext cx="5333365" cy="4876800"/>
        </a:xfrm>
        <a:prstGeom prst="rect">
          <a:avLst/>
        </a:prstGeom>
        <a:solidFill>
          <a:schemeClr val="lt1"/>
        </a:solidFill>
        <a:ln w="28575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实验结果总结：</a:t>
          </a:r>
          <a:endParaRPr lang="zh-CN" altLang="en-US" sz="1100"/>
        </a:p>
        <a:p>
          <a:pPr algn="l"/>
          <a:r>
            <a:rPr lang="zh-CN" altLang="en-US" sz="1100"/>
            <a:t>图 X B 组天平 300Pa 低压环境下单次 1s 脉冲阻尼运动温差介入曲线（光杠杆法测量）</a:t>
          </a:r>
          <a:endParaRPr lang="zh-CN" altLang="en-US" sz="1100"/>
        </a:p>
        <a:p>
          <a:pPr algn="l"/>
          <a:r>
            <a:rPr lang="zh-CN" altLang="en-US" sz="1100"/>
            <a:t>横轴：时间 t (s)，纵轴：相对位移（arb. units），曲线向下为向制冷面运动</a:t>
          </a:r>
          <a:endParaRPr lang="zh-CN" altLang="en-US" sz="1100"/>
        </a:p>
        <a:p>
          <a:pPr algn="l"/>
          <a:r>
            <a:rPr lang="zh-CN" altLang="en-US" sz="1100"/>
            <a:t>蓝色曲线：天平运动相对位移响应；橙色曲线：帕尔贴芯片供电脉冲（单次供电 1s）</a:t>
          </a:r>
          <a:endParaRPr lang="zh-CN" altLang="en-US" sz="1100"/>
        </a:p>
        <a:p>
          <a:pPr algn="l"/>
          <a:r>
            <a:rPr lang="zh-CN" altLang="en-US" sz="1100"/>
            <a:t>实验条件：300Pa 低压环境，环境温度 20.5℃，相对湿度 74%，实验时间 2026-03-27 15:47</a:t>
          </a:r>
          <a:endParaRPr lang="zh-CN" altLang="en-US" sz="1100"/>
        </a:p>
        <a:p>
          <a:pPr algn="l"/>
          <a:r>
            <a:rPr lang="zh-CN" altLang="en-US" sz="1100"/>
            <a:t>装置参数：B 组阻尼天平，TEC1-19908 帕尔贴芯片 ×2（对向安装），单枚额定制冷量 130W，总制冷量 260W，额定工作电压 24V，最大工作电流 8A</a:t>
          </a:r>
          <a:endParaRPr lang="zh-CN" altLang="en-US" sz="1100"/>
        </a:p>
        <a:p>
          <a:pPr algn="l"/>
          <a:r>
            <a:rPr lang="zh-CN" altLang="en-US" sz="1100"/>
            <a:t>测量方法：光杠杆法，数据为相对位移，未做绝对角度 / 位移标定</a:t>
          </a:r>
          <a:endParaRPr lang="zh-CN" altLang="en-US" sz="1100"/>
        </a:p>
        <a:p>
          <a:pPr algn="l"/>
          <a:r>
            <a:rPr lang="zh-CN" altLang="en-US" sz="1100"/>
            <a:t>标注：初始自由振荡区、单次脉冲相位对冲响应区、供电结束后阻尼弛豫与基线不可逆偏移区</a:t>
          </a:r>
          <a:endParaRPr lang="zh-CN" altLang="en-US" sz="1100"/>
        </a:p>
        <a:p>
          <a:pPr algn="l"/>
          <a:r>
            <a:rPr lang="zh-CN" altLang="en-US" sz="1100"/>
            <a:t>核心特征：供电瞬间拉停向上摆动，强制向制冷面运动；单次长脉冲驱动下，基线一次性大幅向制冷面偏移，不可逆</a:t>
          </a:r>
          <a:endParaRPr lang="zh-CN" altLang="en-US" sz="1100"/>
        </a:p>
      </xdr:txBody>
    </xdr:sp>
    <xdr:clientData/>
  </xdr:twoCellAnchor>
  <xdr:twoCellAnchor>
    <xdr:from>
      <xdr:col>7</xdr:col>
      <xdr:colOff>256540</xdr:colOff>
      <xdr:row>4</xdr:row>
      <xdr:rowOff>132080</xdr:rowOff>
    </xdr:from>
    <xdr:to>
      <xdr:col>20</xdr:col>
      <xdr:colOff>205105</xdr:colOff>
      <xdr:row>26</xdr:row>
      <xdr:rowOff>161925</xdr:rowOff>
    </xdr:to>
    <xdr:graphicFrame>
      <xdr:nvGraphicFramePr>
        <xdr:cNvPr id="6" name="图表 5"/>
        <xdr:cNvGraphicFramePr/>
      </xdr:nvGraphicFramePr>
      <xdr:xfrm>
        <a:off x="4028440" y="863600"/>
        <a:ext cx="7873365" cy="40532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393700</xdr:colOff>
      <xdr:row>7</xdr:row>
      <xdr:rowOff>93980</xdr:rowOff>
    </xdr:from>
    <xdr:to>
      <xdr:col>20</xdr:col>
      <xdr:colOff>180975</xdr:colOff>
      <xdr:row>12</xdr:row>
      <xdr:rowOff>26035</xdr:rowOff>
    </xdr:to>
    <xdr:sp>
      <xdr:nvSpPr>
        <xdr:cNvPr id="7" name="文本框 6"/>
        <xdr:cNvSpPr txBox="1"/>
      </xdr:nvSpPr>
      <xdr:spPr>
        <a:xfrm>
          <a:off x="7823200" y="1374140"/>
          <a:ext cx="4054475" cy="8464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实验时间：</a:t>
          </a:r>
          <a:r>
            <a:rPr lang="en-US" altLang="zh-CN" sz="900"/>
            <a:t>2026-3-27  15:47    </a:t>
          </a:r>
          <a:r>
            <a:rPr lang="zh-CN" altLang="en-US" sz="900"/>
            <a:t>温度：</a:t>
          </a:r>
          <a:r>
            <a:rPr lang="en-US" altLang="zh-CN" sz="900"/>
            <a:t>20.5 </a:t>
          </a:r>
          <a:r>
            <a:rPr lang="zh-CN" altLang="en-US" sz="900"/>
            <a:t>℃</a:t>
          </a:r>
          <a:r>
            <a:rPr lang="en-US" altLang="zh-CN" sz="900"/>
            <a:t>    </a:t>
          </a:r>
          <a:r>
            <a:rPr lang="zh-CN" altLang="en-US" sz="900"/>
            <a:t>湿度：</a:t>
          </a:r>
          <a:r>
            <a:rPr lang="en-US" altLang="zh-CN" sz="900"/>
            <a:t>74%     </a:t>
          </a:r>
          <a:endParaRPr lang="en-US" altLang="zh-CN" sz="900"/>
        </a:p>
        <a:p>
          <a:pPr algn="l"/>
          <a:r>
            <a:rPr lang="zh-CN" altLang="en-US" sz="900"/>
            <a:t>实验压力：低压：</a:t>
          </a:r>
          <a:r>
            <a:rPr lang="en-US" altLang="zh-CN" sz="900"/>
            <a:t>300</a:t>
          </a:r>
          <a:r>
            <a:rPr lang="zh-CN" altLang="en-US" sz="900"/>
            <a:t>帕</a:t>
          </a:r>
          <a:endParaRPr lang="zh-CN" altLang="en-US" sz="900"/>
        </a:p>
        <a:p>
          <a:pPr algn="l"/>
          <a:r>
            <a:rPr lang="zh-CN" altLang="en-US" sz="900"/>
            <a:t>实验装置：</a:t>
          </a:r>
          <a:r>
            <a:rPr lang="en-US" altLang="zh-CN" sz="900"/>
            <a:t>B</a:t>
          </a:r>
          <a:r>
            <a:rPr lang="zh-CN" altLang="en-US" sz="900"/>
            <a:t>天平</a:t>
          </a:r>
          <a:r>
            <a:rPr lang="en-US" altLang="zh-CN" sz="900"/>
            <a:t>   </a:t>
          </a:r>
          <a:r>
            <a:rPr lang="zh-CN" altLang="en-US" sz="900"/>
            <a:t>帕尔贴芯片型号：</a:t>
          </a:r>
          <a:r>
            <a:rPr lang="en-US" altLang="zh-CN" sz="900"/>
            <a:t>TEC1-19908 *2</a:t>
          </a:r>
          <a:r>
            <a:rPr lang="zh-CN" altLang="en-US" sz="900"/>
            <a:t>个</a:t>
          </a:r>
          <a:r>
            <a:rPr lang="en-US" altLang="zh-CN" sz="900"/>
            <a:t>    </a:t>
          </a:r>
          <a:r>
            <a:rPr lang="zh-CN" altLang="en-US" sz="900"/>
            <a:t>尺寸：</a:t>
          </a:r>
          <a:r>
            <a:rPr lang="en-US" altLang="zh-CN" sz="900"/>
            <a:t>  40*40*3.4MM</a:t>
          </a:r>
          <a:endParaRPr lang="en-US" altLang="zh-CN" sz="900"/>
        </a:p>
        <a:p>
          <a:pPr algn="l"/>
          <a:r>
            <a:rPr lang="en-US" altLang="zh-CN" sz="900"/>
            <a:t> </a:t>
          </a:r>
          <a:r>
            <a:rPr lang="zh-CN" altLang="en-US" sz="900"/>
            <a:t>电压：</a:t>
          </a:r>
          <a:r>
            <a:rPr lang="en-US" altLang="zh-CN" sz="900"/>
            <a:t>24V    </a:t>
          </a:r>
          <a:r>
            <a:rPr lang="zh-CN" altLang="en-US" sz="900"/>
            <a:t>最大电流：</a:t>
          </a:r>
          <a:r>
            <a:rPr lang="en-US" altLang="zh-CN" sz="900"/>
            <a:t>8A     </a:t>
          </a:r>
          <a:r>
            <a:rPr lang="zh-CN" altLang="en-US" sz="900"/>
            <a:t>最大制冷量：</a:t>
          </a:r>
          <a:r>
            <a:rPr lang="en-US" altLang="zh-CN" sz="900"/>
            <a:t>130W    </a:t>
          </a:r>
          <a:r>
            <a:rPr lang="zh-CN" altLang="en-US" sz="900"/>
            <a:t>总制冷量：</a:t>
          </a:r>
          <a:r>
            <a:rPr lang="en-US" altLang="zh-CN" sz="900"/>
            <a:t>260W</a:t>
          </a:r>
          <a:endParaRPr lang="en-US" altLang="zh-CN" sz="900"/>
        </a:p>
        <a:p>
          <a:pPr algn="l"/>
          <a:r>
            <a:rPr lang="zh-CN" altLang="en-US" sz="900"/>
            <a:t>曲线向下运动为向制冷面运动，共</a:t>
          </a:r>
          <a:r>
            <a:rPr lang="en-US" altLang="zh-CN" sz="900"/>
            <a:t>1</a:t>
          </a:r>
          <a:r>
            <a:rPr lang="zh-CN" altLang="en-US" sz="900"/>
            <a:t>次供电周期</a:t>
          </a:r>
          <a:r>
            <a:rPr lang="en-US" altLang="zh-CN" sz="900"/>
            <a:t> :</a:t>
          </a:r>
          <a:r>
            <a:rPr lang="zh-CN" altLang="en-US" sz="900"/>
            <a:t>供电</a:t>
          </a:r>
          <a:r>
            <a:rPr lang="en-US" sz="900"/>
            <a:t>1s</a:t>
          </a:r>
          <a:endParaRPr lang="en-US" altLang="zh-CN" sz="900"/>
        </a:p>
        <a:p>
          <a:pPr algn="l"/>
          <a:endParaRPr lang="en-US" altLang="zh-CN" sz="900"/>
        </a:p>
      </xdr:txBody>
    </xdr: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0.308089362045326</cdr:x>
      <cdr:y>0.819051337107164</cdr:y>
    </cdr:from>
    <cdr:to>
      <cdr:x>0.717477215904508</cdr:x>
      <cdr:y>0.88932266250244</cdr:y>
    </cdr:to>
    <cdr:sp>
      <cdr:nvSpPr>
        <cdr:cNvPr id="2" name="矩形 1"/>
        <cdr:cNvSpPr/>
      </cdr:nvSpPr>
      <cdr:spPr xmlns:a="http://schemas.openxmlformats.org/drawingml/2006/main">
        <a:xfrm xmlns:a="http://schemas.openxmlformats.org/drawingml/2006/main">
          <a:off x="2425700" y="2664460"/>
          <a:ext cx="3223260" cy="22860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cdr:txBody>
    </cdr:sp>
  </cdr:relSizeAnchor>
  <cdr:relSizeAnchor xmlns:cdr="http://schemas.openxmlformats.org/drawingml/2006/chartDrawing">
    <cdr:from>
      <cdr:x>0.28776514235019</cdr:x>
      <cdr:y>0.80968182705446</cdr:y>
    </cdr:from>
    <cdr:to>
      <cdr:x>0.716509395919026</cdr:x>
      <cdr:y>0.875268397423385</cdr:y>
    </cdr:to>
    <cdr:sp>
      <cdr:nvSpPr>
        <cdr:cNvPr id="3" name="矩形 2"/>
        <cdr:cNvSpPr/>
      </cdr:nvSpPr>
      <cdr:spPr xmlns:a="http://schemas.openxmlformats.org/drawingml/2006/main">
        <a:xfrm xmlns:a="http://schemas.openxmlformats.org/drawingml/2006/main">
          <a:off x="2265680" y="2633980"/>
          <a:ext cx="3375660" cy="21336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/>
            <a:t>摆动曲线整体向制冷面偏移</a:t>
          </a:r>
          <a:endParaRPr lang="zh-CN" altLang="en-US"/>
        </a:p>
      </cdr:txBody>
    </cdr:sp>
  </cdr:relSizeAnchor>
  <cdr:relSizeAnchor xmlns:cdr="http://schemas.openxmlformats.org/drawingml/2006/chartDrawing">
    <cdr:from>
      <cdr:x>0.340027421566255</cdr:x>
      <cdr:y>0.823736092133516</cdr:y>
    </cdr:from>
    <cdr:to>
      <cdr:x>0.72521977578837</cdr:x>
      <cdr:y>0.896349795041968</cdr:y>
    </cdr:to>
    <cdr:sp>
      <cdr:nvSpPr>
        <cdr:cNvPr id="4" name="矩形 3"/>
        <cdr:cNvSpPr/>
      </cdr:nvSpPr>
      <cdr:spPr xmlns:a="http://schemas.openxmlformats.org/drawingml/2006/main">
        <a:xfrm xmlns:a="http://schemas.openxmlformats.org/drawingml/2006/main">
          <a:off x="2677160" y="2679700"/>
          <a:ext cx="3032760" cy="23622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cdr:txBody>
    </cdr:sp>
  </cdr:relSizeAnchor>
</c:userShapes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281940</xdr:colOff>
      <xdr:row>4</xdr:row>
      <xdr:rowOff>86360</xdr:rowOff>
    </xdr:from>
    <xdr:to>
      <xdr:col>25</xdr:col>
      <xdr:colOff>474980</xdr:colOff>
      <xdr:row>24</xdr:row>
      <xdr:rowOff>161925</xdr:rowOff>
    </xdr:to>
    <xdr:graphicFrame>
      <xdr:nvGraphicFramePr>
        <xdr:cNvPr id="5" name="图表 4"/>
        <xdr:cNvGraphicFramePr/>
      </xdr:nvGraphicFramePr>
      <xdr:xfrm>
        <a:off x="6240780" y="817880"/>
        <a:ext cx="8727440" cy="37331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388620</xdr:colOff>
      <xdr:row>6</xdr:row>
      <xdr:rowOff>101600</xdr:rowOff>
    </xdr:from>
    <xdr:to>
      <xdr:col>25</xdr:col>
      <xdr:colOff>175895</xdr:colOff>
      <xdr:row>11</xdr:row>
      <xdr:rowOff>33655</xdr:rowOff>
    </xdr:to>
    <xdr:sp>
      <xdr:nvSpPr>
        <xdr:cNvPr id="6" name="文本框 5"/>
        <xdr:cNvSpPr txBox="1"/>
      </xdr:nvSpPr>
      <xdr:spPr>
        <a:xfrm>
          <a:off x="10614660" y="1198880"/>
          <a:ext cx="4054475" cy="8464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实验时间：</a:t>
          </a:r>
          <a:r>
            <a:rPr lang="en-US" altLang="zh-CN" sz="900"/>
            <a:t>2026-4-20  17:25    </a:t>
          </a:r>
          <a:r>
            <a:rPr lang="zh-CN" altLang="en-US" sz="900"/>
            <a:t>温度：</a:t>
          </a:r>
          <a:r>
            <a:rPr lang="en-US" altLang="zh-CN" sz="900"/>
            <a:t>25.1</a:t>
          </a:r>
          <a:r>
            <a:rPr lang="zh-CN" altLang="en-US" sz="900"/>
            <a:t>℃</a:t>
          </a:r>
          <a:r>
            <a:rPr lang="en-US" altLang="zh-CN" sz="900"/>
            <a:t>    </a:t>
          </a:r>
          <a:r>
            <a:rPr lang="zh-CN" altLang="en-US" sz="900"/>
            <a:t>湿度：</a:t>
          </a:r>
          <a:r>
            <a:rPr lang="en-US" altLang="zh-CN" sz="900"/>
            <a:t>79%     </a:t>
          </a:r>
          <a:endParaRPr lang="en-US" altLang="zh-CN" sz="900"/>
        </a:p>
        <a:p>
          <a:pPr algn="l"/>
          <a:r>
            <a:rPr lang="zh-CN" altLang="en-US" sz="900"/>
            <a:t>实验压力：常压</a:t>
          </a:r>
          <a:endParaRPr lang="zh-CN" altLang="en-US" sz="900"/>
        </a:p>
        <a:p>
          <a:pPr algn="l"/>
          <a:r>
            <a:rPr lang="zh-CN" altLang="en-US" sz="900"/>
            <a:t>实验装置：</a:t>
          </a:r>
          <a:r>
            <a:rPr lang="en-US" altLang="zh-CN" sz="900"/>
            <a:t>A</a:t>
          </a:r>
          <a:r>
            <a:rPr lang="zh-CN" altLang="en-US" sz="900"/>
            <a:t>天平</a:t>
          </a:r>
          <a:r>
            <a:rPr lang="en-US" altLang="zh-CN" sz="900"/>
            <a:t>   </a:t>
          </a:r>
          <a:r>
            <a:rPr lang="zh-CN" altLang="en-US" sz="900"/>
            <a:t>帕尔贴芯片型号：</a:t>
          </a:r>
          <a:r>
            <a:rPr lang="en-US" altLang="zh-CN" sz="900"/>
            <a:t>TEC1-19904 *2</a:t>
          </a:r>
          <a:r>
            <a:rPr lang="zh-CN" altLang="en-US" sz="900"/>
            <a:t>个</a:t>
          </a:r>
          <a:r>
            <a:rPr lang="en-US" altLang="zh-CN" sz="900"/>
            <a:t>    </a:t>
          </a:r>
          <a:r>
            <a:rPr lang="zh-CN" altLang="en-US" sz="900"/>
            <a:t>尺寸：</a:t>
          </a:r>
          <a:r>
            <a:rPr lang="en-US" altLang="zh-CN" sz="900"/>
            <a:t>  40*40*3.4MM</a:t>
          </a:r>
          <a:endParaRPr lang="en-US" altLang="zh-CN" sz="900"/>
        </a:p>
        <a:p>
          <a:pPr algn="l"/>
          <a:r>
            <a:rPr lang="en-US" altLang="zh-CN" sz="900"/>
            <a:t> </a:t>
          </a:r>
          <a:r>
            <a:rPr lang="zh-CN" altLang="en-US" sz="900"/>
            <a:t>电压：</a:t>
          </a:r>
          <a:r>
            <a:rPr lang="en-US" altLang="zh-CN" sz="900"/>
            <a:t>24V    </a:t>
          </a:r>
          <a:r>
            <a:rPr lang="zh-CN" altLang="en-US" sz="900"/>
            <a:t>最大电流：</a:t>
          </a:r>
          <a:r>
            <a:rPr lang="en-US" altLang="zh-CN" sz="900"/>
            <a:t>8A     </a:t>
          </a:r>
          <a:r>
            <a:rPr lang="zh-CN" altLang="en-US" sz="900"/>
            <a:t>最大制冷量：</a:t>
          </a:r>
          <a:r>
            <a:rPr lang="en-US" altLang="zh-CN" sz="900"/>
            <a:t>67W    </a:t>
          </a:r>
          <a:r>
            <a:rPr lang="zh-CN" altLang="en-US" sz="900"/>
            <a:t>总制冷量：</a:t>
          </a:r>
          <a:r>
            <a:rPr lang="en-US" altLang="zh-CN" sz="900"/>
            <a:t>134W</a:t>
          </a:r>
          <a:endParaRPr lang="en-US" altLang="zh-CN" sz="900"/>
        </a:p>
        <a:p>
          <a:pPr algn="l"/>
          <a:r>
            <a:rPr lang="zh-CN" altLang="en-US" sz="900"/>
            <a:t>曲线向上运动为向制冷面运动，共</a:t>
          </a:r>
          <a:r>
            <a:rPr lang="en-US" altLang="zh-CN" sz="900"/>
            <a:t>20</a:t>
          </a:r>
          <a:r>
            <a:rPr lang="zh-CN" altLang="en-US" sz="900"/>
            <a:t>次供电周期</a:t>
          </a:r>
          <a:r>
            <a:rPr lang="en-US" altLang="zh-CN" sz="900"/>
            <a:t> :</a:t>
          </a:r>
          <a:r>
            <a:rPr lang="zh-CN" altLang="en-US" sz="900"/>
            <a:t>供电</a:t>
          </a:r>
          <a:r>
            <a:rPr lang="en-US" sz="900"/>
            <a:t>0.80s</a:t>
          </a:r>
          <a:endParaRPr lang="en-US" altLang="zh-CN" sz="900"/>
        </a:p>
        <a:p>
          <a:pPr algn="l"/>
          <a:endParaRPr lang="en-US" altLang="zh-CN" sz="9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71120</xdr:colOff>
      <xdr:row>5</xdr:row>
      <xdr:rowOff>38100</xdr:rowOff>
    </xdr:from>
    <xdr:to>
      <xdr:col>31</xdr:col>
      <xdr:colOff>516255</xdr:colOff>
      <xdr:row>28</xdr:row>
      <xdr:rowOff>175895</xdr:rowOff>
    </xdr:to>
    <xdr:graphicFrame>
      <xdr:nvGraphicFramePr>
        <xdr:cNvPr id="4" name="图表 3"/>
        <xdr:cNvGraphicFramePr/>
      </xdr:nvGraphicFramePr>
      <xdr:xfrm>
        <a:off x="8522335" y="952500"/>
        <a:ext cx="10808335" cy="43440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150495</xdr:colOff>
      <xdr:row>5</xdr:row>
      <xdr:rowOff>150495</xdr:rowOff>
    </xdr:from>
    <xdr:to>
      <xdr:col>30</xdr:col>
      <xdr:colOff>547370</xdr:colOff>
      <xdr:row>10</xdr:row>
      <xdr:rowOff>82550</xdr:rowOff>
    </xdr:to>
    <xdr:sp>
      <xdr:nvSpPr>
        <xdr:cNvPr id="5" name="文本框 4"/>
        <xdr:cNvSpPr txBox="1"/>
      </xdr:nvSpPr>
      <xdr:spPr>
        <a:xfrm>
          <a:off x="14697710" y="1064895"/>
          <a:ext cx="4054475" cy="8464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实验时间：</a:t>
          </a:r>
          <a:r>
            <a:rPr lang="en-US" altLang="zh-CN" sz="900"/>
            <a:t>2026-4-20  20:35    </a:t>
          </a:r>
          <a:r>
            <a:rPr lang="zh-CN" altLang="en-US" sz="900"/>
            <a:t>温度：</a:t>
          </a:r>
          <a:r>
            <a:rPr lang="en-US" altLang="zh-CN" sz="900"/>
            <a:t>25.1</a:t>
          </a:r>
          <a:r>
            <a:rPr lang="zh-CN" altLang="en-US" sz="900"/>
            <a:t>℃</a:t>
          </a:r>
          <a:r>
            <a:rPr lang="en-US" altLang="zh-CN" sz="900"/>
            <a:t>    </a:t>
          </a:r>
          <a:r>
            <a:rPr lang="zh-CN" altLang="en-US" sz="900"/>
            <a:t>湿度：</a:t>
          </a:r>
          <a:r>
            <a:rPr lang="en-US" altLang="zh-CN" sz="900"/>
            <a:t>79%     </a:t>
          </a:r>
          <a:endParaRPr lang="en-US" altLang="zh-CN" sz="900"/>
        </a:p>
        <a:p>
          <a:pPr algn="l"/>
          <a:r>
            <a:rPr lang="zh-CN" altLang="en-US" sz="900"/>
            <a:t>实验压力：常压</a:t>
          </a:r>
          <a:endParaRPr lang="zh-CN" altLang="en-US" sz="900"/>
        </a:p>
        <a:p>
          <a:pPr algn="l"/>
          <a:r>
            <a:rPr lang="zh-CN" altLang="en-US" sz="900"/>
            <a:t>实验装置：</a:t>
          </a:r>
          <a:r>
            <a:rPr lang="en-US" altLang="zh-CN" sz="900"/>
            <a:t>A</a:t>
          </a:r>
          <a:r>
            <a:rPr lang="zh-CN" altLang="en-US" sz="900"/>
            <a:t>天平</a:t>
          </a:r>
          <a:r>
            <a:rPr lang="en-US" altLang="zh-CN" sz="900"/>
            <a:t>   </a:t>
          </a:r>
          <a:r>
            <a:rPr lang="zh-CN" altLang="en-US" sz="900"/>
            <a:t>帕尔贴芯片型号：</a:t>
          </a:r>
          <a:r>
            <a:rPr lang="en-US" altLang="zh-CN" sz="900"/>
            <a:t>TEC1-19904 *2</a:t>
          </a:r>
          <a:r>
            <a:rPr lang="zh-CN" altLang="en-US" sz="900"/>
            <a:t>个</a:t>
          </a:r>
          <a:r>
            <a:rPr lang="en-US" altLang="zh-CN" sz="900"/>
            <a:t>    </a:t>
          </a:r>
          <a:r>
            <a:rPr lang="zh-CN" altLang="en-US" sz="900"/>
            <a:t>尺寸：</a:t>
          </a:r>
          <a:r>
            <a:rPr lang="en-US" altLang="zh-CN" sz="900"/>
            <a:t>  40*40*3.4MM</a:t>
          </a:r>
          <a:endParaRPr lang="en-US" altLang="zh-CN" sz="900"/>
        </a:p>
        <a:p>
          <a:pPr algn="l"/>
          <a:r>
            <a:rPr lang="en-US" altLang="zh-CN" sz="900"/>
            <a:t> </a:t>
          </a:r>
          <a:r>
            <a:rPr lang="zh-CN" altLang="en-US" sz="900"/>
            <a:t>电压：</a:t>
          </a:r>
          <a:r>
            <a:rPr lang="en-US" altLang="zh-CN" sz="900"/>
            <a:t>24V    </a:t>
          </a:r>
          <a:r>
            <a:rPr lang="zh-CN" altLang="en-US" sz="900"/>
            <a:t>最大电流：</a:t>
          </a:r>
          <a:r>
            <a:rPr lang="en-US" altLang="zh-CN" sz="900"/>
            <a:t>8A     </a:t>
          </a:r>
          <a:r>
            <a:rPr lang="zh-CN" altLang="en-US" sz="900"/>
            <a:t>最大制冷量：</a:t>
          </a:r>
          <a:r>
            <a:rPr lang="en-US" altLang="zh-CN" sz="900"/>
            <a:t>67W    </a:t>
          </a:r>
          <a:r>
            <a:rPr lang="zh-CN" altLang="en-US" sz="900"/>
            <a:t>总制冷量：</a:t>
          </a:r>
          <a:r>
            <a:rPr lang="en-US" altLang="zh-CN" sz="900"/>
            <a:t>134W</a:t>
          </a:r>
          <a:endParaRPr lang="en-US" altLang="zh-CN" sz="900"/>
        </a:p>
        <a:p>
          <a:pPr algn="l"/>
          <a:r>
            <a:rPr lang="zh-CN" altLang="en-US" sz="900"/>
            <a:t>曲线向上运动为向制冷面运动，共</a:t>
          </a:r>
          <a:r>
            <a:rPr lang="en-US" altLang="zh-CN" sz="900"/>
            <a:t>20</a:t>
          </a:r>
          <a:r>
            <a:rPr lang="zh-CN" altLang="en-US" sz="900"/>
            <a:t>次供电周期</a:t>
          </a:r>
          <a:r>
            <a:rPr lang="en-US" altLang="zh-CN" sz="900"/>
            <a:t> :</a:t>
          </a:r>
          <a:r>
            <a:rPr lang="zh-CN" altLang="en-US" sz="900"/>
            <a:t>供电</a:t>
          </a:r>
          <a:r>
            <a:rPr lang="en-US" sz="900"/>
            <a:t>0.80s</a:t>
          </a:r>
          <a:endParaRPr lang="en-US" altLang="zh-CN" sz="900"/>
        </a:p>
        <a:p>
          <a:pPr algn="l"/>
          <a:endParaRPr lang="en-US" altLang="zh-CN" sz="9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23</xdr:col>
      <xdr:colOff>150495</xdr:colOff>
      <xdr:row>5</xdr:row>
      <xdr:rowOff>150495</xdr:rowOff>
    </xdr:from>
    <xdr:to>
      <xdr:col>29</xdr:col>
      <xdr:colOff>547370</xdr:colOff>
      <xdr:row>10</xdr:row>
      <xdr:rowOff>82550</xdr:rowOff>
    </xdr:to>
    <xdr:sp>
      <xdr:nvSpPr>
        <xdr:cNvPr id="3" name="文本框 2"/>
        <xdr:cNvSpPr txBox="1"/>
      </xdr:nvSpPr>
      <xdr:spPr>
        <a:xfrm>
          <a:off x="14648180" y="1064895"/>
          <a:ext cx="4054475" cy="8464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实验时间：</a:t>
          </a:r>
          <a:r>
            <a:rPr lang="en-US" altLang="zh-CN" sz="900"/>
            <a:t>2026-4-20  20:35    </a:t>
          </a:r>
          <a:r>
            <a:rPr lang="zh-CN" altLang="en-US" sz="900"/>
            <a:t>温度：</a:t>
          </a:r>
          <a:r>
            <a:rPr lang="en-US" altLang="zh-CN" sz="900"/>
            <a:t>25.1</a:t>
          </a:r>
          <a:r>
            <a:rPr lang="zh-CN" altLang="en-US" sz="900"/>
            <a:t>℃</a:t>
          </a:r>
          <a:r>
            <a:rPr lang="en-US" altLang="zh-CN" sz="900"/>
            <a:t>    </a:t>
          </a:r>
          <a:r>
            <a:rPr lang="zh-CN" altLang="en-US" sz="900"/>
            <a:t>湿度：</a:t>
          </a:r>
          <a:r>
            <a:rPr lang="en-US" altLang="zh-CN" sz="900"/>
            <a:t>79%     </a:t>
          </a:r>
          <a:endParaRPr lang="en-US" altLang="zh-CN" sz="900"/>
        </a:p>
        <a:p>
          <a:pPr algn="l"/>
          <a:r>
            <a:rPr lang="zh-CN" altLang="en-US" sz="900"/>
            <a:t>实验压力：常压</a:t>
          </a:r>
          <a:endParaRPr lang="zh-CN" altLang="en-US" sz="900"/>
        </a:p>
        <a:p>
          <a:pPr algn="l"/>
          <a:r>
            <a:rPr lang="zh-CN" altLang="en-US" sz="900"/>
            <a:t>实验装置：</a:t>
          </a:r>
          <a:r>
            <a:rPr lang="en-US" altLang="zh-CN" sz="900"/>
            <a:t>A</a:t>
          </a:r>
          <a:r>
            <a:rPr lang="zh-CN" altLang="en-US" sz="900"/>
            <a:t>天平</a:t>
          </a:r>
          <a:r>
            <a:rPr lang="en-US" altLang="zh-CN" sz="900"/>
            <a:t>   </a:t>
          </a:r>
          <a:r>
            <a:rPr lang="zh-CN" altLang="en-US" sz="900"/>
            <a:t>帕尔贴芯片型号：</a:t>
          </a:r>
          <a:r>
            <a:rPr lang="en-US" altLang="zh-CN" sz="900"/>
            <a:t>TEC1-19904 *2</a:t>
          </a:r>
          <a:r>
            <a:rPr lang="zh-CN" altLang="en-US" sz="900"/>
            <a:t>个</a:t>
          </a:r>
          <a:r>
            <a:rPr lang="en-US" altLang="zh-CN" sz="900"/>
            <a:t>    </a:t>
          </a:r>
          <a:r>
            <a:rPr lang="zh-CN" altLang="en-US" sz="900"/>
            <a:t>尺寸：</a:t>
          </a:r>
          <a:r>
            <a:rPr lang="en-US" altLang="zh-CN" sz="900"/>
            <a:t>  40*40*3.4MM</a:t>
          </a:r>
          <a:endParaRPr lang="en-US" altLang="zh-CN" sz="900"/>
        </a:p>
        <a:p>
          <a:pPr algn="l"/>
          <a:r>
            <a:rPr lang="en-US" altLang="zh-CN" sz="900"/>
            <a:t> </a:t>
          </a:r>
          <a:r>
            <a:rPr lang="zh-CN" altLang="en-US" sz="900"/>
            <a:t>电压：</a:t>
          </a:r>
          <a:r>
            <a:rPr lang="en-US" altLang="zh-CN" sz="900"/>
            <a:t>24V    </a:t>
          </a:r>
          <a:r>
            <a:rPr lang="zh-CN" altLang="en-US" sz="900"/>
            <a:t>最大电流：</a:t>
          </a:r>
          <a:r>
            <a:rPr lang="en-US" altLang="zh-CN" sz="900"/>
            <a:t>8A     </a:t>
          </a:r>
          <a:r>
            <a:rPr lang="zh-CN" altLang="en-US" sz="900"/>
            <a:t>最大制冷量：</a:t>
          </a:r>
          <a:r>
            <a:rPr lang="en-US" altLang="zh-CN" sz="900"/>
            <a:t>67W    </a:t>
          </a:r>
          <a:r>
            <a:rPr lang="zh-CN" altLang="en-US" sz="900"/>
            <a:t>总制冷量：</a:t>
          </a:r>
          <a:r>
            <a:rPr lang="en-US" altLang="zh-CN" sz="900"/>
            <a:t>134W</a:t>
          </a:r>
          <a:endParaRPr lang="en-US" altLang="zh-CN" sz="900"/>
        </a:p>
        <a:p>
          <a:pPr algn="l"/>
          <a:r>
            <a:rPr lang="zh-CN" altLang="en-US" sz="900"/>
            <a:t>曲线向上运动为向制冷面运动，共</a:t>
          </a:r>
          <a:r>
            <a:rPr lang="en-US" altLang="zh-CN" sz="900"/>
            <a:t>20</a:t>
          </a:r>
          <a:r>
            <a:rPr lang="zh-CN" altLang="en-US" sz="900"/>
            <a:t>次供电周期</a:t>
          </a:r>
          <a:r>
            <a:rPr lang="en-US" altLang="zh-CN" sz="900"/>
            <a:t> :</a:t>
          </a:r>
          <a:r>
            <a:rPr lang="zh-CN" altLang="en-US" sz="900"/>
            <a:t>供电</a:t>
          </a:r>
          <a:r>
            <a:rPr lang="en-US" sz="900"/>
            <a:t>0.80s</a:t>
          </a:r>
          <a:endParaRPr lang="en-US" altLang="zh-CN" sz="900"/>
        </a:p>
        <a:p>
          <a:pPr algn="l"/>
          <a:endParaRPr lang="en-US" altLang="zh-CN" sz="900"/>
        </a:p>
      </xdr:txBody>
    </xdr:sp>
    <xdr:clientData/>
  </xdr:twoCellAnchor>
  <xdr:twoCellAnchor>
    <xdr:from>
      <xdr:col>12</xdr:col>
      <xdr:colOff>250825</xdr:colOff>
      <xdr:row>4</xdr:row>
      <xdr:rowOff>117475</xdr:rowOff>
    </xdr:from>
    <xdr:to>
      <xdr:col>24</xdr:col>
      <xdr:colOff>372745</xdr:colOff>
      <xdr:row>25</xdr:row>
      <xdr:rowOff>50800</xdr:rowOff>
    </xdr:to>
    <xdr:graphicFrame>
      <xdr:nvGraphicFramePr>
        <xdr:cNvPr id="5" name="图表 4"/>
        <xdr:cNvGraphicFramePr/>
      </xdr:nvGraphicFramePr>
      <xdr:xfrm>
        <a:off x="8042910" y="848995"/>
        <a:ext cx="7437120" cy="37738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22</xdr:col>
      <xdr:colOff>150495</xdr:colOff>
      <xdr:row>5</xdr:row>
      <xdr:rowOff>150495</xdr:rowOff>
    </xdr:from>
    <xdr:to>
      <xdr:col>28</xdr:col>
      <xdr:colOff>547370</xdr:colOff>
      <xdr:row>10</xdr:row>
      <xdr:rowOff>82550</xdr:rowOff>
    </xdr:to>
    <xdr:sp>
      <xdr:nvSpPr>
        <xdr:cNvPr id="2" name="文本框 1"/>
        <xdr:cNvSpPr txBox="1"/>
      </xdr:nvSpPr>
      <xdr:spPr>
        <a:xfrm>
          <a:off x="13432790" y="1064895"/>
          <a:ext cx="4054475" cy="8464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实验时间：</a:t>
          </a:r>
          <a:r>
            <a:rPr lang="en-US" altLang="zh-CN" sz="900"/>
            <a:t>2026-4-20  20:35    </a:t>
          </a:r>
          <a:r>
            <a:rPr lang="zh-CN" altLang="en-US" sz="900"/>
            <a:t>温度：</a:t>
          </a:r>
          <a:r>
            <a:rPr lang="en-US" altLang="zh-CN" sz="900"/>
            <a:t>25.1</a:t>
          </a:r>
          <a:r>
            <a:rPr lang="zh-CN" altLang="en-US" sz="900"/>
            <a:t>℃</a:t>
          </a:r>
          <a:r>
            <a:rPr lang="en-US" altLang="zh-CN" sz="900"/>
            <a:t>    </a:t>
          </a:r>
          <a:r>
            <a:rPr lang="zh-CN" altLang="en-US" sz="900"/>
            <a:t>湿度：</a:t>
          </a:r>
          <a:r>
            <a:rPr lang="en-US" altLang="zh-CN" sz="900"/>
            <a:t>79%     </a:t>
          </a:r>
          <a:endParaRPr lang="en-US" altLang="zh-CN" sz="900"/>
        </a:p>
        <a:p>
          <a:pPr algn="l"/>
          <a:r>
            <a:rPr lang="zh-CN" altLang="en-US" sz="900"/>
            <a:t>实验压力：常压</a:t>
          </a:r>
          <a:endParaRPr lang="zh-CN" altLang="en-US" sz="900"/>
        </a:p>
        <a:p>
          <a:pPr algn="l"/>
          <a:r>
            <a:rPr lang="zh-CN" altLang="en-US" sz="900"/>
            <a:t>实验装置：</a:t>
          </a:r>
          <a:r>
            <a:rPr lang="en-US" altLang="zh-CN" sz="900"/>
            <a:t>A</a:t>
          </a:r>
          <a:r>
            <a:rPr lang="zh-CN" altLang="en-US" sz="900"/>
            <a:t>天平</a:t>
          </a:r>
          <a:r>
            <a:rPr lang="en-US" altLang="zh-CN" sz="900"/>
            <a:t>   </a:t>
          </a:r>
          <a:r>
            <a:rPr lang="zh-CN" altLang="en-US" sz="900"/>
            <a:t>帕尔贴芯片型号：</a:t>
          </a:r>
          <a:r>
            <a:rPr lang="en-US" altLang="zh-CN" sz="900"/>
            <a:t>TEC1-19904 *2</a:t>
          </a:r>
          <a:r>
            <a:rPr lang="zh-CN" altLang="en-US" sz="900"/>
            <a:t>个</a:t>
          </a:r>
          <a:r>
            <a:rPr lang="en-US" altLang="zh-CN" sz="900"/>
            <a:t>    </a:t>
          </a:r>
          <a:r>
            <a:rPr lang="zh-CN" altLang="en-US" sz="900"/>
            <a:t>尺寸：</a:t>
          </a:r>
          <a:r>
            <a:rPr lang="en-US" altLang="zh-CN" sz="900"/>
            <a:t>  40*40*3.4MM</a:t>
          </a:r>
          <a:endParaRPr lang="en-US" altLang="zh-CN" sz="900"/>
        </a:p>
        <a:p>
          <a:pPr algn="l"/>
          <a:r>
            <a:rPr lang="en-US" altLang="zh-CN" sz="900"/>
            <a:t> </a:t>
          </a:r>
          <a:r>
            <a:rPr lang="zh-CN" altLang="en-US" sz="900"/>
            <a:t>电压：</a:t>
          </a:r>
          <a:r>
            <a:rPr lang="en-US" altLang="zh-CN" sz="900"/>
            <a:t>24V    </a:t>
          </a:r>
          <a:r>
            <a:rPr lang="zh-CN" altLang="en-US" sz="900"/>
            <a:t>最大电流：</a:t>
          </a:r>
          <a:r>
            <a:rPr lang="en-US" altLang="zh-CN" sz="900"/>
            <a:t>8A     </a:t>
          </a:r>
          <a:r>
            <a:rPr lang="zh-CN" altLang="en-US" sz="900"/>
            <a:t>最大制冷量：</a:t>
          </a:r>
          <a:r>
            <a:rPr lang="en-US" altLang="zh-CN" sz="900"/>
            <a:t>67W    </a:t>
          </a:r>
          <a:r>
            <a:rPr lang="zh-CN" altLang="en-US" sz="900"/>
            <a:t>总制冷量：</a:t>
          </a:r>
          <a:r>
            <a:rPr lang="en-US" altLang="zh-CN" sz="900"/>
            <a:t>134W</a:t>
          </a:r>
          <a:endParaRPr lang="en-US" altLang="zh-CN" sz="900"/>
        </a:p>
        <a:p>
          <a:pPr algn="l"/>
          <a:r>
            <a:rPr lang="zh-CN" altLang="en-US" sz="900"/>
            <a:t>曲线向上运动为向制冷面运动，共</a:t>
          </a:r>
          <a:r>
            <a:rPr lang="en-US" altLang="zh-CN" sz="900"/>
            <a:t>20</a:t>
          </a:r>
          <a:r>
            <a:rPr lang="zh-CN" altLang="en-US" sz="900"/>
            <a:t>次供电周期</a:t>
          </a:r>
          <a:r>
            <a:rPr lang="en-US" altLang="zh-CN" sz="900"/>
            <a:t> :</a:t>
          </a:r>
          <a:r>
            <a:rPr lang="zh-CN" altLang="en-US" sz="900"/>
            <a:t>供电</a:t>
          </a:r>
          <a:r>
            <a:rPr lang="en-US" sz="900"/>
            <a:t>0.80s</a:t>
          </a:r>
          <a:endParaRPr lang="en-US" altLang="zh-CN" sz="900"/>
        </a:p>
        <a:p>
          <a:pPr algn="l"/>
          <a:endParaRPr lang="en-US" altLang="zh-CN" sz="900"/>
        </a:p>
      </xdr:txBody>
    </xdr:sp>
    <xdr:clientData/>
  </xdr:twoCellAnchor>
  <xdr:twoCellAnchor>
    <xdr:from>
      <xdr:col>11</xdr:col>
      <xdr:colOff>308610</xdr:colOff>
      <xdr:row>7</xdr:row>
      <xdr:rowOff>147320</xdr:rowOff>
    </xdr:from>
    <xdr:to>
      <xdr:col>35</xdr:col>
      <xdr:colOff>95885</xdr:colOff>
      <xdr:row>32</xdr:row>
      <xdr:rowOff>165100</xdr:rowOff>
    </xdr:to>
    <xdr:graphicFrame>
      <xdr:nvGraphicFramePr>
        <xdr:cNvPr id="4" name="图表 3"/>
        <xdr:cNvGraphicFramePr/>
      </xdr:nvGraphicFramePr>
      <xdr:xfrm>
        <a:off x="6885305" y="1427480"/>
        <a:ext cx="14417675" cy="4589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22</xdr:col>
      <xdr:colOff>150495</xdr:colOff>
      <xdr:row>5</xdr:row>
      <xdr:rowOff>150495</xdr:rowOff>
    </xdr:from>
    <xdr:to>
      <xdr:col>28</xdr:col>
      <xdr:colOff>547370</xdr:colOff>
      <xdr:row>10</xdr:row>
      <xdr:rowOff>82550</xdr:rowOff>
    </xdr:to>
    <xdr:sp>
      <xdr:nvSpPr>
        <xdr:cNvPr id="2" name="文本框 1"/>
        <xdr:cNvSpPr txBox="1"/>
      </xdr:nvSpPr>
      <xdr:spPr>
        <a:xfrm>
          <a:off x="13148310" y="1064895"/>
          <a:ext cx="4054475" cy="8464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/>
            <a:t>实验时间：</a:t>
          </a:r>
          <a:r>
            <a:rPr lang="en-US" altLang="zh-CN" sz="900"/>
            <a:t>2026-4-20  20:35    </a:t>
          </a:r>
          <a:r>
            <a:rPr lang="zh-CN" altLang="en-US" sz="900"/>
            <a:t>温度：</a:t>
          </a:r>
          <a:r>
            <a:rPr lang="en-US" altLang="zh-CN" sz="900"/>
            <a:t>25.1</a:t>
          </a:r>
          <a:r>
            <a:rPr lang="zh-CN" altLang="en-US" sz="900"/>
            <a:t>℃</a:t>
          </a:r>
          <a:r>
            <a:rPr lang="en-US" altLang="zh-CN" sz="900"/>
            <a:t>    </a:t>
          </a:r>
          <a:r>
            <a:rPr lang="zh-CN" altLang="en-US" sz="900"/>
            <a:t>湿度：</a:t>
          </a:r>
          <a:r>
            <a:rPr lang="en-US" altLang="zh-CN" sz="900"/>
            <a:t>79%     </a:t>
          </a:r>
          <a:endParaRPr lang="en-US" altLang="zh-CN" sz="900"/>
        </a:p>
        <a:p>
          <a:pPr algn="l"/>
          <a:r>
            <a:rPr lang="zh-CN" altLang="en-US" sz="900"/>
            <a:t>实验压力：常压</a:t>
          </a:r>
          <a:endParaRPr lang="zh-CN" altLang="en-US" sz="900"/>
        </a:p>
        <a:p>
          <a:pPr algn="l"/>
          <a:r>
            <a:rPr lang="zh-CN" altLang="en-US" sz="900"/>
            <a:t>实验装置：</a:t>
          </a:r>
          <a:r>
            <a:rPr lang="en-US" altLang="zh-CN" sz="900"/>
            <a:t>A</a:t>
          </a:r>
          <a:r>
            <a:rPr lang="zh-CN" altLang="en-US" sz="900"/>
            <a:t>天平</a:t>
          </a:r>
          <a:r>
            <a:rPr lang="en-US" altLang="zh-CN" sz="900"/>
            <a:t>   </a:t>
          </a:r>
          <a:r>
            <a:rPr lang="zh-CN" altLang="en-US" sz="900"/>
            <a:t>帕尔贴芯片型号：</a:t>
          </a:r>
          <a:r>
            <a:rPr lang="en-US" altLang="zh-CN" sz="900"/>
            <a:t>TEC1-19904 *2</a:t>
          </a:r>
          <a:r>
            <a:rPr lang="zh-CN" altLang="en-US" sz="900"/>
            <a:t>个</a:t>
          </a:r>
          <a:r>
            <a:rPr lang="en-US" altLang="zh-CN" sz="900"/>
            <a:t>    </a:t>
          </a:r>
          <a:r>
            <a:rPr lang="zh-CN" altLang="en-US" sz="900"/>
            <a:t>尺寸：</a:t>
          </a:r>
          <a:r>
            <a:rPr lang="en-US" altLang="zh-CN" sz="900"/>
            <a:t>  40*40*3.4MM</a:t>
          </a:r>
          <a:endParaRPr lang="en-US" altLang="zh-CN" sz="900"/>
        </a:p>
        <a:p>
          <a:pPr algn="l"/>
          <a:r>
            <a:rPr lang="en-US" altLang="zh-CN" sz="900"/>
            <a:t> </a:t>
          </a:r>
          <a:r>
            <a:rPr lang="zh-CN" altLang="en-US" sz="900"/>
            <a:t>电压：</a:t>
          </a:r>
          <a:r>
            <a:rPr lang="en-US" altLang="zh-CN" sz="900"/>
            <a:t>24V    </a:t>
          </a:r>
          <a:r>
            <a:rPr lang="zh-CN" altLang="en-US" sz="900"/>
            <a:t>最大电流：</a:t>
          </a:r>
          <a:r>
            <a:rPr lang="en-US" altLang="zh-CN" sz="900"/>
            <a:t>8A     </a:t>
          </a:r>
          <a:r>
            <a:rPr lang="zh-CN" altLang="en-US" sz="900"/>
            <a:t>最大制冷量：</a:t>
          </a:r>
          <a:r>
            <a:rPr lang="en-US" altLang="zh-CN" sz="900"/>
            <a:t>67W    </a:t>
          </a:r>
          <a:r>
            <a:rPr lang="zh-CN" altLang="en-US" sz="900"/>
            <a:t>总制冷量：</a:t>
          </a:r>
          <a:r>
            <a:rPr lang="en-US" altLang="zh-CN" sz="900"/>
            <a:t>134W</a:t>
          </a:r>
          <a:endParaRPr lang="en-US" altLang="zh-CN" sz="900"/>
        </a:p>
        <a:p>
          <a:pPr algn="l"/>
          <a:r>
            <a:rPr lang="zh-CN" altLang="en-US" sz="900"/>
            <a:t>曲线向上运动为向制冷面运动，共</a:t>
          </a:r>
          <a:r>
            <a:rPr lang="en-US" altLang="zh-CN" sz="900"/>
            <a:t>20</a:t>
          </a:r>
          <a:r>
            <a:rPr lang="zh-CN" altLang="en-US" sz="900"/>
            <a:t>次供电周期</a:t>
          </a:r>
          <a:r>
            <a:rPr lang="en-US" altLang="zh-CN" sz="900"/>
            <a:t> :</a:t>
          </a:r>
          <a:r>
            <a:rPr lang="zh-CN" altLang="en-US" sz="900"/>
            <a:t>供电</a:t>
          </a:r>
          <a:r>
            <a:rPr lang="en-US" sz="900"/>
            <a:t>0.80s</a:t>
          </a:r>
          <a:endParaRPr lang="en-US" altLang="zh-CN" sz="900"/>
        </a:p>
        <a:p>
          <a:pPr algn="l"/>
          <a:endParaRPr lang="en-US" altLang="zh-CN" sz="900"/>
        </a:p>
      </xdr:txBody>
    </xdr:sp>
    <xdr:clientData/>
  </xdr:twoCellAnchor>
  <xdr:twoCellAnchor>
    <xdr:from>
      <xdr:col>11</xdr:col>
      <xdr:colOff>313055</xdr:colOff>
      <xdr:row>5</xdr:row>
      <xdr:rowOff>171450</xdr:rowOff>
    </xdr:from>
    <xdr:to>
      <xdr:col>29</xdr:col>
      <xdr:colOff>600075</xdr:colOff>
      <xdr:row>35</xdr:row>
      <xdr:rowOff>118110</xdr:rowOff>
    </xdr:to>
    <xdr:graphicFrame>
      <xdr:nvGraphicFramePr>
        <xdr:cNvPr id="4" name="图表 3"/>
        <xdr:cNvGraphicFramePr/>
      </xdr:nvGraphicFramePr>
      <xdr:xfrm>
        <a:off x="6605270" y="1085850"/>
        <a:ext cx="11259820" cy="5433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ExternalData_1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ExternalData_2" connectionId="1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ExternalData_1" connectionId="18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ExternalData_1" connectionId="30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ExternalData_3" connectionId="22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ExternalData_2" connectionId="34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ExternalData_2" connectionId="35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name="ExternalData_3" connectionId="23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name="ExternalData_3" connectionId="24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name="ExternalData_2" connectionId="36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name="ExternalData_1_2" connectionId="4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name="ExternalData_1_1" connectionId="10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name="ExternalData_2" connectionId="37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name="ExternalData_3" connectionId="25" autoFormatId="16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name="ExternalData_1_2" connectionId="6" autoFormatId="16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name="ExternalData_1_1" connectionId="5" autoFormatId="16" applyNumberFormats="0" applyBorderFormats="0" applyFontFormats="1" applyPatternFormats="1" applyAlignmentFormats="0" applyWidthHeightFormats="0"/>
</file>

<file path=xl/queryTables/queryTable17.xml><?xml version="1.0" encoding="utf-8"?>
<queryTable xmlns="http://schemas.openxmlformats.org/spreadsheetml/2006/main" name="ExternalData_3" connectionId="26" autoFormatId="16" applyNumberFormats="0" applyBorderFormats="0" applyFontFormats="1" applyPatternFormats="1" applyAlignmentFormats="0" applyWidthHeightFormats="0"/>
</file>

<file path=xl/queryTables/queryTable18.xml><?xml version="1.0" encoding="utf-8"?>
<queryTable xmlns="http://schemas.openxmlformats.org/spreadsheetml/2006/main" name="ExternalData_2" connectionId="38" autoFormatId="16" applyNumberFormats="0" applyBorderFormats="0" applyFontFormats="1" applyPatternFormats="1" applyAlignmentFormats="0" applyWidthHeightFormats="0"/>
</file>

<file path=xl/queryTables/queryTable19.xml><?xml version="1.0" encoding="utf-8"?>
<queryTable xmlns="http://schemas.openxmlformats.org/spreadsheetml/2006/main" name="ExternalData_2" connectionId="39" autoFormatId="16" applyNumberFormats="0" applyBorderFormats="0" applyFontFormats="1" applyPatternFormats="1" applyAlignmentFormats="0" applyWidthHeightFormats="0"/>
</file>

<file path=xl/queryTables/queryTable20.xml><?xml version="1.0" encoding="utf-8"?>
<queryTable xmlns="http://schemas.openxmlformats.org/spreadsheetml/2006/main" name="ExternalData_3" connectionId="27" autoFormatId="16" applyNumberFormats="0" applyBorderFormats="0" applyFontFormats="1" applyPatternFormats="1" applyAlignmentFormats="0" applyWidthHeightFormats="0"/>
</file>

<file path=xl/queryTables/queryTable21.xml><?xml version="1.0" encoding="utf-8"?>
<queryTable xmlns="http://schemas.openxmlformats.org/spreadsheetml/2006/main" name="ExternalData_1_1" connectionId="11" autoFormatId="16" applyNumberFormats="0" applyBorderFormats="0" applyFontFormats="1" applyPatternFormats="1" applyAlignmentFormats="0" applyWidthHeightFormats="0"/>
</file>

<file path=xl/queryTables/queryTable22.xml><?xml version="1.0" encoding="utf-8"?>
<queryTable xmlns="http://schemas.openxmlformats.org/spreadsheetml/2006/main" name="ExternalData_1_2" connectionId="7" autoFormatId="16" applyNumberFormats="0" applyBorderFormats="0" applyFontFormats="1" applyPatternFormats="1" applyAlignmentFormats="0" applyWidthHeightFormats="0"/>
</file>

<file path=xl/queryTables/queryTable23.xml><?xml version="1.0" encoding="utf-8"?>
<queryTable xmlns="http://schemas.openxmlformats.org/spreadsheetml/2006/main" name="ExternalData_3" connectionId="28" autoFormatId="16" applyNumberFormats="0" applyBorderFormats="0" applyFontFormats="1" applyPatternFormats="1" applyAlignmentFormats="0" applyWidthHeightFormats="0"/>
</file>

<file path=xl/queryTables/queryTable24.xml><?xml version="1.0" encoding="utf-8"?>
<queryTable xmlns="http://schemas.openxmlformats.org/spreadsheetml/2006/main" name="ExternalData_2" connectionId="40" autoFormatId="16" applyNumberFormats="0" applyBorderFormats="0" applyFontFormats="1" applyPatternFormats="1" applyAlignmentFormats="0" applyWidthHeightFormats="0"/>
</file>

<file path=xl/queryTables/queryTable25.xml><?xml version="1.0" encoding="utf-8"?>
<queryTable xmlns="http://schemas.openxmlformats.org/spreadsheetml/2006/main" name="ExternalData_1_1" connectionId="12" autoFormatId="16" applyNumberFormats="0" applyBorderFormats="0" applyFontFormats="1" applyPatternFormats="1" applyAlignmentFormats="0" applyWidthHeightFormats="0"/>
</file>

<file path=xl/queryTables/queryTable26.xml><?xml version="1.0" encoding="utf-8"?>
<queryTable xmlns="http://schemas.openxmlformats.org/spreadsheetml/2006/main" name="ExternalData_1_2" connectionId="8" autoFormatId="16" applyNumberFormats="0" applyBorderFormats="0" applyFontFormats="1" applyPatternFormats="1" applyAlignmentFormats="0" applyWidthHeightFormats="0"/>
</file>

<file path=xl/queryTables/queryTable27.xml><?xml version="1.0" encoding="utf-8"?>
<queryTable xmlns="http://schemas.openxmlformats.org/spreadsheetml/2006/main" name="ExternalData_2" connectionId="41" autoFormatId="16" applyNumberFormats="0" applyBorderFormats="0" applyFontFormats="1" applyPatternFormats="1" applyAlignmentFormats="0" applyWidthHeightFormats="0"/>
</file>

<file path=xl/queryTables/queryTable28.xml><?xml version="1.0" encoding="utf-8"?>
<queryTable xmlns="http://schemas.openxmlformats.org/spreadsheetml/2006/main" name="ExternalData_3" connectionId="29" autoFormatId="16" applyNumberFormats="0" applyBorderFormats="0" applyFontFormats="1" applyPatternFormats="1" applyAlignmentFormats="0" applyWidthHeightFormats="0"/>
</file>

<file path=xl/queryTables/queryTable29.xml><?xml version="1.0" encoding="utf-8"?>
<queryTable xmlns="http://schemas.openxmlformats.org/spreadsheetml/2006/main" name="ExternalData_1_1" connectionId="13" autoFormatId="16" applyNumberFormats="0" applyBorderFormats="0" applyFontFormats="1" applyPatternFormats="1" applyAlignmentFormats="0" applyWidthHeightFormats="0"/>
</file>

<file path=xl/queryTables/queryTable30.xml><?xml version="1.0" encoding="utf-8"?>
<queryTable xmlns="http://schemas.openxmlformats.org/spreadsheetml/2006/main" name="ExternalData_1_2" connectionId="9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6.xml"/><Relationship Id="rId2" Type="http://schemas.openxmlformats.org/officeDocument/2006/relationships/queryTable" Target="../queryTables/queryTable5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8.xml"/><Relationship Id="rId2" Type="http://schemas.openxmlformats.org/officeDocument/2006/relationships/queryTable" Target="../queryTables/queryTable7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0.xml"/><Relationship Id="rId2" Type="http://schemas.openxmlformats.org/officeDocument/2006/relationships/queryTable" Target="../queryTables/queryTable9.xml"/><Relationship Id="rId1" Type="http://schemas.openxmlformats.org/officeDocument/2006/relationships/drawing" Target="../drawings/drawing7.xml"/></Relationships>
</file>

<file path=xl/worksheets/_rels/sheet7.xml.rels><?xml version="1.0" encoding="UTF-8" standalone="yes"?>
<Relationships xmlns="http://schemas.openxmlformats.org/package/2006/relationships"><Relationship Id="rId5" Type="http://schemas.openxmlformats.org/officeDocument/2006/relationships/queryTable" Target="../queryTables/queryTable14.xml"/><Relationship Id="rId4" Type="http://schemas.openxmlformats.org/officeDocument/2006/relationships/queryTable" Target="../queryTables/queryTable13.xml"/><Relationship Id="rId3" Type="http://schemas.openxmlformats.org/officeDocument/2006/relationships/queryTable" Target="../queryTables/queryTable12.xml"/><Relationship Id="rId2" Type="http://schemas.openxmlformats.org/officeDocument/2006/relationships/queryTable" Target="../queryTables/queryTable11.xml"/><Relationship Id="rId1" Type="http://schemas.openxmlformats.org/officeDocument/2006/relationships/drawing" Target="../drawings/drawing9.xml"/></Relationships>
</file>

<file path=xl/worksheets/_rels/sheet8.xml.rels><?xml version="1.0" encoding="UTF-8" standalone="yes"?>
<Relationships xmlns="http://schemas.openxmlformats.org/package/2006/relationships"><Relationship Id="rId5" Type="http://schemas.openxmlformats.org/officeDocument/2006/relationships/queryTable" Target="../queryTables/queryTable18.xml"/><Relationship Id="rId4" Type="http://schemas.openxmlformats.org/officeDocument/2006/relationships/queryTable" Target="../queryTables/queryTable17.xml"/><Relationship Id="rId3" Type="http://schemas.openxmlformats.org/officeDocument/2006/relationships/queryTable" Target="../queryTables/queryTable16.xml"/><Relationship Id="rId2" Type="http://schemas.openxmlformats.org/officeDocument/2006/relationships/queryTable" Target="../queryTables/queryTable15.xml"/><Relationship Id="rId1" Type="http://schemas.openxmlformats.org/officeDocument/2006/relationships/drawing" Target="../drawings/drawing10.xml"/></Relationships>
</file>

<file path=xl/worksheets/_rels/sheet9.xml.rels><?xml version="1.0" encoding="UTF-8" standalone="yes"?>
<Relationships xmlns="http://schemas.openxmlformats.org/package/2006/relationships"><Relationship Id="rId5" Type="http://schemas.openxmlformats.org/officeDocument/2006/relationships/queryTable" Target="../queryTables/queryTable22.xml"/><Relationship Id="rId4" Type="http://schemas.openxmlformats.org/officeDocument/2006/relationships/queryTable" Target="../queryTables/queryTable21.xml"/><Relationship Id="rId3" Type="http://schemas.openxmlformats.org/officeDocument/2006/relationships/queryTable" Target="../queryTables/queryTable20.xml"/><Relationship Id="rId2" Type="http://schemas.openxmlformats.org/officeDocument/2006/relationships/queryTable" Target="../queryTables/queryTable19.xml"/><Relationship Id="rId1" Type="http://schemas.openxmlformats.org/officeDocument/2006/relationships/drawing" Target="../drawings/drawing11.xml"/></Relationships>
</file>

<file path=xl/worksheets/_rels/sheet10.xml.rels><?xml version="1.0" encoding="UTF-8" standalone="yes"?>
<Relationships xmlns="http://schemas.openxmlformats.org/package/2006/relationships"><Relationship Id="rId5" Type="http://schemas.openxmlformats.org/officeDocument/2006/relationships/queryTable" Target="../queryTables/queryTable26.xml"/><Relationship Id="rId4" Type="http://schemas.openxmlformats.org/officeDocument/2006/relationships/queryTable" Target="../queryTables/queryTable25.xml"/><Relationship Id="rId3" Type="http://schemas.openxmlformats.org/officeDocument/2006/relationships/queryTable" Target="../queryTables/queryTable24.xml"/><Relationship Id="rId2" Type="http://schemas.openxmlformats.org/officeDocument/2006/relationships/queryTable" Target="../queryTables/queryTable23.xml"/><Relationship Id="rId1" Type="http://schemas.openxmlformats.org/officeDocument/2006/relationships/drawing" Target="../drawings/drawing12.xml"/></Relationships>
</file>

<file path=xl/worksheets/_rels/sheet11.xml.rels><?xml version="1.0" encoding="UTF-8" standalone="yes"?>
<Relationships xmlns="http://schemas.openxmlformats.org/package/2006/relationships"><Relationship Id="rId5" Type="http://schemas.openxmlformats.org/officeDocument/2006/relationships/queryTable" Target="../queryTables/queryTable30.xml"/><Relationship Id="rId4" Type="http://schemas.openxmlformats.org/officeDocument/2006/relationships/queryTable" Target="../queryTables/queryTable29.xml"/><Relationship Id="rId3" Type="http://schemas.openxmlformats.org/officeDocument/2006/relationships/queryTable" Target="../queryTables/queryTable28.xml"/><Relationship Id="rId2" Type="http://schemas.openxmlformats.org/officeDocument/2006/relationships/queryTable" Target="../queryTables/queryTable27.xml"/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22"/>
  <sheetViews>
    <sheetView zoomScale="85" zoomScaleNormal="85" topLeftCell="D4" workbookViewId="0">
      <selection activeCell="K4" sqref="K4:K1144"/>
    </sheetView>
  </sheetViews>
  <sheetFormatPr defaultColWidth="8.88888888888889" defaultRowHeight="14.4" outlineLevelCol="6"/>
  <cols>
    <col min="1" max="1" width="8.88888888888889" style="3"/>
    <col min="2" max="2" width="10.7777777777778" style="4" customWidth="1"/>
    <col min="3" max="4" width="9.44444444444444" style="4" customWidth="1"/>
    <col min="5" max="5" width="8.88888888888889" style="3"/>
    <col min="6" max="6" width="10.7777777777778" style="2"/>
    <col min="7" max="7" width="9.66666666666667" style="5"/>
  </cols>
  <sheetData>
    <row r="1" spans="1:7">
      <c r="B1" s="4" t="s">
        <v>0</v>
      </c>
      <c r="C1" s="4" t="s">
        <v>1</v>
      </c>
      <c r="E1" s="3" t="s">
        <v>2</v>
      </c>
      <c r="F1" s="2" t="s">
        <v>3</v>
      </c>
      <c r="G1" s="5" t="s">
        <v>4</v>
      </c>
    </row>
    <row r="2" spans="1:7">
      <c r="A2" s="6" t="s">
        <v>5</v>
      </c>
      <c r="B2" s="4" t="s">
        <v>6</v>
      </c>
      <c r="C2" s="4" t="s">
        <v>7</v>
      </c>
      <c r="E2" s="6" t="s">
        <v>5</v>
      </c>
      <c r="F2" s="4" t="s">
        <v>6</v>
      </c>
      <c r="G2" s="4" t="s">
        <v>7</v>
      </c>
    </row>
    <row r="3" spans="1:7">
      <c r="A3" s="3">
        <v>0.1</v>
      </c>
      <c r="B3" s="7">
        <v>5.551e-17</v>
      </c>
      <c r="C3" s="4">
        <v>67.8</v>
      </c>
      <c r="E3" s="3">
        <v>0.1</v>
      </c>
      <c r="F3" s="2">
        <v>5.551e-12</v>
      </c>
      <c r="G3" s="5">
        <v>0</v>
      </c>
    </row>
    <row r="4" spans="1:7">
      <c r="A4" s="3">
        <v>0.15</v>
      </c>
      <c r="B4" s="7">
        <v>7.944e-6</v>
      </c>
      <c r="C4" s="4">
        <v>68.2</v>
      </c>
      <c r="E4" s="3">
        <v>0.15</v>
      </c>
      <c r="F4" s="2">
        <v>0.7944</v>
      </c>
      <c r="G4" s="5">
        <v>0</v>
      </c>
    </row>
    <row r="5" spans="1:7">
      <c r="A5" s="3">
        <v>0.2</v>
      </c>
      <c r="B5" s="7">
        <v>2.556e-5</v>
      </c>
      <c r="C5" s="4">
        <v>68.3</v>
      </c>
      <c r="E5" s="3">
        <v>0.2</v>
      </c>
      <c r="F5" s="2">
        <v>2.556</v>
      </c>
      <c r="G5" s="5">
        <v>0</v>
      </c>
    </row>
    <row r="6" spans="1:7">
      <c r="A6" s="3">
        <v>0.25</v>
      </c>
      <c r="B6" s="7">
        <v>1.98e-5</v>
      </c>
      <c r="C6" s="4">
        <v>68</v>
      </c>
      <c r="E6" s="3">
        <v>0.25</v>
      </c>
      <c r="F6" s="2">
        <v>1.98</v>
      </c>
      <c r="G6" s="5">
        <v>0</v>
      </c>
    </row>
    <row r="7" spans="1:7">
      <c r="A7" s="3">
        <v>0.3</v>
      </c>
      <c r="B7" s="7">
        <v>1.709e-5</v>
      </c>
      <c r="C7" s="4">
        <v>68</v>
      </c>
      <c r="E7" s="3">
        <v>0.3</v>
      </c>
      <c r="F7" s="2">
        <v>1.709</v>
      </c>
      <c r="G7" s="5">
        <v>0</v>
      </c>
    </row>
    <row r="8" spans="1:7">
      <c r="A8" s="3">
        <v>0.35</v>
      </c>
      <c r="B8" s="7">
        <v>1.224e-5</v>
      </c>
      <c r="C8" s="4">
        <v>67.9</v>
      </c>
      <c r="E8" s="3">
        <v>0.35</v>
      </c>
      <c r="F8" s="2">
        <v>1.224</v>
      </c>
      <c r="G8" s="5">
        <v>0</v>
      </c>
    </row>
    <row r="9" spans="1:7">
      <c r="A9" s="3">
        <v>0.4</v>
      </c>
      <c r="B9" s="7">
        <v>3.35e-5</v>
      </c>
      <c r="C9" s="4">
        <v>68.4</v>
      </c>
      <c r="E9" s="3">
        <v>0.4</v>
      </c>
      <c r="F9" s="2">
        <v>3.35</v>
      </c>
      <c r="G9" s="5">
        <v>0</v>
      </c>
    </row>
    <row r="10" spans="1:7">
      <c r="A10" s="3">
        <v>0.45</v>
      </c>
      <c r="B10" s="7">
        <v>2.083e-5</v>
      </c>
      <c r="C10" s="4">
        <v>68.7</v>
      </c>
      <c r="E10" s="3">
        <v>0.45</v>
      </c>
      <c r="F10" s="2">
        <v>2.083</v>
      </c>
      <c r="G10" s="5">
        <v>0</v>
      </c>
    </row>
    <row r="11" spans="1:7">
      <c r="A11" s="3">
        <v>0.5</v>
      </c>
      <c r="B11" s="7">
        <v>-2.092e-5</v>
      </c>
      <c r="C11" s="4">
        <v>68.5</v>
      </c>
      <c r="E11" s="3">
        <v>0.5</v>
      </c>
      <c r="F11" s="2">
        <v>-2.092</v>
      </c>
      <c r="G11" s="5">
        <v>0</v>
      </c>
    </row>
    <row r="12" spans="1:7">
      <c r="A12" s="3">
        <v>0.55</v>
      </c>
      <c r="B12" s="7">
        <v>-4.431e-5</v>
      </c>
      <c r="C12" s="4">
        <v>68.1</v>
      </c>
      <c r="E12" s="3">
        <v>0.55</v>
      </c>
      <c r="F12" s="2">
        <v>-4.431</v>
      </c>
      <c r="G12" s="5">
        <v>0</v>
      </c>
    </row>
    <row r="13" spans="1:7">
      <c r="A13" s="3">
        <v>0.6</v>
      </c>
      <c r="B13" s="7">
        <v>-1.921e-5</v>
      </c>
      <c r="C13" s="4">
        <v>67.8</v>
      </c>
      <c r="E13" s="3">
        <v>0.6</v>
      </c>
      <c r="F13" s="2">
        <v>-1.921</v>
      </c>
      <c r="G13" s="5">
        <v>0</v>
      </c>
    </row>
    <row r="14" spans="1:7">
      <c r="A14" s="3">
        <v>0.65</v>
      </c>
      <c r="B14" s="7">
        <v>-4.333e-5</v>
      </c>
      <c r="C14" s="4">
        <v>68.1</v>
      </c>
      <c r="E14" s="3">
        <v>0.65</v>
      </c>
      <c r="F14" s="2">
        <v>-4.333</v>
      </c>
      <c r="G14" s="5">
        <v>0</v>
      </c>
    </row>
    <row r="15" spans="1:7">
      <c r="A15" s="3">
        <v>0.7</v>
      </c>
      <c r="B15" s="7">
        <v>-2.37e-5</v>
      </c>
      <c r="C15" s="4">
        <v>68.4</v>
      </c>
      <c r="E15" s="3">
        <v>0.7</v>
      </c>
      <c r="F15" s="2">
        <v>-2.37</v>
      </c>
      <c r="G15" s="5">
        <v>0</v>
      </c>
    </row>
    <row r="16" spans="1:7">
      <c r="A16" s="3">
        <v>0.75</v>
      </c>
      <c r="B16" s="7">
        <v>-1.9e-6</v>
      </c>
      <c r="C16" s="4">
        <v>68.4</v>
      </c>
      <c r="E16" s="3">
        <v>0.75</v>
      </c>
      <c r="F16" s="2">
        <v>-0.19</v>
      </c>
      <c r="G16" s="5">
        <v>0</v>
      </c>
    </row>
    <row r="17" spans="1:7">
      <c r="A17" s="3">
        <v>0.8</v>
      </c>
      <c r="B17" s="7">
        <v>3.637e-6</v>
      </c>
      <c r="C17" s="4">
        <v>68.5</v>
      </c>
      <c r="E17" s="3">
        <v>0.8</v>
      </c>
      <c r="F17" s="2">
        <v>0.3637</v>
      </c>
      <c r="G17" s="5">
        <v>0</v>
      </c>
    </row>
    <row r="18" spans="1:7">
      <c r="A18" s="3">
        <v>0.85</v>
      </c>
      <c r="B18" s="7">
        <v>4.268e-5</v>
      </c>
      <c r="C18" s="4">
        <v>68.6</v>
      </c>
      <c r="E18" s="3">
        <v>0.85</v>
      </c>
      <c r="F18" s="2">
        <v>4.268</v>
      </c>
      <c r="G18" s="5">
        <v>0</v>
      </c>
    </row>
    <row r="19" spans="1:7">
      <c r="A19" s="3">
        <v>0.9</v>
      </c>
      <c r="B19" s="7">
        <v>5.013e-5</v>
      </c>
      <c r="C19" s="4">
        <v>68.7</v>
      </c>
      <c r="E19" s="3">
        <v>0.9</v>
      </c>
      <c r="F19" s="2">
        <v>5.013</v>
      </c>
      <c r="G19" s="5">
        <v>0</v>
      </c>
    </row>
    <row r="20" spans="1:7">
      <c r="A20" s="3">
        <v>0.95</v>
      </c>
      <c r="B20" s="7">
        <v>1.586e-5</v>
      </c>
      <c r="C20" s="4">
        <v>68.8</v>
      </c>
      <c r="E20" s="3">
        <v>0.95</v>
      </c>
      <c r="F20" s="2">
        <v>1.586</v>
      </c>
      <c r="G20" s="5">
        <v>0</v>
      </c>
    </row>
    <row r="21" spans="1:7">
      <c r="A21" s="3">
        <v>1</v>
      </c>
      <c r="B21" s="7">
        <v>-6.616e-6</v>
      </c>
      <c r="C21" s="4">
        <v>68.2</v>
      </c>
      <c r="E21" s="3">
        <v>1</v>
      </c>
      <c r="F21" s="2">
        <v>-0.6616</v>
      </c>
      <c r="G21" s="5">
        <v>0</v>
      </c>
    </row>
    <row r="22" spans="1:7">
      <c r="A22" s="3">
        <v>1.05</v>
      </c>
      <c r="B22" s="7">
        <v>8.565e-6</v>
      </c>
      <c r="C22" s="4">
        <v>68.2</v>
      </c>
      <c r="E22" s="3">
        <v>1.05</v>
      </c>
      <c r="F22" s="2">
        <v>0.8565</v>
      </c>
      <c r="G22" s="5">
        <v>0</v>
      </c>
    </row>
    <row r="23" spans="1:7">
      <c r="A23" s="3">
        <v>1.1</v>
      </c>
      <c r="B23" s="7">
        <v>-1.886e-5</v>
      </c>
      <c r="C23" s="4">
        <v>68.2</v>
      </c>
      <c r="E23" s="3">
        <v>1.1</v>
      </c>
      <c r="F23" s="2">
        <v>-1.886</v>
      </c>
      <c r="G23" s="5">
        <v>0</v>
      </c>
    </row>
    <row r="24" spans="1:7">
      <c r="A24" s="3">
        <v>1.15</v>
      </c>
      <c r="B24" s="7">
        <v>-2.13e-5</v>
      </c>
      <c r="C24" s="4">
        <v>68.5</v>
      </c>
      <c r="E24" s="3">
        <v>1.15</v>
      </c>
      <c r="F24" s="2">
        <v>-2.13</v>
      </c>
      <c r="G24" s="5">
        <v>0</v>
      </c>
    </row>
    <row r="25" spans="1:7">
      <c r="A25" s="3">
        <v>1.2</v>
      </c>
      <c r="B25" s="7">
        <v>-3.69e-5</v>
      </c>
      <c r="C25" s="4">
        <v>68.7</v>
      </c>
      <c r="E25" s="3">
        <v>1.2</v>
      </c>
      <c r="F25" s="2">
        <v>-3.69</v>
      </c>
      <c r="G25" s="5">
        <v>0</v>
      </c>
    </row>
    <row r="26" spans="1:7">
      <c r="A26" s="3">
        <v>1.25</v>
      </c>
      <c r="B26" s="7">
        <v>-2.998e-5</v>
      </c>
      <c r="C26" s="4">
        <v>68.4</v>
      </c>
      <c r="E26" s="3">
        <v>1.25</v>
      </c>
      <c r="F26" s="2">
        <v>-2.998</v>
      </c>
      <c r="G26" s="5">
        <v>0</v>
      </c>
    </row>
    <row r="27" spans="1:7">
      <c r="A27" s="3">
        <v>1.3</v>
      </c>
      <c r="B27" s="7">
        <v>-2.433e-5</v>
      </c>
      <c r="C27" s="4">
        <v>68.7</v>
      </c>
      <c r="E27" s="3">
        <v>1.3</v>
      </c>
      <c r="F27" s="2">
        <v>-2.433</v>
      </c>
      <c r="G27" s="5">
        <v>0</v>
      </c>
    </row>
    <row r="28" spans="1:7">
      <c r="A28" s="3">
        <v>1.35</v>
      </c>
      <c r="B28" s="7">
        <v>-1.852e-6</v>
      </c>
      <c r="C28" s="4">
        <v>68.2</v>
      </c>
      <c r="E28" s="3">
        <v>1.35</v>
      </c>
      <c r="F28" s="2">
        <v>-0.1852</v>
      </c>
      <c r="G28" s="5">
        <v>0</v>
      </c>
    </row>
    <row r="29" spans="1:7">
      <c r="A29" s="3">
        <v>1.4</v>
      </c>
      <c r="B29" s="7">
        <v>2.517e-5</v>
      </c>
      <c r="C29" s="4">
        <v>68.2</v>
      </c>
      <c r="E29" s="3">
        <v>1.4</v>
      </c>
      <c r="F29" s="2">
        <v>2.517</v>
      </c>
      <c r="G29" s="5">
        <v>0</v>
      </c>
    </row>
    <row r="30" spans="1:7">
      <c r="A30" s="3">
        <v>1.45</v>
      </c>
      <c r="B30" s="7">
        <v>4.188e-5</v>
      </c>
      <c r="C30" s="4">
        <v>67.7</v>
      </c>
      <c r="E30" s="3">
        <v>1.45</v>
      </c>
      <c r="F30" s="2">
        <v>4.188</v>
      </c>
      <c r="G30" s="5">
        <v>0</v>
      </c>
    </row>
    <row r="31" spans="1:7">
      <c r="A31" s="3">
        <v>1.5</v>
      </c>
      <c r="B31" s="7">
        <v>4.931e-5</v>
      </c>
      <c r="C31" s="4">
        <v>68.6</v>
      </c>
      <c r="E31" s="3">
        <v>1.5</v>
      </c>
      <c r="F31" s="2">
        <v>4.931</v>
      </c>
      <c r="G31" s="5">
        <v>0</v>
      </c>
    </row>
    <row r="32" spans="1:7">
      <c r="A32" s="3">
        <v>1.55</v>
      </c>
      <c r="B32" s="7">
        <v>3.449e-5</v>
      </c>
      <c r="C32" s="4">
        <v>253.8</v>
      </c>
      <c r="E32" s="3">
        <v>1.55</v>
      </c>
      <c r="F32" s="2">
        <v>3.449</v>
      </c>
      <c r="G32" s="5">
        <v>200</v>
      </c>
    </row>
    <row r="33" spans="1:7">
      <c r="A33" s="3">
        <v>1.6</v>
      </c>
      <c r="B33" s="7">
        <v>5.003e-6</v>
      </c>
      <c r="C33" s="4">
        <v>253.7</v>
      </c>
      <c r="E33" s="3">
        <v>1.6</v>
      </c>
      <c r="F33" s="2">
        <v>0.5003</v>
      </c>
      <c r="G33" s="5">
        <v>200</v>
      </c>
    </row>
    <row r="34" spans="1:7">
      <c r="A34" s="3">
        <v>1.65</v>
      </c>
      <c r="B34" s="7">
        <v>-0.0001226</v>
      </c>
      <c r="C34" s="4">
        <v>253.7</v>
      </c>
      <c r="E34" s="3">
        <v>1.65</v>
      </c>
      <c r="F34" s="2">
        <v>-12.26</v>
      </c>
      <c r="G34" s="5">
        <v>200</v>
      </c>
    </row>
    <row r="35" spans="1:7">
      <c r="A35" s="3">
        <v>1.7</v>
      </c>
      <c r="B35" s="7">
        <v>-0.0003222</v>
      </c>
      <c r="C35" s="4">
        <v>253.6</v>
      </c>
      <c r="E35" s="3">
        <v>1.7</v>
      </c>
      <c r="F35" s="2">
        <v>-32.22</v>
      </c>
      <c r="G35" s="5">
        <v>200</v>
      </c>
    </row>
    <row r="36" spans="1:7">
      <c r="A36" s="3">
        <v>1.75</v>
      </c>
      <c r="B36" s="7">
        <v>-0.0005699</v>
      </c>
      <c r="C36" s="4">
        <v>253.6</v>
      </c>
      <c r="E36" s="3">
        <v>1.75</v>
      </c>
      <c r="F36" s="2">
        <v>-56.99</v>
      </c>
      <c r="G36" s="5">
        <v>200</v>
      </c>
    </row>
    <row r="37" spans="1:7">
      <c r="A37" s="3">
        <v>1.8</v>
      </c>
      <c r="B37" s="7">
        <v>-0.0007542</v>
      </c>
      <c r="C37" s="4">
        <v>253.6</v>
      </c>
      <c r="E37" s="3">
        <v>1.8</v>
      </c>
      <c r="F37" s="2">
        <v>-75.42</v>
      </c>
      <c r="G37" s="5">
        <v>200</v>
      </c>
    </row>
    <row r="38" spans="1:7">
      <c r="A38" s="3">
        <v>1.85</v>
      </c>
      <c r="B38" s="7">
        <v>-0.0008666</v>
      </c>
      <c r="C38" s="4">
        <v>253.6</v>
      </c>
      <c r="E38" s="3">
        <v>1.85</v>
      </c>
      <c r="F38" s="2">
        <v>-86.66</v>
      </c>
      <c r="G38" s="5">
        <v>200</v>
      </c>
    </row>
    <row r="39" spans="1:7">
      <c r="A39" s="3">
        <v>1.9</v>
      </c>
      <c r="B39" s="7">
        <v>-0.0008519</v>
      </c>
      <c r="C39" s="4">
        <v>238</v>
      </c>
      <c r="E39" s="3">
        <v>1.9</v>
      </c>
      <c r="F39" s="2">
        <v>-85.19</v>
      </c>
      <c r="G39" s="5">
        <v>200</v>
      </c>
    </row>
    <row r="40" spans="1:7">
      <c r="A40" s="3">
        <v>1.95</v>
      </c>
      <c r="B40" s="7">
        <v>-0.0006649</v>
      </c>
      <c r="C40" s="4">
        <v>67.8</v>
      </c>
      <c r="E40" s="3">
        <v>1.95</v>
      </c>
      <c r="F40" s="2">
        <v>-66.49</v>
      </c>
      <c r="G40" s="5">
        <v>0</v>
      </c>
    </row>
    <row r="41" spans="1:7">
      <c r="A41" s="3">
        <v>2</v>
      </c>
      <c r="B41" s="7">
        <v>-0.0001682</v>
      </c>
      <c r="C41" s="4">
        <v>68.3</v>
      </c>
      <c r="E41" s="3">
        <v>2</v>
      </c>
      <c r="F41" s="2">
        <v>-16.82</v>
      </c>
      <c r="G41" s="5">
        <v>0</v>
      </c>
    </row>
    <row r="42" spans="1:7">
      <c r="A42" s="3">
        <v>2.05</v>
      </c>
      <c r="B42" s="7">
        <v>0.0003127</v>
      </c>
      <c r="C42" s="4">
        <v>68.2</v>
      </c>
      <c r="E42" s="3">
        <v>2.05</v>
      </c>
      <c r="F42" s="2">
        <v>31.27</v>
      </c>
      <c r="G42" s="5">
        <v>0</v>
      </c>
    </row>
    <row r="43" spans="1:7">
      <c r="A43" s="3">
        <v>2.1</v>
      </c>
      <c r="B43" s="7">
        <v>0.0007941</v>
      </c>
      <c r="C43" s="4">
        <v>67.9</v>
      </c>
      <c r="E43" s="3">
        <v>2.1</v>
      </c>
      <c r="F43" s="2">
        <v>79.41</v>
      </c>
      <c r="G43" s="5">
        <v>0</v>
      </c>
    </row>
    <row r="44" spans="1:7">
      <c r="A44" s="3">
        <v>2.15</v>
      </c>
      <c r="B44" s="7">
        <v>0.001149</v>
      </c>
      <c r="C44" s="4">
        <v>68.5</v>
      </c>
      <c r="E44" s="3">
        <v>2.15</v>
      </c>
      <c r="F44" s="2">
        <v>114.9</v>
      </c>
      <c r="G44" s="5">
        <v>0</v>
      </c>
    </row>
    <row r="45" spans="1:7">
      <c r="A45" s="3">
        <v>2.2</v>
      </c>
      <c r="B45" s="7">
        <v>0.001346</v>
      </c>
      <c r="C45" s="4">
        <v>68.3</v>
      </c>
      <c r="E45" s="3">
        <v>2.2</v>
      </c>
      <c r="F45" s="2">
        <v>134.6</v>
      </c>
      <c r="G45" s="5">
        <v>0</v>
      </c>
    </row>
    <row r="46" spans="1:7">
      <c r="A46" s="3">
        <v>2.25</v>
      </c>
      <c r="B46" s="7">
        <v>0.00121</v>
      </c>
      <c r="C46" s="4">
        <v>253.7</v>
      </c>
      <c r="E46" s="3">
        <v>2.25</v>
      </c>
      <c r="F46" s="2">
        <v>121</v>
      </c>
      <c r="G46" s="5">
        <v>200</v>
      </c>
    </row>
    <row r="47" spans="1:7">
      <c r="A47" s="3">
        <v>2.3</v>
      </c>
      <c r="B47" s="7">
        <v>0.0008726</v>
      </c>
      <c r="C47" s="4">
        <v>253.8</v>
      </c>
      <c r="E47" s="3">
        <v>2.3</v>
      </c>
      <c r="F47" s="2">
        <v>87.26</v>
      </c>
      <c r="G47" s="5">
        <v>200</v>
      </c>
    </row>
    <row r="48" spans="1:7">
      <c r="A48" s="3">
        <v>2.35</v>
      </c>
      <c r="B48" s="7">
        <v>0.0002748</v>
      </c>
      <c r="C48" s="4">
        <v>253.8</v>
      </c>
      <c r="E48" s="3">
        <v>2.35</v>
      </c>
      <c r="F48" s="2">
        <v>27.48</v>
      </c>
      <c r="G48" s="5">
        <v>200</v>
      </c>
    </row>
    <row r="49" spans="1:7">
      <c r="A49" s="3">
        <v>2.4</v>
      </c>
      <c r="B49" s="7">
        <v>-0.000448</v>
      </c>
      <c r="C49" s="4">
        <v>253.8</v>
      </c>
      <c r="E49" s="3">
        <v>2.4</v>
      </c>
      <c r="F49" s="2">
        <v>-44.8</v>
      </c>
      <c r="G49" s="5">
        <v>200</v>
      </c>
    </row>
    <row r="50" spans="1:7">
      <c r="A50" s="3">
        <v>2.45</v>
      </c>
      <c r="B50" s="7">
        <v>-0.001087</v>
      </c>
      <c r="C50" s="4">
        <v>253.8</v>
      </c>
      <c r="E50" s="3">
        <v>2.45</v>
      </c>
      <c r="F50" s="2">
        <v>-108.7</v>
      </c>
      <c r="G50" s="5">
        <v>200</v>
      </c>
    </row>
    <row r="51" spans="1:7">
      <c r="A51" s="3">
        <v>2.5</v>
      </c>
      <c r="B51" s="7">
        <v>-0.001573</v>
      </c>
      <c r="C51" s="4">
        <v>253.8</v>
      </c>
      <c r="E51" s="3">
        <v>2.5</v>
      </c>
      <c r="F51" s="2">
        <v>-157.3</v>
      </c>
      <c r="G51" s="5">
        <v>200</v>
      </c>
    </row>
    <row r="52" spans="1:7">
      <c r="A52" s="3">
        <v>2.55</v>
      </c>
      <c r="B52" s="7">
        <v>-0.001783</v>
      </c>
      <c r="C52" s="4">
        <v>253.7</v>
      </c>
      <c r="E52" s="3">
        <v>2.55</v>
      </c>
      <c r="F52" s="2">
        <v>-178.3</v>
      </c>
      <c r="G52" s="5">
        <v>200</v>
      </c>
    </row>
    <row r="53" spans="1:7">
      <c r="A53" s="3">
        <v>2.6</v>
      </c>
      <c r="B53" s="7">
        <v>-0.001627</v>
      </c>
      <c r="C53" s="4">
        <v>248.3</v>
      </c>
      <c r="E53" s="3">
        <v>2.6</v>
      </c>
      <c r="F53" s="2">
        <v>-162.7</v>
      </c>
      <c r="G53" s="5">
        <v>200</v>
      </c>
    </row>
    <row r="54" spans="1:7">
      <c r="A54" s="3">
        <v>2.65</v>
      </c>
      <c r="B54" s="7">
        <v>-0.001206</v>
      </c>
      <c r="C54" s="4">
        <v>79.3</v>
      </c>
      <c r="E54" s="3">
        <v>2.65</v>
      </c>
      <c r="F54" s="2">
        <v>-120.6</v>
      </c>
      <c r="G54" s="5">
        <v>0</v>
      </c>
    </row>
    <row r="55" spans="1:7">
      <c r="A55" s="3">
        <v>2.7</v>
      </c>
      <c r="B55" s="7">
        <v>-0.0003402</v>
      </c>
      <c r="C55" s="4">
        <v>75.2</v>
      </c>
      <c r="E55" s="3">
        <v>2.7</v>
      </c>
      <c r="F55" s="2">
        <v>-34.02</v>
      </c>
      <c r="G55" s="5">
        <v>0</v>
      </c>
    </row>
    <row r="56" spans="1:7">
      <c r="A56" s="3">
        <v>2.75</v>
      </c>
      <c r="B56" s="7">
        <v>0.0004246</v>
      </c>
      <c r="C56" s="4">
        <v>72.8</v>
      </c>
      <c r="E56" s="3">
        <v>2.75</v>
      </c>
      <c r="F56" s="2">
        <v>42.46</v>
      </c>
      <c r="G56" s="5">
        <v>0</v>
      </c>
    </row>
    <row r="57" spans="1:7">
      <c r="A57" s="3">
        <v>2.8</v>
      </c>
      <c r="B57" s="7">
        <v>0.00118</v>
      </c>
      <c r="C57" s="4">
        <v>72.7</v>
      </c>
      <c r="E57" s="3">
        <v>2.8</v>
      </c>
      <c r="F57" s="2">
        <v>118</v>
      </c>
      <c r="G57" s="5">
        <v>0</v>
      </c>
    </row>
    <row r="58" spans="1:7">
      <c r="A58" s="3">
        <v>2.85</v>
      </c>
      <c r="B58" s="7">
        <v>0.001657</v>
      </c>
      <c r="C58" s="4">
        <v>71.2</v>
      </c>
      <c r="E58" s="3">
        <v>2.85</v>
      </c>
      <c r="F58" s="2">
        <v>165.7</v>
      </c>
      <c r="G58" s="5">
        <v>0</v>
      </c>
    </row>
    <row r="59" spans="1:7">
      <c r="A59" s="3">
        <v>2.9</v>
      </c>
      <c r="B59" s="7">
        <v>0.001765</v>
      </c>
      <c r="C59" s="4">
        <v>83.2</v>
      </c>
      <c r="E59" s="3">
        <v>2.9</v>
      </c>
      <c r="F59" s="2">
        <v>176.5</v>
      </c>
      <c r="G59" s="5">
        <v>0</v>
      </c>
    </row>
    <row r="60" spans="1:7">
      <c r="A60" s="3">
        <v>2.95</v>
      </c>
      <c r="B60" s="7">
        <v>0.001548</v>
      </c>
      <c r="C60" s="4">
        <v>253.6</v>
      </c>
      <c r="E60" s="3">
        <v>2.95</v>
      </c>
      <c r="F60" s="2">
        <v>154.8</v>
      </c>
      <c r="G60" s="5">
        <v>200</v>
      </c>
    </row>
    <row r="61" spans="1:7">
      <c r="A61" s="3">
        <v>3</v>
      </c>
      <c r="B61" s="7">
        <v>0.0007908</v>
      </c>
      <c r="C61" s="4">
        <v>253.7</v>
      </c>
      <c r="E61" s="3">
        <v>3</v>
      </c>
      <c r="F61" s="2">
        <v>79.08</v>
      </c>
      <c r="G61" s="5">
        <v>200</v>
      </c>
    </row>
    <row r="62" spans="1:7">
      <c r="A62" s="3">
        <v>3.05</v>
      </c>
      <c r="B62" s="7">
        <v>5.505e-7</v>
      </c>
      <c r="C62" s="4">
        <v>253.6</v>
      </c>
      <c r="E62" s="3">
        <v>3.05</v>
      </c>
      <c r="F62" s="2">
        <v>0.05505</v>
      </c>
      <c r="G62" s="5">
        <v>200</v>
      </c>
    </row>
    <row r="63" spans="1:7">
      <c r="A63" s="3">
        <v>3.1</v>
      </c>
      <c r="B63" s="7">
        <v>-0.0009417</v>
      </c>
      <c r="C63" s="4">
        <v>253.6</v>
      </c>
      <c r="E63" s="3">
        <v>3.1</v>
      </c>
      <c r="F63" s="2">
        <v>-94.17</v>
      </c>
      <c r="G63" s="5">
        <v>200</v>
      </c>
    </row>
    <row r="64" spans="1:7">
      <c r="A64" s="3">
        <v>3.15</v>
      </c>
      <c r="B64" s="7">
        <v>-0.001731</v>
      </c>
      <c r="C64" s="4">
        <v>253.6</v>
      </c>
      <c r="E64" s="3">
        <v>3.15</v>
      </c>
      <c r="F64" s="2">
        <v>-173.1</v>
      </c>
      <c r="G64" s="5">
        <v>200</v>
      </c>
    </row>
    <row r="65" spans="1:7">
      <c r="A65" s="3">
        <v>3.2</v>
      </c>
      <c r="B65" s="7">
        <v>-0.002111</v>
      </c>
      <c r="C65" s="4">
        <v>253.7</v>
      </c>
      <c r="E65" s="3">
        <v>3.2</v>
      </c>
      <c r="F65" s="2">
        <v>-211.1</v>
      </c>
      <c r="G65" s="5">
        <v>200</v>
      </c>
    </row>
    <row r="66" spans="1:7">
      <c r="A66" s="3">
        <v>3.25</v>
      </c>
      <c r="B66" s="7">
        <v>-0.002134</v>
      </c>
      <c r="C66" s="4">
        <v>253.7</v>
      </c>
      <c r="E66" s="3">
        <v>3.25</v>
      </c>
      <c r="F66" s="2">
        <v>-213.4</v>
      </c>
      <c r="G66" s="5">
        <v>200</v>
      </c>
    </row>
    <row r="67" spans="1:7">
      <c r="A67" s="3">
        <v>3.3</v>
      </c>
      <c r="B67" s="7">
        <v>-0.001873</v>
      </c>
      <c r="C67" s="4">
        <v>240.3</v>
      </c>
      <c r="E67" s="3">
        <v>3.3</v>
      </c>
      <c r="F67" s="2">
        <v>-187.3</v>
      </c>
      <c r="G67" s="5">
        <v>200</v>
      </c>
    </row>
    <row r="68" spans="1:7">
      <c r="A68" s="3">
        <v>3.35</v>
      </c>
      <c r="B68" s="7">
        <v>-0.001121</v>
      </c>
      <c r="C68" s="4">
        <v>92.3</v>
      </c>
      <c r="E68" s="3">
        <v>3.35</v>
      </c>
      <c r="F68" s="2">
        <v>-112.1</v>
      </c>
      <c r="G68" s="5">
        <v>0</v>
      </c>
    </row>
    <row r="69" spans="1:7">
      <c r="A69" s="3">
        <v>3.4</v>
      </c>
      <c r="B69" s="7">
        <v>1.636e-6</v>
      </c>
      <c r="C69" s="4">
        <v>91.4</v>
      </c>
      <c r="E69" s="3">
        <v>3.4</v>
      </c>
      <c r="F69" s="2">
        <v>0.1636</v>
      </c>
      <c r="G69" s="5">
        <v>0</v>
      </c>
    </row>
    <row r="70" spans="1:7">
      <c r="A70" s="3">
        <v>3.45</v>
      </c>
      <c r="B70" s="7">
        <v>0.0009528</v>
      </c>
      <c r="C70" s="4">
        <v>91.6</v>
      </c>
      <c r="E70" s="3">
        <v>3.45</v>
      </c>
      <c r="F70" s="2">
        <v>95.28</v>
      </c>
      <c r="G70" s="5">
        <v>0</v>
      </c>
    </row>
    <row r="71" spans="1:7">
      <c r="A71" s="3">
        <v>3.5</v>
      </c>
      <c r="B71" s="7">
        <v>0.001824</v>
      </c>
      <c r="C71" s="4">
        <v>91.4</v>
      </c>
      <c r="E71" s="3">
        <v>3.5</v>
      </c>
      <c r="F71" s="2">
        <v>182.4</v>
      </c>
      <c r="G71" s="5">
        <v>0</v>
      </c>
    </row>
    <row r="72" spans="1:7">
      <c r="A72" s="3">
        <v>3.55</v>
      </c>
      <c r="B72" s="7">
        <v>0.002175</v>
      </c>
      <c r="C72" s="4">
        <v>91.2</v>
      </c>
      <c r="E72" s="3">
        <v>3.55</v>
      </c>
      <c r="F72" s="2">
        <v>217.5</v>
      </c>
      <c r="G72" s="5">
        <v>0</v>
      </c>
    </row>
    <row r="73" spans="1:7">
      <c r="A73" s="3">
        <v>3.6</v>
      </c>
      <c r="B73" s="7">
        <v>0.002135</v>
      </c>
      <c r="C73" s="4">
        <v>91.3</v>
      </c>
      <c r="E73" s="3">
        <v>3.6</v>
      </c>
      <c r="F73" s="2">
        <v>213.5</v>
      </c>
      <c r="G73" s="5">
        <v>0</v>
      </c>
    </row>
    <row r="74" spans="1:7">
      <c r="A74" s="3">
        <v>3.65</v>
      </c>
      <c r="B74" s="7">
        <v>0.001665</v>
      </c>
      <c r="C74" s="4">
        <v>253.8</v>
      </c>
      <c r="E74" s="3">
        <v>3.65</v>
      </c>
      <c r="F74" s="2">
        <v>166.5</v>
      </c>
      <c r="G74" s="5">
        <v>200</v>
      </c>
    </row>
    <row r="75" spans="1:7">
      <c r="A75" s="3">
        <v>3.7</v>
      </c>
      <c r="B75" s="7">
        <v>0.0006901</v>
      </c>
      <c r="C75" s="4">
        <v>253.7</v>
      </c>
      <c r="E75" s="3">
        <v>3.7</v>
      </c>
      <c r="F75" s="2">
        <v>69.01</v>
      </c>
      <c r="G75" s="5">
        <v>200</v>
      </c>
    </row>
    <row r="76" spans="1:7">
      <c r="A76" s="3">
        <v>3.75</v>
      </c>
      <c r="B76" s="7">
        <v>-0.0003129</v>
      </c>
      <c r="C76" s="4">
        <v>253.7</v>
      </c>
      <c r="E76" s="3">
        <v>3.75</v>
      </c>
      <c r="F76" s="2">
        <v>-31.29</v>
      </c>
      <c r="G76" s="5">
        <v>200</v>
      </c>
    </row>
    <row r="77" spans="1:7">
      <c r="A77" s="3">
        <v>3.8</v>
      </c>
      <c r="B77" s="7">
        <v>-0.001527</v>
      </c>
      <c r="C77" s="4">
        <v>253.7</v>
      </c>
      <c r="E77" s="3">
        <v>3.8</v>
      </c>
      <c r="F77" s="2">
        <v>-152.7</v>
      </c>
      <c r="G77" s="5">
        <v>200</v>
      </c>
    </row>
    <row r="78" spans="1:7">
      <c r="A78" s="3">
        <v>3.85</v>
      </c>
      <c r="B78" s="7">
        <v>-0.002315</v>
      </c>
      <c r="C78" s="4">
        <v>253.7</v>
      </c>
      <c r="E78" s="3">
        <v>3.85</v>
      </c>
      <c r="F78" s="2">
        <v>-231.5</v>
      </c>
      <c r="G78" s="5">
        <v>200</v>
      </c>
    </row>
    <row r="79" spans="1:7">
      <c r="A79" s="3">
        <v>3.9</v>
      </c>
      <c r="B79" s="7">
        <v>-0.002685</v>
      </c>
      <c r="C79" s="4">
        <v>253.7</v>
      </c>
      <c r="E79" s="3">
        <v>3.9</v>
      </c>
      <c r="F79" s="2">
        <v>-268.5</v>
      </c>
      <c r="G79" s="5">
        <v>200</v>
      </c>
    </row>
    <row r="80" spans="1:7">
      <c r="A80" s="3">
        <v>3.95</v>
      </c>
      <c r="B80" s="7">
        <v>-0.002599</v>
      </c>
      <c r="C80" s="4">
        <v>253.7</v>
      </c>
      <c r="E80" s="3">
        <v>3.95</v>
      </c>
      <c r="F80" s="2">
        <v>-259.9</v>
      </c>
      <c r="G80" s="5">
        <v>200</v>
      </c>
    </row>
    <row r="81" spans="1:7">
      <c r="A81" s="3">
        <v>4</v>
      </c>
      <c r="B81" s="7">
        <v>-0.002219</v>
      </c>
      <c r="C81" s="4">
        <v>251.3</v>
      </c>
      <c r="E81" s="3">
        <v>4</v>
      </c>
      <c r="F81" s="2">
        <v>-221.9</v>
      </c>
      <c r="G81" s="5">
        <v>200</v>
      </c>
    </row>
    <row r="82" spans="1:7">
      <c r="A82" s="3">
        <v>4.05</v>
      </c>
      <c r="B82" s="7">
        <v>-0.001243</v>
      </c>
      <c r="C82" s="4">
        <v>121.3</v>
      </c>
      <c r="E82" s="3">
        <v>4.05</v>
      </c>
      <c r="F82" s="2">
        <v>-124.3</v>
      </c>
      <c r="G82" s="5">
        <v>0</v>
      </c>
    </row>
    <row r="83" spans="1:7">
      <c r="A83" s="3">
        <v>4.1</v>
      </c>
      <c r="B83" s="7">
        <v>-0.0001106</v>
      </c>
      <c r="C83" s="4">
        <v>118.1</v>
      </c>
      <c r="E83" s="3">
        <v>4.1</v>
      </c>
      <c r="F83" s="2">
        <v>-11.06</v>
      </c>
      <c r="G83" s="5">
        <v>0</v>
      </c>
    </row>
    <row r="84" spans="1:7">
      <c r="A84" s="3">
        <v>4.15</v>
      </c>
      <c r="B84" s="7">
        <v>0.001046</v>
      </c>
      <c r="C84" s="4">
        <v>108.9</v>
      </c>
      <c r="E84" s="3">
        <v>4.15</v>
      </c>
      <c r="F84" s="2">
        <v>104.6</v>
      </c>
      <c r="G84" s="5">
        <v>0</v>
      </c>
    </row>
    <row r="85" spans="1:7">
      <c r="A85" s="3">
        <v>4.2</v>
      </c>
      <c r="B85" s="7">
        <v>0.00202</v>
      </c>
      <c r="C85" s="4">
        <v>100.1</v>
      </c>
      <c r="E85" s="3">
        <v>4.2</v>
      </c>
      <c r="F85" s="2">
        <v>202</v>
      </c>
      <c r="G85" s="5">
        <v>0</v>
      </c>
    </row>
    <row r="86" spans="1:7">
      <c r="A86" s="3">
        <v>4.25</v>
      </c>
      <c r="B86" s="7">
        <v>0.002386</v>
      </c>
      <c r="C86" s="4">
        <v>95.5</v>
      </c>
      <c r="E86" s="3">
        <v>4.25</v>
      </c>
      <c r="F86" s="2">
        <v>238.6</v>
      </c>
      <c r="G86" s="5">
        <v>0</v>
      </c>
    </row>
    <row r="87" spans="1:7">
      <c r="A87" s="3">
        <v>4.3</v>
      </c>
      <c r="B87" s="7">
        <v>0.002359</v>
      </c>
      <c r="C87" s="4">
        <v>92.8</v>
      </c>
      <c r="E87" s="3">
        <v>4.3</v>
      </c>
      <c r="F87" s="2">
        <v>235.9</v>
      </c>
      <c r="G87" s="5">
        <v>0</v>
      </c>
    </row>
    <row r="88" spans="1:7">
      <c r="A88" s="3">
        <v>4.35</v>
      </c>
      <c r="B88" s="7">
        <v>0.001763</v>
      </c>
      <c r="C88" s="4">
        <v>253.6</v>
      </c>
      <c r="E88" s="3">
        <v>4.35</v>
      </c>
      <c r="F88" s="2">
        <v>176.3</v>
      </c>
      <c r="G88" s="5">
        <v>200</v>
      </c>
    </row>
    <row r="89" spans="1:7">
      <c r="A89" s="3">
        <v>4.4</v>
      </c>
      <c r="B89" s="7">
        <v>0.0005896</v>
      </c>
      <c r="C89" s="4">
        <v>253.8</v>
      </c>
      <c r="E89" s="3">
        <v>4.4</v>
      </c>
      <c r="F89" s="2">
        <v>58.96</v>
      </c>
      <c r="G89" s="5">
        <v>200</v>
      </c>
    </row>
    <row r="90" spans="1:7">
      <c r="A90" s="3">
        <v>4.45</v>
      </c>
      <c r="B90" s="7">
        <v>-0.0006412</v>
      </c>
      <c r="C90" s="4">
        <v>253.7</v>
      </c>
      <c r="E90" s="3">
        <v>4.45</v>
      </c>
      <c r="F90" s="2">
        <v>-64.12</v>
      </c>
      <c r="G90" s="5">
        <v>200</v>
      </c>
    </row>
    <row r="91" spans="1:7">
      <c r="A91" s="3">
        <v>4.5</v>
      </c>
      <c r="B91" s="7">
        <v>-0.001923</v>
      </c>
      <c r="C91" s="4">
        <v>253.7</v>
      </c>
      <c r="E91" s="3">
        <v>4.5</v>
      </c>
      <c r="F91" s="2">
        <v>-192.3</v>
      </c>
      <c r="G91" s="5">
        <v>200</v>
      </c>
    </row>
    <row r="92" spans="1:7">
      <c r="A92" s="3">
        <v>4.55</v>
      </c>
      <c r="B92" s="7">
        <v>-0.002647</v>
      </c>
      <c r="C92" s="4">
        <v>253.7</v>
      </c>
      <c r="E92" s="3">
        <v>4.55</v>
      </c>
      <c r="F92" s="2">
        <v>-264.7</v>
      </c>
      <c r="G92" s="5">
        <v>200</v>
      </c>
    </row>
    <row r="93" spans="1:7">
      <c r="A93" s="3">
        <v>4.6</v>
      </c>
      <c r="B93" s="7">
        <v>-0.003061</v>
      </c>
      <c r="C93" s="4">
        <v>253.7</v>
      </c>
      <c r="E93" s="3">
        <v>4.6</v>
      </c>
      <c r="F93" s="2">
        <v>-306.1</v>
      </c>
      <c r="G93" s="5">
        <v>200</v>
      </c>
    </row>
    <row r="94" spans="1:7">
      <c r="A94" s="3">
        <v>4.65</v>
      </c>
      <c r="B94" s="7">
        <v>-0.00281</v>
      </c>
      <c r="C94" s="4">
        <v>253.7</v>
      </c>
      <c r="E94" s="3">
        <v>4.65</v>
      </c>
      <c r="F94" s="2">
        <v>-281</v>
      </c>
      <c r="G94" s="5">
        <v>200</v>
      </c>
    </row>
    <row r="95" spans="1:7">
      <c r="A95" s="3">
        <v>4.7</v>
      </c>
      <c r="B95" s="7">
        <v>-0.002112</v>
      </c>
      <c r="C95" s="4">
        <v>241.9</v>
      </c>
      <c r="E95" s="3">
        <v>4.7</v>
      </c>
      <c r="F95" s="2">
        <v>-211.2</v>
      </c>
      <c r="G95" s="5">
        <v>200</v>
      </c>
    </row>
    <row r="96" spans="1:7">
      <c r="A96" s="3">
        <v>4.75</v>
      </c>
      <c r="B96" s="7">
        <v>-0.0009435</v>
      </c>
      <c r="C96" s="4">
        <v>154</v>
      </c>
      <c r="E96" s="3">
        <v>4.75</v>
      </c>
      <c r="F96" s="2">
        <v>-94.35</v>
      </c>
      <c r="G96" s="5">
        <v>0</v>
      </c>
    </row>
    <row r="97" spans="1:7">
      <c r="A97" s="3">
        <v>4.8</v>
      </c>
      <c r="B97" s="7">
        <v>0.0003892</v>
      </c>
      <c r="C97" s="4">
        <v>153.7</v>
      </c>
      <c r="E97" s="3">
        <v>4.8</v>
      </c>
      <c r="F97" s="2">
        <v>38.92</v>
      </c>
      <c r="G97" s="5">
        <v>0</v>
      </c>
    </row>
    <row r="98" spans="1:7">
      <c r="A98" s="3">
        <v>4.85</v>
      </c>
      <c r="B98" s="7">
        <v>0.001691</v>
      </c>
      <c r="C98" s="4">
        <v>145.4</v>
      </c>
      <c r="E98" s="3">
        <v>4.85</v>
      </c>
      <c r="F98" s="2">
        <v>169.1</v>
      </c>
      <c r="G98" s="5">
        <v>0</v>
      </c>
    </row>
    <row r="99" spans="1:7">
      <c r="A99" s="3">
        <v>4.9</v>
      </c>
      <c r="B99" s="7">
        <v>0.002588</v>
      </c>
      <c r="C99" s="4">
        <v>138.3</v>
      </c>
      <c r="E99" s="3">
        <v>4.9</v>
      </c>
      <c r="F99" s="2">
        <v>258.8</v>
      </c>
      <c r="G99" s="5">
        <v>0</v>
      </c>
    </row>
    <row r="100" spans="1:7">
      <c r="A100" s="3">
        <v>4.95</v>
      </c>
      <c r="B100" s="7">
        <v>0.002933</v>
      </c>
      <c r="C100" s="4">
        <v>126.2</v>
      </c>
      <c r="E100" s="3">
        <v>4.95</v>
      </c>
      <c r="F100" s="2">
        <v>293.3</v>
      </c>
      <c r="G100" s="5">
        <v>0</v>
      </c>
    </row>
    <row r="101" spans="1:7">
      <c r="A101" s="3">
        <v>5</v>
      </c>
      <c r="B101" s="7">
        <v>0.002637</v>
      </c>
      <c r="C101" s="4">
        <v>117.9</v>
      </c>
      <c r="E101" s="3">
        <v>5</v>
      </c>
      <c r="F101" s="2">
        <v>263.7</v>
      </c>
      <c r="G101" s="5">
        <v>0</v>
      </c>
    </row>
    <row r="102" spans="1:7">
      <c r="A102" s="3">
        <v>5.05</v>
      </c>
      <c r="B102" s="7">
        <v>0.001703</v>
      </c>
      <c r="C102" s="4">
        <v>253.7</v>
      </c>
      <c r="E102" s="3">
        <v>5.05</v>
      </c>
      <c r="F102" s="2">
        <v>170.3</v>
      </c>
      <c r="G102" s="5">
        <v>200</v>
      </c>
    </row>
    <row r="103" spans="1:7">
      <c r="A103" s="3">
        <v>5.1</v>
      </c>
      <c r="B103" s="7">
        <v>0.0003941</v>
      </c>
      <c r="C103" s="4">
        <v>253.8</v>
      </c>
      <c r="E103" s="3">
        <v>5.1</v>
      </c>
      <c r="F103" s="2">
        <v>39.41</v>
      </c>
      <c r="G103" s="5">
        <v>200</v>
      </c>
    </row>
    <row r="104" spans="1:7">
      <c r="A104" s="3">
        <v>5.15</v>
      </c>
      <c r="B104" s="7">
        <v>-0.001072</v>
      </c>
      <c r="C104" s="4">
        <v>253.8</v>
      </c>
      <c r="E104" s="3">
        <v>5.15</v>
      </c>
      <c r="F104" s="2">
        <v>-107.2</v>
      </c>
      <c r="G104" s="5">
        <v>200</v>
      </c>
    </row>
    <row r="105" spans="1:7">
      <c r="A105" s="3">
        <v>5.2</v>
      </c>
      <c r="B105" s="7">
        <v>-0.002455</v>
      </c>
      <c r="C105" s="4">
        <v>253.7</v>
      </c>
      <c r="E105" s="3">
        <v>5.2</v>
      </c>
      <c r="F105" s="2">
        <v>-245.5</v>
      </c>
      <c r="G105" s="5">
        <v>200</v>
      </c>
    </row>
    <row r="106" spans="1:7">
      <c r="A106" s="3">
        <v>5.25</v>
      </c>
      <c r="B106" s="7">
        <v>-0.003319</v>
      </c>
      <c r="C106" s="4">
        <v>253.8</v>
      </c>
      <c r="E106" s="3">
        <v>5.25</v>
      </c>
      <c r="F106" s="2">
        <v>-331.9</v>
      </c>
      <c r="G106" s="5">
        <v>200</v>
      </c>
    </row>
    <row r="107" spans="1:7">
      <c r="A107" s="3">
        <v>5.3</v>
      </c>
      <c r="B107" s="7">
        <v>-0.00355</v>
      </c>
      <c r="C107" s="4">
        <v>253.8</v>
      </c>
      <c r="E107" s="3">
        <v>5.3</v>
      </c>
      <c r="F107" s="2">
        <v>-355</v>
      </c>
      <c r="G107" s="5">
        <v>200</v>
      </c>
    </row>
    <row r="108" spans="1:7">
      <c r="A108" s="3">
        <v>5.35</v>
      </c>
      <c r="B108" s="7">
        <v>-0.003244</v>
      </c>
      <c r="C108" s="4">
        <v>253.8</v>
      </c>
      <c r="E108" s="3">
        <v>5.35</v>
      </c>
      <c r="F108" s="2">
        <v>-324.4</v>
      </c>
      <c r="G108" s="5">
        <v>200</v>
      </c>
    </row>
    <row r="109" spans="1:7">
      <c r="A109" s="3">
        <v>5.4</v>
      </c>
      <c r="B109" s="7">
        <v>-0.002157</v>
      </c>
      <c r="C109" s="4">
        <v>253.2</v>
      </c>
      <c r="E109" s="3">
        <v>5.4</v>
      </c>
      <c r="F109" s="2">
        <v>-215.7</v>
      </c>
      <c r="G109" s="5">
        <v>200</v>
      </c>
    </row>
    <row r="110" spans="1:7">
      <c r="A110" s="3">
        <v>5.45</v>
      </c>
      <c r="B110" s="7">
        <v>-0.0007956</v>
      </c>
      <c r="C110" s="4">
        <v>175</v>
      </c>
      <c r="E110" s="3">
        <v>5.45</v>
      </c>
      <c r="F110" s="2">
        <v>-79.56</v>
      </c>
      <c r="G110" s="5">
        <v>0</v>
      </c>
    </row>
    <row r="111" spans="1:7">
      <c r="A111" s="3">
        <v>5.5</v>
      </c>
      <c r="B111" s="7">
        <v>0.0007717</v>
      </c>
      <c r="C111" s="4">
        <v>177.4</v>
      </c>
      <c r="E111" s="3">
        <v>5.5</v>
      </c>
      <c r="F111" s="2">
        <v>77.17</v>
      </c>
      <c r="G111" s="5">
        <v>0</v>
      </c>
    </row>
    <row r="112" spans="1:7">
      <c r="A112" s="3">
        <v>5.55</v>
      </c>
      <c r="B112" s="7">
        <v>0.002197</v>
      </c>
      <c r="C112" s="4">
        <v>170.8</v>
      </c>
      <c r="E112" s="3">
        <v>5.55</v>
      </c>
      <c r="F112" s="2">
        <v>219.7</v>
      </c>
      <c r="G112" s="5">
        <v>0</v>
      </c>
    </row>
    <row r="113" spans="1:7">
      <c r="A113" s="3">
        <v>5.6</v>
      </c>
      <c r="B113" s="7">
        <v>0.003051</v>
      </c>
      <c r="C113" s="4">
        <v>164.2</v>
      </c>
      <c r="E113" s="3">
        <v>5.6</v>
      </c>
      <c r="F113" s="2">
        <v>305.1</v>
      </c>
      <c r="G113" s="5">
        <v>0</v>
      </c>
    </row>
    <row r="114" spans="1:7">
      <c r="A114" s="3">
        <v>5.65</v>
      </c>
      <c r="B114" s="7">
        <v>0.003214</v>
      </c>
      <c r="C114" s="4">
        <v>156.9</v>
      </c>
      <c r="E114" s="3">
        <v>5.65</v>
      </c>
      <c r="F114" s="2">
        <v>321.4</v>
      </c>
      <c r="G114" s="5">
        <v>0</v>
      </c>
    </row>
    <row r="115" spans="1:7">
      <c r="A115" s="3">
        <v>5.7</v>
      </c>
      <c r="B115" s="7">
        <v>0.002798</v>
      </c>
      <c r="C115" s="4">
        <v>149.6</v>
      </c>
      <c r="E115" s="3">
        <v>5.7</v>
      </c>
      <c r="F115" s="2">
        <v>279.8</v>
      </c>
      <c r="G115" s="5">
        <v>0</v>
      </c>
    </row>
    <row r="116" spans="1:7">
      <c r="A116" s="3">
        <v>5.75</v>
      </c>
      <c r="B116" s="7">
        <v>0.001702</v>
      </c>
      <c r="C116" s="4">
        <v>253.8</v>
      </c>
      <c r="E116" s="3">
        <v>5.75</v>
      </c>
      <c r="F116" s="2">
        <v>170.2</v>
      </c>
      <c r="G116" s="5">
        <v>200</v>
      </c>
    </row>
    <row r="117" spans="1:7">
      <c r="A117" s="3">
        <v>5.8</v>
      </c>
      <c r="B117" s="7">
        <v>0.0001973</v>
      </c>
      <c r="C117" s="4">
        <v>253.7</v>
      </c>
      <c r="E117" s="3">
        <v>5.8</v>
      </c>
      <c r="F117" s="2">
        <v>19.73</v>
      </c>
      <c r="G117" s="5">
        <v>200</v>
      </c>
    </row>
    <row r="118" spans="1:7">
      <c r="A118" s="3">
        <v>5.85</v>
      </c>
      <c r="B118" s="7">
        <v>-0.001454</v>
      </c>
      <c r="C118" s="4">
        <v>253.7</v>
      </c>
      <c r="E118" s="3">
        <v>5.85</v>
      </c>
      <c r="F118" s="2">
        <v>-145.4</v>
      </c>
      <c r="G118" s="5">
        <v>200</v>
      </c>
    </row>
    <row r="119" spans="1:7">
      <c r="A119" s="3">
        <v>5.9</v>
      </c>
      <c r="B119" s="7">
        <v>-0.002883</v>
      </c>
      <c r="C119" s="4">
        <v>253.7</v>
      </c>
      <c r="E119" s="3">
        <v>5.9</v>
      </c>
      <c r="F119" s="2">
        <v>-288.3</v>
      </c>
      <c r="G119" s="5">
        <v>200</v>
      </c>
    </row>
    <row r="120" spans="1:7">
      <c r="A120" s="3">
        <v>5.95</v>
      </c>
      <c r="B120" s="7">
        <v>-0.003663</v>
      </c>
      <c r="C120" s="4">
        <v>253.7</v>
      </c>
      <c r="E120" s="3">
        <v>5.95</v>
      </c>
      <c r="F120" s="2">
        <v>-366.3</v>
      </c>
      <c r="G120" s="5">
        <v>200</v>
      </c>
    </row>
    <row r="121" spans="1:7">
      <c r="A121" s="3">
        <v>6</v>
      </c>
      <c r="B121" s="7">
        <v>-0.003853</v>
      </c>
      <c r="C121" s="4">
        <v>253.5</v>
      </c>
      <c r="E121" s="3">
        <v>6</v>
      </c>
      <c r="F121" s="2">
        <v>-385.3</v>
      </c>
      <c r="G121" s="5">
        <v>200</v>
      </c>
    </row>
    <row r="122" spans="1:7">
      <c r="A122" s="3">
        <v>6.05</v>
      </c>
      <c r="B122" s="7">
        <v>-0.003385</v>
      </c>
      <c r="C122" s="4">
        <v>253.5</v>
      </c>
      <c r="E122" s="3">
        <v>6.05</v>
      </c>
      <c r="F122" s="2">
        <v>-338.5</v>
      </c>
      <c r="G122" s="5">
        <v>200</v>
      </c>
    </row>
    <row r="123" spans="1:7">
      <c r="A123" s="3">
        <v>6.1</v>
      </c>
      <c r="B123" s="7">
        <v>-0.002148</v>
      </c>
      <c r="C123" s="4">
        <v>253.8</v>
      </c>
      <c r="E123" s="3">
        <v>6.1</v>
      </c>
      <c r="F123" s="2">
        <v>-214.8</v>
      </c>
      <c r="G123" s="5">
        <v>200</v>
      </c>
    </row>
    <row r="124" spans="1:7">
      <c r="A124" s="3">
        <v>6.15</v>
      </c>
      <c r="B124" s="7">
        <v>-0.000572</v>
      </c>
      <c r="C124" s="4">
        <v>188.7</v>
      </c>
      <c r="E124" s="3">
        <v>6.15</v>
      </c>
      <c r="F124" s="2">
        <v>-57.2</v>
      </c>
      <c r="G124" s="5">
        <v>0</v>
      </c>
    </row>
    <row r="125" spans="1:7">
      <c r="A125" s="3">
        <v>6.2</v>
      </c>
      <c r="B125" s="7">
        <v>0.001111</v>
      </c>
      <c r="C125" s="4">
        <v>190.8</v>
      </c>
      <c r="E125" s="3">
        <v>6.2</v>
      </c>
      <c r="F125" s="2">
        <v>111.1</v>
      </c>
      <c r="G125" s="5">
        <v>0</v>
      </c>
    </row>
    <row r="126" spans="1:7">
      <c r="A126" s="3">
        <v>6.25</v>
      </c>
      <c r="B126" s="7">
        <v>0.002615</v>
      </c>
      <c r="C126" s="4">
        <v>185.4</v>
      </c>
      <c r="E126" s="3">
        <v>6.25</v>
      </c>
      <c r="F126" s="2">
        <v>261.5</v>
      </c>
      <c r="G126" s="5">
        <v>0</v>
      </c>
    </row>
    <row r="127" spans="1:7">
      <c r="A127" s="3">
        <v>6.3</v>
      </c>
      <c r="B127" s="7">
        <v>0.003535</v>
      </c>
      <c r="C127" s="4">
        <v>179.1</v>
      </c>
      <c r="E127" s="3">
        <v>6.3</v>
      </c>
      <c r="F127" s="2">
        <v>353.5</v>
      </c>
      <c r="G127" s="5">
        <v>0</v>
      </c>
    </row>
    <row r="128" spans="1:7">
      <c r="A128" s="3">
        <v>6.35</v>
      </c>
      <c r="B128" s="7">
        <v>0.003583</v>
      </c>
      <c r="C128" s="4">
        <v>173.4</v>
      </c>
      <c r="E128" s="3">
        <v>6.35</v>
      </c>
      <c r="F128" s="2">
        <v>358.3</v>
      </c>
      <c r="G128" s="5">
        <v>0</v>
      </c>
    </row>
    <row r="129" spans="1:7">
      <c r="A129" s="3">
        <v>6.4</v>
      </c>
      <c r="B129" s="7">
        <v>0.002992</v>
      </c>
      <c r="C129" s="4">
        <v>168.6</v>
      </c>
      <c r="E129" s="3">
        <v>6.4</v>
      </c>
      <c r="F129" s="2">
        <v>299.2</v>
      </c>
      <c r="G129" s="5">
        <v>0</v>
      </c>
    </row>
    <row r="130" spans="1:7">
      <c r="A130" s="3">
        <v>6.45</v>
      </c>
      <c r="B130" s="7">
        <v>0.001688</v>
      </c>
      <c r="C130" s="4">
        <v>253.8</v>
      </c>
      <c r="E130" s="3">
        <v>6.45</v>
      </c>
      <c r="F130" s="2">
        <v>168.8</v>
      </c>
      <c r="G130" s="5">
        <v>200</v>
      </c>
    </row>
    <row r="131" spans="1:7">
      <c r="A131" s="3">
        <v>6.5</v>
      </c>
      <c r="B131" s="7">
        <v>6.063e-5</v>
      </c>
      <c r="C131" s="4">
        <v>253.8</v>
      </c>
      <c r="E131" s="3">
        <v>6.5</v>
      </c>
      <c r="F131" s="2">
        <v>6.063</v>
      </c>
      <c r="G131" s="5">
        <v>200</v>
      </c>
    </row>
    <row r="132" spans="1:7">
      <c r="A132" s="3">
        <v>6.55</v>
      </c>
      <c r="B132" s="7">
        <v>-0.001716</v>
      </c>
      <c r="C132" s="4">
        <v>253.7</v>
      </c>
      <c r="E132" s="3">
        <v>6.55</v>
      </c>
      <c r="F132" s="2">
        <v>-171.6</v>
      </c>
      <c r="G132" s="5">
        <v>200</v>
      </c>
    </row>
    <row r="133" spans="1:7">
      <c r="A133" s="3">
        <v>6.6</v>
      </c>
      <c r="B133" s="7">
        <v>-0.003218</v>
      </c>
      <c r="C133" s="4">
        <v>253.8</v>
      </c>
      <c r="E133" s="3">
        <v>6.6</v>
      </c>
      <c r="F133" s="2">
        <v>-321.8</v>
      </c>
      <c r="G133" s="5">
        <v>200</v>
      </c>
    </row>
    <row r="134" spans="1:7">
      <c r="A134" s="3">
        <v>6.65</v>
      </c>
      <c r="B134" s="7">
        <v>-0.004053</v>
      </c>
      <c r="C134" s="4">
        <v>253.7</v>
      </c>
      <c r="E134" s="3">
        <v>6.65</v>
      </c>
      <c r="F134" s="2">
        <v>-405.3</v>
      </c>
      <c r="G134" s="5">
        <v>200</v>
      </c>
    </row>
    <row r="135" spans="1:7">
      <c r="A135" s="3">
        <v>6.7</v>
      </c>
      <c r="B135" s="7">
        <v>-0.004066</v>
      </c>
      <c r="C135" s="4">
        <v>253.7</v>
      </c>
      <c r="E135" s="3">
        <v>6.7</v>
      </c>
      <c r="F135" s="2">
        <v>-406.6</v>
      </c>
      <c r="G135" s="5">
        <v>200</v>
      </c>
    </row>
    <row r="136" spans="1:7">
      <c r="A136" s="3">
        <v>6.75</v>
      </c>
      <c r="B136" s="7">
        <v>-0.003476</v>
      </c>
      <c r="C136" s="4">
        <v>253.7</v>
      </c>
      <c r="E136" s="3">
        <v>6.75</v>
      </c>
      <c r="F136" s="2">
        <v>-347.6</v>
      </c>
      <c r="G136" s="5">
        <v>200</v>
      </c>
    </row>
    <row r="137" spans="1:7">
      <c r="A137" s="3">
        <v>6.8</v>
      </c>
      <c r="B137" s="7">
        <v>-0.002107</v>
      </c>
      <c r="C137" s="4">
        <v>253.6</v>
      </c>
      <c r="E137" s="3">
        <v>6.8</v>
      </c>
      <c r="F137" s="2">
        <v>-210.7</v>
      </c>
      <c r="G137" s="5">
        <v>200</v>
      </c>
    </row>
    <row r="138" spans="1:7">
      <c r="A138" s="3">
        <v>6.85</v>
      </c>
      <c r="B138" s="7">
        <v>-0.0003734</v>
      </c>
      <c r="C138" s="4">
        <v>197.1</v>
      </c>
      <c r="E138" s="3">
        <v>6.85</v>
      </c>
      <c r="F138" s="2">
        <v>-37.34</v>
      </c>
      <c r="G138" s="5">
        <v>0</v>
      </c>
    </row>
    <row r="139" spans="1:7">
      <c r="A139" s="3">
        <v>6.9</v>
      </c>
      <c r="B139" s="7">
        <v>0.001362</v>
      </c>
      <c r="C139" s="4">
        <v>199.9</v>
      </c>
      <c r="E139" s="3">
        <v>6.9</v>
      </c>
      <c r="F139" s="2">
        <v>136.2</v>
      </c>
      <c r="G139" s="5">
        <v>0</v>
      </c>
    </row>
    <row r="140" spans="1:7">
      <c r="A140" s="3">
        <v>6.95</v>
      </c>
      <c r="B140" s="7">
        <v>0.002816</v>
      </c>
      <c r="C140" s="4">
        <v>194.7</v>
      </c>
      <c r="E140" s="3">
        <v>6.95</v>
      </c>
      <c r="F140" s="2">
        <v>281.6</v>
      </c>
      <c r="G140" s="5">
        <v>0</v>
      </c>
    </row>
    <row r="141" spans="1:7">
      <c r="A141" s="3">
        <v>7</v>
      </c>
      <c r="B141" s="7">
        <v>0.003767</v>
      </c>
      <c r="C141" s="4">
        <v>191</v>
      </c>
      <c r="E141" s="3">
        <v>7</v>
      </c>
      <c r="F141" s="2">
        <v>376.7</v>
      </c>
      <c r="G141" s="5">
        <v>0</v>
      </c>
    </row>
    <row r="142" spans="1:7">
      <c r="A142" s="3">
        <v>7.05</v>
      </c>
      <c r="B142" s="7">
        <v>0.003813</v>
      </c>
      <c r="C142" s="4">
        <v>185</v>
      </c>
      <c r="E142" s="3">
        <v>7.05</v>
      </c>
      <c r="F142" s="2">
        <v>381.3</v>
      </c>
      <c r="G142" s="5">
        <v>0</v>
      </c>
    </row>
    <row r="143" spans="1:7">
      <c r="A143" s="3">
        <v>7.1</v>
      </c>
      <c r="B143" s="7">
        <v>0.003121</v>
      </c>
      <c r="C143" s="4">
        <v>179.3</v>
      </c>
      <c r="E143" s="3">
        <v>7.1</v>
      </c>
      <c r="F143" s="2">
        <v>312.1</v>
      </c>
      <c r="G143" s="5">
        <v>0</v>
      </c>
    </row>
    <row r="144" spans="1:7">
      <c r="A144" s="3">
        <v>7.15</v>
      </c>
      <c r="B144" s="7">
        <v>0.001716</v>
      </c>
      <c r="C144" s="4">
        <v>253.7</v>
      </c>
      <c r="E144" s="3">
        <v>7.15</v>
      </c>
      <c r="F144" s="2">
        <v>171.6</v>
      </c>
      <c r="G144" s="5">
        <v>200</v>
      </c>
    </row>
    <row r="145" spans="1:7">
      <c r="A145" s="3">
        <v>7.2</v>
      </c>
      <c r="B145" s="7">
        <v>-1.415e-5</v>
      </c>
      <c r="C145" s="4">
        <v>253.7</v>
      </c>
      <c r="E145" s="3">
        <v>7.2</v>
      </c>
      <c r="F145" s="2">
        <v>-1.415</v>
      </c>
      <c r="G145" s="5">
        <v>200</v>
      </c>
    </row>
    <row r="146" spans="1:7">
      <c r="A146" s="3">
        <v>7.25</v>
      </c>
      <c r="B146" s="7">
        <v>-0.001887</v>
      </c>
      <c r="C146" s="4">
        <v>253.8</v>
      </c>
      <c r="E146" s="3">
        <v>7.25</v>
      </c>
      <c r="F146" s="2">
        <v>-188.7</v>
      </c>
      <c r="G146" s="5">
        <v>200</v>
      </c>
    </row>
    <row r="147" spans="1:7">
      <c r="A147" s="3">
        <v>7.3</v>
      </c>
      <c r="B147" s="7">
        <v>-0.003323</v>
      </c>
      <c r="C147" s="4">
        <v>253.7</v>
      </c>
      <c r="E147" s="3">
        <v>7.3</v>
      </c>
      <c r="F147" s="2">
        <v>-332.3</v>
      </c>
      <c r="G147" s="5">
        <v>200</v>
      </c>
    </row>
    <row r="148" spans="1:7">
      <c r="A148" s="3">
        <v>7.35</v>
      </c>
      <c r="B148" s="7">
        <v>-0.004086</v>
      </c>
      <c r="C148" s="4">
        <v>253.7</v>
      </c>
      <c r="E148" s="3">
        <v>7.35</v>
      </c>
      <c r="F148" s="2">
        <v>-408.6</v>
      </c>
      <c r="G148" s="5">
        <v>200</v>
      </c>
    </row>
    <row r="149" spans="1:7">
      <c r="A149" s="3">
        <v>7.4</v>
      </c>
      <c r="B149" s="7">
        <v>-0.004159</v>
      </c>
      <c r="C149" s="4">
        <v>253.6</v>
      </c>
      <c r="E149" s="3">
        <v>7.4</v>
      </c>
      <c r="F149" s="2">
        <v>-415.9</v>
      </c>
      <c r="G149" s="5">
        <v>200</v>
      </c>
    </row>
    <row r="150" spans="1:7">
      <c r="A150" s="3">
        <v>7.45</v>
      </c>
      <c r="B150" s="7">
        <v>-0.003484</v>
      </c>
      <c r="C150" s="4">
        <v>253.6</v>
      </c>
      <c r="E150" s="3">
        <v>7.45</v>
      </c>
      <c r="F150" s="2">
        <v>-348.4</v>
      </c>
      <c r="G150" s="5">
        <v>200</v>
      </c>
    </row>
    <row r="151" spans="1:7">
      <c r="A151" s="3">
        <v>7.5</v>
      </c>
      <c r="B151" s="7">
        <v>-0.002042</v>
      </c>
      <c r="C151" s="4">
        <v>253.8</v>
      </c>
      <c r="E151" s="3">
        <v>7.5</v>
      </c>
      <c r="F151" s="2">
        <v>-204.2</v>
      </c>
      <c r="G151" s="5">
        <v>200</v>
      </c>
    </row>
    <row r="152" spans="1:7">
      <c r="A152" s="3">
        <v>7.55</v>
      </c>
      <c r="B152" s="7">
        <v>-0.0003126</v>
      </c>
      <c r="C152" s="4">
        <v>203.2</v>
      </c>
      <c r="E152" s="3">
        <v>7.55</v>
      </c>
      <c r="F152" s="2">
        <v>-31.26</v>
      </c>
      <c r="G152" s="5">
        <v>0</v>
      </c>
    </row>
    <row r="153" spans="1:7">
      <c r="A153" s="3">
        <v>7.6</v>
      </c>
      <c r="B153" s="7">
        <v>0.001423</v>
      </c>
      <c r="C153" s="4">
        <v>206.5</v>
      </c>
      <c r="E153" s="3">
        <v>7.6</v>
      </c>
      <c r="F153" s="2">
        <v>142.3</v>
      </c>
      <c r="G153" s="5">
        <v>0</v>
      </c>
    </row>
    <row r="154" spans="1:7">
      <c r="A154" s="3">
        <v>7.65</v>
      </c>
      <c r="B154" s="7">
        <v>0.002937</v>
      </c>
      <c r="C154" s="4">
        <v>200.4</v>
      </c>
      <c r="E154" s="3">
        <v>7.65</v>
      </c>
      <c r="F154" s="2">
        <v>293.7</v>
      </c>
      <c r="G154" s="5">
        <v>0</v>
      </c>
    </row>
    <row r="155" spans="1:7">
      <c r="A155" s="3">
        <v>7.7</v>
      </c>
      <c r="B155" s="7">
        <v>0.003771</v>
      </c>
      <c r="C155" s="4">
        <v>195.8</v>
      </c>
      <c r="E155" s="3">
        <v>7.7</v>
      </c>
      <c r="F155" s="2">
        <v>377.1</v>
      </c>
      <c r="G155" s="5">
        <v>0</v>
      </c>
    </row>
    <row r="156" spans="1:7">
      <c r="A156" s="3">
        <v>7.75</v>
      </c>
      <c r="B156" s="7">
        <v>0.003797</v>
      </c>
      <c r="C156" s="4">
        <v>190.9</v>
      </c>
      <c r="E156" s="3">
        <v>7.75</v>
      </c>
      <c r="F156" s="2">
        <v>379.7</v>
      </c>
      <c r="G156" s="5">
        <v>0</v>
      </c>
    </row>
    <row r="157" spans="1:7">
      <c r="A157" s="3">
        <v>7.8</v>
      </c>
      <c r="B157" s="7">
        <v>0.002933</v>
      </c>
      <c r="C157" s="4">
        <v>186.7</v>
      </c>
      <c r="E157" s="3">
        <v>7.8</v>
      </c>
      <c r="F157" s="2">
        <v>293.3</v>
      </c>
      <c r="G157" s="5">
        <v>0</v>
      </c>
    </row>
    <row r="158" spans="1:7">
      <c r="A158" s="3">
        <v>7.85</v>
      </c>
      <c r="B158" s="7">
        <v>0.001503</v>
      </c>
      <c r="C158" s="4">
        <v>253.8</v>
      </c>
      <c r="E158" s="3">
        <v>7.85</v>
      </c>
      <c r="F158" s="2">
        <v>150.3</v>
      </c>
      <c r="G158" s="5">
        <v>200</v>
      </c>
    </row>
    <row r="159" spans="1:7">
      <c r="A159" s="3">
        <v>7.9</v>
      </c>
      <c r="B159" s="7">
        <v>-0.0001436</v>
      </c>
      <c r="C159" s="4">
        <v>253.8</v>
      </c>
      <c r="E159" s="3">
        <v>7.9</v>
      </c>
      <c r="F159" s="2">
        <v>-14.36</v>
      </c>
      <c r="G159" s="5">
        <v>200</v>
      </c>
    </row>
    <row r="160" spans="1:7">
      <c r="A160" s="3">
        <v>7.95</v>
      </c>
      <c r="B160" s="7">
        <v>-0.001993</v>
      </c>
      <c r="C160" s="4">
        <v>253.7</v>
      </c>
      <c r="E160" s="3">
        <v>7.95</v>
      </c>
      <c r="F160" s="2">
        <v>-199.3</v>
      </c>
      <c r="G160" s="5">
        <v>200</v>
      </c>
    </row>
    <row r="161" spans="1:7">
      <c r="A161" s="3">
        <v>8</v>
      </c>
      <c r="B161" s="7">
        <v>-0.003405</v>
      </c>
      <c r="C161" s="4">
        <v>253.7</v>
      </c>
      <c r="E161" s="3">
        <v>8</v>
      </c>
      <c r="F161" s="2">
        <v>-340.5</v>
      </c>
      <c r="G161" s="5">
        <v>200</v>
      </c>
    </row>
    <row r="162" spans="1:7">
      <c r="A162" s="3">
        <v>8.05</v>
      </c>
      <c r="B162" s="7">
        <v>-0.004164</v>
      </c>
      <c r="C162" s="4">
        <v>253.8</v>
      </c>
      <c r="E162" s="3">
        <v>8.05</v>
      </c>
      <c r="F162" s="2">
        <v>-416.4</v>
      </c>
      <c r="G162" s="5">
        <v>200</v>
      </c>
    </row>
    <row r="163" spans="1:7">
      <c r="A163" s="3">
        <v>8.1</v>
      </c>
      <c r="B163" s="7">
        <v>-0.004164</v>
      </c>
      <c r="C163" s="4">
        <v>253.8</v>
      </c>
      <c r="E163" s="3">
        <v>8.1</v>
      </c>
      <c r="F163" s="2">
        <v>-416.4</v>
      </c>
      <c r="G163" s="5">
        <v>200</v>
      </c>
    </row>
    <row r="164" spans="1:7">
      <c r="A164" s="3">
        <v>8.15</v>
      </c>
      <c r="B164" s="7">
        <v>-0.00333</v>
      </c>
      <c r="C164" s="4">
        <v>253.7</v>
      </c>
      <c r="E164" s="3">
        <v>8.15</v>
      </c>
      <c r="F164" s="2">
        <v>-333</v>
      </c>
      <c r="G164" s="5">
        <v>200</v>
      </c>
    </row>
    <row r="165" spans="1:7">
      <c r="A165" s="3">
        <v>8.2</v>
      </c>
      <c r="B165" s="7">
        <v>-0.001984</v>
      </c>
      <c r="C165" s="4">
        <v>253.7</v>
      </c>
      <c r="E165" s="3">
        <v>8.2</v>
      </c>
      <c r="F165" s="2">
        <v>-198.4</v>
      </c>
      <c r="G165" s="5">
        <v>200</v>
      </c>
    </row>
    <row r="166" spans="1:7">
      <c r="A166" s="3">
        <v>8.25</v>
      </c>
      <c r="B166" s="7">
        <v>-0.0001313</v>
      </c>
      <c r="C166" s="4">
        <v>207.9</v>
      </c>
      <c r="E166" s="3">
        <v>8.25</v>
      </c>
      <c r="F166" s="2">
        <v>-13.13</v>
      </c>
      <c r="G166" s="5">
        <v>0</v>
      </c>
    </row>
    <row r="167" spans="1:7">
      <c r="A167" s="3">
        <v>8.3</v>
      </c>
      <c r="B167" s="7">
        <v>0.001688</v>
      </c>
      <c r="C167" s="4">
        <v>211.1</v>
      </c>
      <c r="E167" s="3">
        <v>8.3</v>
      </c>
      <c r="F167" s="2">
        <v>168.8</v>
      </c>
      <c r="G167" s="5">
        <v>0</v>
      </c>
    </row>
    <row r="168" spans="1:7">
      <c r="A168" s="3">
        <v>8.35</v>
      </c>
      <c r="B168" s="7">
        <v>0.003113</v>
      </c>
      <c r="C168" s="4">
        <v>205.8</v>
      </c>
      <c r="E168" s="3">
        <v>8.35</v>
      </c>
      <c r="F168" s="2">
        <v>311.3</v>
      </c>
      <c r="G168" s="5">
        <v>0</v>
      </c>
    </row>
    <row r="169" spans="1:7">
      <c r="A169" s="3">
        <v>8.4</v>
      </c>
      <c r="B169" s="7">
        <v>0.003812</v>
      </c>
      <c r="C169" s="4">
        <v>200.9</v>
      </c>
      <c r="E169" s="3">
        <v>8.4</v>
      </c>
      <c r="F169" s="2">
        <v>381.2</v>
      </c>
      <c r="G169" s="5">
        <v>0</v>
      </c>
    </row>
    <row r="170" spans="1:7">
      <c r="A170" s="3">
        <v>8.45</v>
      </c>
      <c r="B170" s="7">
        <v>0.003813</v>
      </c>
      <c r="C170" s="4">
        <v>196.4</v>
      </c>
      <c r="E170" s="3">
        <v>8.45</v>
      </c>
      <c r="F170" s="2">
        <v>381.3</v>
      </c>
      <c r="G170" s="5">
        <v>0</v>
      </c>
    </row>
    <row r="171" spans="1:7">
      <c r="A171" s="3">
        <v>8.5</v>
      </c>
      <c r="B171" s="7">
        <v>0.002957</v>
      </c>
      <c r="C171" s="4">
        <v>191.4</v>
      </c>
      <c r="E171" s="3">
        <v>8.5</v>
      </c>
      <c r="F171" s="2">
        <v>295.7</v>
      </c>
      <c r="G171" s="5">
        <v>0</v>
      </c>
    </row>
    <row r="172" spans="1:7">
      <c r="A172" s="3">
        <v>8.55</v>
      </c>
      <c r="B172" s="7">
        <v>0.00149</v>
      </c>
      <c r="C172" s="4">
        <v>186.6</v>
      </c>
      <c r="E172" s="3">
        <v>8.55</v>
      </c>
      <c r="F172" s="2">
        <v>149</v>
      </c>
      <c r="G172" s="5">
        <v>0</v>
      </c>
    </row>
    <row r="173" spans="1:7">
      <c r="A173" s="3">
        <v>8.6</v>
      </c>
      <c r="B173" s="7">
        <v>-0.0002905</v>
      </c>
      <c r="C173" s="4">
        <v>182.5</v>
      </c>
      <c r="E173" s="3">
        <v>8.6</v>
      </c>
      <c r="F173" s="2">
        <v>-29.05</v>
      </c>
      <c r="G173" s="5">
        <v>0</v>
      </c>
    </row>
    <row r="174" spans="1:7">
      <c r="A174" s="3">
        <v>8.65</v>
      </c>
      <c r="B174" s="7">
        <v>-0.001979</v>
      </c>
      <c r="C174" s="4">
        <v>176.9</v>
      </c>
      <c r="E174" s="3">
        <v>8.65</v>
      </c>
      <c r="F174" s="2">
        <v>-197.9</v>
      </c>
      <c r="G174" s="5">
        <v>0</v>
      </c>
    </row>
    <row r="175" spans="1:7">
      <c r="A175" s="3">
        <v>8.7</v>
      </c>
      <c r="B175" s="7">
        <v>-0.002963</v>
      </c>
      <c r="C175" s="4">
        <v>172.2</v>
      </c>
      <c r="E175" s="3">
        <v>8.7</v>
      </c>
      <c r="F175" s="2">
        <v>-296.3</v>
      </c>
      <c r="G175" s="5">
        <v>0</v>
      </c>
    </row>
    <row r="176" spans="1:7">
      <c r="A176" s="3">
        <v>8.75</v>
      </c>
      <c r="B176" s="7">
        <v>-0.003231</v>
      </c>
      <c r="C176" s="4">
        <v>164.7</v>
      </c>
      <c r="E176" s="3">
        <v>8.75</v>
      </c>
      <c r="F176" s="2">
        <v>-323.1</v>
      </c>
      <c r="G176" s="5">
        <v>0</v>
      </c>
    </row>
    <row r="177" spans="1:7">
      <c r="A177" s="3">
        <v>8.8</v>
      </c>
      <c r="B177" s="7">
        <v>-0.002924</v>
      </c>
      <c r="C177" s="4">
        <v>158.8</v>
      </c>
      <c r="E177" s="3">
        <v>8.8</v>
      </c>
      <c r="F177" s="2">
        <v>-292.4</v>
      </c>
      <c r="G177" s="5">
        <v>0</v>
      </c>
    </row>
    <row r="178" spans="1:7">
      <c r="A178" s="3">
        <v>8.85</v>
      </c>
      <c r="B178" s="7">
        <v>-0.001758</v>
      </c>
      <c r="C178" s="4">
        <v>151.3</v>
      </c>
      <c r="E178" s="3">
        <v>8.85</v>
      </c>
      <c r="F178" s="2">
        <v>-175.8</v>
      </c>
      <c r="G178" s="5">
        <v>0</v>
      </c>
    </row>
    <row r="179" spans="1:7">
      <c r="A179" s="3">
        <v>8.9</v>
      </c>
      <c r="B179" s="7">
        <v>-0.0001103</v>
      </c>
      <c r="C179" s="4">
        <v>143.6</v>
      </c>
      <c r="E179" s="3">
        <v>8.9</v>
      </c>
      <c r="F179" s="2">
        <v>-11.03</v>
      </c>
      <c r="G179" s="5">
        <v>0</v>
      </c>
    </row>
    <row r="180" spans="1:7">
      <c r="A180" s="3">
        <v>8.95</v>
      </c>
      <c r="B180" s="7">
        <v>0.001488</v>
      </c>
      <c r="C180" s="4">
        <v>138.3</v>
      </c>
      <c r="E180" s="3">
        <v>8.95</v>
      </c>
      <c r="F180" s="2">
        <v>148.8</v>
      </c>
      <c r="G180" s="5">
        <v>0</v>
      </c>
    </row>
    <row r="181" spans="1:7">
      <c r="A181" s="3">
        <v>9</v>
      </c>
      <c r="B181" s="7">
        <v>0.002636</v>
      </c>
      <c r="C181" s="4">
        <v>128.5</v>
      </c>
      <c r="E181" s="3">
        <v>9</v>
      </c>
      <c r="F181" s="2">
        <v>263.6</v>
      </c>
      <c r="G181" s="5">
        <v>0</v>
      </c>
    </row>
    <row r="182" spans="1:7">
      <c r="A182" s="3">
        <v>9.05</v>
      </c>
      <c r="B182" s="7">
        <v>0.003288</v>
      </c>
      <c r="C182" s="4">
        <v>120.2</v>
      </c>
      <c r="E182" s="3">
        <v>9.05</v>
      </c>
      <c r="F182" s="2">
        <v>328.8</v>
      </c>
      <c r="G182" s="5">
        <v>0</v>
      </c>
    </row>
    <row r="183" spans="1:7">
      <c r="A183" s="3">
        <v>9.1</v>
      </c>
      <c r="B183" s="7">
        <v>0.003273</v>
      </c>
      <c r="C183" s="4">
        <v>112.9</v>
      </c>
      <c r="E183" s="3">
        <v>9.1</v>
      </c>
      <c r="F183" s="2">
        <v>327.3</v>
      </c>
      <c r="G183" s="5">
        <v>0</v>
      </c>
    </row>
    <row r="184" spans="1:7">
      <c r="A184" s="3">
        <v>9.15</v>
      </c>
      <c r="B184" s="7">
        <v>0.002411</v>
      </c>
      <c r="C184" s="4">
        <v>106.2</v>
      </c>
      <c r="E184" s="3">
        <v>9.15</v>
      </c>
      <c r="F184" s="2">
        <v>241.1</v>
      </c>
      <c r="G184" s="5">
        <v>0</v>
      </c>
    </row>
    <row r="185" spans="1:7">
      <c r="A185" s="3">
        <v>9.2</v>
      </c>
      <c r="B185" s="7">
        <v>0.001143</v>
      </c>
      <c r="C185" s="4">
        <v>99</v>
      </c>
      <c r="E185" s="3">
        <v>9.2</v>
      </c>
      <c r="F185" s="2">
        <v>114.3</v>
      </c>
      <c r="G185" s="5">
        <v>0</v>
      </c>
    </row>
    <row r="186" spans="1:7">
      <c r="A186" s="3">
        <v>9.25</v>
      </c>
      <c r="B186" s="7">
        <v>-0.0002882</v>
      </c>
      <c r="C186" s="4">
        <v>94</v>
      </c>
      <c r="E186" s="3">
        <v>9.25</v>
      </c>
      <c r="F186" s="2">
        <v>-28.82</v>
      </c>
      <c r="G186" s="5">
        <v>0</v>
      </c>
    </row>
    <row r="187" spans="1:7">
      <c r="A187" s="3">
        <v>9.3</v>
      </c>
      <c r="B187" s="7">
        <v>-0.001764</v>
      </c>
      <c r="C187" s="4">
        <v>93.3</v>
      </c>
      <c r="E187" s="3">
        <v>9.3</v>
      </c>
      <c r="F187" s="2">
        <v>-176.4</v>
      </c>
      <c r="G187" s="5">
        <v>0</v>
      </c>
    </row>
    <row r="188" spans="1:7">
      <c r="A188" s="3">
        <v>9.35</v>
      </c>
      <c r="B188" s="7">
        <v>-0.002561</v>
      </c>
      <c r="C188" s="4">
        <v>92.8</v>
      </c>
      <c r="E188" s="3">
        <v>9.35</v>
      </c>
      <c r="F188" s="2">
        <v>-256.1</v>
      </c>
      <c r="G188" s="5">
        <v>0</v>
      </c>
    </row>
    <row r="189" spans="1:7">
      <c r="A189" s="3">
        <v>9.4</v>
      </c>
      <c r="B189" s="7">
        <v>-0.002761</v>
      </c>
      <c r="C189" s="4">
        <v>92.4</v>
      </c>
      <c r="E189" s="3">
        <v>9.4</v>
      </c>
      <c r="F189" s="2">
        <v>-276.1</v>
      </c>
      <c r="G189" s="5">
        <v>0</v>
      </c>
    </row>
    <row r="190" spans="1:7">
      <c r="A190" s="3">
        <v>9.45</v>
      </c>
      <c r="B190" s="7">
        <v>-0.002368</v>
      </c>
      <c r="C190" s="4">
        <v>92.7</v>
      </c>
      <c r="E190" s="3">
        <v>9.45</v>
      </c>
      <c r="F190" s="2">
        <v>-236.8</v>
      </c>
      <c r="G190" s="5">
        <v>0</v>
      </c>
    </row>
    <row r="191" spans="1:7">
      <c r="A191" s="3">
        <v>9.5</v>
      </c>
      <c r="B191" s="7">
        <v>-0.00126</v>
      </c>
      <c r="C191" s="4">
        <v>92</v>
      </c>
      <c r="E191" s="3">
        <v>9.5</v>
      </c>
      <c r="F191" s="2">
        <v>-126</v>
      </c>
      <c r="G191" s="5">
        <v>0</v>
      </c>
    </row>
    <row r="192" spans="1:7">
      <c r="A192" s="3">
        <v>9.55</v>
      </c>
      <c r="B192" s="7">
        <v>0.0001252</v>
      </c>
      <c r="C192" s="4">
        <v>91.4</v>
      </c>
      <c r="E192" s="3">
        <v>9.55</v>
      </c>
      <c r="F192" s="2">
        <v>12.52</v>
      </c>
      <c r="G192" s="5">
        <v>0</v>
      </c>
    </row>
    <row r="193" spans="1:7">
      <c r="A193" s="3">
        <v>9.6</v>
      </c>
      <c r="B193" s="7">
        <v>0.001459</v>
      </c>
      <c r="C193" s="4">
        <v>91.7</v>
      </c>
      <c r="E193" s="3">
        <v>9.6</v>
      </c>
      <c r="F193" s="2">
        <v>145.9</v>
      </c>
      <c r="G193" s="5">
        <v>0</v>
      </c>
    </row>
    <row r="194" spans="1:7">
      <c r="A194" s="3">
        <v>9.65</v>
      </c>
      <c r="B194" s="7">
        <v>0.002488</v>
      </c>
      <c r="C194" s="4">
        <v>91.1</v>
      </c>
      <c r="E194" s="3">
        <v>9.65</v>
      </c>
      <c r="F194" s="2">
        <v>248.8</v>
      </c>
      <c r="G194" s="5">
        <v>0</v>
      </c>
    </row>
    <row r="195" spans="1:7">
      <c r="A195" s="3">
        <v>9.7</v>
      </c>
      <c r="B195" s="7">
        <v>0.003002</v>
      </c>
      <c r="C195" s="4">
        <v>91.3</v>
      </c>
      <c r="E195" s="3">
        <v>9.7</v>
      </c>
      <c r="F195" s="2">
        <v>300.2</v>
      </c>
      <c r="G195" s="5">
        <v>0</v>
      </c>
    </row>
    <row r="196" spans="1:7">
      <c r="A196" s="3">
        <v>9.75</v>
      </c>
      <c r="B196" s="7">
        <v>0.002781</v>
      </c>
      <c r="C196" s="4">
        <v>91.7</v>
      </c>
      <c r="E196" s="3">
        <v>9.75</v>
      </c>
      <c r="F196" s="2">
        <v>278.1</v>
      </c>
      <c r="G196" s="5">
        <v>0</v>
      </c>
    </row>
    <row r="197" spans="1:7">
      <c r="A197" s="3">
        <v>9.8</v>
      </c>
      <c r="B197" s="7">
        <v>0.001996</v>
      </c>
      <c r="C197" s="4">
        <v>91.7</v>
      </c>
      <c r="E197" s="3">
        <v>9.8</v>
      </c>
      <c r="F197" s="2">
        <v>199.6</v>
      </c>
      <c r="G197" s="5">
        <v>0</v>
      </c>
    </row>
    <row r="198" spans="1:7">
      <c r="A198" s="3">
        <v>9.85</v>
      </c>
      <c r="B198" s="7">
        <v>0.0007528</v>
      </c>
      <c r="C198" s="4">
        <v>91.8</v>
      </c>
      <c r="E198" s="3">
        <v>9.85</v>
      </c>
      <c r="F198" s="2">
        <v>75.28</v>
      </c>
      <c r="G198" s="5">
        <v>0</v>
      </c>
    </row>
    <row r="199" spans="1:7">
      <c r="A199" s="3">
        <v>9.9</v>
      </c>
      <c r="B199" s="7">
        <v>-0.0006001</v>
      </c>
      <c r="C199" s="4">
        <v>89.8</v>
      </c>
      <c r="E199" s="3">
        <v>9.9</v>
      </c>
      <c r="F199" s="2">
        <v>-60.01</v>
      </c>
      <c r="G199" s="5">
        <v>0</v>
      </c>
    </row>
    <row r="200" spans="1:7">
      <c r="A200" s="3">
        <v>9.95</v>
      </c>
      <c r="B200" s="7">
        <v>-0.001771</v>
      </c>
      <c r="C200" s="4">
        <v>87.2</v>
      </c>
      <c r="E200" s="3">
        <v>9.95</v>
      </c>
      <c r="F200" s="2">
        <v>-177.1</v>
      </c>
      <c r="G200" s="5">
        <v>0</v>
      </c>
    </row>
    <row r="201" spans="1:7">
      <c r="A201" s="3">
        <v>10</v>
      </c>
      <c r="B201" s="7">
        <v>-0.00237</v>
      </c>
      <c r="C201" s="4">
        <v>84.9</v>
      </c>
      <c r="E201" s="3">
        <v>10</v>
      </c>
      <c r="F201" s="2">
        <v>-237</v>
      </c>
      <c r="G201" s="5">
        <v>0</v>
      </c>
    </row>
    <row r="202" spans="1:7">
      <c r="A202" s="3">
        <v>10.05</v>
      </c>
      <c r="B202" s="7">
        <v>-0.002489</v>
      </c>
      <c r="C202" s="4">
        <v>82.5</v>
      </c>
      <c r="E202" s="3">
        <v>10.05</v>
      </c>
      <c r="F202" s="2">
        <v>-248.9</v>
      </c>
      <c r="G202" s="5">
        <v>0</v>
      </c>
    </row>
    <row r="203" spans="1:7">
      <c r="A203" s="3">
        <v>10.1</v>
      </c>
      <c r="B203" s="7">
        <v>-0.001957</v>
      </c>
      <c r="C203" s="4">
        <v>80.6</v>
      </c>
      <c r="E203" s="3">
        <v>10.1</v>
      </c>
      <c r="F203" s="2">
        <v>-195.7</v>
      </c>
      <c r="G203" s="5">
        <v>0</v>
      </c>
    </row>
    <row r="204" spans="1:7">
      <c r="A204" s="3">
        <v>10.15</v>
      </c>
      <c r="B204" s="7">
        <v>-0.0009264</v>
      </c>
      <c r="C204" s="4">
        <v>76.9</v>
      </c>
      <c r="E204" s="3">
        <v>10.15</v>
      </c>
      <c r="F204" s="2">
        <v>-92.64</v>
      </c>
      <c r="G204" s="5">
        <v>0</v>
      </c>
    </row>
    <row r="205" spans="1:7">
      <c r="A205" s="3">
        <v>10.2</v>
      </c>
      <c r="B205" s="7">
        <v>0.000375</v>
      </c>
      <c r="C205" s="4">
        <v>75</v>
      </c>
      <c r="E205" s="3">
        <v>10.2</v>
      </c>
      <c r="F205" s="2">
        <v>37.5</v>
      </c>
      <c r="G205" s="5">
        <v>0</v>
      </c>
    </row>
    <row r="206" spans="1:7">
      <c r="A206" s="3">
        <v>10.25</v>
      </c>
      <c r="B206" s="7">
        <v>0.001531</v>
      </c>
      <c r="C206" s="4">
        <v>73.9</v>
      </c>
      <c r="E206" s="3">
        <v>10.25</v>
      </c>
      <c r="F206" s="2">
        <v>153.1</v>
      </c>
      <c r="G206" s="5">
        <v>0</v>
      </c>
    </row>
    <row r="207" spans="1:7">
      <c r="A207" s="3">
        <v>10.3</v>
      </c>
      <c r="B207" s="7">
        <v>0.002261</v>
      </c>
      <c r="C207" s="4">
        <v>73</v>
      </c>
      <c r="E207" s="3">
        <v>10.3</v>
      </c>
      <c r="F207" s="2">
        <v>226.1</v>
      </c>
      <c r="G207" s="5">
        <v>0</v>
      </c>
    </row>
    <row r="208" spans="1:7">
      <c r="A208" s="3">
        <v>10.35</v>
      </c>
      <c r="B208" s="7">
        <v>0.002475</v>
      </c>
      <c r="C208" s="4">
        <v>72.5</v>
      </c>
      <c r="E208" s="3">
        <v>10.35</v>
      </c>
      <c r="F208" s="2">
        <v>247.5</v>
      </c>
      <c r="G208" s="5">
        <v>0</v>
      </c>
    </row>
    <row r="209" spans="1:7">
      <c r="A209" s="3">
        <v>10.4</v>
      </c>
      <c r="B209" s="7">
        <v>0.002132</v>
      </c>
      <c r="C209" s="4">
        <v>71.7</v>
      </c>
      <c r="E209" s="3">
        <v>10.4</v>
      </c>
      <c r="F209" s="2">
        <v>213.2</v>
      </c>
      <c r="G209" s="5">
        <v>0</v>
      </c>
    </row>
    <row r="210" spans="1:7">
      <c r="A210" s="3">
        <v>10.45</v>
      </c>
      <c r="B210" s="7">
        <v>0.001268</v>
      </c>
      <c r="C210" s="4">
        <v>70.8</v>
      </c>
      <c r="E210" s="3">
        <v>10.45</v>
      </c>
      <c r="F210" s="2">
        <v>126.8</v>
      </c>
      <c r="G210" s="5">
        <v>0</v>
      </c>
    </row>
    <row r="211" spans="1:7">
      <c r="A211" s="3">
        <v>10.5</v>
      </c>
      <c r="B211" s="7">
        <v>9.088e-5</v>
      </c>
      <c r="C211" s="4">
        <v>70</v>
      </c>
      <c r="E211" s="3">
        <v>10.5</v>
      </c>
      <c r="F211" s="2">
        <v>9.088</v>
      </c>
      <c r="G211" s="5">
        <v>0</v>
      </c>
    </row>
    <row r="212" spans="1:7">
      <c r="A212" s="3">
        <v>10.55</v>
      </c>
      <c r="B212" s="7">
        <v>-0.001123</v>
      </c>
      <c r="C212" s="4">
        <v>69.1</v>
      </c>
      <c r="E212" s="3">
        <v>10.55</v>
      </c>
      <c r="F212" s="2">
        <v>-112.3</v>
      </c>
      <c r="G212" s="5">
        <v>0</v>
      </c>
    </row>
    <row r="213" spans="1:7">
      <c r="A213" s="3">
        <v>10.6</v>
      </c>
      <c r="B213" s="7">
        <v>-0.002078</v>
      </c>
      <c r="C213" s="4">
        <v>68.1</v>
      </c>
      <c r="E213" s="3">
        <v>10.6</v>
      </c>
      <c r="F213" s="2">
        <v>-207.8</v>
      </c>
      <c r="G213" s="5">
        <v>0</v>
      </c>
    </row>
    <row r="214" spans="1:7">
      <c r="A214" s="3">
        <v>10.65</v>
      </c>
      <c r="B214" s="7">
        <v>-0.002462</v>
      </c>
      <c r="C214" s="4">
        <v>68.4</v>
      </c>
      <c r="E214" s="3">
        <v>10.65</v>
      </c>
      <c r="F214" s="2">
        <v>-246.2</v>
      </c>
      <c r="G214" s="5">
        <v>0</v>
      </c>
    </row>
    <row r="215" spans="1:7">
      <c r="A215" s="3">
        <v>10.7</v>
      </c>
      <c r="B215" s="7">
        <v>-0.002286</v>
      </c>
      <c r="C215" s="4">
        <v>68.8</v>
      </c>
      <c r="E215" s="3">
        <v>10.7</v>
      </c>
      <c r="F215" s="2">
        <v>-228.6</v>
      </c>
      <c r="G215" s="5">
        <v>0</v>
      </c>
    </row>
    <row r="216" spans="1:7">
      <c r="A216" s="3">
        <v>10.75</v>
      </c>
      <c r="B216" s="7">
        <v>-0.001695</v>
      </c>
      <c r="C216" s="4">
        <v>67.8</v>
      </c>
      <c r="E216" s="3">
        <v>10.75</v>
      </c>
      <c r="F216" s="2">
        <v>-169.5</v>
      </c>
      <c r="G216" s="5">
        <v>0</v>
      </c>
    </row>
    <row r="217" spans="1:7">
      <c r="A217" s="3">
        <v>10.8</v>
      </c>
      <c r="B217" s="7">
        <v>-0.000544</v>
      </c>
      <c r="C217" s="4">
        <v>68.4</v>
      </c>
      <c r="E217" s="3">
        <v>10.8</v>
      </c>
      <c r="F217" s="2">
        <v>-54.4</v>
      </c>
      <c r="G217" s="5">
        <v>0</v>
      </c>
    </row>
    <row r="218" spans="1:7">
      <c r="A218" s="3">
        <v>10.85</v>
      </c>
      <c r="B218" s="7">
        <v>0.000624</v>
      </c>
      <c r="C218" s="4">
        <v>68</v>
      </c>
      <c r="E218" s="3">
        <v>10.85</v>
      </c>
      <c r="F218" s="2">
        <v>62.4</v>
      </c>
      <c r="G218" s="5">
        <v>0</v>
      </c>
    </row>
    <row r="219" spans="1:7">
      <c r="A219" s="3">
        <v>10.9</v>
      </c>
      <c r="B219" s="7">
        <v>0.001453</v>
      </c>
      <c r="C219" s="4">
        <v>68.3</v>
      </c>
      <c r="E219" s="3">
        <v>10.9</v>
      </c>
      <c r="F219" s="2">
        <v>145.3</v>
      </c>
      <c r="G219" s="5">
        <v>0</v>
      </c>
    </row>
    <row r="220" spans="1:7">
      <c r="A220" s="3">
        <v>10.95</v>
      </c>
      <c r="B220" s="7">
        <v>0.001916</v>
      </c>
      <c r="C220" s="4">
        <v>68.6</v>
      </c>
      <c r="E220" s="3">
        <v>10.95</v>
      </c>
      <c r="F220" s="2">
        <v>191.6</v>
      </c>
      <c r="G220" s="5">
        <v>0</v>
      </c>
    </row>
    <row r="221" spans="1:7">
      <c r="A221" s="3">
        <v>11</v>
      </c>
      <c r="B221" s="7">
        <v>0.00182</v>
      </c>
      <c r="C221" s="4">
        <v>68</v>
      </c>
      <c r="E221" s="3">
        <v>11</v>
      </c>
      <c r="F221" s="2">
        <v>182</v>
      </c>
      <c r="G221" s="5">
        <v>0</v>
      </c>
    </row>
    <row r="222" spans="1:7">
      <c r="A222" s="3">
        <v>11.05</v>
      </c>
      <c r="B222" s="7">
        <v>0.001283</v>
      </c>
      <c r="C222" s="4">
        <v>67.8</v>
      </c>
      <c r="E222" s="3">
        <v>11.05</v>
      </c>
      <c r="F222" s="2">
        <v>128.3</v>
      </c>
      <c r="G222" s="5">
        <v>0</v>
      </c>
    </row>
    <row r="223" spans="1:7">
      <c r="A223" s="3">
        <v>11.1</v>
      </c>
      <c r="B223" s="7">
        <v>0.0002773</v>
      </c>
      <c r="C223" s="4">
        <v>68.8</v>
      </c>
      <c r="E223" s="3">
        <v>11.1</v>
      </c>
      <c r="F223" s="2">
        <v>27.73</v>
      </c>
      <c r="G223" s="5">
        <v>0</v>
      </c>
    </row>
    <row r="224" spans="1:7">
      <c r="A224" s="3">
        <v>11.15</v>
      </c>
      <c r="B224" s="7">
        <v>-0.0008186</v>
      </c>
      <c r="C224" s="4">
        <v>67.3</v>
      </c>
      <c r="E224" s="3">
        <v>11.15</v>
      </c>
      <c r="F224" s="2">
        <v>-81.86</v>
      </c>
      <c r="G224" s="5">
        <v>0</v>
      </c>
    </row>
    <row r="225" spans="1:7">
      <c r="A225" s="3">
        <v>11.2</v>
      </c>
      <c r="B225" s="7">
        <v>-0.001769</v>
      </c>
      <c r="C225" s="4">
        <v>67.3</v>
      </c>
      <c r="E225" s="3">
        <v>11.2</v>
      </c>
      <c r="F225" s="2">
        <v>-176.9</v>
      </c>
      <c r="G225" s="5">
        <v>0</v>
      </c>
    </row>
    <row r="226" spans="1:7">
      <c r="A226" s="3">
        <v>11.25</v>
      </c>
      <c r="B226" s="7">
        <v>-0.002368</v>
      </c>
      <c r="C226" s="4">
        <v>67.8</v>
      </c>
      <c r="E226" s="3">
        <v>11.25</v>
      </c>
      <c r="F226" s="2">
        <v>-236.8</v>
      </c>
      <c r="G226" s="5">
        <v>0</v>
      </c>
    </row>
    <row r="227" spans="1:7">
      <c r="A227" s="3">
        <v>11.3</v>
      </c>
      <c r="B227" s="7">
        <v>-0.002502</v>
      </c>
      <c r="C227" s="4">
        <v>68.1</v>
      </c>
      <c r="E227" s="3">
        <v>11.3</v>
      </c>
      <c r="F227" s="2">
        <v>-250.2</v>
      </c>
      <c r="G227" s="5">
        <v>0</v>
      </c>
    </row>
    <row r="228" spans="1:7">
      <c r="A228" s="3">
        <v>11.35</v>
      </c>
      <c r="B228" s="7">
        <v>-0.00215</v>
      </c>
      <c r="C228" s="4">
        <v>68.3</v>
      </c>
      <c r="E228" s="3">
        <v>11.35</v>
      </c>
      <c r="F228" s="2">
        <v>-215</v>
      </c>
      <c r="G228" s="5">
        <v>0</v>
      </c>
    </row>
    <row r="229" spans="1:7">
      <c r="A229" s="3">
        <v>11.4</v>
      </c>
      <c r="B229" s="7">
        <v>-0.00131</v>
      </c>
      <c r="C229" s="4">
        <v>68.2</v>
      </c>
      <c r="E229" s="3">
        <v>11.4</v>
      </c>
      <c r="F229" s="2">
        <v>-131</v>
      </c>
      <c r="G229" s="5">
        <v>0</v>
      </c>
    </row>
    <row r="230" spans="1:7">
      <c r="A230" s="3">
        <v>11.45</v>
      </c>
      <c r="B230" s="7">
        <v>-0.0001775</v>
      </c>
      <c r="C230" s="4">
        <v>68.7</v>
      </c>
      <c r="E230" s="3">
        <v>11.45</v>
      </c>
      <c r="F230" s="2">
        <v>-17.75</v>
      </c>
      <c r="G230" s="5">
        <v>0</v>
      </c>
    </row>
    <row r="231" spans="1:7">
      <c r="A231" s="3">
        <v>11.5</v>
      </c>
      <c r="B231" s="7">
        <v>0.0008183</v>
      </c>
      <c r="C231" s="4">
        <v>67.8</v>
      </c>
      <c r="E231" s="3">
        <v>11.5</v>
      </c>
      <c r="F231" s="2">
        <v>81.83</v>
      </c>
      <c r="G231" s="5">
        <v>0</v>
      </c>
    </row>
    <row r="232" spans="1:7">
      <c r="A232" s="3">
        <v>11.55</v>
      </c>
      <c r="B232" s="7">
        <v>0.001416</v>
      </c>
      <c r="C232" s="4">
        <v>68.2</v>
      </c>
      <c r="E232" s="3">
        <v>11.55</v>
      </c>
      <c r="F232" s="2">
        <v>141.6</v>
      </c>
      <c r="G232" s="5">
        <v>0</v>
      </c>
    </row>
    <row r="233" spans="1:7">
      <c r="A233" s="3">
        <v>11.6</v>
      </c>
      <c r="B233" s="7">
        <v>0.001555</v>
      </c>
      <c r="C233" s="4">
        <v>68.4</v>
      </c>
      <c r="E233" s="3">
        <v>11.6</v>
      </c>
      <c r="F233" s="2">
        <v>155.5</v>
      </c>
      <c r="G233" s="5">
        <v>0</v>
      </c>
    </row>
    <row r="234" spans="1:7">
      <c r="A234" s="3">
        <v>11.65</v>
      </c>
      <c r="B234" s="7">
        <v>0.00132</v>
      </c>
      <c r="C234" s="4">
        <v>68.3</v>
      </c>
      <c r="E234" s="3">
        <v>11.65</v>
      </c>
      <c r="F234" s="2">
        <v>132</v>
      </c>
      <c r="G234" s="5">
        <v>0</v>
      </c>
    </row>
    <row r="235" spans="1:7">
      <c r="A235" s="3">
        <v>11.7</v>
      </c>
      <c r="B235" s="7">
        <v>0.0006453</v>
      </c>
      <c r="C235" s="4">
        <v>68.5</v>
      </c>
      <c r="E235" s="3">
        <v>11.7</v>
      </c>
      <c r="F235" s="2">
        <v>64.53</v>
      </c>
      <c r="G235" s="5">
        <v>0</v>
      </c>
    </row>
    <row r="236" spans="1:7">
      <c r="A236" s="3">
        <v>11.75</v>
      </c>
      <c r="B236" s="7">
        <v>-0.0003983</v>
      </c>
      <c r="C236" s="4">
        <v>68.5</v>
      </c>
      <c r="E236" s="3">
        <v>11.75</v>
      </c>
      <c r="F236" s="2">
        <v>-39.83</v>
      </c>
      <c r="G236" s="5">
        <v>0</v>
      </c>
    </row>
    <row r="237" spans="1:7">
      <c r="A237" s="3">
        <v>11.8</v>
      </c>
      <c r="B237" s="7">
        <v>-0.001443</v>
      </c>
      <c r="C237" s="4">
        <v>68.3</v>
      </c>
      <c r="E237" s="3">
        <v>11.8</v>
      </c>
      <c r="F237" s="2">
        <v>-144.3</v>
      </c>
      <c r="G237" s="5">
        <v>0</v>
      </c>
    </row>
    <row r="238" spans="1:7">
      <c r="A238" s="3">
        <v>11.85</v>
      </c>
      <c r="B238" s="7">
        <v>-0.002117</v>
      </c>
      <c r="C238" s="4">
        <v>68.6</v>
      </c>
      <c r="E238" s="3">
        <v>11.85</v>
      </c>
      <c r="F238" s="2">
        <v>-211.7</v>
      </c>
      <c r="G238" s="5">
        <v>0</v>
      </c>
    </row>
    <row r="239" spans="1:7">
      <c r="A239" s="3">
        <v>11.9</v>
      </c>
      <c r="B239" s="7">
        <v>-0.002445</v>
      </c>
      <c r="C239" s="4">
        <v>67.8</v>
      </c>
      <c r="E239" s="3">
        <v>11.9</v>
      </c>
      <c r="F239" s="2">
        <v>-244.5</v>
      </c>
      <c r="G239" s="5">
        <v>0</v>
      </c>
    </row>
    <row r="240" spans="1:7">
      <c r="A240" s="3">
        <v>11.95</v>
      </c>
      <c r="B240" s="7">
        <v>-0.002304</v>
      </c>
      <c r="C240" s="4">
        <v>68.8</v>
      </c>
      <c r="E240" s="3">
        <v>11.95</v>
      </c>
      <c r="F240" s="2">
        <v>-230.4</v>
      </c>
      <c r="G240" s="5">
        <v>0</v>
      </c>
    </row>
    <row r="241" spans="1:7">
      <c r="A241" s="3">
        <v>12</v>
      </c>
      <c r="B241" s="7">
        <v>-0.001685</v>
      </c>
      <c r="C241" s="4">
        <v>68</v>
      </c>
      <c r="E241" s="3">
        <v>12</v>
      </c>
      <c r="F241" s="2">
        <v>-168.5</v>
      </c>
      <c r="G241" s="5">
        <v>0</v>
      </c>
    </row>
    <row r="242" spans="1:7">
      <c r="A242" s="3">
        <v>12.05</v>
      </c>
      <c r="B242" s="7">
        <v>-0.0007006</v>
      </c>
      <c r="C242" s="4">
        <v>67.8</v>
      </c>
      <c r="E242" s="3">
        <v>12.05</v>
      </c>
      <c r="F242" s="2">
        <v>-70.06</v>
      </c>
      <c r="G242" s="5">
        <v>0</v>
      </c>
    </row>
    <row r="243" spans="1:7">
      <c r="A243" s="3">
        <v>12.1</v>
      </c>
      <c r="B243" s="7">
        <v>0.0001917</v>
      </c>
      <c r="C243" s="4">
        <v>68.4</v>
      </c>
      <c r="E243" s="3">
        <v>12.1</v>
      </c>
      <c r="F243" s="2">
        <v>19.17</v>
      </c>
      <c r="G243" s="5">
        <v>0</v>
      </c>
    </row>
    <row r="244" spans="1:7">
      <c r="A244" s="3">
        <v>12.15</v>
      </c>
      <c r="B244" s="7">
        <v>0.0008985</v>
      </c>
      <c r="C244" s="4">
        <v>68.1</v>
      </c>
      <c r="E244" s="3">
        <v>12.15</v>
      </c>
      <c r="F244" s="2">
        <v>89.85</v>
      </c>
      <c r="G244" s="5">
        <v>0</v>
      </c>
    </row>
    <row r="245" spans="1:7">
      <c r="A245" s="3">
        <v>12.2</v>
      </c>
      <c r="B245" s="7">
        <v>0.001246</v>
      </c>
      <c r="C245" s="4">
        <v>68.3</v>
      </c>
      <c r="E245" s="3">
        <v>12.2</v>
      </c>
      <c r="F245" s="2">
        <v>124.6</v>
      </c>
      <c r="G245" s="5">
        <v>0</v>
      </c>
    </row>
    <row r="246" spans="1:7">
      <c r="A246" s="3">
        <v>12.25</v>
      </c>
      <c r="B246" s="7">
        <v>0.001177</v>
      </c>
      <c r="C246" s="4">
        <v>68.2</v>
      </c>
      <c r="E246" s="3">
        <v>12.25</v>
      </c>
      <c r="F246" s="2">
        <v>117.7</v>
      </c>
      <c r="G246" s="5">
        <v>0</v>
      </c>
    </row>
    <row r="247" spans="1:7">
      <c r="A247" s="3">
        <v>12.3</v>
      </c>
      <c r="B247" s="7">
        <v>0.0006921</v>
      </c>
      <c r="C247" s="4">
        <v>68.1</v>
      </c>
      <c r="E247" s="3">
        <v>12.3</v>
      </c>
      <c r="F247" s="2">
        <v>69.21</v>
      </c>
      <c r="G247" s="5">
        <v>0</v>
      </c>
    </row>
    <row r="248" spans="1:7">
      <c r="A248" s="3">
        <v>12.35</v>
      </c>
      <c r="B248" s="7">
        <v>-0.0001186</v>
      </c>
      <c r="C248" s="4">
        <v>68.5</v>
      </c>
      <c r="E248" s="3">
        <v>12.35</v>
      </c>
      <c r="F248" s="2">
        <v>-11.86</v>
      </c>
      <c r="G248" s="5">
        <v>0</v>
      </c>
    </row>
    <row r="249" spans="1:7">
      <c r="A249" s="3">
        <v>12.4</v>
      </c>
      <c r="B249" s="7">
        <v>-0.001076</v>
      </c>
      <c r="C249" s="4">
        <v>68.2</v>
      </c>
      <c r="E249" s="3">
        <v>12.4</v>
      </c>
      <c r="F249" s="2">
        <v>-107.6</v>
      </c>
      <c r="G249" s="5">
        <v>0</v>
      </c>
    </row>
    <row r="250" spans="1:7">
      <c r="A250" s="3">
        <v>12.45</v>
      </c>
      <c r="B250" s="7">
        <v>-0.001841</v>
      </c>
      <c r="C250" s="4">
        <v>68.6</v>
      </c>
      <c r="E250" s="3">
        <v>12.45</v>
      </c>
      <c r="F250" s="2">
        <v>-184.1</v>
      </c>
      <c r="G250" s="5">
        <v>0</v>
      </c>
    </row>
    <row r="251" spans="1:7">
      <c r="A251" s="3">
        <v>12.5</v>
      </c>
      <c r="B251" s="7">
        <v>-0.002213</v>
      </c>
      <c r="C251" s="4">
        <v>69.3</v>
      </c>
      <c r="E251" s="3">
        <v>12.5</v>
      </c>
      <c r="F251" s="2">
        <v>-221.3</v>
      </c>
      <c r="G251" s="5">
        <v>0</v>
      </c>
    </row>
    <row r="252" spans="1:7">
      <c r="A252" s="3">
        <v>12.55</v>
      </c>
      <c r="B252" s="7">
        <v>-0.002223</v>
      </c>
      <c r="C252" s="4">
        <v>68.1</v>
      </c>
      <c r="E252" s="3">
        <v>12.55</v>
      </c>
      <c r="F252" s="2">
        <v>-222.3</v>
      </c>
      <c r="G252" s="5">
        <v>0</v>
      </c>
    </row>
    <row r="253" spans="1:7">
      <c r="A253" s="3">
        <v>12.6</v>
      </c>
      <c r="B253" s="7">
        <v>-0.001844</v>
      </c>
      <c r="C253" s="4">
        <v>68.3</v>
      </c>
      <c r="E253" s="3">
        <v>12.6</v>
      </c>
      <c r="F253" s="2">
        <v>-184.4</v>
      </c>
      <c r="G253" s="5">
        <v>0</v>
      </c>
    </row>
    <row r="254" spans="1:7">
      <c r="A254" s="3">
        <v>12.65</v>
      </c>
      <c r="B254" s="7">
        <v>-0.001144</v>
      </c>
      <c r="C254" s="4">
        <v>68.4</v>
      </c>
      <c r="E254" s="3">
        <v>12.65</v>
      </c>
      <c r="F254" s="2">
        <v>-114.4</v>
      </c>
      <c r="G254" s="5">
        <v>0</v>
      </c>
    </row>
    <row r="255" spans="1:7">
      <c r="A255" s="3">
        <v>12.7</v>
      </c>
      <c r="B255" s="7">
        <v>-0.0002316</v>
      </c>
      <c r="C255" s="4">
        <v>68.5</v>
      </c>
      <c r="E255" s="3">
        <v>12.7</v>
      </c>
      <c r="F255" s="2">
        <v>-23.16</v>
      </c>
      <c r="G255" s="5">
        <v>0</v>
      </c>
    </row>
    <row r="256" spans="1:7">
      <c r="A256" s="3">
        <v>12.75</v>
      </c>
      <c r="B256" s="7">
        <v>0.0005033</v>
      </c>
      <c r="C256" s="4">
        <v>67.9</v>
      </c>
      <c r="E256" s="3">
        <v>12.75</v>
      </c>
      <c r="F256" s="2">
        <v>50.33</v>
      </c>
      <c r="G256" s="5">
        <v>0</v>
      </c>
    </row>
    <row r="257" spans="1:7">
      <c r="A257" s="3">
        <v>12.8</v>
      </c>
      <c r="B257" s="7">
        <v>0.0009821</v>
      </c>
      <c r="C257" s="4">
        <v>68.1</v>
      </c>
      <c r="E257" s="3">
        <v>12.8</v>
      </c>
      <c r="F257" s="2">
        <v>98.21</v>
      </c>
      <c r="G257" s="5">
        <v>0</v>
      </c>
    </row>
    <row r="258" spans="1:7">
      <c r="A258" s="3">
        <v>12.85</v>
      </c>
      <c r="B258" s="7">
        <v>0.0009948</v>
      </c>
      <c r="C258" s="4">
        <v>67.5</v>
      </c>
      <c r="E258" s="3">
        <v>12.85</v>
      </c>
      <c r="F258" s="2">
        <v>99.48</v>
      </c>
      <c r="G258" s="5">
        <v>0</v>
      </c>
    </row>
    <row r="259" spans="1:7">
      <c r="A259" s="3">
        <v>12.9</v>
      </c>
      <c r="B259" s="7">
        <v>0.0006939</v>
      </c>
      <c r="C259" s="4">
        <v>68.5</v>
      </c>
      <c r="E259" s="3">
        <v>12.9</v>
      </c>
      <c r="F259" s="2">
        <v>69.39</v>
      </c>
      <c r="G259" s="5">
        <v>0</v>
      </c>
    </row>
    <row r="260" spans="1:7">
      <c r="A260" s="3">
        <v>12.95</v>
      </c>
      <c r="B260" s="7">
        <v>5.299e-6</v>
      </c>
      <c r="C260" s="4">
        <v>68</v>
      </c>
      <c r="E260" s="3">
        <v>12.95</v>
      </c>
      <c r="F260" s="2">
        <v>0.5299</v>
      </c>
      <c r="G260" s="5">
        <v>0</v>
      </c>
    </row>
    <row r="261" spans="1:7">
      <c r="A261" s="3">
        <v>13</v>
      </c>
      <c r="B261" s="7">
        <v>-0.0009634</v>
      </c>
      <c r="C261" s="4">
        <v>68.2</v>
      </c>
      <c r="E261" s="3">
        <v>13</v>
      </c>
      <c r="F261" s="2">
        <v>-96.34</v>
      </c>
      <c r="G261" s="5">
        <v>0</v>
      </c>
    </row>
    <row r="262" spans="1:7">
      <c r="A262" s="3">
        <v>13.05</v>
      </c>
      <c r="B262" s="7">
        <v>-0.001712</v>
      </c>
      <c r="C262" s="4">
        <v>68.6</v>
      </c>
      <c r="E262" s="3">
        <v>13.05</v>
      </c>
      <c r="F262" s="2">
        <v>-171.2</v>
      </c>
      <c r="G262" s="5">
        <v>0</v>
      </c>
    </row>
    <row r="263" spans="1:7">
      <c r="A263" s="3">
        <v>13.1</v>
      </c>
      <c r="B263" s="7">
        <v>-0.002172</v>
      </c>
      <c r="C263" s="4">
        <v>68.4</v>
      </c>
      <c r="E263" s="3">
        <v>13.1</v>
      </c>
      <c r="F263" s="2">
        <v>-217.2</v>
      </c>
      <c r="G263" s="5">
        <v>0</v>
      </c>
    </row>
    <row r="264" spans="1:7">
      <c r="A264" s="3">
        <v>13.15</v>
      </c>
      <c r="B264" s="7">
        <v>-0.002282</v>
      </c>
      <c r="C264" s="4">
        <v>68.1</v>
      </c>
      <c r="E264" s="3">
        <v>13.15</v>
      </c>
      <c r="F264" s="2">
        <v>-228.2</v>
      </c>
      <c r="G264" s="5">
        <v>0</v>
      </c>
    </row>
    <row r="265" spans="1:7">
      <c r="A265" s="3">
        <v>13.2</v>
      </c>
      <c r="B265" s="7">
        <v>-0.002049</v>
      </c>
      <c r="C265" s="4">
        <v>67.9</v>
      </c>
      <c r="E265" s="3">
        <v>13.2</v>
      </c>
      <c r="F265" s="2">
        <v>-204.9</v>
      </c>
      <c r="G265" s="5">
        <v>0</v>
      </c>
    </row>
    <row r="266" spans="1:7">
      <c r="A266" s="3">
        <v>13.25</v>
      </c>
      <c r="B266" s="7">
        <v>-0.001594</v>
      </c>
      <c r="C266" s="4">
        <v>68</v>
      </c>
      <c r="E266" s="3">
        <v>13.25</v>
      </c>
      <c r="F266" s="2">
        <v>-159.4</v>
      </c>
      <c r="G266" s="5">
        <v>0</v>
      </c>
    </row>
    <row r="267" spans="1:7">
      <c r="A267" s="3">
        <v>13.3</v>
      </c>
      <c r="B267" s="7">
        <v>-0.0007523</v>
      </c>
      <c r="C267" s="4">
        <v>67.5</v>
      </c>
      <c r="E267" s="3">
        <v>13.3</v>
      </c>
      <c r="F267" s="2">
        <v>-75.23</v>
      </c>
      <c r="G267" s="5">
        <v>0</v>
      </c>
    </row>
    <row r="268" spans="1:7">
      <c r="A268" s="3">
        <v>13.35</v>
      </c>
      <c r="B268" s="7">
        <v>7.08e-6</v>
      </c>
      <c r="C268" s="4">
        <v>67.8</v>
      </c>
      <c r="E268" s="3">
        <v>13.35</v>
      </c>
      <c r="F268" s="2">
        <v>0.708</v>
      </c>
      <c r="G268" s="5">
        <v>0</v>
      </c>
    </row>
    <row r="269" spans="1:7">
      <c r="A269" s="3">
        <v>13.4</v>
      </c>
      <c r="B269" s="7">
        <v>0.0005934</v>
      </c>
      <c r="C269" s="4">
        <v>68.4</v>
      </c>
      <c r="E269" s="3">
        <v>13.4</v>
      </c>
      <c r="F269" s="2">
        <v>59.34</v>
      </c>
      <c r="G269" s="5">
        <v>0</v>
      </c>
    </row>
    <row r="270" spans="1:7">
      <c r="A270" s="3">
        <v>13.45</v>
      </c>
      <c r="B270" s="7">
        <v>0.0007679</v>
      </c>
      <c r="C270" s="4">
        <v>68.4</v>
      </c>
      <c r="E270" s="3">
        <v>13.45</v>
      </c>
      <c r="F270" s="2">
        <v>76.79</v>
      </c>
      <c r="G270" s="5">
        <v>0</v>
      </c>
    </row>
    <row r="271" spans="1:7">
      <c r="A271" s="3">
        <v>13.5</v>
      </c>
      <c r="B271" s="7">
        <v>0.0006356</v>
      </c>
      <c r="C271" s="4">
        <v>68</v>
      </c>
      <c r="E271" s="3">
        <v>13.5</v>
      </c>
      <c r="F271" s="2">
        <v>63.56</v>
      </c>
      <c r="G271" s="5">
        <v>0</v>
      </c>
    </row>
    <row r="272" spans="1:7">
      <c r="A272" s="3">
        <v>13.55</v>
      </c>
      <c r="B272" s="7">
        <v>8.797e-5</v>
      </c>
      <c r="C272" s="4">
        <v>67.9</v>
      </c>
      <c r="E272" s="3">
        <v>13.55</v>
      </c>
      <c r="F272" s="2">
        <v>8.797</v>
      </c>
      <c r="G272" s="5">
        <v>0</v>
      </c>
    </row>
    <row r="273" spans="1:7">
      <c r="A273" s="3">
        <v>13.6</v>
      </c>
      <c r="B273" s="7">
        <v>-0.0007512</v>
      </c>
      <c r="C273" s="4">
        <v>68.2</v>
      </c>
      <c r="E273" s="3">
        <v>13.6</v>
      </c>
      <c r="F273" s="2">
        <v>-75.12</v>
      </c>
      <c r="G273" s="5">
        <v>0</v>
      </c>
    </row>
    <row r="274" spans="1:7">
      <c r="A274" s="3">
        <v>13.65</v>
      </c>
      <c r="B274" s="7">
        <v>-0.00162</v>
      </c>
      <c r="C274" s="4">
        <v>68.2</v>
      </c>
      <c r="E274" s="3">
        <v>13.65</v>
      </c>
      <c r="F274" s="2">
        <v>-162</v>
      </c>
      <c r="G274" s="5">
        <v>0</v>
      </c>
    </row>
    <row r="275" spans="1:7">
      <c r="A275" s="3">
        <v>13.7</v>
      </c>
      <c r="B275" s="7">
        <v>-0.002122</v>
      </c>
      <c r="C275" s="4">
        <v>68.2</v>
      </c>
      <c r="E275" s="3">
        <v>13.7</v>
      </c>
      <c r="F275" s="2">
        <v>-212.2</v>
      </c>
      <c r="G275" s="5">
        <v>0</v>
      </c>
    </row>
    <row r="276" spans="1:7">
      <c r="A276" s="3">
        <v>13.75</v>
      </c>
      <c r="B276" s="7">
        <v>-0.002391</v>
      </c>
      <c r="C276" s="4">
        <v>67.9</v>
      </c>
      <c r="E276" s="3">
        <v>13.75</v>
      </c>
      <c r="F276" s="2">
        <v>-239.1</v>
      </c>
      <c r="G276" s="5">
        <v>0</v>
      </c>
    </row>
    <row r="277" spans="1:7">
      <c r="A277" s="3">
        <v>13.8</v>
      </c>
      <c r="B277" s="7">
        <v>-0.002296</v>
      </c>
      <c r="C277" s="4">
        <v>67.9</v>
      </c>
      <c r="E277" s="3">
        <v>13.8</v>
      </c>
      <c r="F277" s="2">
        <v>-229.6</v>
      </c>
      <c r="G277" s="5">
        <v>0</v>
      </c>
    </row>
    <row r="278" spans="1:7">
      <c r="A278" s="3">
        <v>13.85</v>
      </c>
      <c r="B278" s="7">
        <v>-0.00188</v>
      </c>
      <c r="C278" s="4">
        <v>67.2</v>
      </c>
      <c r="E278" s="3">
        <v>13.85</v>
      </c>
      <c r="F278" s="2">
        <v>-188</v>
      </c>
      <c r="G278" s="5">
        <v>0</v>
      </c>
    </row>
    <row r="279" spans="1:7">
      <c r="A279" s="3">
        <v>13.9</v>
      </c>
      <c r="B279" s="7">
        <v>-0.001178</v>
      </c>
      <c r="C279" s="4">
        <v>68.4</v>
      </c>
      <c r="E279" s="3">
        <v>13.9</v>
      </c>
      <c r="F279" s="2">
        <v>-117.8</v>
      </c>
      <c r="G279" s="5">
        <v>0</v>
      </c>
    </row>
    <row r="280" spans="1:7">
      <c r="A280" s="3">
        <v>13.95</v>
      </c>
      <c r="B280" s="7">
        <v>-0.0003689</v>
      </c>
      <c r="C280" s="4">
        <v>68.5</v>
      </c>
      <c r="E280" s="3">
        <v>13.95</v>
      </c>
      <c r="F280" s="2">
        <v>-36.89</v>
      </c>
      <c r="G280" s="5">
        <v>0</v>
      </c>
    </row>
    <row r="281" spans="1:7">
      <c r="A281" s="3">
        <v>14</v>
      </c>
      <c r="B281" s="7">
        <v>0.000209</v>
      </c>
      <c r="C281" s="4">
        <v>68</v>
      </c>
      <c r="E281" s="3">
        <v>14</v>
      </c>
      <c r="F281" s="2">
        <v>20.9</v>
      </c>
      <c r="G281" s="5">
        <v>0</v>
      </c>
    </row>
    <row r="282" spans="1:7">
      <c r="A282" s="3">
        <v>14.05</v>
      </c>
      <c r="B282" s="7">
        <v>0.0004453</v>
      </c>
      <c r="C282" s="4">
        <v>68</v>
      </c>
      <c r="E282" s="3">
        <v>14.05</v>
      </c>
      <c r="F282" s="2">
        <v>44.53</v>
      </c>
      <c r="G282" s="5">
        <v>0</v>
      </c>
    </row>
    <row r="283" spans="1:7">
      <c r="A283" s="3">
        <v>14.1</v>
      </c>
      <c r="B283" s="7">
        <v>0.0004227</v>
      </c>
      <c r="C283" s="4">
        <v>69.1</v>
      </c>
      <c r="E283" s="3">
        <v>14.1</v>
      </c>
      <c r="F283" s="2">
        <v>42.27</v>
      </c>
      <c r="G283" s="5">
        <v>0</v>
      </c>
    </row>
    <row r="284" spans="1:7">
      <c r="A284" s="3">
        <v>14.15</v>
      </c>
      <c r="B284" s="7">
        <v>4.626e-5</v>
      </c>
      <c r="C284" s="4">
        <v>67.4</v>
      </c>
      <c r="E284" s="3">
        <v>14.15</v>
      </c>
      <c r="F284" s="2">
        <v>4.626</v>
      </c>
      <c r="G284" s="5">
        <v>0</v>
      </c>
    </row>
    <row r="285" spans="1:7">
      <c r="A285" s="3">
        <v>14.2</v>
      </c>
      <c r="B285" s="7">
        <v>-0.0006199</v>
      </c>
      <c r="C285" s="4">
        <v>68</v>
      </c>
      <c r="E285" s="3">
        <v>14.2</v>
      </c>
      <c r="F285" s="2">
        <v>-61.99</v>
      </c>
      <c r="G285" s="5">
        <v>0</v>
      </c>
    </row>
    <row r="286" spans="1:7">
      <c r="A286" s="3">
        <v>14.25</v>
      </c>
      <c r="B286" s="7">
        <v>-0.001387</v>
      </c>
      <c r="C286" s="4">
        <v>68.4</v>
      </c>
      <c r="E286" s="3">
        <v>14.25</v>
      </c>
      <c r="F286" s="2">
        <v>-138.7</v>
      </c>
      <c r="G286" s="5">
        <v>0</v>
      </c>
    </row>
    <row r="287" spans="1:7">
      <c r="A287" s="3">
        <v>14.3</v>
      </c>
      <c r="B287" s="7">
        <v>-0.001999</v>
      </c>
      <c r="C287" s="4">
        <v>67.6</v>
      </c>
      <c r="E287" s="3">
        <v>14.3</v>
      </c>
      <c r="F287" s="2">
        <v>-199.9</v>
      </c>
      <c r="G287" s="5">
        <v>0</v>
      </c>
    </row>
    <row r="288" spans="1:7">
      <c r="A288" s="3">
        <v>14.35</v>
      </c>
      <c r="B288" s="7">
        <v>-0.002269</v>
      </c>
      <c r="C288" s="4">
        <v>67.8</v>
      </c>
      <c r="E288" s="3">
        <v>14.35</v>
      </c>
      <c r="F288" s="2">
        <v>-226.9</v>
      </c>
      <c r="G288" s="5">
        <v>0</v>
      </c>
    </row>
    <row r="289" spans="1:7">
      <c r="A289" s="3">
        <v>14.4</v>
      </c>
      <c r="B289" s="7">
        <v>-0.002233</v>
      </c>
      <c r="C289" s="4">
        <v>68.4</v>
      </c>
      <c r="E289" s="3">
        <v>14.4</v>
      </c>
      <c r="F289" s="2">
        <v>-223.3</v>
      </c>
      <c r="G289" s="5">
        <v>0</v>
      </c>
    </row>
    <row r="290" spans="1:7">
      <c r="A290" s="3">
        <v>14.45</v>
      </c>
      <c r="B290" s="7">
        <v>-0.002007</v>
      </c>
      <c r="C290" s="4">
        <v>68.5</v>
      </c>
      <c r="E290" s="3">
        <v>14.45</v>
      </c>
      <c r="F290" s="2">
        <v>-200.7</v>
      </c>
      <c r="G290" s="5">
        <v>0</v>
      </c>
    </row>
    <row r="291" spans="1:7">
      <c r="A291" s="3">
        <v>14.5</v>
      </c>
      <c r="B291" s="7">
        <v>-0.001513</v>
      </c>
      <c r="C291" s="4">
        <v>68.8</v>
      </c>
      <c r="E291" s="3">
        <v>14.5</v>
      </c>
      <c r="F291" s="2">
        <v>-151.3</v>
      </c>
      <c r="G291" s="5">
        <v>0</v>
      </c>
    </row>
    <row r="292" spans="1:7">
      <c r="A292" s="3">
        <v>14.55</v>
      </c>
      <c r="B292" s="7">
        <v>-0.0007468</v>
      </c>
      <c r="C292" s="4">
        <v>68.5</v>
      </c>
      <c r="E292" s="3">
        <v>14.55</v>
      </c>
      <c r="F292" s="2">
        <v>-74.68</v>
      </c>
      <c r="G292" s="5">
        <v>0</v>
      </c>
    </row>
    <row r="293" spans="1:7">
      <c r="A293" s="3">
        <v>14.6</v>
      </c>
      <c r="B293" s="7">
        <v>-9.33e-5</v>
      </c>
      <c r="C293" s="4">
        <v>68.1</v>
      </c>
      <c r="E293" s="3">
        <v>14.6</v>
      </c>
      <c r="F293" s="2">
        <v>-9.33</v>
      </c>
      <c r="G293" s="5">
        <v>0</v>
      </c>
    </row>
    <row r="294" spans="1:7">
      <c r="A294" s="3">
        <v>14.65</v>
      </c>
      <c r="B294" s="7">
        <v>0.0002214</v>
      </c>
      <c r="C294" s="4">
        <v>68.3</v>
      </c>
      <c r="E294" s="3">
        <v>14.65</v>
      </c>
      <c r="F294" s="2">
        <v>22.14</v>
      </c>
      <c r="G294" s="5">
        <v>0</v>
      </c>
    </row>
    <row r="295" spans="1:7">
      <c r="A295" s="3">
        <v>14.7</v>
      </c>
      <c r="B295" s="7">
        <v>0.0003553</v>
      </c>
      <c r="C295" s="4">
        <v>68.4</v>
      </c>
      <c r="E295" s="3">
        <v>14.7</v>
      </c>
      <c r="F295" s="2">
        <v>35.53</v>
      </c>
      <c r="G295" s="5">
        <v>0</v>
      </c>
    </row>
    <row r="296" spans="1:7">
      <c r="A296" s="3">
        <v>14.75</v>
      </c>
      <c r="B296" s="7">
        <v>0.0001104</v>
      </c>
      <c r="C296" s="4">
        <v>67.8</v>
      </c>
      <c r="E296" s="3">
        <v>14.75</v>
      </c>
      <c r="F296" s="2">
        <v>11.04</v>
      </c>
      <c r="G296" s="5">
        <v>0</v>
      </c>
    </row>
    <row r="297" spans="1:7">
      <c r="A297" s="3">
        <v>14.8</v>
      </c>
      <c r="B297" s="7">
        <v>-0.0004686</v>
      </c>
      <c r="C297" s="4">
        <v>67.9</v>
      </c>
      <c r="E297" s="3">
        <v>14.8</v>
      </c>
      <c r="F297" s="2">
        <v>-46.86</v>
      </c>
      <c r="G297" s="5">
        <v>0</v>
      </c>
    </row>
    <row r="298" spans="1:7">
      <c r="A298" s="3">
        <v>14.85</v>
      </c>
      <c r="B298" s="7">
        <v>-0.001229</v>
      </c>
      <c r="C298" s="4">
        <v>69.1</v>
      </c>
      <c r="E298" s="3">
        <v>14.85</v>
      </c>
      <c r="F298" s="2">
        <v>-122.9</v>
      </c>
      <c r="G298" s="5">
        <v>0</v>
      </c>
    </row>
    <row r="299" spans="1:7">
      <c r="A299" s="3">
        <v>14.9</v>
      </c>
      <c r="B299" s="7">
        <v>-0.00182</v>
      </c>
      <c r="C299" s="4">
        <v>68.7</v>
      </c>
      <c r="E299" s="3">
        <v>14.9</v>
      </c>
      <c r="F299" s="2">
        <v>-182</v>
      </c>
      <c r="G299" s="5">
        <v>0</v>
      </c>
    </row>
    <row r="300" spans="1:7">
      <c r="A300" s="3">
        <v>14.95</v>
      </c>
      <c r="B300" s="7">
        <v>-0.002083</v>
      </c>
      <c r="C300" s="4">
        <v>67.9</v>
      </c>
      <c r="E300" s="3">
        <v>14.95</v>
      </c>
      <c r="F300" s="2">
        <v>-208.3</v>
      </c>
      <c r="G300" s="5">
        <v>0</v>
      </c>
    </row>
    <row r="301" spans="1:7">
      <c r="A301" s="3">
        <v>15</v>
      </c>
      <c r="B301" s="7">
        <v>-0.002194</v>
      </c>
      <c r="C301" s="4">
        <v>68.8</v>
      </c>
      <c r="E301" s="3">
        <v>15</v>
      </c>
      <c r="F301" s="2">
        <v>-219.4</v>
      </c>
      <c r="G301" s="5">
        <v>0</v>
      </c>
    </row>
    <row r="302" spans="1:7">
      <c r="A302" s="3">
        <v>15.05</v>
      </c>
      <c r="B302" s="7">
        <v>-0.002067</v>
      </c>
      <c r="C302" s="4">
        <v>67.8</v>
      </c>
      <c r="E302" s="3">
        <v>15.05</v>
      </c>
      <c r="F302" s="2">
        <v>-206.7</v>
      </c>
      <c r="G302" s="5">
        <v>0</v>
      </c>
    </row>
    <row r="303" spans="1:7">
      <c r="A303" s="3">
        <v>15.1</v>
      </c>
      <c r="B303" s="7">
        <v>-0.001642</v>
      </c>
      <c r="C303" s="4">
        <v>68.6</v>
      </c>
      <c r="E303" s="3">
        <v>15.1</v>
      </c>
      <c r="F303" s="2">
        <v>-164.2</v>
      </c>
      <c r="G303" s="5">
        <v>0</v>
      </c>
    </row>
    <row r="304" spans="1:7">
      <c r="A304" s="3">
        <v>15.15</v>
      </c>
      <c r="B304" s="7">
        <v>-0.001035</v>
      </c>
      <c r="C304" s="4">
        <v>67.9</v>
      </c>
      <c r="E304" s="3">
        <v>15.15</v>
      </c>
      <c r="F304" s="2">
        <v>-103.5</v>
      </c>
      <c r="G304" s="5">
        <v>0</v>
      </c>
    </row>
    <row r="363" spans="1:5">
      <c r="A363" s="3">
        <v>0</v>
      </c>
      <c r="E363" s="3">
        <v>0</v>
      </c>
    </row>
    <row r="364" spans="1:5">
      <c r="A364" s="3">
        <v>0</v>
      </c>
      <c r="E364" s="3">
        <v>0</v>
      </c>
    </row>
    <row r="365" spans="1:5">
      <c r="A365" s="3">
        <v>0</v>
      </c>
      <c r="E365" s="3">
        <v>0</v>
      </c>
    </row>
    <row r="366" spans="1:5">
      <c r="A366" s="3">
        <v>0</v>
      </c>
      <c r="E366" s="3">
        <v>0</v>
      </c>
    </row>
    <row r="367" spans="1:5">
      <c r="A367" s="3">
        <v>0</v>
      </c>
      <c r="E367" s="3">
        <v>0</v>
      </c>
    </row>
    <row r="368" spans="1:5">
      <c r="A368" s="3">
        <v>0</v>
      </c>
      <c r="E368" s="3">
        <v>0</v>
      </c>
    </row>
    <row r="369" spans="1:5">
      <c r="A369" s="3">
        <v>0</v>
      </c>
      <c r="E369" s="3">
        <v>0</v>
      </c>
    </row>
    <row r="370" spans="1:5">
      <c r="A370" s="3">
        <v>0</v>
      </c>
      <c r="E370" s="3">
        <v>0</v>
      </c>
    </row>
    <row r="371" spans="1:5">
      <c r="A371" s="3">
        <v>0</v>
      </c>
      <c r="E371" s="3">
        <v>0</v>
      </c>
    </row>
    <row r="372" spans="1:5">
      <c r="A372" s="3">
        <v>0</v>
      </c>
      <c r="E372" s="3">
        <v>0</v>
      </c>
    </row>
    <row r="373" spans="1:5">
      <c r="A373" s="3">
        <v>0</v>
      </c>
      <c r="E373" s="3">
        <v>0</v>
      </c>
    </row>
    <row r="374" spans="1:5">
      <c r="A374" s="3">
        <v>0</v>
      </c>
      <c r="E374" s="3">
        <v>0</v>
      </c>
    </row>
    <row r="375" spans="1:5">
      <c r="A375" s="3">
        <v>0</v>
      </c>
      <c r="E375" s="3">
        <v>0</v>
      </c>
    </row>
    <row r="376" spans="1:5">
      <c r="A376" s="3">
        <v>0</v>
      </c>
      <c r="E376" s="3">
        <v>0</v>
      </c>
    </row>
    <row r="377" spans="1:5">
      <c r="A377" s="3">
        <v>0</v>
      </c>
      <c r="E377" s="3">
        <v>0</v>
      </c>
    </row>
    <row r="378" spans="1:5">
      <c r="A378" s="3">
        <v>0</v>
      </c>
      <c r="E378" s="3">
        <v>0</v>
      </c>
    </row>
    <row r="379" spans="1:5">
      <c r="A379" s="3">
        <v>0</v>
      </c>
      <c r="E379" s="3">
        <v>0</v>
      </c>
    </row>
    <row r="380" spans="1:5">
      <c r="A380" s="3">
        <v>0</v>
      </c>
      <c r="E380" s="3">
        <v>0</v>
      </c>
    </row>
    <row r="381" spans="1:5">
      <c r="A381" s="3">
        <v>0</v>
      </c>
      <c r="E381" s="3">
        <v>0</v>
      </c>
    </row>
    <row r="382" spans="1:5">
      <c r="A382" s="3">
        <v>0</v>
      </c>
      <c r="E382" s="3">
        <v>0</v>
      </c>
    </row>
    <row r="383" spans="1:5">
      <c r="A383" s="3">
        <v>0</v>
      </c>
      <c r="E383" s="3">
        <v>0</v>
      </c>
    </row>
    <row r="384" spans="1:5">
      <c r="A384" s="3">
        <v>0</v>
      </c>
      <c r="E384" s="3">
        <v>0</v>
      </c>
    </row>
    <row r="385" spans="1:5">
      <c r="A385" s="3">
        <v>0</v>
      </c>
      <c r="E385" s="3">
        <v>0</v>
      </c>
    </row>
    <row r="386" spans="1:5">
      <c r="A386" s="3">
        <v>0</v>
      </c>
      <c r="E386" s="3">
        <v>0</v>
      </c>
    </row>
    <row r="387" spans="1:5">
      <c r="A387" s="3">
        <v>0</v>
      </c>
      <c r="E387" s="3">
        <v>0</v>
      </c>
    </row>
    <row r="388" spans="1:5">
      <c r="A388" s="3">
        <v>0</v>
      </c>
      <c r="E388" s="3">
        <v>0</v>
      </c>
    </row>
    <row r="389" spans="1:5">
      <c r="A389" s="3">
        <v>0</v>
      </c>
      <c r="E389" s="3">
        <v>0</v>
      </c>
    </row>
    <row r="390" spans="1:5">
      <c r="A390" s="3">
        <v>0</v>
      </c>
      <c r="E390" s="3">
        <v>0</v>
      </c>
    </row>
    <row r="391" spans="1:5">
      <c r="A391" s="3">
        <v>0</v>
      </c>
      <c r="E391" s="3">
        <v>0</v>
      </c>
    </row>
    <row r="392" spans="1:5">
      <c r="A392" s="3">
        <v>0</v>
      </c>
      <c r="E392" s="3">
        <v>0</v>
      </c>
    </row>
    <row r="393" spans="1:5">
      <c r="A393" s="3">
        <v>0</v>
      </c>
      <c r="E393" s="3">
        <v>0</v>
      </c>
    </row>
    <row r="394" spans="1:5">
      <c r="A394" s="3">
        <v>0</v>
      </c>
      <c r="E394" s="3">
        <v>0</v>
      </c>
    </row>
    <row r="395" spans="1:5">
      <c r="A395" s="3">
        <v>0</v>
      </c>
      <c r="E395" s="3">
        <v>0</v>
      </c>
    </row>
    <row r="396" spans="1:5">
      <c r="A396" s="3">
        <v>0</v>
      </c>
      <c r="E396" s="3">
        <v>0</v>
      </c>
    </row>
    <row r="397" spans="1:5">
      <c r="A397" s="3">
        <v>0</v>
      </c>
      <c r="E397" s="3">
        <v>0</v>
      </c>
    </row>
    <row r="398" spans="1:5">
      <c r="A398" s="3">
        <v>0</v>
      </c>
      <c r="E398" s="3">
        <v>0</v>
      </c>
    </row>
    <row r="399" spans="1:5">
      <c r="A399" s="3">
        <v>0</v>
      </c>
      <c r="E399" s="3">
        <v>0</v>
      </c>
    </row>
    <row r="400" spans="1:5">
      <c r="A400" s="3">
        <v>0</v>
      </c>
      <c r="E400" s="3">
        <v>0</v>
      </c>
    </row>
    <row r="401" spans="1:5">
      <c r="A401" s="3">
        <v>0</v>
      </c>
      <c r="E401" s="3">
        <v>0</v>
      </c>
    </row>
    <row r="402" spans="1:5">
      <c r="A402" s="3">
        <v>0</v>
      </c>
      <c r="E402" s="3">
        <v>0</v>
      </c>
    </row>
    <row r="403" spans="1:5">
      <c r="A403" s="3">
        <v>0</v>
      </c>
      <c r="E403" s="3">
        <v>0</v>
      </c>
    </row>
    <row r="404" spans="1:5">
      <c r="A404" s="3">
        <v>0</v>
      </c>
      <c r="E404" s="3">
        <v>0</v>
      </c>
    </row>
    <row r="405" spans="1:5">
      <c r="A405" s="3">
        <v>0</v>
      </c>
      <c r="E405" s="3">
        <v>0</v>
      </c>
    </row>
    <row r="406" spans="1:5">
      <c r="A406" s="3">
        <v>0</v>
      </c>
      <c r="E406" s="3">
        <v>0</v>
      </c>
    </row>
    <row r="407" spans="1:5">
      <c r="A407" s="3">
        <v>0</v>
      </c>
      <c r="E407" s="3">
        <v>0</v>
      </c>
    </row>
    <row r="408" spans="1:5">
      <c r="A408" s="3">
        <v>0</v>
      </c>
      <c r="E408" s="3">
        <v>0</v>
      </c>
    </row>
    <row r="409" spans="1:5">
      <c r="A409" s="3">
        <v>0</v>
      </c>
      <c r="E409" s="3">
        <v>0</v>
      </c>
    </row>
    <row r="410" spans="1:5">
      <c r="A410" s="3">
        <v>0</v>
      </c>
      <c r="E410" s="3">
        <v>0</v>
      </c>
    </row>
    <row r="411" spans="1:5">
      <c r="A411" s="3">
        <v>0</v>
      </c>
      <c r="E411" s="3">
        <v>0</v>
      </c>
    </row>
    <row r="412" spans="1:5">
      <c r="A412" s="3">
        <v>0</v>
      </c>
      <c r="E412" s="3">
        <v>0</v>
      </c>
    </row>
    <row r="413" spans="1:5">
      <c r="A413" s="3">
        <v>0</v>
      </c>
      <c r="E413" s="3">
        <v>0</v>
      </c>
    </row>
    <row r="414" spans="1:5">
      <c r="A414" s="3">
        <v>0</v>
      </c>
      <c r="E414" s="3">
        <v>0</v>
      </c>
    </row>
    <row r="415" spans="1:5">
      <c r="A415" s="3">
        <v>0</v>
      </c>
      <c r="E415" s="3">
        <v>0</v>
      </c>
    </row>
    <row r="416" spans="1:5">
      <c r="A416" s="3">
        <v>0</v>
      </c>
      <c r="E416" s="3">
        <v>0</v>
      </c>
    </row>
    <row r="417" spans="1:5">
      <c r="A417" s="3">
        <v>0</v>
      </c>
      <c r="E417" s="3">
        <v>0</v>
      </c>
    </row>
    <row r="418" spans="1:5">
      <c r="A418" s="3">
        <v>0</v>
      </c>
      <c r="E418" s="3">
        <v>0</v>
      </c>
    </row>
    <row r="419" spans="1:5">
      <c r="A419" s="3">
        <v>0</v>
      </c>
      <c r="E419" s="3">
        <v>0</v>
      </c>
    </row>
    <row r="420" spans="1:5">
      <c r="A420" s="3">
        <v>0</v>
      </c>
      <c r="E420" s="3">
        <v>0</v>
      </c>
    </row>
    <row r="421" spans="1:5">
      <c r="A421" s="3">
        <v>0</v>
      </c>
      <c r="E421" s="3">
        <v>0</v>
      </c>
    </row>
    <row r="422" spans="1:5">
      <c r="A422" s="3">
        <v>0</v>
      </c>
      <c r="E422" s="3">
        <v>0</v>
      </c>
    </row>
    <row r="423" spans="1:5">
      <c r="A423" s="3">
        <v>0</v>
      </c>
      <c r="E423" s="3">
        <v>0</v>
      </c>
    </row>
    <row r="424" spans="1:5">
      <c r="A424" s="3">
        <v>0</v>
      </c>
      <c r="E424" s="3">
        <v>0</v>
      </c>
    </row>
    <row r="425" spans="1:5">
      <c r="A425" s="3">
        <v>0</v>
      </c>
      <c r="E425" s="3">
        <v>0</v>
      </c>
    </row>
    <row r="426" spans="1:5">
      <c r="A426" s="3">
        <v>0</v>
      </c>
      <c r="E426" s="3">
        <v>0</v>
      </c>
    </row>
    <row r="427" spans="1:5">
      <c r="A427" s="3">
        <v>0</v>
      </c>
      <c r="E427" s="3">
        <v>0</v>
      </c>
    </row>
    <row r="428" spans="1:5">
      <c r="A428" s="3">
        <v>0</v>
      </c>
      <c r="E428" s="3">
        <v>0</v>
      </c>
    </row>
    <row r="429" spans="1:5">
      <c r="A429" s="3">
        <v>0</v>
      </c>
      <c r="E429" s="3">
        <v>0</v>
      </c>
    </row>
    <row r="430" spans="1:5">
      <c r="A430" s="3">
        <v>0</v>
      </c>
      <c r="E430" s="3">
        <v>0</v>
      </c>
    </row>
    <row r="431" spans="1:5">
      <c r="A431" s="3">
        <v>0</v>
      </c>
      <c r="E431" s="3">
        <v>0</v>
      </c>
    </row>
    <row r="432" spans="1:5">
      <c r="A432" s="3">
        <v>0</v>
      </c>
      <c r="E432" s="3">
        <v>0</v>
      </c>
    </row>
    <row r="433" spans="1:5">
      <c r="A433" s="3">
        <v>0</v>
      </c>
      <c r="E433" s="3">
        <v>0</v>
      </c>
    </row>
    <row r="434" spans="1:5">
      <c r="A434" s="3">
        <v>0</v>
      </c>
      <c r="E434" s="3">
        <v>0</v>
      </c>
    </row>
    <row r="435" spans="1:5">
      <c r="A435" s="3">
        <v>0</v>
      </c>
      <c r="E435" s="3">
        <v>0</v>
      </c>
    </row>
    <row r="436" spans="1:5">
      <c r="A436" s="3">
        <v>0</v>
      </c>
      <c r="E436" s="3">
        <v>0</v>
      </c>
    </row>
    <row r="437" spans="1:5">
      <c r="A437" s="3">
        <v>0</v>
      </c>
      <c r="E437" s="3">
        <v>0</v>
      </c>
    </row>
    <row r="438" spans="1:5">
      <c r="A438" s="3">
        <v>0</v>
      </c>
      <c r="E438" s="3">
        <v>0</v>
      </c>
    </row>
    <row r="439" spans="1:5">
      <c r="A439" s="3">
        <v>0</v>
      </c>
      <c r="E439" s="3">
        <v>0</v>
      </c>
    </row>
    <row r="440" spans="1:5">
      <c r="A440" s="3">
        <v>0</v>
      </c>
      <c r="E440" s="3">
        <v>0</v>
      </c>
    </row>
    <row r="441" spans="1:5">
      <c r="A441" s="3">
        <v>0</v>
      </c>
      <c r="E441" s="3">
        <v>0</v>
      </c>
    </row>
    <row r="442" spans="1:5">
      <c r="A442" s="3">
        <v>0</v>
      </c>
      <c r="E442" s="3">
        <v>0</v>
      </c>
    </row>
    <row r="443" spans="1:5">
      <c r="A443" s="3">
        <v>0</v>
      </c>
      <c r="E443" s="3">
        <v>0</v>
      </c>
    </row>
    <row r="444" spans="1:5">
      <c r="A444" s="3">
        <v>0</v>
      </c>
      <c r="E444" s="3">
        <v>0</v>
      </c>
    </row>
    <row r="445" spans="1:5">
      <c r="A445" s="3">
        <v>0</v>
      </c>
      <c r="E445" s="3">
        <v>0</v>
      </c>
    </row>
    <row r="446" spans="1:5">
      <c r="A446" s="3">
        <v>0</v>
      </c>
      <c r="E446" s="3">
        <v>0</v>
      </c>
    </row>
    <row r="447" spans="1:5">
      <c r="A447" s="3">
        <v>0</v>
      </c>
      <c r="E447" s="3">
        <v>0</v>
      </c>
    </row>
    <row r="448" spans="1:5">
      <c r="A448" s="3">
        <v>0</v>
      </c>
      <c r="E448" s="3">
        <v>0</v>
      </c>
    </row>
    <row r="449" spans="1:5">
      <c r="A449" s="3">
        <v>0</v>
      </c>
      <c r="E449" s="3">
        <v>0</v>
      </c>
    </row>
    <row r="450" spans="1:5">
      <c r="A450" s="3">
        <v>0</v>
      </c>
      <c r="E450" s="3">
        <v>0</v>
      </c>
    </row>
    <row r="451" spans="1:5">
      <c r="A451" s="3">
        <v>0</v>
      </c>
      <c r="E451" s="3">
        <v>0</v>
      </c>
    </row>
    <row r="452" spans="1:5">
      <c r="A452" s="3">
        <v>0</v>
      </c>
      <c r="E452" s="3">
        <v>0</v>
      </c>
    </row>
    <row r="453" spans="1:5">
      <c r="A453" s="3">
        <v>0</v>
      </c>
      <c r="E453" s="3">
        <v>0</v>
      </c>
    </row>
    <row r="454" spans="1:5">
      <c r="A454" s="3">
        <v>0</v>
      </c>
      <c r="E454" s="3">
        <v>0</v>
      </c>
    </row>
    <row r="455" spans="1:5">
      <c r="A455" s="3">
        <v>0</v>
      </c>
      <c r="E455" s="3">
        <v>0</v>
      </c>
    </row>
    <row r="456" spans="1:5">
      <c r="A456" s="3">
        <v>0</v>
      </c>
      <c r="E456" s="3">
        <v>0</v>
      </c>
    </row>
    <row r="457" spans="1:5">
      <c r="A457" s="3">
        <v>0</v>
      </c>
      <c r="E457" s="3">
        <v>0</v>
      </c>
    </row>
    <row r="458" spans="1:5">
      <c r="A458" s="3">
        <v>0</v>
      </c>
      <c r="E458" s="3">
        <v>0</v>
      </c>
    </row>
    <row r="459" spans="1:5">
      <c r="A459" s="3">
        <v>0</v>
      </c>
      <c r="E459" s="3">
        <v>0</v>
      </c>
    </row>
    <row r="460" spans="1:5">
      <c r="A460" s="3">
        <v>0</v>
      </c>
      <c r="E460" s="3">
        <v>0</v>
      </c>
    </row>
    <row r="461" spans="1:5">
      <c r="A461" s="3">
        <v>0</v>
      </c>
      <c r="E461" s="3">
        <v>0</v>
      </c>
    </row>
    <row r="462" spans="1:5">
      <c r="A462" s="3">
        <v>0</v>
      </c>
      <c r="E462" s="3">
        <v>0</v>
      </c>
    </row>
    <row r="463" spans="1:5">
      <c r="A463" s="3">
        <v>0</v>
      </c>
      <c r="E463" s="3">
        <v>0</v>
      </c>
    </row>
    <row r="464" spans="1:5">
      <c r="A464" s="3">
        <v>0</v>
      </c>
      <c r="E464" s="3">
        <v>0</v>
      </c>
    </row>
    <row r="465" spans="1:5">
      <c r="A465" s="3">
        <v>0</v>
      </c>
      <c r="E465" s="3">
        <v>0</v>
      </c>
    </row>
    <row r="466" spans="1:5">
      <c r="A466" s="3">
        <v>0</v>
      </c>
      <c r="E466" s="3">
        <v>0</v>
      </c>
    </row>
    <row r="467" spans="1:5">
      <c r="A467" s="3">
        <v>0</v>
      </c>
      <c r="E467" s="3">
        <v>0</v>
      </c>
    </row>
    <row r="468" spans="1:5">
      <c r="A468" s="3">
        <v>0</v>
      </c>
      <c r="E468" s="3">
        <v>0</v>
      </c>
    </row>
    <row r="469" spans="1:5">
      <c r="A469" s="3">
        <v>0</v>
      </c>
      <c r="E469" s="3">
        <v>0</v>
      </c>
    </row>
    <row r="470" spans="1:5">
      <c r="A470" s="3">
        <v>0</v>
      </c>
      <c r="E470" s="3">
        <v>0</v>
      </c>
    </row>
    <row r="471" spans="1:5">
      <c r="A471" s="3">
        <v>0</v>
      </c>
      <c r="E471" s="3">
        <v>0</v>
      </c>
    </row>
    <row r="472" spans="1:5">
      <c r="A472" s="3">
        <v>0</v>
      </c>
      <c r="E472" s="3">
        <v>0</v>
      </c>
    </row>
    <row r="473" spans="1:5">
      <c r="A473" s="3">
        <v>0</v>
      </c>
      <c r="E473" s="3">
        <v>0</v>
      </c>
    </row>
    <row r="474" spans="1:5">
      <c r="A474" s="3">
        <v>0</v>
      </c>
      <c r="E474" s="3">
        <v>0</v>
      </c>
    </row>
    <row r="475" spans="1:5">
      <c r="A475" s="3">
        <v>0</v>
      </c>
      <c r="E475" s="3">
        <v>0</v>
      </c>
    </row>
    <row r="476" spans="1:5">
      <c r="A476" s="3">
        <v>0</v>
      </c>
      <c r="E476" s="3">
        <v>0</v>
      </c>
    </row>
    <row r="477" spans="1:5">
      <c r="A477" s="3">
        <v>0</v>
      </c>
      <c r="E477" s="3">
        <v>0</v>
      </c>
    </row>
    <row r="478" spans="1:5">
      <c r="A478" s="3">
        <v>0</v>
      </c>
      <c r="E478" s="3">
        <v>0</v>
      </c>
    </row>
    <row r="479" spans="1:5">
      <c r="A479" s="3">
        <v>0</v>
      </c>
      <c r="E479" s="3">
        <v>0</v>
      </c>
    </row>
    <row r="480" spans="1:5">
      <c r="A480" s="3">
        <v>0</v>
      </c>
      <c r="E480" s="3">
        <v>0</v>
      </c>
    </row>
    <row r="481" spans="1:5">
      <c r="A481" s="3">
        <v>0</v>
      </c>
      <c r="E481" s="3">
        <v>0</v>
      </c>
    </row>
    <row r="482" spans="1:5">
      <c r="A482" s="3">
        <v>0</v>
      </c>
      <c r="E482" s="3">
        <v>0</v>
      </c>
    </row>
    <row r="483" spans="1:5">
      <c r="A483" s="3">
        <v>0</v>
      </c>
      <c r="E483" s="3">
        <v>0</v>
      </c>
    </row>
    <row r="484" spans="1:5">
      <c r="A484" s="3">
        <v>0</v>
      </c>
      <c r="E484" s="3">
        <v>0</v>
      </c>
    </row>
    <row r="485" spans="1:5">
      <c r="A485" s="3">
        <v>0</v>
      </c>
      <c r="E485" s="3">
        <v>0</v>
      </c>
    </row>
    <row r="486" spans="1:5">
      <c r="A486" s="3">
        <v>0</v>
      </c>
      <c r="E486" s="3">
        <v>0</v>
      </c>
    </row>
    <row r="487" spans="1:5">
      <c r="A487" s="3">
        <v>0</v>
      </c>
      <c r="E487" s="3">
        <v>0</v>
      </c>
    </row>
    <row r="488" spans="1:5">
      <c r="A488" s="3">
        <v>0</v>
      </c>
      <c r="E488" s="3">
        <v>0</v>
      </c>
    </row>
    <row r="489" spans="1:5">
      <c r="A489" s="3">
        <v>0</v>
      </c>
      <c r="E489" s="3">
        <v>0</v>
      </c>
    </row>
    <row r="490" spans="1:5">
      <c r="A490" s="3">
        <v>0</v>
      </c>
      <c r="E490" s="3">
        <v>0</v>
      </c>
    </row>
    <row r="491" spans="1:5">
      <c r="A491" s="3">
        <v>0</v>
      </c>
      <c r="E491" s="3">
        <v>0</v>
      </c>
    </row>
    <row r="492" spans="1:5">
      <c r="A492" s="3">
        <v>0</v>
      </c>
      <c r="E492" s="3">
        <v>0</v>
      </c>
    </row>
    <row r="493" spans="1:5">
      <c r="A493" s="3">
        <v>0</v>
      </c>
      <c r="E493" s="3">
        <v>0</v>
      </c>
    </row>
    <row r="494" spans="1:5">
      <c r="A494" s="3">
        <v>0</v>
      </c>
      <c r="E494" s="3">
        <v>0</v>
      </c>
    </row>
    <row r="495" spans="1:5">
      <c r="A495" s="3">
        <v>0</v>
      </c>
      <c r="E495" s="3">
        <v>0</v>
      </c>
    </row>
    <row r="496" spans="1:5">
      <c r="A496" s="3">
        <v>0</v>
      </c>
      <c r="E496" s="3">
        <v>0</v>
      </c>
    </row>
    <row r="497" spans="1:5">
      <c r="A497" s="3">
        <v>0</v>
      </c>
      <c r="E497" s="3">
        <v>0</v>
      </c>
    </row>
    <row r="498" spans="1:5">
      <c r="A498" s="3">
        <v>0</v>
      </c>
      <c r="E498" s="3">
        <v>0</v>
      </c>
    </row>
    <row r="499" spans="1:5">
      <c r="A499" s="3">
        <v>0</v>
      </c>
      <c r="E499" s="3">
        <v>0</v>
      </c>
    </row>
    <row r="500" spans="1:5">
      <c r="A500" s="3">
        <v>0</v>
      </c>
      <c r="E500" s="3">
        <v>0</v>
      </c>
    </row>
    <row r="501" spans="1:5">
      <c r="A501" s="3">
        <v>0</v>
      </c>
      <c r="E501" s="3">
        <v>0</v>
      </c>
    </row>
    <row r="502" spans="1:5">
      <c r="A502" s="3">
        <v>0</v>
      </c>
      <c r="E502" s="3">
        <v>0</v>
      </c>
    </row>
    <row r="503" spans="1:5">
      <c r="A503" s="3">
        <v>0</v>
      </c>
      <c r="E503" s="3">
        <v>0</v>
      </c>
    </row>
    <row r="504" spans="1:5">
      <c r="A504" s="3">
        <v>0</v>
      </c>
      <c r="E504" s="3">
        <v>0</v>
      </c>
    </row>
    <row r="505" spans="1:5">
      <c r="A505" s="3">
        <v>0</v>
      </c>
      <c r="E505" s="3">
        <v>0</v>
      </c>
    </row>
    <row r="506" spans="1:5">
      <c r="A506" s="3">
        <v>0</v>
      </c>
      <c r="E506" s="3">
        <v>0</v>
      </c>
    </row>
    <row r="507" spans="1:5">
      <c r="A507" s="3">
        <v>0</v>
      </c>
      <c r="E507" s="3">
        <v>0</v>
      </c>
    </row>
    <row r="508" spans="1:5">
      <c r="A508" s="3">
        <v>0</v>
      </c>
      <c r="E508" s="3">
        <v>0</v>
      </c>
    </row>
    <row r="509" spans="1:5">
      <c r="A509" s="3">
        <v>0</v>
      </c>
      <c r="E509" s="3">
        <v>0</v>
      </c>
    </row>
    <row r="510" spans="1:5">
      <c r="A510" s="3">
        <v>0</v>
      </c>
      <c r="E510" s="3">
        <v>0</v>
      </c>
    </row>
    <row r="511" spans="1:5">
      <c r="A511" s="3">
        <v>0</v>
      </c>
      <c r="E511" s="3">
        <v>0</v>
      </c>
    </row>
    <row r="512" spans="1:5">
      <c r="A512" s="3">
        <v>0</v>
      </c>
      <c r="E512" s="3">
        <v>0</v>
      </c>
    </row>
    <row r="513" spans="1:5">
      <c r="A513" s="3">
        <v>0</v>
      </c>
      <c r="E513" s="3">
        <v>0</v>
      </c>
    </row>
    <row r="514" spans="1:5">
      <c r="A514" s="3">
        <v>0</v>
      </c>
      <c r="E514" s="3">
        <v>0</v>
      </c>
    </row>
    <row r="515" spans="1:5">
      <c r="A515" s="3">
        <v>0</v>
      </c>
      <c r="E515" s="3">
        <v>0</v>
      </c>
    </row>
    <row r="516" spans="1:5">
      <c r="A516" s="3">
        <v>0</v>
      </c>
      <c r="E516" s="3">
        <v>0</v>
      </c>
    </row>
    <row r="517" spans="1:5">
      <c r="A517" s="3">
        <v>0</v>
      </c>
      <c r="E517" s="3">
        <v>0</v>
      </c>
    </row>
    <row r="518" spans="1:5">
      <c r="A518" s="3">
        <v>0</v>
      </c>
      <c r="E518" s="3">
        <v>0</v>
      </c>
    </row>
    <row r="519" spans="1:5">
      <c r="A519" s="3">
        <v>0</v>
      </c>
      <c r="E519" s="3">
        <v>0</v>
      </c>
    </row>
    <row r="520" spans="1:5">
      <c r="A520" s="3">
        <v>0</v>
      </c>
      <c r="E520" s="3">
        <v>0</v>
      </c>
    </row>
    <row r="521" spans="1:5">
      <c r="A521" s="3">
        <v>0</v>
      </c>
      <c r="E521" s="3">
        <v>0</v>
      </c>
    </row>
    <row r="522" spans="1:5">
      <c r="A522" s="3">
        <v>0</v>
      </c>
      <c r="E522" s="3">
        <v>0</v>
      </c>
    </row>
    <row r="523" spans="1:5">
      <c r="A523" s="3">
        <v>0</v>
      </c>
      <c r="E523" s="3">
        <v>0</v>
      </c>
    </row>
    <row r="524" spans="1:5">
      <c r="A524" s="3">
        <v>0</v>
      </c>
      <c r="E524" s="3">
        <v>0</v>
      </c>
    </row>
    <row r="525" spans="1:5">
      <c r="A525" s="3">
        <v>0</v>
      </c>
      <c r="E525" s="3">
        <v>0</v>
      </c>
    </row>
    <row r="526" spans="1:5">
      <c r="A526" s="3">
        <v>0</v>
      </c>
      <c r="E526" s="3">
        <v>0</v>
      </c>
    </row>
    <row r="527" spans="1:5">
      <c r="A527" s="3">
        <v>0</v>
      </c>
      <c r="E527" s="3">
        <v>0</v>
      </c>
    </row>
    <row r="528" spans="1:5">
      <c r="A528" s="3">
        <v>0</v>
      </c>
      <c r="E528" s="3">
        <v>0</v>
      </c>
    </row>
    <row r="529" spans="1:5">
      <c r="A529" s="3">
        <v>0</v>
      </c>
      <c r="E529" s="3">
        <v>0</v>
      </c>
    </row>
    <row r="530" spans="1:5">
      <c r="A530" s="3">
        <v>0</v>
      </c>
      <c r="E530" s="3">
        <v>0</v>
      </c>
    </row>
    <row r="531" spans="1:5">
      <c r="A531" s="3">
        <v>0</v>
      </c>
      <c r="E531" s="3">
        <v>0</v>
      </c>
    </row>
    <row r="532" spans="1:5">
      <c r="A532" s="3">
        <v>0</v>
      </c>
      <c r="E532" s="3">
        <v>0</v>
      </c>
    </row>
    <row r="533" spans="1:5">
      <c r="A533" s="3">
        <v>0</v>
      </c>
      <c r="E533" s="3">
        <v>0</v>
      </c>
    </row>
    <row r="534" spans="1:5">
      <c r="A534" s="3">
        <v>0</v>
      </c>
      <c r="E534" s="3">
        <v>0</v>
      </c>
    </row>
    <row r="535" spans="1:5">
      <c r="A535" s="3">
        <v>0</v>
      </c>
      <c r="E535" s="3">
        <v>0</v>
      </c>
    </row>
    <row r="536" spans="1:5">
      <c r="A536" s="3">
        <v>0</v>
      </c>
      <c r="E536" s="3">
        <v>0</v>
      </c>
    </row>
    <row r="537" spans="1:5">
      <c r="A537" s="3">
        <v>0</v>
      </c>
      <c r="E537" s="3">
        <v>0</v>
      </c>
    </row>
    <row r="538" spans="1:5">
      <c r="A538" s="3">
        <v>0</v>
      </c>
      <c r="E538" s="3">
        <v>0</v>
      </c>
    </row>
    <row r="539" spans="1:5">
      <c r="A539" s="3">
        <v>0</v>
      </c>
      <c r="E539" s="3">
        <v>0</v>
      </c>
    </row>
    <row r="540" spans="1:5">
      <c r="A540" s="3">
        <v>0</v>
      </c>
      <c r="E540" s="3">
        <v>0</v>
      </c>
    </row>
    <row r="541" spans="1:5">
      <c r="A541" s="3">
        <v>0</v>
      </c>
      <c r="E541" s="3">
        <v>0</v>
      </c>
    </row>
    <row r="542" spans="1:5">
      <c r="A542" s="3">
        <v>0</v>
      </c>
      <c r="E542" s="3">
        <v>0</v>
      </c>
    </row>
    <row r="543" spans="1:5">
      <c r="A543" s="3">
        <v>0</v>
      </c>
      <c r="E543" s="3">
        <v>0</v>
      </c>
    </row>
    <row r="544" spans="1:5">
      <c r="A544" s="3">
        <v>0</v>
      </c>
      <c r="E544" s="3">
        <v>0</v>
      </c>
    </row>
    <row r="545" spans="1:5">
      <c r="A545" s="3">
        <v>0</v>
      </c>
      <c r="E545" s="3">
        <v>0</v>
      </c>
    </row>
    <row r="546" spans="1:5">
      <c r="A546" s="3">
        <v>0</v>
      </c>
      <c r="E546" s="3">
        <v>0</v>
      </c>
    </row>
    <row r="547" spans="1:5">
      <c r="A547" s="3">
        <v>0</v>
      </c>
      <c r="E547" s="3">
        <v>0</v>
      </c>
    </row>
    <row r="548" spans="1:5">
      <c r="A548" s="3">
        <v>0</v>
      </c>
      <c r="E548" s="3">
        <v>0</v>
      </c>
    </row>
    <row r="549" spans="1:5">
      <c r="A549" s="3">
        <v>0</v>
      </c>
      <c r="E549" s="3">
        <v>0</v>
      </c>
    </row>
    <row r="550" spans="1:5">
      <c r="A550" s="3">
        <v>0</v>
      </c>
      <c r="E550" s="3">
        <v>0</v>
      </c>
    </row>
    <row r="551" spans="1:5">
      <c r="A551" s="3">
        <v>0</v>
      </c>
      <c r="E551" s="3">
        <v>0</v>
      </c>
    </row>
    <row r="552" spans="1:5">
      <c r="A552" s="3">
        <v>0</v>
      </c>
      <c r="E552" s="3">
        <v>0</v>
      </c>
    </row>
    <row r="553" spans="1:5">
      <c r="A553" s="3">
        <v>0</v>
      </c>
      <c r="E553" s="3">
        <v>0</v>
      </c>
    </row>
    <row r="554" spans="1:5">
      <c r="A554" s="3">
        <v>0</v>
      </c>
      <c r="E554" s="3">
        <v>0</v>
      </c>
    </row>
    <row r="555" spans="1:5">
      <c r="A555" s="3">
        <v>0</v>
      </c>
      <c r="E555" s="3">
        <v>0</v>
      </c>
    </row>
    <row r="556" spans="1:5">
      <c r="A556" s="3">
        <v>0</v>
      </c>
      <c r="E556" s="3">
        <v>0</v>
      </c>
    </row>
    <row r="557" spans="1:5">
      <c r="A557" s="3">
        <v>0</v>
      </c>
      <c r="E557" s="3">
        <v>0</v>
      </c>
    </row>
    <row r="558" spans="1:5">
      <c r="A558" s="3">
        <v>0</v>
      </c>
      <c r="E558" s="3">
        <v>0</v>
      </c>
    </row>
    <row r="559" spans="1:5">
      <c r="A559" s="3">
        <v>0</v>
      </c>
      <c r="E559" s="3">
        <v>0</v>
      </c>
    </row>
    <row r="560" spans="1:5">
      <c r="A560" s="3">
        <v>0</v>
      </c>
      <c r="E560" s="3">
        <v>0</v>
      </c>
    </row>
    <row r="561" spans="1:5">
      <c r="A561" s="3">
        <v>0</v>
      </c>
      <c r="E561" s="3">
        <v>0</v>
      </c>
    </row>
    <row r="562" spans="1:5">
      <c r="A562" s="3">
        <v>0</v>
      </c>
      <c r="E562" s="3">
        <v>0</v>
      </c>
    </row>
    <row r="563" spans="1:5">
      <c r="A563" s="3">
        <v>0</v>
      </c>
      <c r="E563" s="3">
        <v>0</v>
      </c>
    </row>
    <row r="564" spans="1:5">
      <c r="A564" s="3">
        <v>0</v>
      </c>
      <c r="E564" s="3">
        <v>0</v>
      </c>
    </row>
    <row r="565" spans="1:5">
      <c r="A565" s="3">
        <v>0</v>
      </c>
      <c r="E565" s="3">
        <v>0</v>
      </c>
    </row>
    <row r="566" spans="1:5">
      <c r="A566" s="3">
        <v>0</v>
      </c>
      <c r="E566" s="3">
        <v>0</v>
      </c>
    </row>
    <row r="567" spans="1:5">
      <c r="A567" s="3">
        <v>0</v>
      </c>
      <c r="E567" s="3">
        <v>0</v>
      </c>
    </row>
    <row r="568" spans="1:5">
      <c r="A568" s="3">
        <v>0</v>
      </c>
      <c r="E568" s="3">
        <v>0</v>
      </c>
    </row>
    <row r="569" spans="1:5">
      <c r="A569" s="3">
        <v>0</v>
      </c>
      <c r="E569" s="3">
        <v>0</v>
      </c>
    </row>
    <row r="570" spans="1:5">
      <c r="A570" s="3">
        <v>0</v>
      </c>
      <c r="E570" s="3">
        <v>0</v>
      </c>
    </row>
    <row r="571" spans="1:5">
      <c r="A571" s="3">
        <v>0</v>
      </c>
      <c r="E571" s="3">
        <v>0</v>
      </c>
    </row>
    <row r="572" spans="1:5">
      <c r="A572" s="3">
        <v>0</v>
      </c>
      <c r="E572" s="3">
        <v>0</v>
      </c>
    </row>
    <row r="573" spans="1:5">
      <c r="A573" s="3">
        <v>0</v>
      </c>
      <c r="E573" s="3">
        <v>0</v>
      </c>
    </row>
    <row r="574" spans="1:5">
      <c r="A574" s="3">
        <v>0</v>
      </c>
      <c r="E574" s="3">
        <v>0</v>
      </c>
    </row>
    <row r="575" spans="1:5">
      <c r="A575" s="3">
        <v>0</v>
      </c>
      <c r="E575" s="3">
        <v>0</v>
      </c>
    </row>
    <row r="576" spans="1:5">
      <c r="A576" s="3">
        <v>0</v>
      </c>
      <c r="E576" s="3">
        <v>0</v>
      </c>
    </row>
    <row r="577" spans="1:5">
      <c r="A577" s="3">
        <v>0</v>
      </c>
      <c r="E577" s="3">
        <v>0</v>
      </c>
    </row>
    <row r="578" spans="1:5">
      <c r="A578" s="3">
        <v>0</v>
      </c>
      <c r="E578" s="3">
        <v>0</v>
      </c>
    </row>
    <row r="579" spans="1:5">
      <c r="A579" s="3">
        <v>0</v>
      </c>
      <c r="E579" s="3">
        <v>0</v>
      </c>
    </row>
    <row r="580" spans="1:5">
      <c r="A580" s="3">
        <v>0</v>
      </c>
      <c r="E580" s="3">
        <v>0</v>
      </c>
    </row>
    <row r="581" spans="1:5">
      <c r="A581" s="3">
        <v>0</v>
      </c>
      <c r="E581" s="3">
        <v>0</v>
      </c>
    </row>
    <row r="582" spans="1:5">
      <c r="A582" s="3">
        <v>0</v>
      </c>
      <c r="E582" s="3">
        <v>0</v>
      </c>
    </row>
    <row r="583" spans="1:5">
      <c r="A583" s="3">
        <v>0</v>
      </c>
      <c r="E583" s="3">
        <v>0</v>
      </c>
    </row>
    <row r="584" spans="1:5">
      <c r="A584" s="3">
        <v>0</v>
      </c>
      <c r="E584" s="3">
        <v>0</v>
      </c>
    </row>
    <row r="585" spans="1:5">
      <c r="A585" s="3">
        <v>0</v>
      </c>
      <c r="E585" s="3">
        <v>0</v>
      </c>
    </row>
    <row r="586" spans="1:5">
      <c r="A586" s="3">
        <v>0</v>
      </c>
      <c r="E586" s="3">
        <v>0</v>
      </c>
    </row>
    <row r="587" spans="1:5">
      <c r="A587" s="3">
        <v>0</v>
      </c>
      <c r="E587" s="3">
        <v>0</v>
      </c>
    </row>
    <row r="588" spans="1:5">
      <c r="A588" s="3">
        <v>0</v>
      </c>
      <c r="E588" s="3">
        <v>0</v>
      </c>
    </row>
    <row r="589" spans="1:5">
      <c r="A589" s="3">
        <v>0</v>
      </c>
      <c r="E589" s="3">
        <v>0</v>
      </c>
    </row>
    <row r="590" spans="1:5">
      <c r="A590" s="3">
        <v>0</v>
      </c>
      <c r="E590" s="3">
        <v>0</v>
      </c>
    </row>
    <row r="591" spans="1:5">
      <c r="A591" s="3">
        <v>0</v>
      </c>
      <c r="E591" s="3">
        <v>0</v>
      </c>
    </row>
    <row r="592" spans="1:5">
      <c r="A592" s="3">
        <v>0</v>
      </c>
      <c r="E592" s="3">
        <v>0</v>
      </c>
    </row>
    <row r="593" spans="1:5">
      <c r="A593" s="3">
        <v>0</v>
      </c>
      <c r="E593" s="3">
        <v>0</v>
      </c>
    </row>
    <row r="594" spans="1:5">
      <c r="A594" s="3">
        <v>0</v>
      </c>
      <c r="E594" s="3">
        <v>0</v>
      </c>
    </row>
    <row r="595" spans="1:5">
      <c r="A595" s="3">
        <v>0</v>
      </c>
      <c r="E595" s="3">
        <v>0</v>
      </c>
    </row>
    <row r="596" spans="1:5">
      <c r="A596" s="3">
        <v>0</v>
      </c>
      <c r="E596" s="3">
        <v>0</v>
      </c>
    </row>
    <row r="597" spans="1:5">
      <c r="A597" s="3">
        <v>0</v>
      </c>
      <c r="E597" s="3">
        <v>0</v>
      </c>
    </row>
    <row r="598" spans="1:5">
      <c r="A598" s="3">
        <v>0</v>
      </c>
      <c r="E598" s="3">
        <v>0</v>
      </c>
    </row>
    <row r="599" spans="1:5">
      <c r="A599" s="3">
        <v>0</v>
      </c>
      <c r="E599" s="3">
        <v>0</v>
      </c>
    </row>
    <row r="600" spans="1:5">
      <c r="A600" s="3">
        <v>0</v>
      </c>
      <c r="E600" s="3">
        <v>0</v>
      </c>
    </row>
    <row r="601" spans="1:5">
      <c r="A601" s="3">
        <v>0</v>
      </c>
      <c r="E601" s="3">
        <v>0</v>
      </c>
    </row>
    <row r="602" spans="1:5">
      <c r="A602" s="3">
        <v>0</v>
      </c>
      <c r="E602" s="3">
        <v>0</v>
      </c>
    </row>
    <row r="603" spans="1:5">
      <c r="A603" s="3">
        <v>0</v>
      </c>
      <c r="E603" s="3">
        <v>0</v>
      </c>
    </row>
    <row r="604" spans="1:5">
      <c r="A604" s="3">
        <v>0</v>
      </c>
      <c r="E604" s="3">
        <v>0</v>
      </c>
    </row>
    <row r="605" spans="1:5">
      <c r="A605" s="3">
        <v>0</v>
      </c>
      <c r="E605" s="3">
        <v>0</v>
      </c>
    </row>
    <row r="606" spans="1:5">
      <c r="A606" s="3">
        <v>0</v>
      </c>
      <c r="E606" s="3">
        <v>0</v>
      </c>
    </row>
    <row r="607" spans="1:5">
      <c r="A607" s="3">
        <v>0</v>
      </c>
      <c r="E607" s="3">
        <v>0</v>
      </c>
    </row>
    <row r="608" spans="1:5">
      <c r="A608" s="3">
        <v>0</v>
      </c>
      <c r="E608" s="3">
        <v>0</v>
      </c>
    </row>
    <row r="609" spans="1:5">
      <c r="A609" s="3">
        <v>0</v>
      </c>
      <c r="E609" s="3">
        <v>0</v>
      </c>
    </row>
    <row r="610" spans="1:5">
      <c r="A610" s="3">
        <v>0</v>
      </c>
      <c r="E610" s="3">
        <v>0</v>
      </c>
    </row>
    <row r="611" spans="1:5">
      <c r="A611" s="3">
        <v>0</v>
      </c>
      <c r="E611" s="3">
        <v>0</v>
      </c>
    </row>
    <row r="612" spans="1:5">
      <c r="A612" s="3">
        <v>0</v>
      </c>
      <c r="E612" s="3">
        <v>0</v>
      </c>
    </row>
    <row r="613" spans="1:5">
      <c r="A613" s="3">
        <v>0</v>
      </c>
      <c r="E613" s="3">
        <v>0</v>
      </c>
    </row>
    <row r="614" spans="1:5">
      <c r="A614" s="3">
        <v>0</v>
      </c>
      <c r="E614" s="3">
        <v>0</v>
      </c>
    </row>
    <row r="615" spans="1:5">
      <c r="A615" s="3">
        <v>0</v>
      </c>
      <c r="E615" s="3">
        <v>0</v>
      </c>
    </row>
    <row r="616" spans="1:5">
      <c r="A616" s="3">
        <v>0</v>
      </c>
      <c r="E616" s="3">
        <v>0</v>
      </c>
    </row>
    <row r="617" spans="1:5">
      <c r="A617" s="3">
        <v>0</v>
      </c>
      <c r="E617" s="3">
        <v>0</v>
      </c>
    </row>
    <row r="618" spans="1:5">
      <c r="A618" s="3">
        <v>0</v>
      </c>
      <c r="E618" s="3">
        <v>0</v>
      </c>
    </row>
    <row r="619" spans="1:5">
      <c r="A619" s="3">
        <v>0</v>
      </c>
      <c r="E619" s="3">
        <v>0</v>
      </c>
    </row>
    <row r="620" spans="1:5">
      <c r="A620" s="3">
        <v>0</v>
      </c>
      <c r="E620" s="3">
        <v>0</v>
      </c>
    </row>
    <row r="621" spans="1:5">
      <c r="A621" s="3">
        <v>0</v>
      </c>
      <c r="E621" s="3">
        <v>0</v>
      </c>
    </row>
    <row r="622" spans="1:5">
      <c r="A622" s="3">
        <v>0</v>
      </c>
      <c r="E622" s="3">
        <v>0</v>
      </c>
    </row>
    <row r="623" spans="1:5">
      <c r="A623" s="3">
        <v>0</v>
      </c>
      <c r="E623" s="3">
        <v>0</v>
      </c>
    </row>
    <row r="624" spans="1:5">
      <c r="A624" s="3">
        <v>0</v>
      </c>
      <c r="E624" s="3">
        <v>0</v>
      </c>
    </row>
    <row r="625" spans="1:5">
      <c r="A625" s="3">
        <v>0</v>
      </c>
      <c r="E625" s="3">
        <v>0</v>
      </c>
    </row>
    <row r="626" spans="1:5">
      <c r="A626" s="3">
        <v>0</v>
      </c>
      <c r="E626" s="3">
        <v>0</v>
      </c>
    </row>
    <row r="627" spans="1:5">
      <c r="A627" s="3">
        <v>0</v>
      </c>
      <c r="E627" s="3">
        <v>0</v>
      </c>
    </row>
    <row r="628" spans="1:5">
      <c r="A628" s="3">
        <v>0</v>
      </c>
      <c r="E628" s="3">
        <v>0</v>
      </c>
    </row>
    <row r="629" spans="1:5">
      <c r="A629" s="3">
        <v>0</v>
      </c>
      <c r="E629" s="3">
        <v>0</v>
      </c>
    </row>
    <row r="630" spans="1:5">
      <c r="A630" s="3">
        <v>0</v>
      </c>
      <c r="E630" s="3">
        <v>0</v>
      </c>
    </row>
    <row r="631" spans="1:5">
      <c r="A631" s="3">
        <v>0</v>
      </c>
      <c r="E631" s="3">
        <v>0</v>
      </c>
    </row>
    <row r="632" spans="1:5">
      <c r="A632" s="3">
        <v>0</v>
      </c>
      <c r="E632" s="3">
        <v>0</v>
      </c>
    </row>
    <row r="633" spans="1:5">
      <c r="A633" s="3">
        <v>0</v>
      </c>
      <c r="E633" s="3">
        <v>0</v>
      </c>
    </row>
    <row r="634" spans="1:5">
      <c r="A634" s="3">
        <v>0</v>
      </c>
      <c r="E634" s="3">
        <v>0</v>
      </c>
    </row>
    <row r="635" spans="1:5">
      <c r="A635" s="3">
        <v>0</v>
      </c>
      <c r="E635" s="3">
        <v>0</v>
      </c>
    </row>
    <row r="636" spans="1:5">
      <c r="A636" s="3">
        <v>0</v>
      </c>
      <c r="E636" s="3">
        <v>0</v>
      </c>
    </row>
    <row r="637" spans="1:5">
      <c r="A637" s="3">
        <v>0</v>
      </c>
      <c r="E637" s="3">
        <v>0</v>
      </c>
    </row>
    <row r="638" spans="1:5">
      <c r="A638" s="3">
        <v>0</v>
      </c>
      <c r="E638" s="3">
        <v>0</v>
      </c>
    </row>
    <row r="639" spans="1:5">
      <c r="A639" s="3">
        <v>0</v>
      </c>
      <c r="E639" s="3">
        <v>0</v>
      </c>
    </row>
    <row r="640" spans="1:5">
      <c r="A640" s="3">
        <v>0</v>
      </c>
      <c r="E640" s="3">
        <v>0</v>
      </c>
    </row>
    <row r="641" spans="1:5">
      <c r="A641" s="3">
        <v>0</v>
      </c>
      <c r="E641" s="3">
        <v>0</v>
      </c>
    </row>
    <row r="642" spans="1:5">
      <c r="A642" s="3">
        <v>0</v>
      </c>
      <c r="E642" s="3">
        <v>0</v>
      </c>
    </row>
    <row r="643" spans="1:5">
      <c r="A643" s="3">
        <v>0</v>
      </c>
      <c r="E643" s="3">
        <v>0</v>
      </c>
    </row>
    <row r="644" spans="1:5">
      <c r="A644" s="3">
        <v>0</v>
      </c>
      <c r="E644" s="3">
        <v>0</v>
      </c>
    </row>
    <row r="645" spans="1:5">
      <c r="A645" s="3">
        <v>0</v>
      </c>
      <c r="E645" s="3">
        <v>0</v>
      </c>
    </row>
    <row r="646" spans="1:5">
      <c r="A646" s="3">
        <v>0</v>
      </c>
      <c r="E646" s="3">
        <v>0</v>
      </c>
    </row>
    <row r="647" spans="1:5">
      <c r="A647" s="3">
        <v>0</v>
      </c>
      <c r="E647" s="3">
        <v>0</v>
      </c>
    </row>
    <row r="648" spans="1:5">
      <c r="A648" s="3">
        <v>0</v>
      </c>
      <c r="E648" s="3">
        <v>0</v>
      </c>
    </row>
    <row r="649" spans="1:5">
      <c r="A649" s="3">
        <v>0</v>
      </c>
      <c r="E649" s="3">
        <v>0</v>
      </c>
    </row>
    <row r="650" spans="1:5">
      <c r="A650" s="3">
        <v>0</v>
      </c>
      <c r="E650" s="3">
        <v>0</v>
      </c>
    </row>
    <row r="651" spans="1:5">
      <c r="A651" s="3">
        <v>0</v>
      </c>
      <c r="E651" s="3">
        <v>0</v>
      </c>
    </row>
    <row r="652" spans="1:5">
      <c r="A652" s="3">
        <v>0</v>
      </c>
      <c r="E652" s="3">
        <v>0</v>
      </c>
    </row>
    <row r="653" spans="1:5">
      <c r="A653" s="3">
        <v>0</v>
      </c>
      <c r="E653" s="3">
        <v>0</v>
      </c>
    </row>
    <row r="654" spans="1:5">
      <c r="A654" s="3">
        <v>0</v>
      </c>
      <c r="E654" s="3">
        <v>0</v>
      </c>
    </row>
    <row r="655" spans="1:5">
      <c r="A655" s="3">
        <v>0</v>
      </c>
      <c r="E655" s="3">
        <v>0</v>
      </c>
    </row>
    <row r="656" spans="1:5">
      <c r="A656" s="3">
        <v>0</v>
      </c>
      <c r="E656" s="3">
        <v>0</v>
      </c>
    </row>
    <row r="657" spans="1:5">
      <c r="A657" s="3">
        <v>0</v>
      </c>
      <c r="E657" s="3">
        <v>0</v>
      </c>
    </row>
    <row r="658" spans="1:5">
      <c r="A658" s="3">
        <v>0</v>
      </c>
      <c r="E658" s="3">
        <v>0</v>
      </c>
    </row>
    <row r="659" spans="1:5">
      <c r="A659" s="3">
        <v>0</v>
      </c>
      <c r="E659" s="3">
        <v>0</v>
      </c>
    </row>
    <row r="660" spans="1:5">
      <c r="A660" s="3">
        <v>0</v>
      </c>
      <c r="E660" s="3">
        <v>0</v>
      </c>
    </row>
    <row r="661" spans="1:5">
      <c r="A661" s="3">
        <v>0</v>
      </c>
      <c r="E661" s="3">
        <v>0</v>
      </c>
    </row>
    <row r="662" spans="1:5">
      <c r="A662" s="3">
        <v>0</v>
      </c>
      <c r="E662" s="3">
        <v>0</v>
      </c>
    </row>
    <row r="663" spans="1:5">
      <c r="A663" s="3">
        <v>0</v>
      </c>
      <c r="E663" s="3">
        <v>0</v>
      </c>
    </row>
    <row r="664" spans="1:5">
      <c r="A664" s="3">
        <v>0</v>
      </c>
      <c r="E664" s="3">
        <v>0</v>
      </c>
    </row>
    <row r="665" spans="1:5">
      <c r="A665" s="3">
        <v>0</v>
      </c>
      <c r="E665" s="3">
        <v>0</v>
      </c>
    </row>
    <row r="666" spans="1:5">
      <c r="A666" s="3">
        <v>0</v>
      </c>
      <c r="E666" s="3">
        <v>0</v>
      </c>
    </row>
    <row r="667" spans="1:5">
      <c r="A667" s="3">
        <v>0</v>
      </c>
      <c r="E667" s="3">
        <v>0</v>
      </c>
    </row>
    <row r="668" spans="1:5">
      <c r="A668" s="3">
        <v>0</v>
      </c>
      <c r="E668" s="3">
        <v>0</v>
      </c>
    </row>
    <row r="669" spans="1:5">
      <c r="A669" s="3">
        <v>0</v>
      </c>
      <c r="E669" s="3">
        <v>0</v>
      </c>
    </row>
    <row r="670" spans="1:5">
      <c r="A670" s="3">
        <v>0</v>
      </c>
      <c r="E670" s="3">
        <v>0</v>
      </c>
    </row>
    <row r="671" spans="1:5">
      <c r="A671" s="3">
        <v>0</v>
      </c>
      <c r="E671" s="3">
        <v>0</v>
      </c>
    </row>
    <row r="672" spans="1:5">
      <c r="A672" s="3">
        <v>0</v>
      </c>
      <c r="E672" s="3">
        <v>0</v>
      </c>
    </row>
    <row r="673" spans="1:5">
      <c r="A673" s="3">
        <v>0</v>
      </c>
      <c r="E673" s="3">
        <v>0</v>
      </c>
    </row>
    <row r="674" spans="1:5">
      <c r="A674" s="3">
        <v>0</v>
      </c>
      <c r="E674" s="3">
        <v>0</v>
      </c>
    </row>
    <row r="675" spans="1:5">
      <c r="A675" s="3">
        <v>0</v>
      </c>
      <c r="E675" s="3">
        <v>0</v>
      </c>
    </row>
    <row r="676" spans="1:5">
      <c r="A676" s="3">
        <v>0</v>
      </c>
      <c r="E676" s="3">
        <v>0</v>
      </c>
    </row>
    <row r="677" spans="1:5">
      <c r="A677" s="3">
        <v>0</v>
      </c>
      <c r="E677" s="3">
        <v>0</v>
      </c>
    </row>
    <row r="678" spans="1:5">
      <c r="A678" s="3">
        <v>0</v>
      </c>
      <c r="E678" s="3">
        <v>0</v>
      </c>
    </row>
    <row r="679" spans="1:5">
      <c r="A679" s="3">
        <v>0</v>
      </c>
      <c r="E679" s="3">
        <v>0</v>
      </c>
    </row>
    <row r="680" spans="1:5">
      <c r="A680" s="3">
        <v>0</v>
      </c>
      <c r="E680" s="3">
        <v>0</v>
      </c>
    </row>
    <row r="681" spans="1:5">
      <c r="A681" s="3">
        <v>0</v>
      </c>
      <c r="E681" s="3">
        <v>0</v>
      </c>
    </row>
    <row r="682" spans="1:5">
      <c r="A682" s="3">
        <v>0</v>
      </c>
      <c r="E682" s="3">
        <v>0</v>
      </c>
    </row>
    <row r="683" spans="1:5">
      <c r="A683" s="3">
        <v>0</v>
      </c>
      <c r="E683" s="3">
        <v>0</v>
      </c>
    </row>
    <row r="684" spans="1:5">
      <c r="A684" s="3">
        <v>0</v>
      </c>
      <c r="E684" s="3">
        <v>0</v>
      </c>
    </row>
    <row r="685" spans="1:5">
      <c r="A685" s="3">
        <v>0</v>
      </c>
      <c r="E685" s="3">
        <v>0</v>
      </c>
    </row>
    <row r="686" spans="1:5">
      <c r="A686" s="3">
        <v>0</v>
      </c>
      <c r="E686" s="3">
        <v>0</v>
      </c>
    </row>
    <row r="687" spans="1:5">
      <c r="A687" s="3">
        <v>0</v>
      </c>
      <c r="E687" s="3">
        <v>0</v>
      </c>
    </row>
    <row r="688" spans="1:5">
      <c r="A688" s="3">
        <v>0</v>
      </c>
      <c r="E688" s="3">
        <v>0</v>
      </c>
    </row>
    <row r="689" spans="1:5">
      <c r="A689" s="3">
        <v>0</v>
      </c>
      <c r="E689" s="3">
        <v>0</v>
      </c>
    </row>
    <row r="690" spans="1:5">
      <c r="A690" s="3">
        <v>0</v>
      </c>
      <c r="E690" s="3">
        <v>0</v>
      </c>
    </row>
    <row r="691" spans="1:5">
      <c r="A691" s="3">
        <v>0</v>
      </c>
      <c r="E691" s="3">
        <v>0</v>
      </c>
    </row>
    <row r="692" spans="1:5">
      <c r="A692" s="3">
        <v>0</v>
      </c>
      <c r="E692" s="3">
        <v>0</v>
      </c>
    </row>
    <row r="693" spans="1:5">
      <c r="A693" s="3">
        <v>0</v>
      </c>
      <c r="E693" s="3">
        <v>0</v>
      </c>
    </row>
    <row r="694" spans="1:5">
      <c r="A694" s="3">
        <v>0</v>
      </c>
      <c r="E694" s="3">
        <v>0</v>
      </c>
    </row>
    <row r="695" spans="1:5">
      <c r="A695" s="3">
        <v>0</v>
      </c>
      <c r="E695" s="3">
        <v>0</v>
      </c>
    </row>
    <row r="696" spans="1:5">
      <c r="A696" s="3">
        <v>0</v>
      </c>
      <c r="E696" s="3">
        <v>0</v>
      </c>
    </row>
    <row r="697" spans="1:5">
      <c r="A697" s="3">
        <v>0</v>
      </c>
      <c r="E697" s="3">
        <v>0</v>
      </c>
    </row>
    <row r="698" spans="1:5">
      <c r="A698" s="3">
        <v>0</v>
      </c>
      <c r="E698" s="3">
        <v>0</v>
      </c>
    </row>
    <row r="699" spans="1:5">
      <c r="A699" s="3">
        <v>0</v>
      </c>
      <c r="E699" s="3">
        <v>0</v>
      </c>
    </row>
    <row r="700" spans="1:5">
      <c r="A700" s="3">
        <v>0</v>
      </c>
      <c r="E700" s="3">
        <v>0</v>
      </c>
    </row>
    <row r="701" spans="1:5">
      <c r="A701" s="3">
        <v>0</v>
      </c>
      <c r="E701" s="3">
        <v>0</v>
      </c>
    </row>
    <row r="702" spans="1:5">
      <c r="A702" s="3">
        <v>0</v>
      </c>
      <c r="E702" s="3">
        <v>0</v>
      </c>
    </row>
    <row r="703" spans="1:5">
      <c r="A703" s="3">
        <v>0</v>
      </c>
      <c r="E703" s="3">
        <v>0</v>
      </c>
    </row>
    <row r="704" spans="1:5">
      <c r="A704" s="3">
        <v>0</v>
      </c>
      <c r="E704" s="3">
        <v>0</v>
      </c>
    </row>
    <row r="705" spans="1:5">
      <c r="A705" s="3">
        <v>0</v>
      </c>
      <c r="E705" s="3">
        <v>0</v>
      </c>
    </row>
    <row r="706" spans="1:5">
      <c r="A706" s="3">
        <v>0</v>
      </c>
      <c r="E706" s="3">
        <v>0</v>
      </c>
    </row>
    <row r="707" spans="1:5">
      <c r="A707" s="3">
        <v>0</v>
      </c>
      <c r="E707" s="3">
        <v>0</v>
      </c>
    </row>
    <row r="708" spans="1:5">
      <c r="A708" s="3">
        <v>0</v>
      </c>
      <c r="E708" s="3">
        <v>0</v>
      </c>
    </row>
    <row r="709" spans="1:5">
      <c r="A709" s="3">
        <v>0</v>
      </c>
      <c r="E709" s="3">
        <v>0</v>
      </c>
    </row>
    <row r="710" spans="1:5">
      <c r="A710" s="3">
        <v>0</v>
      </c>
      <c r="E710" s="3">
        <v>0</v>
      </c>
    </row>
    <row r="711" spans="1:5">
      <c r="A711" s="3">
        <v>0</v>
      </c>
      <c r="E711" s="3">
        <v>0</v>
      </c>
    </row>
    <row r="712" spans="1:5">
      <c r="A712" s="3">
        <v>0</v>
      </c>
      <c r="E712" s="3">
        <v>0</v>
      </c>
    </row>
    <row r="713" spans="1:5">
      <c r="A713" s="3">
        <v>0</v>
      </c>
      <c r="E713" s="3">
        <v>0</v>
      </c>
    </row>
    <row r="714" spans="1:5">
      <c r="A714" s="3">
        <v>0</v>
      </c>
      <c r="E714" s="3">
        <v>0</v>
      </c>
    </row>
    <row r="715" spans="1:5">
      <c r="A715" s="3">
        <v>0</v>
      </c>
      <c r="E715" s="3">
        <v>0</v>
      </c>
    </row>
    <row r="716" spans="1:5">
      <c r="A716" s="3">
        <v>0</v>
      </c>
      <c r="E716" s="3">
        <v>0</v>
      </c>
    </row>
    <row r="717" spans="1:5">
      <c r="A717" s="3">
        <v>0</v>
      </c>
      <c r="E717" s="3">
        <v>0</v>
      </c>
    </row>
    <row r="718" spans="1:5">
      <c r="A718" s="3">
        <v>0</v>
      </c>
      <c r="E718" s="3">
        <v>0</v>
      </c>
    </row>
    <row r="719" spans="1:5">
      <c r="A719" s="3">
        <v>0</v>
      </c>
      <c r="E719" s="3">
        <v>0</v>
      </c>
    </row>
    <row r="720" spans="1:5">
      <c r="A720" s="3">
        <v>0</v>
      </c>
      <c r="E720" s="3">
        <v>0</v>
      </c>
    </row>
    <row r="721" spans="1:5">
      <c r="A721" s="3">
        <v>0</v>
      </c>
      <c r="E721" s="3">
        <v>0</v>
      </c>
    </row>
    <row r="722" spans="1:5">
      <c r="A722" s="3">
        <v>0</v>
      </c>
      <c r="E722" s="3">
        <v>0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71"/>
  <sheetViews>
    <sheetView topLeftCell="A58" workbookViewId="0">
      <selection activeCell="K4" sqref="K4:K1144"/>
    </sheetView>
  </sheetViews>
  <sheetFormatPr defaultColWidth="8.88888888888889" defaultRowHeight="14.4" outlineLevelCol="6"/>
  <cols>
    <col min="1" max="1" width="7.66666666666667" customWidth="1"/>
    <col min="2" max="2" width="10.7777777777778" customWidth="1"/>
    <col min="3" max="3" width="7.66666666666667" customWidth="1"/>
    <col min="6" max="6" width="9.66666666666667"/>
  </cols>
  <sheetData>
    <row r="1" spans="1:7">
      <c r="A1" s="1" t="s">
        <v>8</v>
      </c>
      <c r="B1" s="1"/>
      <c r="C1" s="1"/>
      <c r="E1" t="s">
        <v>2</v>
      </c>
      <c r="F1" t="s">
        <v>3</v>
      </c>
      <c r="G1" t="s">
        <v>4</v>
      </c>
    </row>
    <row r="2" spans="1:7">
      <c r="A2" t="s">
        <v>5</v>
      </c>
      <c r="B2" t="s">
        <v>6</v>
      </c>
      <c r="C2" t="s">
        <v>7</v>
      </c>
      <c r="E2" t="s">
        <v>5</v>
      </c>
      <c r="F2" t="s">
        <v>6</v>
      </c>
      <c r="G2" t="s">
        <v>7</v>
      </c>
    </row>
    <row r="3" spans="1:7">
      <c r="A3">
        <v>0</v>
      </c>
      <c r="B3" s="8" t="s">
        <v>9</v>
      </c>
      <c r="C3">
        <v>83.2</v>
      </c>
      <c r="E3" s="3">
        <f>FLOOR(A3,0.05)</f>
        <v>0</v>
      </c>
      <c r="F3">
        <f>B3*1000</f>
        <v>3.232</v>
      </c>
      <c r="G3">
        <f>IF(C3&lt;230,0,40)</f>
        <v>0</v>
      </c>
    </row>
    <row r="4" spans="1:7">
      <c r="A4">
        <v>0.05</v>
      </c>
      <c r="B4" s="8" t="s">
        <v>10</v>
      </c>
      <c r="C4">
        <v>83.2</v>
      </c>
      <c r="E4" s="3">
        <f t="shared" ref="E4:E9" si="0">FLOOR(A4,0.05)</f>
        <v>0.05</v>
      </c>
      <c r="F4">
        <f t="shared" ref="F4:F67" si="1">B4*1000</f>
        <v>4.267</v>
      </c>
      <c r="G4">
        <f t="shared" ref="G4:G67" si="2">IF(C4&lt;230,0,40)</f>
        <v>0</v>
      </c>
    </row>
    <row r="5" spans="1:7">
      <c r="A5">
        <v>0.1</v>
      </c>
      <c r="B5" s="8" t="s">
        <v>11</v>
      </c>
      <c r="C5">
        <v>84</v>
      </c>
      <c r="E5" s="3">
        <f t="shared" si="0"/>
        <v>0.1</v>
      </c>
      <c r="F5">
        <f t="shared" si="1"/>
        <v>5.672</v>
      </c>
      <c r="G5">
        <f t="shared" si="2"/>
        <v>0</v>
      </c>
    </row>
    <row r="6" spans="1:7">
      <c r="A6">
        <v>0.15</v>
      </c>
      <c r="B6" s="8" t="s">
        <v>12</v>
      </c>
      <c r="C6">
        <v>83.1</v>
      </c>
      <c r="E6" s="3">
        <f t="shared" si="0"/>
        <v>0.15</v>
      </c>
      <c r="F6">
        <f t="shared" si="1"/>
        <v>6.758</v>
      </c>
      <c r="G6">
        <f t="shared" si="2"/>
        <v>0</v>
      </c>
    </row>
    <row r="7" spans="1:7">
      <c r="A7">
        <v>0.2</v>
      </c>
      <c r="B7" s="8" t="s">
        <v>13</v>
      </c>
      <c r="C7">
        <v>83.5</v>
      </c>
      <c r="E7" s="3">
        <f t="shared" si="0"/>
        <v>0.2</v>
      </c>
      <c r="F7">
        <f t="shared" si="1"/>
        <v>8.072</v>
      </c>
      <c r="G7">
        <f t="shared" si="2"/>
        <v>0</v>
      </c>
    </row>
    <row r="8" spans="1:7">
      <c r="A8">
        <v>0.251</v>
      </c>
      <c r="B8" s="8" t="s">
        <v>14</v>
      </c>
      <c r="C8">
        <v>83.7</v>
      </c>
      <c r="E8" s="3">
        <f t="shared" si="0"/>
        <v>0.25</v>
      </c>
      <c r="F8">
        <f t="shared" si="1"/>
        <v>9.199</v>
      </c>
      <c r="G8">
        <f t="shared" si="2"/>
        <v>0</v>
      </c>
    </row>
    <row r="9" spans="1:7">
      <c r="A9">
        <v>0.301</v>
      </c>
      <c r="B9" s="8" t="s">
        <v>15</v>
      </c>
      <c r="C9">
        <v>82.6</v>
      </c>
      <c r="E9" s="3">
        <f t="shared" si="0"/>
        <v>0.3</v>
      </c>
      <c r="F9">
        <f t="shared" si="1"/>
        <v>10.18</v>
      </c>
      <c r="G9">
        <f t="shared" si="2"/>
        <v>0</v>
      </c>
    </row>
    <row r="10" spans="1:7">
      <c r="A10">
        <v>0.351</v>
      </c>
      <c r="B10" s="8" t="s">
        <v>16</v>
      </c>
      <c r="C10">
        <v>83.1</v>
      </c>
      <c r="E10" s="3">
        <f t="shared" ref="E10:E73" si="3">FLOOR(A10,0.05)</f>
        <v>0.35</v>
      </c>
      <c r="F10">
        <f t="shared" si="1"/>
        <v>11.14</v>
      </c>
      <c r="G10">
        <f t="shared" si="2"/>
        <v>0</v>
      </c>
    </row>
    <row r="11" spans="1:7">
      <c r="A11">
        <v>0.401</v>
      </c>
      <c r="B11" s="8" t="s">
        <v>17</v>
      </c>
      <c r="C11">
        <v>82.8</v>
      </c>
      <c r="E11" s="3">
        <f t="shared" si="3"/>
        <v>0.4</v>
      </c>
      <c r="F11">
        <f t="shared" si="1"/>
        <v>12.09</v>
      </c>
      <c r="G11">
        <f t="shared" si="2"/>
        <v>0</v>
      </c>
    </row>
    <row r="12" spans="1:7">
      <c r="A12">
        <v>0.451</v>
      </c>
      <c r="B12" s="8" t="s">
        <v>18</v>
      </c>
      <c r="C12">
        <v>83.1</v>
      </c>
      <c r="E12" s="3">
        <f t="shared" si="3"/>
        <v>0.45</v>
      </c>
      <c r="F12">
        <f t="shared" si="1"/>
        <v>12.82</v>
      </c>
      <c r="G12">
        <f t="shared" si="2"/>
        <v>0</v>
      </c>
    </row>
    <row r="13" spans="1:7">
      <c r="A13">
        <v>0.501</v>
      </c>
      <c r="B13" s="8" t="s">
        <v>19</v>
      </c>
      <c r="C13">
        <v>82.2</v>
      </c>
      <c r="E13" s="3">
        <f t="shared" si="3"/>
        <v>0.5</v>
      </c>
      <c r="F13">
        <f t="shared" si="1"/>
        <v>13.39</v>
      </c>
      <c r="G13">
        <f t="shared" si="2"/>
        <v>0</v>
      </c>
    </row>
    <row r="14" spans="1:7">
      <c r="A14">
        <v>0.551</v>
      </c>
      <c r="B14" s="8" t="s">
        <v>20</v>
      </c>
      <c r="C14">
        <v>83.3</v>
      </c>
      <c r="E14" s="3">
        <f t="shared" si="3"/>
        <v>0.55</v>
      </c>
      <c r="F14">
        <f t="shared" si="1"/>
        <v>13.7</v>
      </c>
      <c r="G14">
        <f t="shared" si="2"/>
        <v>0</v>
      </c>
    </row>
    <row r="15" spans="1:7">
      <c r="A15">
        <v>0.601</v>
      </c>
      <c r="B15" s="8" t="s">
        <v>21</v>
      </c>
      <c r="C15">
        <v>82.2</v>
      </c>
      <c r="E15" s="3">
        <f t="shared" si="3"/>
        <v>0.6</v>
      </c>
      <c r="F15">
        <f t="shared" si="1"/>
        <v>13.92</v>
      </c>
      <c r="G15">
        <f t="shared" si="2"/>
        <v>0</v>
      </c>
    </row>
    <row r="16" spans="1:7">
      <c r="A16">
        <v>0.651</v>
      </c>
      <c r="B16" s="8" t="s">
        <v>22</v>
      </c>
      <c r="C16">
        <v>82.9</v>
      </c>
      <c r="E16" s="3">
        <f t="shared" si="3"/>
        <v>0.65</v>
      </c>
      <c r="F16">
        <f t="shared" si="1"/>
        <v>13.95</v>
      </c>
      <c r="G16">
        <f t="shared" si="2"/>
        <v>0</v>
      </c>
    </row>
    <row r="17" spans="1:7">
      <c r="A17">
        <v>0.701</v>
      </c>
      <c r="B17" s="8" t="s">
        <v>23</v>
      </c>
      <c r="C17">
        <v>82.1</v>
      </c>
      <c r="E17" s="3">
        <f t="shared" si="3"/>
        <v>0.7</v>
      </c>
      <c r="F17">
        <f t="shared" si="1"/>
        <v>13.84</v>
      </c>
      <c r="G17">
        <f t="shared" si="2"/>
        <v>0</v>
      </c>
    </row>
    <row r="18" spans="1:7">
      <c r="A18">
        <v>0.752</v>
      </c>
      <c r="B18" s="8" t="s">
        <v>24</v>
      </c>
      <c r="C18">
        <v>82.3</v>
      </c>
      <c r="E18" s="3">
        <f t="shared" si="3"/>
        <v>0.75</v>
      </c>
      <c r="F18">
        <f t="shared" si="1"/>
        <v>13.56</v>
      </c>
      <c r="G18">
        <f t="shared" si="2"/>
        <v>0</v>
      </c>
    </row>
    <row r="19" spans="1:7">
      <c r="A19">
        <v>0.802</v>
      </c>
      <c r="B19" s="8" t="s">
        <v>25</v>
      </c>
      <c r="C19">
        <v>81.9</v>
      </c>
      <c r="E19" s="3">
        <f t="shared" si="3"/>
        <v>0.8</v>
      </c>
      <c r="F19">
        <f t="shared" si="1"/>
        <v>12.98</v>
      </c>
      <c r="G19">
        <f t="shared" si="2"/>
        <v>0</v>
      </c>
    </row>
    <row r="20" spans="1:7">
      <c r="A20">
        <v>0.852</v>
      </c>
      <c r="B20" s="8" t="s">
        <v>26</v>
      </c>
      <c r="C20">
        <v>82.6</v>
      </c>
      <c r="E20" s="3">
        <f t="shared" si="3"/>
        <v>0.85</v>
      </c>
      <c r="F20">
        <f t="shared" si="1"/>
        <v>12.33</v>
      </c>
      <c r="G20">
        <f t="shared" si="2"/>
        <v>0</v>
      </c>
    </row>
    <row r="21" spans="1:7">
      <c r="A21">
        <v>0.902</v>
      </c>
      <c r="B21" s="8" t="s">
        <v>27</v>
      </c>
      <c r="C21">
        <v>82.5</v>
      </c>
      <c r="E21" s="3">
        <f t="shared" si="3"/>
        <v>0.9</v>
      </c>
      <c r="F21">
        <f t="shared" si="1"/>
        <v>11.46</v>
      </c>
      <c r="G21">
        <f t="shared" si="2"/>
        <v>0</v>
      </c>
    </row>
    <row r="22" spans="1:7">
      <c r="A22">
        <v>0.952</v>
      </c>
      <c r="B22" s="8" t="s">
        <v>28</v>
      </c>
      <c r="C22">
        <v>81</v>
      </c>
      <c r="E22" s="3">
        <f t="shared" si="3"/>
        <v>0.95</v>
      </c>
      <c r="F22">
        <f t="shared" si="1"/>
        <v>10.49</v>
      </c>
      <c r="G22">
        <f t="shared" si="2"/>
        <v>0</v>
      </c>
    </row>
    <row r="23" spans="1:7">
      <c r="A23">
        <v>1.002</v>
      </c>
      <c r="B23" s="8" t="s">
        <v>29</v>
      </c>
      <c r="C23">
        <v>81.7</v>
      </c>
      <c r="E23" s="3">
        <f t="shared" si="3"/>
        <v>1</v>
      </c>
      <c r="F23">
        <f t="shared" si="1"/>
        <v>9.566</v>
      </c>
      <c r="G23">
        <f t="shared" si="2"/>
        <v>0</v>
      </c>
    </row>
    <row r="24" spans="1:7">
      <c r="A24">
        <v>1.052</v>
      </c>
      <c r="B24" s="8" t="s">
        <v>30</v>
      </c>
      <c r="C24">
        <v>81.2</v>
      </c>
      <c r="E24" s="3">
        <f t="shared" si="3"/>
        <v>1.05</v>
      </c>
      <c r="F24">
        <f t="shared" si="1"/>
        <v>8.52</v>
      </c>
      <c r="G24">
        <f t="shared" si="2"/>
        <v>0</v>
      </c>
    </row>
    <row r="25" spans="1:7">
      <c r="A25">
        <v>1.102</v>
      </c>
      <c r="B25" s="8" t="s">
        <v>31</v>
      </c>
      <c r="C25">
        <v>81.6</v>
      </c>
      <c r="E25" s="3">
        <f t="shared" si="3"/>
        <v>1.1</v>
      </c>
      <c r="F25">
        <f t="shared" si="1"/>
        <v>7.268</v>
      </c>
      <c r="G25">
        <f t="shared" si="2"/>
        <v>0</v>
      </c>
    </row>
    <row r="26" spans="1:7">
      <c r="A26">
        <v>1.152</v>
      </c>
      <c r="B26" s="8" t="s">
        <v>32</v>
      </c>
      <c r="C26">
        <v>80.6</v>
      </c>
      <c r="E26" s="3">
        <f t="shared" si="3"/>
        <v>1.15</v>
      </c>
      <c r="F26">
        <f t="shared" si="1"/>
        <v>6.116</v>
      </c>
      <c r="G26">
        <f t="shared" si="2"/>
        <v>0</v>
      </c>
    </row>
    <row r="27" spans="1:7">
      <c r="A27">
        <v>1.202</v>
      </c>
      <c r="B27" s="8" t="s">
        <v>33</v>
      </c>
      <c r="C27">
        <v>81</v>
      </c>
      <c r="E27" s="3">
        <f t="shared" si="3"/>
        <v>1.2</v>
      </c>
      <c r="F27">
        <f t="shared" si="1"/>
        <v>5.037</v>
      </c>
      <c r="G27">
        <f t="shared" si="2"/>
        <v>0</v>
      </c>
    </row>
    <row r="28" spans="1:7">
      <c r="A28">
        <v>1.253</v>
      </c>
      <c r="B28" s="8" t="s">
        <v>34</v>
      </c>
      <c r="C28">
        <v>79.6</v>
      </c>
      <c r="E28" s="3">
        <f t="shared" si="3"/>
        <v>1.25</v>
      </c>
      <c r="F28">
        <f t="shared" si="1"/>
        <v>3.918</v>
      </c>
      <c r="G28">
        <f t="shared" si="2"/>
        <v>0</v>
      </c>
    </row>
    <row r="29" spans="1:7">
      <c r="A29">
        <v>1.303</v>
      </c>
      <c r="B29" s="8" t="s">
        <v>35</v>
      </c>
      <c r="C29">
        <v>80.2</v>
      </c>
      <c r="E29" s="3">
        <f t="shared" si="3"/>
        <v>1.3</v>
      </c>
      <c r="F29">
        <f t="shared" si="1"/>
        <v>2.996</v>
      </c>
      <c r="G29">
        <f t="shared" si="2"/>
        <v>0</v>
      </c>
    </row>
    <row r="30" spans="1:7">
      <c r="A30">
        <v>1.353</v>
      </c>
      <c r="B30" s="8" t="s">
        <v>36</v>
      </c>
      <c r="C30">
        <v>79.6</v>
      </c>
      <c r="E30" s="3">
        <f t="shared" si="3"/>
        <v>1.35</v>
      </c>
      <c r="F30">
        <f t="shared" si="1"/>
        <v>2.196</v>
      </c>
      <c r="G30">
        <f t="shared" si="2"/>
        <v>0</v>
      </c>
    </row>
    <row r="31" spans="1:7">
      <c r="A31">
        <v>1.403</v>
      </c>
      <c r="B31" s="8" t="s">
        <v>37</v>
      </c>
      <c r="C31">
        <v>78.7</v>
      </c>
      <c r="E31" s="3">
        <f t="shared" si="3"/>
        <v>1.4</v>
      </c>
      <c r="F31">
        <f t="shared" si="1"/>
        <v>1.683</v>
      </c>
      <c r="G31">
        <f t="shared" si="2"/>
        <v>0</v>
      </c>
    </row>
    <row r="32" spans="1:7">
      <c r="A32">
        <v>1.453</v>
      </c>
      <c r="B32" s="8" t="s">
        <v>38</v>
      </c>
      <c r="C32">
        <v>79.5</v>
      </c>
      <c r="E32" s="3">
        <f t="shared" si="3"/>
        <v>1.45</v>
      </c>
      <c r="F32">
        <f t="shared" si="1"/>
        <v>1.392</v>
      </c>
      <c r="G32">
        <f t="shared" si="2"/>
        <v>0</v>
      </c>
    </row>
    <row r="33" spans="1:7">
      <c r="A33">
        <v>1.503</v>
      </c>
      <c r="B33" s="8" t="s">
        <v>39</v>
      </c>
      <c r="C33">
        <v>78.8</v>
      </c>
      <c r="E33" s="3">
        <f t="shared" si="3"/>
        <v>1.5</v>
      </c>
      <c r="F33">
        <f t="shared" si="1"/>
        <v>2.084</v>
      </c>
      <c r="G33">
        <f t="shared" si="2"/>
        <v>0</v>
      </c>
    </row>
    <row r="34" spans="1:7">
      <c r="A34">
        <v>1.553</v>
      </c>
      <c r="B34" s="8" t="s">
        <v>40</v>
      </c>
      <c r="C34">
        <v>78.4</v>
      </c>
      <c r="E34" s="3">
        <f t="shared" si="3"/>
        <v>1.55</v>
      </c>
      <c r="F34">
        <f t="shared" si="1"/>
        <v>1.638</v>
      </c>
      <c r="G34">
        <f t="shared" si="2"/>
        <v>0</v>
      </c>
    </row>
    <row r="35" spans="1:7">
      <c r="A35">
        <v>1.603</v>
      </c>
      <c r="B35" s="8" t="s">
        <v>41</v>
      </c>
      <c r="C35">
        <v>80</v>
      </c>
      <c r="E35" s="3">
        <f t="shared" si="3"/>
        <v>1.6</v>
      </c>
      <c r="F35">
        <f t="shared" si="1"/>
        <v>1.869</v>
      </c>
      <c r="G35">
        <f t="shared" si="2"/>
        <v>0</v>
      </c>
    </row>
    <row r="36" spans="1:7">
      <c r="A36">
        <v>1.653</v>
      </c>
      <c r="B36" s="8" t="s">
        <v>42</v>
      </c>
      <c r="C36">
        <v>79.1</v>
      </c>
      <c r="E36" s="3">
        <f t="shared" si="3"/>
        <v>1.65</v>
      </c>
      <c r="F36">
        <f t="shared" si="1"/>
        <v>1.359</v>
      </c>
      <c r="G36">
        <f t="shared" si="2"/>
        <v>0</v>
      </c>
    </row>
    <row r="37" spans="1:7">
      <c r="A37">
        <v>1.703</v>
      </c>
      <c r="B37" s="8" t="s">
        <v>43</v>
      </c>
      <c r="C37">
        <v>79.3</v>
      </c>
      <c r="E37" s="3">
        <f t="shared" si="3"/>
        <v>1.7</v>
      </c>
      <c r="F37">
        <f t="shared" si="1"/>
        <v>1.296</v>
      </c>
      <c r="G37">
        <f t="shared" si="2"/>
        <v>0</v>
      </c>
    </row>
    <row r="38" spans="1:7">
      <c r="A38">
        <v>1.754</v>
      </c>
      <c r="B38" s="8" t="s">
        <v>44</v>
      </c>
      <c r="C38">
        <v>79.5</v>
      </c>
      <c r="E38" s="3">
        <f t="shared" si="3"/>
        <v>1.75</v>
      </c>
      <c r="F38">
        <f t="shared" si="1"/>
        <v>1.919</v>
      </c>
      <c r="G38">
        <f t="shared" si="2"/>
        <v>0</v>
      </c>
    </row>
    <row r="39" spans="1:7">
      <c r="A39">
        <v>1.804</v>
      </c>
      <c r="B39" s="8" t="s">
        <v>45</v>
      </c>
      <c r="C39">
        <v>79.2</v>
      </c>
      <c r="E39" s="3">
        <f t="shared" si="3"/>
        <v>1.8</v>
      </c>
      <c r="F39">
        <f t="shared" si="1"/>
        <v>2.869</v>
      </c>
      <c r="G39">
        <f t="shared" si="2"/>
        <v>0</v>
      </c>
    </row>
    <row r="40" spans="1:7">
      <c r="A40">
        <v>1.854</v>
      </c>
      <c r="B40" s="8" t="s">
        <v>46</v>
      </c>
      <c r="C40">
        <v>78.7</v>
      </c>
      <c r="E40" s="3">
        <f t="shared" si="3"/>
        <v>1.85</v>
      </c>
      <c r="F40">
        <f t="shared" si="1"/>
        <v>3.922</v>
      </c>
      <c r="G40">
        <f t="shared" si="2"/>
        <v>0</v>
      </c>
    </row>
    <row r="41" spans="1:7">
      <c r="A41">
        <v>1.904</v>
      </c>
      <c r="B41" s="8" t="s">
        <v>47</v>
      </c>
      <c r="C41">
        <v>80.6</v>
      </c>
      <c r="E41" s="3">
        <f t="shared" si="3"/>
        <v>1.9</v>
      </c>
      <c r="F41">
        <f t="shared" si="1"/>
        <v>5.051</v>
      </c>
      <c r="G41">
        <f t="shared" si="2"/>
        <v>0</v>
      </c>
    </row>
    <row r="42" spans="1:7">
      <c r="A42">
        <v>1.954</v>
      </c>
      <c r="B42" s="8" t="s">
        <v>48</v>
      </c>
      <c r="C42">
        <v>80.2</v>
      </c>
      <c r="E42" s="3">
        <f t="shared" si="3"/>
        <v>1.95</v>
      </c>
      <c r="F42">
        <f t="shared" si="1"/>
        <v>6.114</v>
      </c>
      <c r="G42">
        <f t="shared" si="2"/>
        <v>0</v>
      </c>
    </row>
    <row r="43" spans="1:7">
      <c r="A43">
        <v>2.004</v>
      </c>
      <c r="B43" s="8" t="s">
        <v>49</v>
      </c>
      <c r="C43">
        <v>79.7</v>
      </c>
      <c r="E43" s="3">
        <f t="shared" si="3"/>
        <v>2</v>
      </c>
      <c r="F43">
        <f t="shared" si="1"/>
        <v>7.042</v>
      </c>
      <c r="G43">
        <f t="shared" si="2"/>
        <v>0</v>
      </c>
    </row>
    <row r="44" spans="1:7">
      <c r="A44">
        <v>2.054</v>
      </c>
      <c r="B44" s="8" t="s">
        <v>50</v>
      </c>
      <c r="C44">
        <v>80.8</v>
      </c>
      <c r="E44" s="3">
        <f t="shared" si="3"/>
        <v>2.05</v>
      </c>
      <c r="F44">
        <f t="shared" si="1"/>
        <v>7.837</v>
      </c>
      <c r="G44">
        <f t="shared" si="2"/>
        <v>0</v>
      </c>
    </row>
    <row r="45" spans="1:7">
      <c r="A45">
        <v>2.104</v>
      </c>
      <c r="B45" s="8" t="s">
        <v>51</v>
      </c>
      <c r="C45">
        <v>81</v>
      </c>
      <c r="E45" s="3">
        <f t="shared" si="3"/>
        <v>2.1</v>
      </c>
      <c r="F45">
        <f t="shared" si="1"/>
        <v>8.623</v>
      </c>
      <c r="G45">
        <f t="shared" si="2"/>
        <v>0</v>
      </c>
    </row>
    <row r="46" spans="1:7">
      <c r="A46">
        <v>2.154</v>
      </c>
      <c r="B46" s="8" t="s">
        <v>52</v>
      </c>
      <c r="C46">
        <v>79.6</v>
      </c>
      <c r="E46" s="3">
        <f t="shared" si="3"/>
        <v>2.15</v>
      </c>
      <c r="F46">
        <f t="shared" si="1"/>
        <v>9.191</v>
      </c>
      <c r="G46">
        <f t="shared" si="2"/>
        <v>0</v>
      </c>
    </row>
    <row r="47" spans="1:7">
      <c r="A47">
        <v>2.204</v>
      </c>
      <c r="B47" s="8" t="s">
        <v>53</v>
      </c>
      <c r="C47">
        <v>80.2</v>
      </c>
      <c r="E47" s="3">
        <f t="shared" si="3"/>
        <v>2.2</v>
      </c>
      <c r="F47">
        <f t="shared" si="1"/>
        <v>9.634</v>
      </c>
      <c r="G47">
        <f t="shared" si="2"/>
        <v>0</v>
      </c>
    </row>
    <row r="48" spans="1:7">
      <c r="A48">
        <v>2.255</v>
      </c>
      <c r="B48" s="8" t="s">
        <v>54</v>
      </c>
      <c r="C48">
        <v>79.2</v>
      </c>
      <c r="E48" s="3">
        <f t="shared" si="3"/>
        <v>2.25</v>
      </c>
      <c r="F48">
        <f t="shared" si="1"/>
        <v>9.9</v>
      </c>
      <c r="G48">
        <f t="shared" si="2"/>
        <v>0</v>
      </c>
    </row>
    <row r="49" spans="1:7">
      <c r="A49">
        <v>2.305</v>
      </c>
      <c r="B49" s="8" t="s">
        <v>55</v>
      </c>
      <c r="C49">
        <v>80.5</v>
      </c>
      <c r="E49" s="3">
        <f t="shared" si="3"/>
        <v>2.3</v>
      </c>
      <c r="F49">
        <f t="shared" si="1"/>
        <v>10.03</v>
      </c>
      <c r="G49">
        <f t="shared" si="2"/>
        <v>0</v>
      </c>
    </row>
    <row r="50" spans="1:7">
      <c r="A50">
        <v>2.355</v>
      </c>
      <c r="B50" s="8" t="s">
        <v>56</v>
      </c>
      <c r="C50">
        <v>80.5</v>
      </c>
      <c r="E50" s="3">
        <f t="shared" si="3"/>
        <v>2.35</v>
      </c>
      <c r="F50">
        <f t="shared" si="1"/>
        <v>10.01</v>
      </c>
      <c r="G50">
        <f t="shared" si="2"/>
        <v>0</v>
      </c>
    </row>
    <row r="51" spans="1:7">
      <c r="A51">
        <v>2.405</v>
      </c>
      <c r="B51" s="8" t="s">
        <v>57</v>
      </c>
      <c r="C51">
        <v>80.7</v>
      </c>
      <c r="E51" s="3">
        <f t="shared" si="3"/>
        <v>2.4</v>
      </c>
      <c r="F51">
        <f t="shared" si="1"/>
        <v>9.947</v>
      </c>
      <c r="G51">
        <f t="shared" si="2"/>
        <v>0</v>
      </c>
    </row>
    <row r="52" spans="1:7">
      <c r="A52">
        <v>2.455</v>
      </c>
      <c r="B52" s="8" t="s">
        <v>58</v>
      </c>
      <c r="C52">
        <v>80.7</v>
      </c>
      <c r="E52" s="3">
        <f t="shared" si="3"/>
        <v>2.45</v>
      </c>
      <c r="F52">
        <f t="shared" si="1"/>
        <v>9.741</v>
      </c>
      <c r="G52">
        <f t="shared" si="2"/>
        <v>0</v>
      </c>
    </row>
    <row r="53" spans="1:7">
      <c r="A53">
        <v>2.505</v>
      </c>
      <c r="B53" s="8" t="s">
        <v>59</v>
      </c>
      <c r="C53">
        <v>81.3</v>
      </c>
      <c r="E53" s="3">
        <f t="shared" si="3"/>
        <v>2.5</v>
      </c>
      <c r="F53">
        <f t="shared" si="1"/>
        <v>9.272</v>
      </c>
      <c r="G53">
        <f t="shared" si="2"/>
        <v>0</v>
      </c>
    </row>
    <row r="54" spans="1:7">
      <c r="A54">
        <v>2.555</v>
      </c>
      <c r="B54" s="8" t="s">
        <v>60</v>
      </c>
      <c r="C54">
        <v>80.2</v>
      </c>
      <c r="E54" s="3">
        <f t="shared" si="3"/>
        <v>2.55</v>
      </c>
      <c r="F54">
        <f t="shared" si="1"/>
        <v>8.695</v>
      </c>
      <c r="G54">
        <f t="shared" si="2"/>
        <v>0</v>
      </c>
    </row>
    <row r="55" spans="1:7">
      <c r="A55">
        <v>2.605</v>
      </c>
      <c r="B55" s="8" t="s">
        <v>61</v>
      </c>
      <c r="C55">
        <v>81.9</v>
      </c>
      <c r="E55" s="3">
        <f t="shared" si="3"/>
        <v>2.6</v>
      </c>
      <c r="F55">
        <f t="shared" si="1"/>
        <v>8.024</v>
      </c>
      <c r="G55">
        <f t="shared" si="2"/>
        <v>0</v>
      </c>
    </row>
    <row r="56" spans="1:7">
      <c r="A56">
        <v>2.655</v>
      </c>
      <c r="B56" s="8" t="s">
        <v>62</v>
      </c>
      <c r="C56">
        <v>82.5</v>
      </c>
      <c r="E56" s="3">
        <f t="shared" si="3"/>
        <v>2.65</v>
      </c>
      <c r="F56">
        <f t="shared" si="1"/>
        <v>7.221</v>
      </c>
      <c r="G56">
        <f t="shared" si="2"/>
        <v>0</v>
      </c>
    </row>
    <row r="57" spans="1:7">
      <c r="A57">
        <v>2.705</v>
      </c>
      <c r="B57" s="8" t="s">
        <v>63</v>
      </c>
      <c r="C57">
        <v>81.4</v>
      </c>
      <c r="E57" s="3">
        <f t="shared" si="3"/>
        <v>2.7</v>
      </c>
      <c r="F57">
        <f t="shared" si="1"/>
        <v>6.303</v>
      </c>
      <c r="G57">
        <f t="shared" si="2"/>
        <v>0</v>
      </c>
    </row>
    <row r="58" spans="1:7">
      <c r="A58">
        <v>2.756</v>
      </c>
      <c r="B58" s="8" t="s">
        <v>64</v>
      </c>
      <c r="C58">
        <v>81.9</v>
      </c>
      <c r="E58" s="3">
        <f t="shared" si="3"/>
        <v>2.75</v>
      </c>
      <c r="F58">
        <f t="shared" si="1"/>
        <v>5.243</v>
      </c>
      <c r="G58">
        <f t="shared" si="2"/>
        <v>0</v>
      </c>
    </row>
    <row r="59" spans="1:7">
      <c r="A59">
        <v>2.806</v>
      </c>
      <c r="B59" s="8" t="s">
        <v>65</v>
      </c>
      <c r="C59">
        <v>82.1</v>
      </c>
      <c r="E59" s="3">
        <f t="shared" si="3"/>
        <v>2.8</v>
      </c>
      <c r="F59">
        <f t="shared" si="1"/>
        <v>4.254</v>
      </c>
      <c r="G59">
        <f t="shared" si="2"/>
        <v>0</v>
      </c>
    </row>
    <row r="60" spans="1:7">
      <c r="A60">
        <v>2.856</v>
      </c>
      <c r="B60" s="8" t="s">
        <v>66</v>
      </c>
      <c r="C60">
        <v>81.3</v>
      </c>
      <c r="E60" s="3">
        <f t="shared" si="3"/>
        <v>2.85</v>
      </c>
      <c r="F60">
        <f t="shared" si="1"/>
        <v>3.144</v>
      </c>
      <c r="G60">
        <f t="shared" si="2"/>
        <v>0</v>
      </c>
    </row>
    <row r="61" spans="1:7">
      <c r="A61">
        <v>2.906</v>
      </c>
      <c r="B61" s="8" t="s">
        <v>67</v>
      </c>
      <c r="C61">
        <v>81.8</v>
      </c>
      <c r="E61" s="3">
        <f t="shared" si="3"/>
        <v>2.9</v>
      </c>
      <c r="F61">
        <f t="shared" si="1"/>
        <v>2.205</v>
      </c>
      <c r="G61">
        <f t="shared" si="2"/>
        <v>0</v>
      </c>
    </row>
    <row r="62" spans="1:7">
      <c r="A62">
        <v>2.956</v>
      </c>
      <c r="B62" s="8" t="s">
        <v>68</v>
      </c>
      <c r="C62">
        <v>81.6</v>
      </c>
      <c r="E62" s="3">
        <f t="shared" si="3"/>
        <v>2.95</v>
      </c>
      <c r="F62">
        <f t="shared" si="1"/>
        <v>1.27</v>
      </c>
      <c r="G62">
        <f t="shared" si="2"/>
        <v>0</v>
      </c>
    </row>
    <row r="63" spans="1:7">
      <c r="A63">
        <v>3.006</v>
      </c>
      <c r="B63" s="8" t="s">
        <v>69</v>
      </c>
      <c r="C63">
        <v>81.4</v>
      </c>
      <c r="E63" s="3">
        <f t="shared" si="3"/>
        <v>3</v>
      </c>
      <c r="F63">
        <f t="shared" si="1"/>
        <v>0.4819</v>
      </c>
      <c r="G63">
        <f t="shared" si="2"/>
        <v>0</v>
      </c>
    </row>
    <row r="64" spans="1:7">
      <c r="A64">
        <v>3.056</v>
      </c>
      <c r="B64" s="2">
        <v>-9.646e-5</v>
      </c>
      <c r="C64">
        <v>82.5</v>
      </c>
      <c r="E64" s="3">
        <f t="shared" si="3"/>
        <v>3.05</v>
      </c>
      <c r="F64">
        <f t="shared" si="1"/>
        <v>-0.09646</v>
      </c>
      <c r="G64">
        <f t="shared" si="2"/>
        <v>0</v>
      </c>
    </row>
    <row r="65" spans="1:7">
      <c r="A65">
        <v>3.106</v>
      </c>
      <c r="B65" s="2">
        <v>-0.0004453</v>
      </c>
      <c r="C65">
        <v>82</v>
      </c>
      <c r="E65" s="3">
        <f t="shared" si="3"/>
        <v>3.1</v>
      </c>
      <c r="F65">
        <f t="shared" si="1"/>
        <v>-0.4453</v>
      </c>
      <c r="G65">
        <f t="shared" si="2"/>
        <v>0</v>
      </c>
    </row>
    <row r="66" spans="1:7">
      <c r="A66">
        <v>3.156</v>
      </c>
      <c r="B66" s="2">
        <v>-0.0006849</v>
      </c>
      <c r="C66">
        <v>82.9</v>
      </c>
      <c r="E66" s="3">
        <f t="shared" si="3"/>
        <v>3.15</v>
      </c>
      <c r="F66">
        <f t="shared" si="1"/>
        <v>-0.6849</v>
      </c>
      <c r="G66">
        <f t="shared" si="2"/>
        <v>0</v>
      </c>
    </row>
    <row r="67" spans="1:7">
      <c r="A67">
        <v>3.206</v>
      </c>
      <c r="B67" s="2">
        <v>-0.0006079</v>
      </c>
      <c r="C67">
        <v>81.7</v>
      </c>
      <c r="E67" s="3">
        <f t="shared" si="3"/>
        <v>3.2</v>
      </c>
      <c r="F67">
        <f t="shared" si="1"/>
        <v>-0.6079</v>
      </c>
      <c r="G67">
        <f t="shared" si="2"/>
        <v>0</v>
      </c>
    </row>
    <row r="68" spans="1:7">
      <c r="A68">
        <v>3.257</v>
      </c>
      <c r="B68" s="2">
        <v>-0.0003738</v>
      </c>
      <c r="C68">
        <v>82.4</v>
      </c>
      <c r="E68" s="3">
        <f t="shared" si="3"/>
        <v>3.25</v>
      </c>
      <c r="F68">
        <f t="shared" ref="F68:F131" si="4">B68*1000</f>
        <v>-0.3738</v>
      </c>
      <c r="G68">
        <f t="shared" ref="G68:G131" si="5">IF(C68&lt;230,0,40)</f>
        <v>0</v>
      </c>
    </row>
    <row r="69" spans="1:7">
      <c r="A69">
        <v>3.307</v>
      </c>
      <c r="C69">
        <v>82.2</v>
      </c>
      <c r="E69" s="3">
        <f t="shared" si="3"/>
        <v>3.3</v>
      </c>
      <c r="F69">
        <f t="shared" si="4"/>
        <v>0</v>
      </c>
      <c r="G69">
        <f t="shared" si="5"/>
        <v>0</v>
      </c>
    </row>
    <row r="70" spans="1:7">
      <c r="A70">
        <v>3.357</v>
      </c>
      <c r="B70" s="2">
        <v>-0.0179</v>
      </c>
      <c r="C70">
        <v>82.3</v>
      </c>
      <c r="E70" s="3">
        <f t="shared" si="3"/>
        <v>3.35</v>
      </c>
      <c r="F70">
        <f t="shared" si="4"/>
        <v>-17.9</v>
      </c>
      <c r="G70">
        <f t="shared" si="5"/>
        <v>0</v>
      </c>
    </row>
    <row r="71" spans="1:7">
      <c r="A71">
        <v>3.407</v>
      </c>
      <c r="B71" s="2">
        <v>-0.03809</v>
      </c>
      <c r="C71">
        <v>81.7</v>
      </c>
      <c r="E71" s="3">
        <f t="shared" si="3"/>
        <v>3.4</v>
      </c>
      <c r="F71">
        <f t="shared" si="4"/>
        <v>-38.09</v>
      </c>
      <c r="G71">
        <f t="shared" si="5"/>
        <v>0</v>
      </c>
    </row>
    <row r="72" spans="1:7">
      <c r="A72">
        <v>3.457</v>
      </c>
      <c r="B72" s="2">
        <v>-0.05579</v>
      </c>
      <c r="C72">
        <v>81.5</v>
      </c>
      <c r="E72" s="3">
        <f t="shared" si="3"/>
        <v>3.45</v>
      </c>
      <c r="F72">
        <f t="shared" si="4"/>
        <v>-55.79</v>
      </c>
      <c r="G72">
        <f t="shared" si="5"/>
        <v>0</v>
      </c>
    </row>
    <row r="73" spans="1:7">
      <c r="A73">
        <v>3.507</v>
      </c>
      <c r="B73" s="2">
        <v>-0.06989</v>
      </c>
      <c r="C73">
        <v>82.6</v>
      </c>
      <c r="E73" s="3">
        <f t="shared" si="3"/>
        <v>3.5</v>
      </c>
      <c r="F73">
        <f t="shared" si="4"/>
        <v>-69.89</v>
      </c>
      <c r="G73">
        <f t="shared" si="5"/>
        <v>0</v>
      </c>
    </row>
    <row r="74" spans="1:7">
      <c r="A74">
        <v>3.557</v>
      </c>
      <c r="B74" s="2">
        <v>-0.06605</v>
      </c>
      <c r="C74">
        <v>82</v>
      </c>
      <c r="E74" s="3">
        <f t="shared" ref="E74:E137" si="6">FLOOR(A74,0.05)</f>
        <v>3.55</v>
      </c>
      <c r="F74">
        <f t="shared" si="4"/>
        <v>-66.05</v>
      </c>
      <c r="G74">
        <f t="shared" si="5"/>
        <v>0</v>
      </c>
    </row>
    <row r="75" spans="1:7">
      <c r="A75">
        <v>3.607</v>
      </c>
      <c r="B75" s="2">
        <v>-0.05622</v>
      </c>
      <c r="C75">
        <v>82.5</v>
      </c>
      <c r="E75" s="3">
        <f t="shared" si="6"/>
        <v>3.6</v>
      </c>
      <c r="F75">
        <f t="shared" si="4"/>
        <v>-56.22</v>
      </c>
      <c r="G75">
        <f t="shared" si="5"/>
        <v>0</v>
      </c>
    </row>
    <row r="76" spans="1:7">
      <c r="A76">
        <v>3.657</v>
      </c>
      <c r="B76" s="2">
        <v>-0.04468</v>
      </c>
      <c r="C76">
        <v>81.4</v>
      </c>
      <c r="E76" s="3">
        <f t="shared" si="6"/>
        <v>3.65</v>
      </c>
      <c r="F76">
        <f t="shared" si="4"/>
        <v>-44.68</v>
      </c>
      <c r="G76">
        <f t="shared" si="5"/>
        <v>0</v>
      </c>
    </row>
    <row r="77" spans="1:7">
      <c r="A77">
        <v>3.708</v>
      </c>
      <c r="B77" s="2">
        <v>-0.03272</v>
      </c>
      <c r="C77">
        <v>82.2</v>
      </c>
      <c r="E77" s="3">
        <f t="shared" si="6"/>
        <v>3.7</v>
      </c>
      <c r="F77">
        <f t="shared" si="4"/>
        <v>-32.72</v>
      </c>
      <c r="G77">
        <f t="shared" si="5"/>
        <v>0</v>
      </c>
    </row>
    <row r="78" spans="1:7">
      <c r="A78">
        <v>3.758</v>
      </c>
      <c r="B78" s="2">
        <v>-0.0169</v>
      </c>
      <c r="C78">
        <v>83.1</v>
      </c>
      <c r="E78" s="3">
        <f t="shared" si="6"/>
        <v>3.75</v>
      </c>
      <c r="F78">
        <f t="shared" si="4"/>
        <v>-16.9</v>
      </c>
      <c r="G78">
        <f t="shared" si="5"/>
        <v>0</v>
      </c>
    </row>
    <row r="79" spans="1:7">
      <c r="A79">
        <v>3.808</v>
      </c>
      <c r="B79" s="2">
        <v>-0.004083</v>
      </c>
      <c r="C79">
        <v>81.9</v>
      </c>
      <c r="E79" s="3">
        <f t="shared" si="6"/>
        <v>3.8</v>
      </c>
      <c r="F79">
        <f t="shared" si="4"/>
        <v>-4.083</v>
      </c>
      <c r="G79">
        <f t="shared" si="5"/>
        <v>0</v>
      </c>
    </row>
    <row r="80" spans="1:7">
      <c r="A80">
        <v>3.858</v>
      </c>
      <c r="B80" s="8" t="s">
        <v>70</v>
      </c>
      <c r="C80">
        <v>82.8</v>
      </c>
      <c r="E80" s="3">
        <f t="shared" si="6"/>
        <v>3.85</v>
      </c>
      <c r="F80">
        <f t="shared" si="4"/>
        <v>12.16</v>
      </c>
      <c r="G80">
        <f t="shared" si="5"/>
        <v>0</v>
      </c>
    </row>
    <row r="81" spans="1:7">
      <c r="A81">
        <v>3.908</v>
      </c>
      <c r="B81" s="8" t="s">
        <v>71</v>
      </c>
      <c r="C81">
        <v>82.1</v>
      </c>
      <c r="E81" s="3">
        <f t="shared" si="6"/>
        <v>3.9</v>
      </c>
      <c r="F81">
        <f t="shared" si="4"/>
        <v>24.98</v>
      </c>
      <c r="G81">
        <f t="shared" si="5"/>
        <v>0</v>
      </c>
    </row>
    <row r="82" spans="1:7">
      <c r="A82">
        <v>3.958</v>
      </c>
      <c r="B82" s="8" t="s">
        <v>72</v>
      </c>
      <c r="C82">
        <v>81.8</v>
      </c>
      <c r="E82" s="3">
        <f t="shared" si="6"/>
        <v>3.95</v>
      </c>
      <c r="F82">
        <f t="shared" si="4"/>
        <v>38.22</v>
      </c>
      <c r="G82">
        <f t="shared" si="5"/>
        <v>0</v>
      </c>
    </row>
    <row r="83" spans="1:7">
      <c r="A83">
        <v>4.008</v>
      </c>
      <c r="B83" s="8" t="s">
        <v>73</v>
      </c>
      <c r="C83">
        <v>81.8</v>
      </c>
      <c r="E83" s="3">
        <f t="shared" si="6"/>
        <v>4</v>
      </c>
      <c r="F83">
        <f t="shared" si="4"/>
        <v>51.47</v>
      </c>
      <c r="G83">
        <f t="shared" si="5"/>
        <v>0</v>
      </c>
    </row>
    <row r="84" spans="1:7">
      <c r="A84">
        <v>4.058</v>
      </c>
      <c r="B84" s="8" t="s">
        <v>74</v>
      </c>
      <c r="C84">
        <v>81.3</v>
      </c>
      <c r="E84" s="3">
        <f t="shared" si="6"/>
        <v>4.05</v>
      </c>
      <c r="F84">
        <f t="shared" si="4"/>
        <v>62.16</v>
      </c>
      <c r="G84">
        <f t="shared" si="5"/>
        <v>0</v>
      </c>
    </row>
    <row r="85" spans="1:7">
      <c r="A85">
        <v>4.108</v>
      </c>
      <c r="B85" s="8" t="s">
        <v>75</v>
      </c>
      <c r="C85">
        <v>81.5</v>
      </c>
      <c r="E85" s="3">
        <f t="shared" si="6"/>
        <v>4.1</v>
      </c>
      <c r="F85">
        <f t="shared" si="4"/>
        <v>64.39</v>
      </c>
      <c r="G85">
        <f t="shared" si="5"/>
        <v>0</v>
      </c>
    </row>
    <row r="86" spans="1:7">
      <c r="A86">
        <v>4.158</v>
      </c>
      <c r="B86" s="8" t="s">
        <v>76</v>
      </c>
      <c r="C86">
        <v>82.7</v>
      </c>
      <c r="E86" s="3">
        <f t="shared" si="6"/>
        <v>4.15</v>
      </c>
      <c r="F86">
        <f t="shared" si="4"/>
        <v>56.91</v>
      </c>
      <c r="G86">
        <f t="shared" si="5"/>
        <v>0</v>
      </c>
    </row>
    <row r="87" spans="1:7">
      <c r="A87">
        <v>4.209</v>
      </c>
      <c r="B87" s="8" t="s">
        <v>77</v>
      </c>
      <c r="C87">
        <v>80.9</v>
      </c>
      <c r="E87" s="3">
        <f t="shared" si="6"/>
        <v>4.2</v>
      </c>
      <c r="F87">
        <f t="shared" si="4"/>
        <v>48.02</v>
      </c>
      <c r="G87">
        <f t="shared" si="5"/>
        <v>0</v>
      </c>
    </row>
    <row r="88" spans="1:7">
      <c r="A88">
        <v>4.259</v>
      </c>
      <c r="B88" s="8" t="s">
        <v>78</v>
      </c>
      <c r="C88">
        <v>82.3</v>
      </c>
      <c r="E88" s="3">
        <f t="shared" si="6"/>
        <v>4.25</v>
      </c>
      <c r="F88">
        <f t="shared" si="4"/>
        <v>37.96</v>
      </c>
      <c r="G88">
        <f t="shared" si="5"/>
        <v>0</v>
      </c>
    </row>
    <row r="89" spans="1:7">
      <c r="A89">
        <v>4.309</v>
      </c>
      <c r="B89" s="8" t="s">
        <v>79</v>
      </c>
      <c r="C89">
        <v>81.8</v>
      </c>
      <c r="E89" s="3">
        <f t="shared" si="6"/>
        <v>4.3</v>
      </c>
      <c r="F89">
        <f t="shared" si="4"/>
        <v>26.92</v>
      </c>
      <c r="G89">
        <f t="shared" si="5"/>
        <v>0</v>
      </c>
    </row>
    <row r="90" spans="1:7">
      <c r="A90">
        <v>4.359</v>
      </c>
      <c r="B90" s="8" t="s">
        <v>80</v>
      </c>
      <c r="C90">
        <v>82.2</v>
      </c>
      <c r="E90" s="3">
        <f t="shared" si="6"/>
        <v>4.35</v>
      </c>
      <c r="F90">
        <f t="shared" si="4"/>
        <v>15.38</v>
      </c>
      <c r="G90">
        <f t="shared" si="5"/>
        <v>0</v>
      </c>
    </row>
    <row r="91" spans="1:7">
      <c r="A91">
        <v>4.409</v>
      </c>
      <c r="B91" s="8" t="s">
        <v>81</v>
      </c>
      <c r="C91">
        <v>82.6</v>
      </c>
      <c r="E91" s="3">
        <f t="shared" si="6"/>
        <v>4.4</v>
      </c>
      <c r="F91">
        <f t="shared" si="4"/>
        <v>3.649</v>
      </c>
      <c r="G91">
        <f t="shared" si="5"/>
        <v>0</v>
      </c>
    </row>
    <row r="92" spans="1:7">
      <c r="A92">
        <v>4.459</v>
      </c>
      <c r="B92" s="2">
        <v>-0.007702</v>
      </c>
      <c r="C92">
        <v>82.2</v>
      </c>
      <c r="E92" s="3">
        <f t="shared" si="6"/>
        <v>4.45</v>
      </c>
      <c r="F92">
        <f t="shared" si="4"/>
        <v>-7.702</v>
      </c>
      <c r="G92">
        <f t="shared" si="5"/>
        <v>0</v>
      </c>
    </row>
    <row r="93" spans="1:7">
      <c r="A93">
        <v>4.509</v>
      </c>
      <c r="B93" s="2">
        <v>-0.01905</v>
      </c>
      <c r="C93">
        <v>81.3</v>
      </c>
      <c r="E93" s="3">
        <f t="shared" si="6"/>
        <v>4.5</v>
      </c>
      <c r="F93">
        <f t="shared" si="4"/>
        <v>-19.05</v>
      </c>
      <c r="G93">
        <f t="shared" si="5"/>
        <v>0</v>
      </c>
    </row>
    <row r="94" spans="1:7">
      <c r="A94">
        <v>4.559</v>
      </c>
      <c r="B94" s="2">
        <v>-0.02961</v>
      </c>
      <c r="C94">
        <v>82.2</v>
      </c>
      <c r="E94" s="3">
        <f t="shared" si="6"/>
        <v>4.55</v>
      </c>
      <c r="F94">
        <f t="shared" si="4"/>
        <v>-29.61</v>
      </c>
      <c r="G94">
        <f t="shared" si="5"/>
        <v>0</v>
      </c>
    </row>
    <row r="95" spans="1:7">
      <c r="A95">
        <v>4.609</v>
      </c>
      <c r="B95" s="2">
        <v>-0.03899</v>
      </c>
      <c r="C95">
        <v>81.4</v>
      </c>
      <c r="E95" s="3">
        <f t="shared" si="6"/>
        <v>4.6</v>
      </c>
      <c r="F95">
        <f t="shared" si="4"/>
        <v>-38.99</v>
      </c>
      <c r="G95">
        <f t="shared" si="5"/>
        <v>0</v>
      </c>
    </row>
    <row r="96" spans="1:7">
      <c r="A96">
        <v>4.659</v>
      </c>
      <c r="B96" s="2">
        <v>-0.04675</v>
      </c>
      <c r="C96">
        <v>82</v>
      </c>
      <c r="E96" s="3">
        <f t="shared" si="6"/>
        <v>4.65</v>
      </c>
      <c r="F96">
        <f t="shared" si="4"/>
        <v>-46.75</v>
      </c>
      <c r="G96">
        <f t="shared" si="5"/>
        <v>0</v>
      </c>
    </row>
    <row r="97" spans="1:7">
      <c r="A97">
        <v>4.71</v>
      </c>
      <c r="B97" s="2">
        <v>-0.05276</v>
      </c>
      <c r="C97">
        <v>81.9</v>
      </c>
      <c r="E97" s="3">
        <f t="shared" si="6"/>
        <v>4.7</v>
      </c>
      <c r="F97">
        <f t="shared" si="4"/>
        <v>-52.76</v>
      </c>
      <c r="G97">
        <f t="shared" si="5"/>
        <v>0</v>
      </c>
    </row>
    <row r="98" spans="1:7">
      <c r="A98">
        <v>4.76</v>
      </c>
      <c r="B98" s="2">
        <v>-0.05682</v>
      </c>
      <c r="C98">
        <v>82</v>
      </c>
      <c r="E98" s="3">
        <f t="shared" si="6"/>
        <v>4.75</v>
      </c>
      <c r="F98">
        <f t="shared" si="4"/>
        <v>-56.82</v>
      </c>
      <c r="G98">
        <f t="shared" si="5"/>
        <v>0</v>
      </c>
    </row>
    <row r="99" spans="1:7">
      <c r="A99">
        <v>4.81</v>
      </c>
      <c r="B99" s="2">
        <v>-0.0588</v>
      </c>
      <c r="C99">
        <v>81.7</v>
      </c>
      <c r="E99" s="3">
        <f t="shared" si="6"/>
        <v>4.8</v>
      </c>
      <c r="F99">
        <f t="shared" si="4"/>
        <v>-58.8</v>
      </c>
      <c r="G99">
        <f t="shared" si="5"/>
        <v>0</v>
      </c>
    </row>
    <row r="100" spans="1:7">
      <c r="A100">
        <v>4.86</v>
      </c>
      <c r="B100" s="2">
        <v>-0.05876</v>
      </c>
      <c r="C100">
        <v>81.9</v>
      </c>
      <c r="E100" s="3">
        <f t="shared" si="6"/>
        <v>4.85</v>
      </c>
      <c r="F100">
        <f t="shared" si="4"/>
        <v>-58.76</v>
      </c>
      <c r="G100">
        <f t="shared" si="5"/>
        <v>0</v>
      </c>
    </row>
    <row r="101" spans="1:7">
      <c r="A101">
        <v>4.91</v>
      </c>
      <c r="B101" s="2">
        <v>-0.05651</v>
      </c>
      <c r="C101">
        <v>82.1</v>
      </c>
      <c r="E101" s="3">
        <f t="shared" si="6"/>
        <v>4.9</v>
      </c>
      <c r="F101">
        <f t="shared" si="4"/>
        <v>-56.51</v>
      </c>
      <c r="G101">
        <f t="shared" si="5"/>
        <v>0</v>
      </c>
    </row>
    <row r="102" spans="1:7">
      <c r="A102">
        <v>4.96</v>
      </c>
      <c r="B102" s="2">
        <v>-0.05252</v>
      </c>
      <c r="C102">
        <v>81.4</v>
      </c>
      <c r="E102" s="3">
        <f t="shared" si="6"/>
        <v>4.95</v>
      </c>
      <c r="F102">
        <f t="shared" si="4"/>
        <v>-52.52</v>
      </c>
      <c r="G102">
        <f t="shared" si="5"/>
        <v>0</v>
      </c>
    </row>
    <row r="103" spans="1:7">
      <c r="A103">
        <v>5.01</v>
      </c>
      <c r="B103" s="2">
        <v>-0.04654</v>
      </c>
      <c r="C103">
        <v>81.6</v>
      </c>
      <c r="E103" s="3">
        <f t="shared" si="6"/>
        <v>5</v>
      </c>
      <c r="F103">
        <f t="shared" si="4"/>
        <v>-46.54</v>
      </c>
      <c r="G103">
        <f t="shared" si="5"/>
        <v>0</v>
      </c>
    </row>
    <row r="104" spans="1:7">
      <c r="A104">
        <v>5.06</v>
      </c>
      <c r="B104" s="2">
        <v>-0.03922</v>
      </c>
      <c r="C104">
        <v>81.8</v>
      </c>
      <c r="E104" s="3">
        <f t="shared" si="6"/>
        <v>5.05</v>
      </c>
      <c r="F104">
        <f t="shared" si="4"/>
        <v>-39.22</v>
      </c>
      <c r="G104">
        <f t="shared" si="5"/>
        <v>0</v>
      </c>
    </row>
    <row r="105" spans="1:7">
      <c r="A105">
        <v>5.11</v>
      </c>
      <c r="B105" s="2">
        <v>-0.03042</v>
      </c>
      <c r="C105">
        <v>82.5</v>
      </c>
      <c r="E105" s="3">
        <f t="shared" si="6"/>
        <v>5.1</v>
      </c>
      <c r="F105">
        <f t="shared" si="4"/>
        <v>-30.42</v>
      </c>
      <c r="G105">
        <f t="shared" si="5"/>
        <v>0</v>
      </c>
    </row>
    <row r="106" spans="1:7">
      <c r="A106">
        <v>5.16</v>
      </c>
      <c r="B106" s="2">
        <v>-0.02068</v>
      </c>
      <c r="C106">
        <v>81</v>
      </c>
      <c r="E106" s="3">
        <f t="shared" si="6"/>
        <v>5.15</v>
      </c>
      <c r="F106">
        <f t="shared" si="4"/>
        <v>-20.68</v>
      </c>
      <c r="G106">
        <f t="shared" si="5"/>
        <v>0</v>
      </c>
    </row>
    <row r="107" spans="1:7">
      <c r="A107">
        <v>5.211</v>
      </c>
      <c r="B107" s="2">
        <v>-0.01024</v>
      </c>
      <c r="C107">
        <v>82</v>
      </c>
      <c r="E107" s="3">
        <f t="shared" si="6"/>
        <v>5.2</v>
      </c>
      <c r="F107">
        <f t="shared" si="4"/>
        <v>-10.24</v>
      </c>
      <c r="G107">
        <f t="shared" si="5"/>
        <v>0</v>
      </c>
    </row>
    <row r="108" spans="1:7">
      <c r="A108">
        <v>5.261</v>
      </c>
      <c r="B108" s="2">
        <v>-4.946e-5</v>
      </c>
      <c r="C108">
        <v>80.6</v>
      </c>
      <c r="E108" s="3">
        <f t="shared" si="6"/>
        <v>5.25</v>
      </c>
      <c r="F108">
        <f t="shared" si="4"/>
        <v>-0.04946</v>
      </c>
      <c r="G108">
        <f t="shared" si="5"/>
        <v>0</v>
      </c>
    </row>
    <row r="109" spans="1:7">
      <c r="A109">
        <v>5.311</v>
      </c>
      <c r="B109" s="8" t="s">
        <v>82</v>
      </c>
      <c r="C109">
        <v>81.3</v>
      </c>
      <c r="E109" s="3">
        <f t="shared" si="6"/>
        <v>5.3</v>
      </c>
      <c r="F109">
        <f t="shared" si="4"/>
        <v>10.73</v>
      </c>
      <c r="G109">
        <f t="shared" si="5"/>
        <v>0</v>
      </c>
    </row>
    <row r="110" spans="1:7">
      <c r="A110">
        <v>5.361</v>
      </c>
      <c r="B110" s="8" t="s">
        <v>83</v>
      </c>
      <c r="C110">
        <v>81.3</v>
      </c>
      <c r="E110" s="3">
        <f t="shared" si="6"/>
        <v>5.35</v>
      </c>
      <c r="F110">
        <f t="shared" si="4"/>
        <v>21.04</v>
      </c>
      <c r="G110">
        <f t="shared" si="5"/>
        <v>0</v>
      </c>
    </row>
    <row r="111" spans="1:7">
      <c r="A111">
        <v>5.411</v>
      </c>
      <c r="B111" s="8" t="s">
        <v>84</v>
      </c>
      <c r="C111">
        <v>81.7</v>
      </c>
      <c r="E111" s="3">
        <f t="shared" si="6"/>
        <v>5.4</v>
      </c>
      <c r="F111">
        <f t="shared" si="4"/>
        <v>30.93</v>
      </c>
      <c r="G111">
        <f t="shared" si="5"/>
        <v>0</v>
      </c>
    </row>
    <row r="112" spans="1:7">
      <c r="A112">
        <v>5.461</v>
      </c>
      <c r="B112" s="8" t="s">
        <v>85</v>
      </c>
      <c r="C112">
        <v>81.1</v>
      </c>
      <c r="E112" s="3">
        <f t="shared" si="6"/>
        <v>5.45</v>
      </c>
      <c r="F112">
        <f t="shared" si="4"/>
        <v>39.92</v>
      </c>
      <c r="G112">
        <f t="shared" si="5"/>
        <v>0</v>
      </c>
    </row>
    <row r="113" spans="1:7">
      <c r="A113">
        <v>5.511</v>
      </c>
      <c r="B113" s="8" t="s">
        <v>86</v>
      </c>
      <c r="C113">
        <v>81.3</v>
      </c>
      <c r="E113" s="3">
        <f t="shared" si="6"/>
        <v>5.5</v>
      </c>
      <c r="F113">
        <f t="shared" si="4"/>
        <v>47.86</v>
      </c>
      <c r="G113">
        <f t="shared" si="5"/>
        <v>0</v>
      </c>
    </row>
    <row r="114" spans="1:7">
      <c r="A114">
        <v>5.561</v>
      </c>
      <c r="B114" s="8" t="s">
        <v>87</v>
      </c>
      <c r="C114">
        <v>80.6</v>
      </c>
      <c r="E114" s="3">
        <f t="shared" si="6"/>
        <v>5.55</v>
      </c>
      <c r="F114">
        <f t="shared" si="4"/>
        <v>54.25</v>
      </c>
      <c r="G114">
        <f t="shared" si="5"/>
        <v>0</v>
      </c>
    </row>
    <row r="115" spans="1:7">
      <c r="A115">
        <v>5.611</v>
      </c>
      <c r="B115" s="8" t="s">
        <v>88</v>
      </c>
      <c r="C115">
        <v>81.5</v>
      </c>
      <c r="E115" s="3">
        <f t="shared" si="6"/>
        <v>5.6</v>
      </c>
      <c r="F115">
        <f t="shared" si="4"/>
        <v>58.96</v>
      </c>
      <c r="G115">
        <f t="shared" si="5"/>
        <v>0</v>
      </c>
    </row>
    <row r="116" spans="1:7">
      <c r="A116">
        <v>5.661</v>
      </c>
      <c r="B116" s="8" t="s">
        <v>89</v>
      </c>
      <c r="C116">
        <v>81</v>
      </c>
      <c r="E116" s="3">
        <f t="shared" si="6"/>
        <v>5.65</v>
      </c>
      <c r="F116">
        <f t="shared" si="4"/>
        <v>62.34</v>
      </c>
      <c r="G116">
        <f t="shared" si="5"/>
        <v>0</v>
      </c>
    </row>
    <row r="117" spans="1:7">
      <c r="A117">
        <v>5.712</v>
      </c>
      <c r="B117" s="8" t="s">
        <v>90</v>
      </c>
      <c r="C117">
        <v>81.6</v>
      </c>
      <c r="E117" s="3">
        <f t="shared" si="6"/>
        <v>5.7</v>
      </c>
      <c r="F117">
        <f t="shared" si="4"/>
        <v>64</v>
      </c>
      <c r="G117">
        <f t="shared" si="5"/>
        <v>0</v>
      </c>
    </row>
    <row r="118" spans="1:7">
      <c r="A118">
        <v>5.762</v>
      </c>
      <c r="B118" s="8" t="s">
        <v>91</v>
      </c>
      <c r="C118">
        <v>81.2</v>
      </c>
      <c r="E118" s="3">
        <f t="shared" si="6"/>
        <v>5.75</v>
      </c>
      <c r="F118">
        <f t="shared" si="4"/>
        <v>64.02</v>
      </c>
      <c r="G118">
        <f t="shared" si="5"/>
        <v>0</v>
      </c>
    </row>
    <row r="119" spans="1:7">
      <c r="A119">
        <v>5.812</v>
      </c>
      <c r="B119" s="8" t="s">
        <v>92</v>
      </c>
      <c r="C119">
        <v>81.2</v>
      </c>
      <c r="E119" s="3">
        <f t="shared" si="6"/>
        <v>5.8</v>
      </c>
      <c r="F119">
        <f t="shared" si="4"/>
        <v>62.51</v>
      </c>
      <c r="G119">
        <f t="shared" si="5"/>
        <v>0</v>
      </c>
    </row>
    <row r="120" spans="1:7">
      <c r="A120">
        <v>5.862</v>
      </c>
      <c r="B120" s="8" t="s">
        <v>93</v>
      </c>
      <c r="C120">
        <v>81.9</v>
      </c>
      <c r="E120" s="3">
        <f t="shared" si="6"/>
        <v>5.85</v>
      </c>
      <c r="F120">
        <f t="shared" si="4"/>
        <v>59.51</v>
      </c>
      <c r="G120">
        <f t="shared" si="5"/>
        <v>0</v>
      </c>
    </row>
    <row r="121" spans="1:7">
      <c r="A121">
        <v>5.912</v>
      </c>
      <c r="B121" s="8" t="s">
        <v>94</v>
      </c>
      <c r="C121">
        <v>81.2</v>
      </c>
      <c r="E121" s="3">
        <f t="shared" si="6"/>
        <v>5.9</v>
      </c>
      <c r="F121">
        <f t="shared" si="4"/>
        <v>55.16</v>
      </c>
      <c r="G121">
        <f t="shared" si="5"/>
        <v>0</v>
      </c>
    </row>
    <row r="122" spans="1:7">
      <c r="A122">
        <v>5.962</v>
      </c>
      <c r="B122" s="8" t="s">
        <v>95</v>
      </c>
      <c r="C122">
        <v>81.1</v>
      </c>
      <c r="E122" s="3">
        <f t="shared" si="6"/>
        <v>5.95</v>
      </c>
      <c r="F122">
        <f t="shared" si="4"/>
        <v>49.34</v>
      </c>
      <c r="G122">
        <f t="shared" si="5"/>
        <v>0</v>
      </c>
    </row>
    <row r="123" spans="1:7">
      <c r="A123">
        <v>6.012</v>
      </c>
      <c r="B123" s="8" t="s">
        <v>96</v>
      </c>
      <c r="C123">
        <v>81.7</v>
      </c>
      <c r="E123" s="3">
        <f t="shared" si="6"/>
        <v>6</v>
      </c>
      <c r="F123">
        <f t="shared" si="4"/>
        <v>42.12</v>
      </c>
      <c r="G123">
        <f t="shared" si="5"/>
        <v>0</v>
      </c>
    </row>
    <row r="124" spans="1:7">
      <c r="A124">
        <v>6.062</v>
      </c>
      <c r="B124" s="8" t="s">
        <v>97</v>
      </c>
      <c r="C124">
        <v>82.2</v>
      </c>
      <c r="E124" s="3">
        <f t="shared" si="6"/>
        <v>6.05</v>
      </c>
      <c r="F124">
        <f t="shared" si="4"/>
        <v>34</v>
      </c>
      <c r="G124">
        <f t="shared" si="5"/>
        <v>0</v>
      </c>
    </row>
    <row r="125" spans="1:7">
      <c r="A125">
        <v>6.112</v>
      </c>
      <c r="B125" s="8" t="s">
        <v>98</v>
      </c>
      <c r="C125">
        <v>82.3</v>
      </c>
      <c r="E125" s="3">
        <f t="shared" si="6"/>
        <v>6.1</v>
      </c>
      <c r="F125">
        <f t="shared" si="4"/>
        <v>25.17</v>
      </c>
      <c r="G125">
        <f t="shared" si="5"/>
        <v>0</v>
      </c>
    </row>
    <row r="126" spans="1:7">
      <c r="A126">
        <v>6.162</v>
      </c>
      <c r="B126" s="8" t="s">
        <v>99</v>
      </c>
      <c r="C126">
        <v>82.5</v>
      </c>
      <c r="E126" s="3">
        <f t="shared" si="6"/>
        <v>6.15</v>
      </c>
      <c r="F126">
        <f t="shared" si="4"/>
        <v>15.39</v>
      </c>
      <c r="G126">
        <f t="shared" si="5"/>
        <v>0</v>
      </c>
    </row>
    <row r="127" spans="1:7">
      <c r="A127">
        <v>6.213</v>
      </c>
      <c r="B127" s="8" t="s">
        <v>100</v>
      </c>
      <c r="C127">
        <v>81.1</v>
      </c>
      <c r="E127" s="3">
        <f t="shared" si="6"/>
        <v>6.2</v>
      </c>
      <c r="F127">
        <f t="shared" si="4"/>
        <v>5.749</v>
      </c>
      <c r="G127">
        <f t="shared" si="5"/>
        <v>0</v>
      </c>
    </row>
    <row r="128" spans="1:7">
      <c r="A128">
        <v>6.263</v>
      </c>
      <c r="B128" s="2">
        <v>-0.003943</v>
      </c>
      <c r="C128">
        <v>81.4</v>
      </c>
      <c r="E128" s="3">
        <f t="shared" si="6"/>
        <v>6.25</v>
      </c>
      <c r="F128">
        <f t="shared" si="4"/>
        <v>-3.943</v>
      </c>
      <c r="G128">
        <f t="shared" si="5"/>
        <v>0</v>
      </c>
    </row>
    <row r="129" spans="1:7">
      <c r="A129">
        <v>6.313</v>
      </c>
      <c r="B129" s="2">
        <v>-0.01335</v>
      </c>
      <c r="C129">
        <v>80.6</v>
      </c>
      <c r="E129" s="3">
        <f t="shared" si="6"/>
        <v>6.3</v>
      </c>
      <c r="F129">
        <f t="shared" si="4"/>
        <v>-13.35</v>
      </c>
      <c r="G129">
        <f t="shared" si="5"/>
        <v>0</v>
      </c>
    </row>
    <row r="130" spans="1:7">
      <c r="A130">
        <v>6.363</v>
      </c>
      <c r="B130" s="2">
        <v>-0.02242</v>
      </c>
      <c r="C130">
        <v>81.3</v>
      </c>
      <c r="E130" s="3">
        <f t="shared" si="6"/>
        <v>6.35</v>
      </c>
      <c r="F130">
        <f t="shared" si="4"/>
        <v>-22.42</v>
      </c>
      <c r="G130">
        <f t="shared" si="5"/>
        <v>0</v>
      </c>
    </row>
    <row r="131" spans="1:7">
      <c r="A131">
        <v>6.413</v>
      </c>
      <c r="B131" s="2">
        <v>-0.03069</v>
      </c>
      <c r="C131">
        <v>81.7</v>
      </c>
      <c r="E131" s="3">
        <f t="shared" si="6"/>
        <v>6.4</v>
      </c>
      <c r="F131">
        <f t="shared" si="4"/>
        <v>-30.69</v>
      </c>
      <c r="G131">
        <f t="shared" si="5"/>
        <v>0</v>
      </c>
    </row>
    <row r="132" spans="1:7">
      <c r="A132">
        <v>6.463</v>
      </c>
      <c r="B132" s="2">
        <v>-0.03752</v>
      </c>
      <c r="C132">
        <v>82</v>
      </c>
      <c r="E132" s="3">
        <f t="shared" si="6"/>
        <v>6.45</v>
      </c>
      <c r="F132">
        <f t="shared" ref="F132:F195" si="7">B132*1000</f>
        <v>-37.52</v>
      </c>
      <c r="G132">
        <f t="shared" ref="G132:G195" si="8">IF(C132&lt;230,0,40)</f>
        <v>0</v>
      </c>
    </row>
    <row r="133" spans="1:7">
      <c r="A133">
        <v>6.513</v>
      </c>
      <c r="B133" s="2">
        <v>-0.04308</v>
      </c>
      <c r="C133">
        <v>81.4</v>
      </c>
      <c r="E133" s="3">
        <f t="shared" si="6"/>
        <v>6.5</v>
      </c>
      <c r="F133">
        <f t="shared" si="7"/>
        <v>-43.08</v>
      </c>
      <c r="G133">
        <f t="shared" si="8"/>
        <v>0</v>
      </c>
    </row>
    <row r="134" spans="1:7">
      <c r="A134">
        <v>6.563</v>
      </c>
      <c r="B134" s="2">
        <v>-0.04686</v>
      </c>
      <c r="C134">
        <v>81.7</v>
      </c>
      <c r="E134" s="3">
        <f t="shared" si="6"/>
        <v>6.55</v>
      </c>
      <c r="F134">
        <f t="shared" si="7"/>
        <v>-46.86</v>
      </c>
      <c r="G134">
        <f t="shared" si="8"/>
        <v>0</v>
      </c>
    </row>
    <row r="135" spans="1:7">
      <c r="A135">
        <v>6.613</v>
      </c>
      <c r="B135" s="2">
        <v>-0.04898</v>
      </c>
      <c r="C135">
        <v>81.7</v>
      </c>
      <c r="E135" s="3">
        <f t="shared" si="6"/>
        <v>6.6</v>
      </c>
      <c r="F135">
        <f t="shared" si="7"/>
        <v>-48.98</v>
      </c>
      <c r="G135">
        <f t="shared" si="8"/>
        <v>0</v>
      </c>
    </row>
    <row r="136" spans="1:7">
      <c r="A136">
        <v>6.664</v>
      </c>
      <c r="B136" s="2">
        <v>-0.04922</v>
      </c>
      <c r="C136">
        <v>81.4</v>
      </c>
      <c r="E136" s="3">
        <f t="shared" si="6"/>
        <v>6.65</v>
      </c>
      <c r="F136">
        <f t="shared" si="7"/>
        <v>-49.22</v>
      </c>
      <c r="G136">
        <f t="shared" si="8"/>
        <v>0</v>
      </c>
    </row>
    <row r="137" spans="1:7">
      <c r="A137">
        <v>6.714</v>
      </c>
      <c r="B137" s="2">
        <v>-0.04778</v>
      </c>
      <c r="C137">
        <v>82</v>
      </c>
      <c r="E137" s="3">
        <f t="shared" si="6"/>
        <v>6.7</v>
      </c>
      <c r="F137">
        <f t="shared" si="7"/>
        <v>-47.78</v>
      </c>
      <c r="G137">
        <f t="shared" si="8"/>
        <v>0</v>
      </c>
    </row>
    <row r="138" spans="1:7">
      <c r="A138">
        <v>6.764</v>
      </c>
      <c r="B138" s="2">
        <v>-0.04454</v>
      </c>
      <c r="C138">
        <v>253.6</v>
      </c>
      <c r="E138" s="3">
        <f t="shared" ref="E138:E201" si="9">FLOOR(A138,0.05)</f>
        <v>6.75</v>
      </c>
      <c r="F138">
        <f t="shared" si="7"/>
        <v>-44.54</v>
      </c>
      <c r="G138">
        <f t="shared" si="8"/>
        <v>40</v>
      </c>
    </row>
    <row r="139" spans="1:7">
      <c r="A139">
        <v>6.814</v>
      </c>
      <c r="B139" s="2">
        <v>-0.03993</v>
      </c>
      <c r="C139">
        <v>253.6</v>
      </c>
      <c r="E139" s="3">
        <f t="shared" si="9"/>
        <v>6.8</v>
      </c>
      <c r="F139">
        <f t="shared" si="7"/>
        <v>-39.93</v>
      </c>
      <c r="G139">
        <f t="shared" si="8"/>
        <v>40</v>
      </c>
    </row>
    <row r="140" spans="1:7">
      <c r="A140">
        <v>6.864</v>
      </c>
      <c r="B140" s="2">
        <v>-0.03448</v>
      </c>
      <c r="C140">
        <v>253.6</v>
      </c>
      <c r="E140" s="3">
        <f t="shared" si="9"/>
        <v>6.85</v>
      </c>
      <c r="F140">
        <f t="shared" si="7"/>
        <v>-34.48</v>
      </c>
      <c r="G140">
        <f t="shared" si="8"/>
        <v>40</v>
      </c>
    </row>
    <row r="141" spans="1:7">
      <c r="A141">
        <v>6.914</v>
      </c>
      <c r="B141" s="2">
        <v>-0.02852</v>
      </c>
      <c r="C141">
        <v>253.6</v>
      </c>
      <c r="E141" s="3">
        <f t="shared" si="9"/>
        <v>6.9</v>
      </c>
      <c r="F141">
        <f t="shared" si="7"/>
        <v>-28.52</v>
      </c>
      <c r="G141">
        <f t="shared" si="8"/>
        <v>40</v>
      </c>
    </row>
    <row r="142" spans="1:7">
      <c r="A142">
        <v>6.964</v>
      </c>
      <c r="B142" s="2">
        <v>-0.02234</v>
      </c>
      <c r="C142">
        <v>253.6</v>
      </c>
      <c r="E142" s="3">
        <f t="shared" si="9"/>
        <v>6.95</v>
      </c>
      <c r="F142">
        <f t="shared" si="7"/>
        <v>-22.34</v>
      </c>
      <c r="G142">
        <f t="shared" si="8"/>
        <v>40</v>
      </c>
    </row>
    <row r="143" spans="1:7">
      <c r="A143">
        <v>7.014</v>
      </c>
      <c r="B143" s="2">
        <v>-0.01615</v>
      </c>
      <c r="C143">
        <v>253.5</v>
      </c>
      <c r="E143" s="3">
        <f t="shared" si="9"/>
        <v>7</v>
      </c>
      <c r="F143">
        <f t="shared" si="7"/>
        <v>-16.15</v>
      </c>
      <c r="G143">
        <f t="shared" si="8"/>
        <v>40</v>
      </c>
    </row>
    <row r="144" spans="1:7">
      <c r="A144">
        <v>7.064</v>
      </c>
      <c r="B144" s="2">
        <v>-0.009756</v>
      </c>
      <c r="C144">
        <v>253.6</v>
      </c>
      <c r="E144" s="3">
        <f t="shared" si="9"/>
        <v>7.05</v>
      </c>
      <c r="F144">
        <f t="shared" si="7"/>
        <v>-9.756</v>
      </c>
      <c r="G144">
        <f t="shared" si="8"/>
        <v>40</v>
      </c>
    </row>
    <row r="145" spans="1:7">
      <c r="A145">
        <v>7.114</v>
      </c>
      <c r="B145" s="2">
        <v>-0.00392</v>
      </c>
      <c r="C145">
        <v>253.5</v>
      </c>
      <c r="E145" s="3">
        <f t="shared" si="9"/>
        <v>7.1</v>
      </c>
      <c r="F145">
        <f t="shared" si="7"/>
        <v>-3.92</v>
      </c>
      <c r="G145">
        <f t="shared" si="8"/>
        <v>40</v>
      </c>
    </row>
    <row r="146" spans="1:7">
      <c r="A146">
        <v>7.165</v>
      </c>
      <c r="B146" s="8" t="s">
        <v>101</v>
      </c>
      <c r="C146">
        <v>253.6</v>
      </c>
      <c r="E146" s="3">
        <f t="shared" si="9"/>
        <v>7.15</v>
      </c>
      <c r="F146">
        <f t="shared" si="7"/>
        <v>1.57</v>
      </c>
      <c r="G146">
        <f t="shared" si="8"/>
        <v>40</v>
      </c>
    </row>
    <row r="147" spans="1:7">
      <c r="A147">
        <v>7.215</v>
      </c>
      <c r="B147" s="8" t="s">
        <v>102</v>
      </c>
      <c r="C147">
        <v>253.6</v>
      </c>
      <c r="E147" s="3">
        <f t="shared" si="9"/>
        <v>7.2</v>
      </c>
      <c r="F147">
        <f t="shared" si="7"/>
        <v>6.566</v>
      </c>
      <c r="G147">
        <f t="shared" si="8"/>
        <v>40</v>
      </c>
    </row>
    <row r="148" spans="1:7">
      <c r="A148">
        <v>7.265</v>
      </c>
      <c r="B148" s="8" t="s">
        <v>103</v>
      </c>
      <c r="C148">
        <v>253.6</v>
      </c>
      <c r="E148" s="3">
        <f t="shared" si="9"/>
        <v>7.25</v>
      </c>
      <c r="F148">
        <f t="shared" si="7"/>
        <v>10.96</v>
      </c>
      <c r="G148">
        <f t="shared" si="8"/>
        <v>40</v>
      </c>
    </row>
    <row r="149" spans="1:7">
      <c r="A149">
        <v>7.315</v>
      </c>
      <c r="B149" s="8" t="s">
        <v>104</v>
      </c>
      <c r="C149">
        <v>253.5</v>
      </c>
      <c r="E149" s="3">
        <f t="shared" si="9"/>
        <v>7.3</v>
      </c>
      <c r="F149">
        <f t="shared" si="7"/>
        <v>14.59</v>
      </c>
      <c r="G149">
        <f t="shared" si="8"/>
        <v>40</v>
      </c>
    </row>
    <row r="150" spans="1:7">
      <c r="A150">
        <v>7.365</v>
      </c>
      <c r="B150" s="8" t="s">
        <v>105</v>
      </c>
      <c r="C150">
        <v>253.5</v>
      </c>
      <c r="E150" s="3">
        <f t="shared" si="9"/>
        <v>7.35</v>
      </c>
      <c r="F150">
        <f t="shared" si="7"/>
        <v>17.66</v>
      </c>
      <c r="G150">
        <f t="shared" si="8"/>
        <v>40</v>
      </c>
    </row>
    <row r="151" spans="1:7">
      <c r="A151">
        <v>7.415</v>
      </c>
      <c r="B151" s="8" t="s">
        <v>106</v>
      </c>
      <c r="C151">
        <v>253.6</v>
      </c>
      <c r="E151" s="3">
        <f t="shared" si="9"/>
        <v>7.4</v>
      </c>
      <c r="F151">
        <f t="shared" si="7"/>
        <v>19.93</v>
      </c>
      <c r="G151">
        <f t="shared" si="8"/>
        <v>40</v>
      </c>
    </row>
    <row r="152" spans="1:7">
      <c r="A152">
        <v>7.465</v>
      </c>
      <c r="B152" s="8" t="s">
        <v>107</v>
      </c>
      <c r="C152">
        <v>253.5</v>
      </c>
      <c r="E152" s="3">
        <f t="shared" si="9"/>
        <v>7.45</v>
      </c>
      <c r="F152">
        <f t="shared" si="7"/>
        <v>21.22</v>
      </c>
      <c r="G152">
        <f t="shared" si="8"/>
        <v>40</v>
      </c>
    </row>
    <row r="153" spans="1:7">
      <c r="A153">
        <v>7.515</v>
      </c>
      <c r="B153" s="8" t="s">
        <v>108</v>
      </c>
      <c r="C153">
        <v>253.6</v>
      </c>
      <c r="E153" s="3">
        <f t="shared" si="9"/>
        <v>7.5</v>
      </c>
      <c r="F153">
        <f t="shared" si="7"/>
        <v>21.67</v>
      </c>
      <c r="G153">
        <f t="shared" si="8"/>
        <v>40</v>
      </c>
    </row>
    <row r="154" spans="1:7">
      <c r="A154">
        <v>7.565</v>
      </c>
      <c r="B154" s="8" t="s">
        <v>109</v>
      </c>
      <c r="C154">
        <v>253.6</v>
      </c>
      <c r="E154" s="3">
        <f t="shared" si="9"/>
        <v>7.55</v>
      </c>
      <c r="F154">
        <f t="shared" si="7"/>
        <v>21.31</v>
      </c>
      <c r="G154">
        <f t="shared" si="8"/>
        <v>40</v>
      </c>
    </row>
    <row r="155" spans="1:7">
      <c r="A155">
        <v>7.615</v>
      </c>
      <c r="B155" s="8" t="s">
        <v>110</v>
      </c>
      <c r="C155">
        <v>253.6</v>
      </c>
      <c r="E155" s="3">
        <f t="shared" si="9"/>
        <v>7.6</v>
      </c>
      <c r="F155">
        <f t="shared" si="7"/>
        <v>20.19</v>
      </c>
      <c r="G155">
        <f t="shared" si="8"/>
        <v>40</v>
      </c>
    </row>
    <row r="156" spans="1:7">
      <c r="A156">
        <v>7.666</v>
      </c>
      <c r="B156" s="8" t="s">
        <v>111</v>
      </c>
      <c r="C156">
        <v>253.6</v>
      </c>
      <c r="E156" s="3">
        <f t="shared" si="9"/>
        <v>7.65</v>
      </c>
      <c r="F156">
        <f t="shared" si="7"/>
        <v>18.57</v>
      </c>
      <c r="G156">
        <f t="shared" si="8"/>
        <v>40</v>
      </c>
    </row>
    <row r="157" spans="1:7">
      <c r="A157">
        <v>7.716</v>
      </c>
      <c r="B157" s="8" t="s">
        <v>112</v>
      </c>
      <c r="C157">
        <v>253.6</v>
      </c>
      <c r="E157" s="3">
        <f t="shared" si="9"/>
        <v>7.7</v>
      </c>
      <c r="F157">
        <f t="shared" si="7"/>
        <v>16.46</v>
      </c>
      <c r="G157">
        <f t="shared" si="8"/>
        <v>40</v>
      </c>
    </row>
    <row r="158" spans="1:7">
      <c r="A158">
        <v>7.766</v>
      </c>
      <c r="B158" s="8" t="s">
        <v>113</v>
      </c>
      <c r="C158">
        <v>239.6</v>
      </c>
      <c r="E158" s="3">
        <f t="shared" si="9"/>
        <v>7.75</v>
      </c>
      <c r="F158">
        <f t="shared" si="7"/>
        <v>14.28</v>
      </c>
      <c r="G158">
        <f t="shared" si="8"/>
        <v>40</v>
      </c>
    </row>
    <row r="159" spans="1:7">
      <c r="A159">
        <v>7.816</v>
      </c>
      <c r="B159" s="8" t="s">
        <v>114</v>
      </c>
      <c r="C159">
        <v>149.4</v>
      </c>
      <c r="E159" s="3">
        <f t="shared" si="9"/>
        <v>7.8</v>
      </c>
      <c r="F159">
        <f t="shared" si="7"/>
        <v>12.11</v>
      </c>
      <c r="G159">
        <f t="shared" si="8"/>
        <v>0</v>
      </c>
    </row>
    <row r="160" spans="1:7">
      <c r="A160">
        <v>7.866</v>
      </c>
      <c r="B160" s="8" t="s">
        <v>115</v>
      </c>
      <c r="C160">
        <v>146.6</v>
      </c>
      <c r="E160" s="3">
        <f t="shared" si="9"/>
        <v>7.85</v>
      </c>
      <c r="F160">
        <f t="shared" si="7"/>
        <v>10.35</v>
      </c>
      <c r="G160">
        <f t="shared" si="8"/>
        <v>0</v>
      </c>
    </row>
    <row r="161" spans="1:7">
      <c r="A161">
        <v>7.916</v>
      </c>
      <c r="B161" s="8" t="s">
        <v>116</v>
      </c>
      <c r="C161">
        <v>138.4</v>
      </c>
      <c r="E161" s="3">
        <f t="shared" si="9"/>
        <v>7.9</v>
      </c>
      <c r="F161">
        <f t="shared" si="7"/>
        <v>9.182</v>
      </c>
      <c r="G161">
        <f t="shared" si="8"/>
        <v>0</v>
      </c>
    </row>
    <row r="162" spans="1:7">
      <c r="A162">
        <v>7.966</v>
      </c>
      <c r="B162" s="8" t="s">
        <v>30</v>
      </c>
      <c r="C162">
        <v>128.4</v>
      </c>
      <c r="E162" s="3">
        <f t="shared" si="9"/>
        <v>7.95</v>
      </c>
      <c r="F162">
        <f t="shared" si="7"/>
        <v>8.52</v>
      </c>
      <c r="G162">
        <f t="shared" si="8"/>
        <v>0</v>
      </c>
    </row>
    <row r="163" spans="1:7">
      <c r="A163">
        <v>8.016</v>
      </c>
      <c r="B163" s="8" t="s">
        <v>117</v>
      </c>
      <c r="C163">
        <v>118.9</v>
      </c>
      <c r="E163" s="3">
        <f t="shared" si="9"/>
        <v>8</v>
      </c>
      <c r="F163">
        <f t="shared" si="7"/>
        <v>8.312</v>
      </c>
      <c r="G163">
        <f t="shared" si="8"/>
        <v>0</v>
      </c>
    </row>
    <row r="164" spans="1:7">
      <c r="A164">
        <v>8.066</v>
      </c>
      <c r="B164" s="8" t="s">
        <v>118</v>
      </c>
      <c r="C164">
        <v>111.4</v>
      </c>
      <c r="E164" s="3">
        <f t="shared" si="9"/>
        <v>8.05</v>
      </c>
      <c r="F164">
        <f t="shared" si="7"/>
        <v>8.627</v>
      </c>
      <c r="G164">
        <f t="shared" si="8"/>
        <v>0</v>
      </c>
    </row>
    <row r="165" spans="1:7">
      <c r="A165">
        <v>8.116</v>
      </c>
      <c r="B165" s="8" t="s">
        <v>119</v>
      </c>
      <c r="C165">
        <v>104.3</v>
      </c>
      <c r="E165" s="3">
        <f t="shared" si="9"/>
        <v>8.1</v>
      </c>
      <c r="F165">
        <f t="shared" si="7"/>
        <v>9.43</v>
      </c>
      <c r="G165">
        <f t="shared" si="8"/>
        <v>0</v>
      </c>
    </row>
    <row r="166" spans="1:7">
      <c r="A166">
        <v>8.167</v>
      </c>
      <c r="B166" s="8" t="s">
        <v>120</v>
      </c>
      <c r="C166">
        <v>99.6</v>
      </c>
      <c r="E166" s="3">
        <f t="shared" si="9"/>
        <v>8.15</v>
      </c>
      <c r="F166">
        <f t="shared" si="7"/>
        <v>10.68</v>
      </c>
      <c r="G166">
        <f t="shared" si="8"/>
        <v>0</v>
      </c>
    </row>
    <row r="167" spans="1:7">
      <c r="A167">
        <v>8.217</v>
      </c>
      <c r="B167" s="8" t="s">
        <v>17</v>
      </c>
      <c r="C167">
        <v>95.5</v>
      </c>
      <c r="E167" s="3">
        <f t="shared" si="9"/>
        <v>8.2</v>
      </c>
      <c r="F167">
        <f t="shared" si="7"/>
        <v>12.09</v>
      </c>
      <c r="G167">
        <f t="shared" si="8"/>
        <v>0</v>
      </c>
    </row>
    <row r="168" spans="1:7">
      <c r="A168">
        <v>8.267</v>
      </c>
      <c r="B168" s="8" t="s">
        <v>121</v>
      </c>
      <c r="C168">
        <v>92.9</v>
      </c>
      <c r="E168" s="3">
        <f t="shared" si="9"/>
        <v>8.25</v>
      </c>
      <c r="F168">
        <f t="shared" si="7"/>
        <v>13.68</v>
      </c>
      <c r="G168">
        <f t="shared" si="8"/>
        <v>0</v>
      </c>
    </row>
    <row r="169" spans="1:7">
      <c r="A169">
        <v>8.317</v>
      </c>
      <c r="B169" s="8" t="s">
        <v>122</v>
      </c>
      <c r="C169">
        <v>92.6</v>
      </c>
      <c r="E169" s="3">
        <f t="shared" si="9"/>
        <v>8.3</v>
      </c>
      <c r="F169">
        <f t="shared" si="7"/>
        <v>15.08</v>
      </c>
      <c r="G169">
        <f t="shared" si="8"/>
        <v>0</v>
      </c>
    </row>
    <row r="170" spans="1:7">
      <c r="A170">
        <v>8.367</v>
      </c>
      <c r="B170" s="8" t="s">
        <v>123</v>
      </c>
      <c r="C170">
        <v>92.3</v>
      </c>
      <c r="E170" s="3">
        <f t="shared" si="9"/>
        <v>8.35</v>
      </c>
      <c r="F170">
        <f t="shared" si="7"/>
        <v>16.12</v>
      </c>
      <c r="G170">
        <f t="shared" si="8"/>
        <v>0</v>
      </c>
    </row>
    <row r="171" spans="1:7">
      <c r="A171">
        <v>8.417</v>
      </c>
      <c r="B171" s="8" t="s">
        <v>124</v>
      </c>
      <c r="C171">
        <v>92.3</v>
      </c>
      <c r="E171" s="3">
        <f t="shared" si="9"/>
        <v>8.4</v>
      </c>
      <c r="F171">
        <f t="shared" si="7"/>
        <v>16.8</v>
      </c>
      <c r="G171">
        <f t="shared" si="8"/>
        <v>0</v>
      </c>
    </row>
    <row r="172" spans="1:7">
      <c r="A172">
        <v>8.467</v>
      </c>
      <c r="B172" s="8" t="s">
        <v>125</v>
      </c>
      <c r="C172">
        <v>92.3</v>
      </c>
      <c r="E172" s="3">
        <f t="shared" si="9"/>
        <v>8.45</v>
      </c>
      <c r="F172">
        <f t="shared" si="7"/>
        <v>16.93</v>
      </c>
      <c r="G172">
        <f t="shared" si="8"/>
        <v>0</v>
      </c>
    </row>
    <row r="173" spans="1:7">
      <c r="A173">
        <v>8.517</v>
      </c>
      <c r="B173" s="8" t="s">
        <v>126</v>
      </c>
      <c r="C173">
        <v>91.3</v>
      </c>
      <c r="E173" s="3">
        <f t="shared" si="9"/>
        <v>8.5</v>
      </c>
      <c r="F173">
        <f t="shared" si="7"/>
        <v>16.45</v>
      </c>
      <c r="G173">
        <f t="shared" si="8"/>
        <v>0</v>
      </c>
    </row>
    <row r="174" spans="1:7">
      <c r="A174">
        <v>8.567</v>
      </c>
      <c r="B174" s="8" t="s">
        <v>127</v>
      </c>
      <c r="C174">
        <v>91.8</v>
      </c>
      <c r="E174" s="3">
        <f t="shared" si="9"/>
        <v>8.55</v>
      </c>
      <c r="F174">
        <f t="shared" si="7"/>
        <v>15.62</v>
      </c>
      <c r="G174">
        <f t="shared" si="8"/>
        <v>0</v>
      </c>
    </row>
    <row r="175" spans="1:7">
      <c r="A175">
        <v>8.617</v>
      </c>
      <c r="B175" s="8" t="s">
        <v>128</v>
      </c>
      <c r="C175">
        <v>91.8</v>
      </c>
      <c r="E175" s="3">
        <f t="shared" si="9"/>
        <v>8.6</v>
      </c>
      <c r="F175">
        <f t="shared" si="7"/>
        <v>14.5</v>
      </c>
      <c r="G175">
        <f t="shared" si="8"/>
        <v>0</v>
      </c>
    </row>
    <row r="176" spans="1:7">
      <c r="A176">
        <v>8.668</v>
      </c>
      <c r="B176" s="8" t="s">
        <v>129</v>
      </c>
      <c r="C176">
        <v>91</v>
      </c>
      <c r="E176" s="3">
        <f t="shared" si="9"/>
        <v>8.65</v>
      </c>
      <c r="F176">
        <f t="shared" si="7"/>
        <v>13.17</v>
      </c>
      <c r="G176">
        <f t="shared" si="8"/>
        <v>0</v>
      </c>
    </row>
    <row r="177" spans="1:7">
      <c r="A177">
        <v>8.718</v>
      </c>
      <c r="B177" s="8" t="s">
        <v>130</v>
      </c>
      <c r="C177">
        <v>88.4</v>
      </c>
      <c r="E177" s="3">
        <f t="shared" si="9"/>
        <v>8.7</v>
      </c>
      <c r="F177">
        <f t="shared" si="7"/>
        <v>11.95</v>
      </c>
      <c r="G177">
        <f t="shared" si="8"/>
        <v>0</v>
      </c>
    </row>
    <row r="178" spans="1:7">
      <c r="A178">
        <v>8.768</v>
      </c>
      <c r="B178" s="8" t="s">
        <v>103</v>
      </c>
      <c r="C178">
        <v>84.7</v>
      </c>
      <c r="E178" s="3">
        <f t="shared" si="9"/>
        <v>8.75</v>
      </c>
      <c r="F178">
        <f t="shared" si="7"/>
        <v>10.96</v>
      </c>
      <c r="G178">
        <f t="shared" si="8"/>
        <v>0</v>
      </c>
    </row>
    <row r="179" spans="1:7">
      <c r="A179">
        <v>8.818</v>
      </c>
      <c r="B179" s="8" t="s">
        <v>131</v>
      </c>
      <c r="C179">
        <v>84.4</v>
      </c>
      <c r="E179" s="3">
        <f t="shared" si="9"/>
        <v>8.8</v>
      </c>
      <c r="F179">
        <f t="shared" si="7"/>
        <v>10.29</v>
      </c>
      <c r="G179">
        <f t="shared" si="8"/>
        <v>0</v>
      </c>
    </row>
    <row r="180" spans="1:7">
      <c r="A180">
        <v>8.868</v>
      </c>
      <c r="B180" s="8" t="s">
        <v>132</v>
      </c>
      <c r="C180">
        <v>85.3</v>
      </c>
      <c r="E180" s="3">
        <f t="shared" si="9"/>
        <v>8.85</v>
      </c>
      <c r="F180">
        <f t="shared" si="7"/>
        <v>10.08</v>
      </c>
      <c r="G180">
        <f t="shared" si="8"/>
        <v>0</v>
      </c>
    </row>
    <row r="181" spans="1:7">
      <c r="A181">
        <v>8.918</v>
      </c>
      <c r="B181" s="8" t="s">
        <v>133</v>
      </c>
      <c r="C181">
        <v>82.8</v>
      </c>
      <c r="E181" s="3">
        <f t="shared" si="9"/>
        <v>8.9</v>
      </c>
      <c r="F181">
        <f t="shared" si="7"/>
        <v>10.2</v>
      </c>
      <c r="G181">
        <f t="shared" si="8"/>
        <v>0</v>
      </c>
    </row>
    <row r="182" spans="1:7">
      <c r="A182">
        <v>8.968</v>
      </c>
      <c r="B182" s="8" t="s">
        <v>134</v>
      </c>
      <c r="C182">
        <v>83.7</v>
      </c>
      <c r="E182" s="3">
        <f t="shared" si="9"/>
        <v>8.95</v>
      </c>
      <c r="F182">
        <f t="shared" si="7"/>
        <v>10.66</v>
      </c>
      <c r="G182">
        <f t="shared" si="8"/>
        <v>0</v>
      </c>
    </row>
    <row r="183" spans="1:7">
      <c r="A183">
        <v>9.018</v>
      </c>
      <c r="B183" s="8" t="s">
        <v>135</v>
      </c>
      <c r="C183">
        <v>82.3</v>
      </c>
      <c r="E183" s="3">
        <f t="shared" si="9"/>
        <v>9</v>
      </c>
      <c r="F183">
        <f t="shared" si="7"/>
        <v>11.53</v>
      </c>
      <c r="G183">
        <f t="shared" si="8"/>
        <v>0</v>
      </c>
    </row>
    <row r="184" spans="1:7">
      <c r="A184">
        <v>9.068</v>
      </c>
      <c r="B184" s="8" t="s">
        <v>136</v>
      </c>
      <c r="C184">
        <v>82.3</v>
      </c>
      <c r="E184" s="3">
        <f t="shared" si="9"/>
        <v>9.05</v>
      </c>
      <c r="F184">
        <f t="shared" si="7"/>
        <v>12.47</v>
      </c>
      <c r="G184">
        <f t="shared" si="8"/>
        <v>0</v>
      </c>
    </row>
    <row r="185" spans="1:7">
      <c r="A185">
        <v>9.118</v>
      </c>
      <c r="B185" s="8" t="s">
        <v>137</v>
      </c>
      <c r="C185">
        <v>81.8</v>
      </c>
      <c r="E185" s="3">
        <f t="shared" si="9"/>
        <v>9.1</v>
      </c>
      <c r="F185">
        <f t="shared" si="7"/>
        <v>13.59</v>
      </c>
      <c r="G185">
        <f t="shared" si="8"/>
        <v>0</v>
      </c>
    </row>
    <row r="186" spans="1:7">
      <c r="A186">
        <v>9.169</v>
      </c>
      <c r="B186" s="8" t="s">
        <v>138</v>
      </c>
      <c r="C186">
        <v>81.4</v>
      </c>
      <c r="E186" s="3">
        <f t="shared" si="9"/>
        <v>9.15</v>
      </c>
      <c r="F186">
        <f t="shared" si="7"/>
        <v>14.61</v>
      </c>
      <c r="G186">
        <f t="shared" si="8"/>
        <v>0</v>
      </c>
    </row>
    <row r="187" spans="1:7">
      <c r="A187">
        <v>9.219</v>
      </c>
      <c r="B187" s="8" t="s">
        <v>139</v>
      </c>
      <c r="C187">
        <v>81.7</v>
      </c>
      <c r="E187" s="3">
        <f t="shared" si="9"/>
        <v>9.2</v>
      </c>
      <c r="F187">
        <f t="shared" si="7"/>
        <v>15.44</v>
      </c>
      <c r="G187">
        <f t="shared" si="8"/>
        <v>0</v>
      </c>
    </row>
    <row r="188" spans="1:7">
      <c r="A188">
        <v>9.269</v>
      </c>
      <c r="B188" s="8" t="s">
        <v>140</v>
      </c>
      <c r="C188">
        <v>80.9</v>
      </c>
      <c r="E188" s="3">
        <f t="shared" si="9"/>
        <v>9.25</v>
      </c>
      <c r="F188">
        <f t="shared" si="7"/>
        <v>16.04</v>
      </c>
      <c r="G188">
        <f t="shared" si="8"/>
        <v>0</v>
      </c>
    </row>
    <row r="189" spans="1:7">
      <c r="A189">
        <v>9.319</v>
      </c>
      <c r="B189" s="8" t="s">
        <v>141</v>
      </c>
      <c r="C189">
        <v>81.3</v>
      </c>
      <c r="E189" s="3">
        <f t="shared" si="9"/>
        <v>9.3</v>
      </c>
      <c r="F189">
        <f t="shared" si="7"/>
        <v>16.07</v>
      </c>
      <c r="G189">
        <f t="shared" si="8"/>
        <v>0</v>
      </c>
    </row>
    <row r="190" spans="1:7">
      <c r="A190">
        <v>9.369</v>
      </c>
      <c r="B190" s="8" t="s">
        <v>142</v>
      </c>
      <c r="C190">
        <v>80.8</v>
      </c>
      <c r="E190" s="3">
        <f t="shared" si="9"/>
        <v>9.35</v>
      </c>
      <c r="F190">
        <f t="shared" si="7"/>
        <v>15.84</v>
      </c>
      <c r="G190">
        <f t="shared" si="8"/>
        <v>0</v>
      </c>
    </row>
    <row r="191" spans="1:7">
      <c r="A191">
        <v>9.419</v>
      </c>
      <c r="B191" s="8" t="s">
        <v>143</v>
      </c>
      <c r="C191">
        <v>81.4</v>
      </c>
      <c r="E191" s="3">
        <f t="shared" si="9"/>
        <v>9.4</v>
      </c>
      <c r="F191">
        <f t="shared" si="7"/>
        <v>15.18</v>
      </c>
      <c r="G191">
        <f t="shared" si="8"/>
        <v>0</v>
      </c>
    </row>
    <row r="192" spans="1:7">
      <c r="A192">
        <v>9.469</v>
      </c>
      <c r="B192" s="8" t="s">
        <v>144</v>
      </c>
      <c r="C192">
        <v>81.2</v>
      </c>
      <c r="E192" s="3">
        <f t="shared" si="9"/>
        <v>9.45</v>
      </c>
      <c r="F192">
        <f t="shared" si="7"/>
        <v>14.3</v>
      </c>
      <c r="G192">
        <f t="shared" si="8"/>
        <v>0</v>
      </c>
    </row>
    <row r="193" spans="1:7">
      <c r="A193">
        <v>9.519</v>
      </c>
      <c r="B193" s="8" t="s">
        <v>145</v>
      </c>
      <c r="C193">
        <v>81.5</v>
      </c>
      <c r="E193" s="3">
        <f t="shared" si="9"/>
        <v>9.5</v>
      </c>
      <c r="F193">
        <f t="shared" si="7"/>
        <v>13.28</v>
      </c>
      <c r="G193">
        <f t="shared" si="8"/>
        <v>0</v>
      </c>
    </row>
    <row r="194" spans="1:7">
      <c r="A194">
        <v>9.569</v>
      </c>
      <c r="B194" s="8" t="s">
        <v>146</v>
      </c>
      <c r="C194">
        <v>81.6</v>
      </c>
      <c r="E194" s="3">
        <f t="shared" si="9"/>
        <v>9.55</v>
      </c>
      <c r="F194">
        <f t="shared" si="7"/>
        <v>12.48</v>
      </c>
      <c r="G194">
        <f t="shared" si="8"/>
        <v>0</v>
      </c>
    </row>
    <row r="195" spans="1:7">
      <c r="A195">
        <v>9.619</v>
      </c>
      <c r="B195" s="8" t="s">
        <v>147</v>
      </c>
      <c r="C195">
        <v>81.5</v>
      </c>
      <c r="E195" s="3">
        <f t="shared" si="9"/>
        <v>9.6</v>
      </c>
      <c r="F195">
        <f t="shared" si="7"/>
        <v>11.75</v>
      </c>
      <c r="G195">
        <f t="shared" si="8"/>
        <v>0</v>
      </c>
    </row>
    <row r="196" spans="1:7">
      <c r="A196">
        <v>9.67</v>
      </c>
      <c r="B196" s="8" t="s">
        <v>148</v>
      </c>
      <c r="C196">
        <v>81.3</v>
      </c>
      <c r="E196" s="3">
        <f t="shared" si="9"/>
        <v>9.65</v>
      </c>
      <c r="F196">
        <f t="shared" ref="F196:F259" si="10">B196*1000</f>
        <v>11.29</v>
      </c>
      <c r="G196">
        <f t="shared" ref="G196:G259" si="11">IF(C196&lt;230,0,40)</f>
        <v>0</v>
      </c>
    </row>
    <row r="197" spans="1:7">
      <c r="A197">
        <v>9.72</v>
      </c>
      <c r="B197" s="8" t="s">
        <v>149</v>
      </c>
      <c r="C197">
        <v>81.2</v>
      </c>
      <c r="E197" s="3">
        <f t="shared" si="9"/>
        <v>9.7</v>
      </c>
      <c r="F197">
        <f t="shared" si="10"/>
        <v>11.15</v>
      </c>
      <c r="G197">
        <f t="shared" si="11"/>
        <v>0</v>
      </c>
    </row>
    <row r="198" spans="1:7">
      <c r="A198">
        <v>9.77</v>
      </c>
      <c r="B198" s="8" t="s">
        <v>150</v>
      </c>
      <c r="C198">
        <v>81.4</v>
      </c>
      <c r="E198" s="3">
        <f t="shared" si="9"/>
        <v>9.75</v>
      </c>
      <c r="F198">
        <f t="shared" si="10"/>
        <v>11.36</v>
      </c>
      <c r="G198">
        <f t="shared" si="11"/>
        <v>0</v>
      </c>
    </row>
    <row r="199" spans="1:7">
      <c r="A199">
        <v>9.82</v>
      </c>
      <c r="B199" s="8" t="s">
        <v>151</v>
      </c>
      <c r="C199">
        <v>81.1</v>
      </c>
      <c r="E199" s="3">
        <f t="shared" si="9"/>
        <v>9.8</v>
      </c>
      <c r="F199">
        <f t="shared" si="10"/>
        <v>11.81</v>
      </c>
      <c r="G199">
        <f t="shared" si="11"/>
        <v>0</v>
      </c>
    </row>
    <row r="200" spans="1:7">
      <c r="A200">
        <v>9.87</v>
      </c>
      <c r="B200" s="8" t="s">
        <v>152</v>
      </c>
      <c r="C200">
        <v>81.4</v>
      </c>
      <c r="E200" s="3">
        <f t="shared" si="9"/>
        <v>9.85</v>
      </c>
      <c r="F200">
        <f t="shared" si="10"/>
        <v>12.53</v>
      </c>
      <c r="G200">
        <f t="shared" si="11"/>
        <v>0</v>
      </c>
    </row>
    <row r="201" spans="1:7">
      <c r="A201">
        <v>9.92</v>
      </c>
      <c r="B201" s="8" t="s">
        <v>153</v>
      </c>
      <c r="C201">
        <v>81.8</v>
      </c>
      <c r="E201" s="3">
        <f t="shared" si="9"/>
        <v>9.9</v>
      </c>
      <c r="F201">
        <f t="shared" si="10"/>
        <v>13.3</v>
      </c>
      <c r="G201">
        <f t="shared" si="11"/>
        <v>0</v>
      </c>
    </row>
    <row r="202" spans="1:7">
      <c r="A202">
        <v>9.97</v>
      </c>
      <c r="B202" s="8" t="s">
        <v>154</v>
      </c>
      <c r="C202">
        <v>81.6</v>
      </c>
      <c r="E202" s="3">
        <f t="shared" ref="E202:E265" si="12">FLOOR(A202,0.05)</f>
        <v>9.95</v>
      </c>
      <c r="F202">
        <f t="shared" si="10"/>
        <v>14.2</v>
      </c>
      <c r="G202">
        <f t="shared" si="11"/>
        <v>0</v>
      </c>
    </row>
    <row r="203" spans="1:7">
      <c r="A203">
        <v>10.02</v>
      </c>
      <c r="B203" s="8" t="s">
        <v>155</v>
      </c>
      <c r="C203">
        <v>81.7</v>
      </c>
      <c r="E203" s="3">
        <f t="shared" si="12"/>
        <v>10</v>
      </c>
      <c r="F203">
        <f t="shared" si="10"/>
        <v>15</v>
      </c>
      <c r="G203">
        <f t="shared" si="11"/>
        <v>0</v>
      </c>
    </row>
    <row r="204" spans="1:7">
      <c r="A204">
        <v>10.07</v>
      </c>
      <c r="B204" s="8" t="s">
        <v>156</v>
      </c>
      <c r="C204">
        <v>81.7</v>
      </c>
      <c r="E204" s="3">
        <f t="shared" si="12"/>
        <v>10.05</v>
      </c>
      <c r="F204">
        <f t="shared" si="10"/>
        <v>15.49</v>
      </c>
      <c r="G204">
        <f t="shared" si="11"/>
        <v>0</v>
      </c>
    </row>
    <row r="205" spans="1:7">
      <c r="A205">
        <v>10.121</v>
      </c>
      <c r="B205" s="8" t="s">
        <v>157</v>
      </c>
      <c r="C205">
        <v>80.9</v>
      </c>
      <c r="E205" s="3">
        <f t="shared" si="12"/>
        <v>10.1</v>
      </c>
      <c r="F205">
        <f t="shared" si="10"/>
        <v>15.76</v>
      </c>
      <c r="G205">
        <f t="shared" si="11"/>
        <v>0</v>
      </c>
    </row>
    <row r="206" spans="1:7">
      <c r="A206">
        <v>10.171</v>
      </c>
      <c r="B206" s="8" t="s">
        <v>158</v>
      </c>
      <c r="C206">
        <v>81.3</v>
      </c>
      <c r="E206" s="3">
        <f t="shared" si="12"/>
        <v>10.15</v>
      </c>
      <c r="F206">
        <f t="shared" si="10"/>
        <v>15.53</v>
      </c>
      <c r="G206">
        <f t="shared" si="11"/>
        <v>0</v>
      </c>
    </row>
    <row r="207" spans="1:7">
      <c r="A207">
        <v>10.221</v>
      </c>
      <c r="B207" s="8" t="s">
        <v>159</v>
      </c>
      <c r="C207">
        <v>81.4</v>
      </c>
      <c r="E207" s="3">
        <f t="shared" si="12"/>
        <v>10.2</v>
      </c>
      <c r="F207">
        <f t="shared" si="10"/>
        <v>15.11</v>
      </c>
      <c r="G207">
        <f t="shared" si="11"/>
        <v>0</v>
      </c>
    </row>
    <row r="208" spans="1:7">
      <c r="A208">
        <v>10.271</v>
      </c>
      <c r="B208" s="8" t="s">
        <v>160</v>
      </c>
      <c r="C208">
        <v>81.3</v>
      </c>
      <c r="E208" s="3">
        <f t="shared" si="12"/>
        <v>10.25</v>
      </c>
      <c r="F208">
        <f t="shared" si="10"/>
        <v>14.48</v>
      </c>
      <c r="G208">
        <f t="shared" si="11"/>
        <v>0</v>
      </c>
    </row>
    <row r="209" spans="1:7">
      <c r="A209">
        <v>10.321</v>
      </c>
      <c r="B209" s="8" t="s">
        <v>161</v>
      </c>
      <c r="C209">
        <v>81.7</v>
      </c>
      <c r="E209" s="3">
        <f t="shared" si="12"/>
        <v>10.3</v>
      </c>
      <c r="F209">
        <f t="shared" si="10"/>
        <v>13.63</v>
      </c>
      <c r="G209">
        <f t="shared" si="11"/>
        <v>0</v>
      </c>
    </row>
    <row r="210" spans="1:7">
      <c r="A210">
        <v>10.371</v>
      </c>
      <c r="B210" s="8" t="s">
        <v>18</v>
      </c>
      <c r="C210">
        <v>81.5</v>
      </c>
      <c r="E210" s="3">
        <f t="shared" si="12"/>
        <v>10.35</v>
      </c>
      <c r="F210">
        <f t="shared" si="10"/>
        <v>12.82</v>
      </c>
      <c r="G210">
        <f t="shared" si="11"/>
        <v>0</v>
      </c>
    </row>
    <row r="211" spans="1:7">
      <c r="A211">
        <v>10.421</v>
      </c>
      <c r="B211" s="8" t="s">
        <v>162</v>
      </c>
      <c r="C211">
        <v>81.4</v>
      </c>
      <c r="E211" s="3">
        <f t="shared" si="12"/>
        <v>10.4</v>
      </c>
      <c r="F211">
        <f t="shared" si="10"/>
        <v>12.21</v>
      </c>
      <c r="G211">
        <f t="shared" si="11"/>
        <v>0</v>
      </c>
    </row>
    <row r="212" spans="1:7">
      <c r="A212">
        <v>10.471</v>
      </c>
      <c r="B212" s="8" t="s">
        <v>163</v>
      </c>
      <c r="C212">
        <v>81.5</v>
      </c>
      <c r="E212" s="3">
        <f t="shared" si="12"/>
        <v>10.45</v>
      </c>
      <c r="F212">
        <f t="shared" si="10"/>
        <v>11.76</v>
      </c>
      <c r="G212">
        <f t="shared" si="11"/>
        <v>0</v>
      </c>
    </row>
    <row r="213" spans="1:7">
      <c r="A213">
        <v>10.521</v>
      </c>
      <c r="B213" s="8" t="s">
        <v>164</v>
      </c>
      <c r="C213">
        <v>82.3</v>
      </c>
      <c r="E213" s="3">
        <f t="shared" si="12"/>
        <v>10.5</v>
      </c>
      <c r="F213">
        <f t="shared" si="10"/>
        <v>11.57</v>
      </c>
      <c r="G213">
        <f t="shared" si="11"/>
        <v>0</v>
      </c>
    </row>
    <row r="214" spans="1:7">
      <c r="A214">
        <v>10.571</v>
      </c>
      <c r="B214" s="8" t="s">
        <v>165</v>
      </c>
      <c r="C214">
        <v>82.1</v>
      </c>
      <c r="E214" s="3">
        <f t="shared" si="12"/>
        <v>10.55</v>
      </c>
      <c r="F214">
        <f t="shared" si="10"/>
        <v>11.66</v>
      </c>
      <c r="G214">
        <f t="shared" si="11"/>
        <v>0</v>
      </c>
    </row>
    <row r="215" spans="1:7">
      <c r="A215">
        <v>10.622</v>
      </c>
      <c r="B215" s="8" t="s">
        <v>130</v>
      </c>
      <c r="C215">
        <v>81.4</v>
      </c>
      <c r="E215" s="3">
        <f t="shared" si="12"/>
        <v>10.6</v>
      </c>
      <c r="F215">
        <f t="shared" si="10"/>
        <v>11.95</v>
      </c>
      <c r="G215">
        <f t="shared" si="11"/>
        <v>0</v>
      </c>
    </row>
    <row r="216" spans="1:7">
      <c r="A216">
        <v>10.672</v>
      </c>
      <c r="B216" s="8" t="s">
        <v>166</v>
      </c>
      <c r="C216">
        <v>82.1</v>
      </c>
      <c r="E216" s="3">
        <f t="shared" si="12"/>
        <v>10.65</v>
      </c>
      <c r="F216">
        <f t="shared" si="10"/>
        <v>12.49</v>
      </c>
      <c r="G216">
        <f t="shared" si="11"/>
        <v>0</v>
      </c>
    </row>
    <row r="217" spans="1:7">
      <c r="A217">
        <v>10.722</v>
      </c>
      <c r="B217" s="8" t="s">
        <v>167</v>
      </c>
      <c r="C217">
        <v>81.4</v>
      </c>
      <c r="E217" s="3">
        <f t="shared" si="12"/>
        <v>10.7</v>
      </c>
      <c r="F217">
        <f t="shared" si="10"/>
        <v>13.08</v>
      </c>
      <c r="G217">
        <f t="shared" si="11"/>
        <v>0</v>
      </c>
    </row>
    <row r="218" spans="1:7">
      <c r="A218">
        <v>10.772</v>
      </c>
      <c r="B218" s="8" t="s">
        <v>168</v>
      </c>
      <c r="C218">
        <v>80.7</v>
      </c>
      <c r="E218" s="3">
        <f t="shared" si="12"/>
        <v>10.75</v>
      </c>
      <c r="F218">
        <f t="shared" si="10"/>
        <v>13.72</v>
      </c>
      <c r="G218">
        <f t="shared" si="11"/>
        <v>0</v>
      </c>
    </row>
    <row r="219" spans="1:7">
      <c r="A219">
        <v>10.822</v>
      </c>
      <c r="B219" s="8" t="s">
        <v>169</v>
      </c>
      <c r="C219">
        <v>81.9</v>
      </c>
      <c r="E219" s="3">
        <f t="shared" si="12"/>
        <v>10.8</v>
      </c>
      <c r="F219">
        <f t="shared" si="10"/>
        <v>14.41</v>
      </c>
      <c r="G219">
        <f t="shared" si="11"/>
        <v>0</v>
      </c>
    </row>
    <row r="220" spans="1:7">
      <c r="A220">
        <v>10.872</v>
      </c>
      <c r="B220" s="8" t="s">
        <v>170</v>
      </c>
      <c r="C220">
        <v>81.9</v>
      </c>
      <c r="E220" s="3">
        <f t="shared" si="12"/>
        <v>10.85</v>
      </c>
      <c r="F220">
        <f t="shared" si="10"/>
        <v>14.86</v>
      </c>
      <c r="G220">
        <f t="shared" si="11"/>
        <v>0</v>
      </c>
    </row>
    <row r="221" spans="1:7">
      <c r="A221">
        <v>10.922</v>
      </c>
      <c r="B221" s="8" t="s">
        <v>171</v>
      </c>
      <c r="C221">
        <v>80.4</v>
      </c>
      <c r="E221" s="3">
        <f t="shared" si="12"/>
        <v>10.9</v>
      </c>
      <c r="F221">
        <f t="shared" si="10"/>
        <v>15.07</v>
      </c>
      <c r="G221">
        <f t="shared" si="11"/>
        <v>0</v>
      </c>
    </row>
    <row r="222" spans="1:7">
      <c r="A222">
        <v>10.972</v>
      </c>
      <c r="B222" s="8" t="s">
        <v>172</v>
      </c>
      <c r="C222">
        <v>81.1</v>
      </c>
      <c r="E222" s="3">
        <f t="shared" si="12"/>
        <v>10.95</v>
      </c>
      <c r="F222">
        <f t="shared" si="10"/>
        <v>15.06</v>
      </c>
      <c r="G222">
        <f t="shared" si="11"/>
        <v>0</v>
      </c>
    </row>
    <row r="223" spans="1:7">
      <c r="A223">
        <v>11.022</v>
      </c>
      <c r="B223" s="8" t="s">
        <v>173</v>
      </c>
      <c r="C223">
        <v>80.4</v>
      </c>
      <c r="E223" s="3">
        <f t="shared" si="12"/>
        <v>11</v>
      </c>
      <c r="F223">
        <f t="shared" si="10"/>
        <v>14.67</v>
      </c>
      <c r="G223">
        <f t="shared" si="11"/>
        <v>0</v>
      </c>
    </row>
    <row r="224" spans="1:7">
      <c r="A224">
        <v>11.072</v>
      </c>
      <c r="B224" s="8" t="s">
        <v>174</v>
      </c>
      <c r="C224">
        <v>81.7</v>
      </c>
      <c r="E224" s="3">
        <f t="shared" si="12"/>
        <v>11.05</v>
      </c>
      <c r="F224">
        <f t="shared" si="10"/>
        <v>14.25</v>
      </c>
      <c r="G224">
        <f t="shared" si="11"/>
        <v>0</v>
      </c>
    </row>
    <row r="225" spans="1:7">
      <c r="A225">
        <v>11.123</v>
      </c>
      <c r="B225" s="8" t="s">
        <v>175</v>
      </c>
      <c r="C225">
        <v>81.2</v>
      </c>
      <c r="E225" s="3">
        <f t="shared" si="12"/>
        <v>11.1</v>
      </c>
      <c r="F225">
        <f t="shared" si="10"/>
        <v>13.6</v>
      </c>
      <c r="G225">
        <f t="shared" si="11"/>
        <v>0</v>
      </c>
    </row>
    <row r="226" spans="1:7">
      <c r="A226">
        <v>11.173</v>
      </c>
      <c r="B226" s="8" t="s">
        <v>176</v>
      </c>
      <c r="C226">
        <v>81.9</v>
      </c>
      <c r="E226" s="3">
        <f t="shared" si="12"/>
        <v>11.15</v>
      </c>
      <c r="F226">
        <f t="shared" si="10"/>
        <v>12.91</v>
      </c>
      <c r="G226">
        <f t="shared" si="11"/>
        <v>0</v>
      </c>
    </row>
    <row r="227" spans="1:7">
      <c r="A227">
        <v>11.223</v>
      </c>
      <c r="B227" s="8" t="s">
        <v>177</v>
      </c>
      <c r="C227">
        <v>81.4</v>
      </c>
      <c r="E227" s="3">
        <f t="shared" si="12"/>
        <v>11.2</v>
      </c>
      <c r="F227">
        <f t="shared" si="10"/>
        <v>12.51</v>
      </c>
      <c r="G227">
        <f t="shared" si="11"/>
        <v>0</v>
      </c>
    </row>
    <row r="228" spans="1:7">
      <c r="A228">
        <v>11.273</v>
      </c>
      <c r="B228" s="8" t="s">
        <v>178</v>
      </c>
      <c r="C228">
        <v>80.9</v>
      </c>
      <c r="E228" s="3">
        <f t="shared" si="12"/>
        <v>11.25</v>
      </c>
      <c r="F228">
        <f t="shared" si="10"/>
        <v>12.08</v>
      </c>
      <c r="G228">
        <f t="shared" si="11"/>
        <v>0</v>
      </c>
    </row>
    <row r="229" spans="1:7">
      <c r="A229">
        <v>11.323</v>
      </c>
      <c r="B229" s="8" t="s">
        <v>179</v>
      </c>
      <c r="C229">
        <v>81.8</v>
      </c>
      <c r="E229" s="3">
        <f t="shared" si="12"/>
        <v>11.3</v>
      </c>
      <c r="F229">
        <f t="shared" si="10"/>
        <v>11.94</v>
      </c>
      <c r="G229">
        <f t="shared" si="11"/>
        <v>0</v>
      </c>
    </row>
    <row r="230" spans="1:7">
      <c r="A230">
        <v>11.373</v>
      </c>
      <c r="B230" s="8" t="s">
        <v>180</v>
      </c>
      <c r="C230">
        <v>81.8</v>
      </c>
      <c r="E230" s="3">
        <f t="shared" si="12"/>
        <v>11.35</v>
      </c>
      <c r="F230">
        <f t="shared" si="10"/>
        <v>11.89</v>
      </c>
      <c r="G230">
        <f t="shared" si="11"/>
        <v>0</v>
      </c>
    </row>
    <row r="231" spans="1:7">
      <c r="A231">
        <v>11.423</v>
      </c>
      <c r="B231" s="8" t="s">
        <v>181</v>
      </c>
      <c r="C231">
        <v>81.4</v>
      </c>
      <c r="E231" s="3">
        <f t="shared" si="12"/>
        <v>11.4</v>
      </c>
      <c r="F231">
        <f t="shared" si="10"/>
        <v>12.1</v>
      </c>
      <c r="G231">
        <f t="shared" si="11"/>
        <v>0</v>
      </c>
    </row>
    <row r="232" spans="1:7">
      <c r="A232">
        <v>11.473</v>
      </c>
      <c r="B232" s="8" t="s">
        <v>182</v>
      </c>
      <c r="C232">
        <v>81.4</v>
      </c>
      <c r="E232" s="3">
        <f t="shared" si="12"/>
        <v>11.45</v>
      </c>
      <c r="F232">
        <f t="shared" si="10"/>
        <v>12.61</v>
      </c>
      <c r="G232">
        <f t="shared" si="11"/>
        <v>0</v>
      </c>
    </row>
    <row r="233" spans="1:7">
      <c r="A233">
        <v>11.523</v>
      </c>
      <c r="B233" s="8" t="s">
        <v>167</v>
      </c>
      <c r="C233">
        <v>81.3</v>
      </c>
      <c r="E233" s="3">
        <f t="shared" si="12"/>
        <v>11.5</v>
      </c>
      <c r="F233">
        <f t="shared" si="10"/>
        <v>13.08</v>
      </c>
      <c r="G233">
        <f t="shared" si="11"/>
        <v>0</v>
      </c>
    </row>
    <row r="234" spans="1:7">
      <c r="A234">
        <v>11.573</v>
      </c>
      <c r="B234" s="8" t="s">
        <v>183</v>
      </c>
      <c r="C234">
        <v>81.4</v>
      </c>
      <c r="E234" s="3">
        <f t="shared" si="12"/>
        <v>11.55</v>
      </c>
      <c r="F234">
        <f t="shared" si="10"/>
        <v>13.64</v>
      </c>
      <c r="G234">
        <f t="shared" si="11"/>
        <v>0</v>
      </c>
    </row>
    <row r="235" spans="1:7">
      <c r="A235">
        <v>11.624</v>
      </c>
      <c r="B235" s="8" t="s">
        <v>184</v>
      </c>
      <c r="C235">
        <v>81.2</v>
      </c>
      <c r="E235" s="3">
        <f t="shared" si="12"/>
        <v>11.6</v>
      </c>
      <c r="F235">
        <f t="shared" si="10"/>
        <v>14.17</v>
      </c>
      <c r="G235">
        <f t="shared" si="11"/>
        <v>0</v>
      </c>
    </row>
    <row r="236" spans="1:7">
      <c r="A236">
        <v>11.674</v>
      </c>
      <c r="B236" s="8" t="s">
        <v>128</v>
      </c>
      <c r="C236">
        <v>81.2</v>
      </c>
      <c r="E236" s="3">
        <f t="shared" si="12"/>
        <v>11.65</v>
      </c>
      <c r="F236">
        <f t="shared" si="10"/>
        <v>14.5</v>
      </c>
      <c r="G236">
        <f t="shared" si="11"/>
        <v>0</v>
      </c>
    </row>
    <row r="237" spans="1:7">
      <c r="A237">
        <v>11.724</v>
      </c>
      <c r="B237" s="8" t="s">
        <v>185</v>
      </c>
      <c r="C237">
        <v>81.6</v>
      </c>
      <c r="E237" s="3">
        <f t="shared" si="12"/>
        <v>11.7</v>
      </c>
      <c r="F237">
        <f t="shared" si="10"/>
        <v>14.6</v>
      </c>
      <c r="G237">
        <f t="shared" si="11"/>
        <v>0</v>
      </c>
    </row>
    <row r="238" spans="1:7">
      <c r="A238">
        <v>11.774</v>
      </c>
      <c r="B238" s="8" t="s">
        <v>186</v>
      </c>
      <c r="C238">
        <v>82.3</v>
      </c>
      <c r="E238" s="3">
        <f t="shared" si="12"/>
        <v>11.75</v>
      </c>
      <c r="F238">
        <f t="shared" si="10"/>
        <v>14.57</v>
      </c>
      <c r="G238">
        <f t="shared" si="11"/>
        <v>0</v>
      </c>
    </row>
    <row r="239" spans="1:7">
      <c r="A239">
        <v>11.824</v>
      </c>
      <c r="B239" s="8" t="s">
        <v>187</v>
      </c>
      <c r="C239">
        <v>81.6</v>
      </c>
      <c r="E239" s="3">
        <f t="shared" si="12"/>
        <v>11.8</v>
      </c>
      <c r="F239">
        <f t="shared" si="10"/>
        <v>14.42</v>
      </c>
      <c r="G239">
        <f t="shared" si="11"/>
        <v>0</v>
      </c>
    </row>
    <row r="240" spans="1:7">
      <c r="A240">
        <v>11.874</v>
      </c>
      <c r="B240" s="8" t="s">
        <v>188</v>
      </c>
      <c r="C240">
        <v>80.9</v>
      </c>
      <c r="E240" s="3">
        <f t="shared" si="12"/>
        <v>11.85</v>
      </c>
      <c r="F240">
        <f t="shared" si="10"/>
        <v>13.99</v>
      </c>
      <c r="G240">
        <f t="shared" si="11"/>
        <v>0</v>
      </c>
    </row>
    <row r="241" spans="1:7">
      <c r="A241">
        <v>11.924</v>
      </c>
      <c r="B241" s="8" t="s">
        <v>189</v>
      </c>
      <c r="C241">
        <v>81.3</v>
      </c>
      <c r="E241" s="3">
        <f t="shared" si="12"/>
        <v>11.9</v>
      </c>
      <c r="F241">
        <f t="shared" si="10"/>
        <v>13.42</v>
      </c>
      <c r="G241">
        <f t="shared" si="11"/>
        <v>0</v>
      </c>
    </row>
    <row r="242" spans="1:7">
      <c r="A242">
        <v>11.974</v>
      </c>
      <c r="B242" s="8" t="s">
        <v>190</v>
      </c>
      <c r="C242">
        <v>81.7</v>
      </c>
      <c r="E242" s="3">
        <f t="shared" si="12"/>
        <v>11.95</v>
      </c>
      <c r="F242">
        <f t="shared" si="10"/>
        <v>12.9</v>
      </c>
      <c r="G242">
        <f t="shared" si="11"/>
        <v>0</v>
      </c>
    </row>
    <row r="243" spans="1:7">
      <c r="A243">
        <v>12.024</v>
      </c>
      <c r="B243" s="8" t="s">
        <v>166</v>
      </c>
      <c r="C243">
        <v>82.2</v>
      </c>
      <c r="E243" s="3">
        <f t="shared" si="12"/>
        <v>12</v>
      </c>
      <c r="F243">
        <f t="shared" si="10"/>
        <v>12.49</v>
      </c>
      <c r="G243">
        <f t="shared" si="11"/>
        <v>0</v>
      </c>
    </row>
    <row r="244" spans="1:7">
      <c r="A244">
        <v>12.074</v>
      </c>
      <c r="B244" s="8" t="s">
        <v>191</v>
      </c>
      <c r="C244">
        <v>82.3</v>
      </c>
      <c r="E244" s="3">
        <f t="shared" si="12"/>
        <v>12.05</v>
      </c>
      <c r="F244">
        <f t="shared" si="10"/>
        <v>12.19</v>
      </c>
      <c r="G244">
        <f t="shared" si="11"/>
        <v>0</v>
      </c>
    </row>
    <row r="245" spans="1:7">
      <c r="A245">
        <v>12.125</v>
      </c>
      <c r="B245" s="8" t="s">
        <v>178</v>
      </c>
      <c r="C245">
        <v>81.5</v>
      </c>
      <c r="E245" s="3">
        <f t="shared" si="12"/>
        <v>12.1</v>
      </c>
      <c r="F245">
        <f t="shared" si="10"/>
        <v>12.08</v>
      </c>
      <c r="G245">
        <f t="shared" si="11"/>
        <v>0</v>
      </c>
    </row>
    <row r="246" spans="1:7">
      <c r="A246">
        <v>12.175</v>
      </c>
      <c r="B246" s="8" t="s">
        <v>192</v>
      </c>
      <c r="C246">
        <v>82.4</v>
      </c>
      <c r="E246" s="3">
        <f t="shared" si="12"/>
        <v>12.15</v>
      </c>
      <c r="F246">
        <f t="shared" si="10"/>
        <v>12.15</v>
      </c>
      <c r="G246">
        <f t="shared" si="11"/>
        <v>0</v>
      </c>
    </row>
    <row r="247" spans="1:7">
      <c r="A247">
        <v>12.225</v>
      </c>
      <c r="B247" s="8" t="s">
        <v>193</v>
      </c>
      <c r="C247">
        <v>81.6</v>
      </c>
      <c r="E247" s="3">
        <f t="shared" si="12"/>
        <v>12.2</v>
      </c>
      <c r="F247">
        <f t="shared" si="10"/>
        <v>12.38</v>
      </c>
      <c r="G247">
        <f t="shared" si="11"/>
        <v>0</v>
      </c>
    </row>
    <row r="248" spans="1:7">
      <c r="A248">
        <v>12.275</v>
      </c>
      <c r="B248" s="8" t="s">
        <v>194</v>
      </c>
      <c r="C248">
        <v>81.6</v>
      </c>
      <c r="E248" s="3">
        <f t="shared" si="12"/>
        <v>12.25</v>
      </c>
      <c r="F248">
        <f t="shared" si="10"/>
        <v>12.7</v>
      </c>
      <c r="G248">
        <f t="shared" si="11"/>
        <v>0</v>
      </c>
    </row>
    <row r="249" spans="1:7">
      <c r="A249">
        <v>12.325</v>
      </c>
      <c r="B249" s="8" t="s">
        <v>195</v>
      </c>
      <c r="C249">
        <v>80.8</v>
      </c>
      <c r="E249" s="3">
        <f t="shared" si="12"/>
        <v>12.3</v>
      </c>
      <c r="F249">
        <f t="shared" si="10"/>
        <v>13.14</v>
      </c>
      <c r="G249">
        <f t="shared" si="11"/>
        <v>0</v>
      </c>
    </row>
    <row r="250" spans="1:7">
      <c r="A250">
        <v>12.375</v>
      </c>
      <c r="B250" s="8" t="s">
        <v>196</v>
      </c>
      <c r="C250">
        <v>81.7</v>
      </c>
      <c r="E250" s="3">
        <f t="shared" si="12"/>
        <v>12.35</v>
      </c>
      <c r="F250">
        <f t="shared" si="10"/>
        <v>13.57</v>
      </c>
      <c r="G250">
        <f t="shared" si="11"/>
        <v>0</v>
      </c>
    </row>
    <row r="251" spans="1:7">
      <c r="A251">
        <v>12.425</v>
      </c>
      <c r="B251" s="8" t="s">
        <v>197</v>
      </c>
      <c r="C251">
        <v>81.6</v>
      </c>
      <c r="E251" s="3">
        <f t="shared" si="12"/>
        <v>12.4</v>
      </c>
      <c r="F251">
        <f t="shared" si="10"/>
        <v>13.97</v>
      </c>
      <c r="G251">
        <f t="shared" si="11"/>
        <v>0</v>
      </c>
    </row>
    <row r="252" spans="1:7">
      <c r="A252">
        <v>12.475</v>
      </c>
      <c r="B252" s="8" t="s">
        <v>113</v>
      </c>
      <c r="C252">
        <v>81.2</v>
      </c>
      <c r="E252" s="3">
        <f t="shared" si="12"/>
        <v>12.45</v>
      </c>
      <c r="F252">
        <f t="shared" si="10"/>
        <v>14.28</v>
      </c>
      <c r="G252">
        <f t="shared" si="11"/>
        <v>0</v>
      </c>
    </row>
    <row r="253" spans="1:7">
      <c r="A253">
        <v>12.525</v>
      </c>
      <c r="B253" s="8" t="s">
        <v>169</v>
      </c>
      <c r="C253">
        <v>80.8</v>
      </c>
      <c r="E253" s="3">
        <f t="shared" si="12"/>
        <v>12.5</v>
      </c>
      <c r="F253">
        <f t="shared" si="10"/>
        <v>14.41</v>
      </c>
      <c r="G253">
        <f t="shared" si="11"/>
        <v>0</v>
      </c>
    </row>
    <row r="254" spans="1:7">
      <c r="A254">
        <v>12.575</v>
      </c>
      <c r="B254" s="8" t="s">
        <v>198</v>
      </c>
      <c r="C254">
        <v>81.2</v>
      </c>
      <c r="E254" s="3">
        <f t="shared" si="12"/>
        <v>12.55</v>
      </c>
      <c r="F254">
        <f t="shared" si="10"/>
        <v>14.31</v>
      </c>
      <c r="G254">
        <f t="shared" si="11"/>
        <v>0</v>
      </c>
    </row>
    <row r="255" spans="1:7">
      <c r="A255">
        <v>12.626</v>
      </c>
      <c r="B255" s="8" t="s">
        <v>199</v>
      </c>
      <c r="C255">
        <v>81.9</v>
      </c>
      <c r="E255" s="3">
        <f t="shared" si="12"/>
        <v>12.6</v>
      </c>
      <c r="F255">
        <f t="shared" si="10"/>
        <v>14.11</v>
      </c>
      <c r="G255">
        <f t="shared" si="11"/>
        <v>0</v>
      </c>
    </row>
    <row r="256" spans="1:7">
      <c r="A256">
        <v>12.676</v>
      </c>
      <c r="B256" s="8" t="s">
        <v>200</v>
      </c>
      <c r="C256">
        <v>81.9</v>
      </c>
      <c r="E256" s="3">
        <f t="shared" si="12"/>
        <v>12.65</v>
      </c>
      <c r="F256">
        <f t="shared" si="10"/>
        <v>13.71</v>
      </c>
      <c r="G256">
        <f t="shared" si="11"/>
        <v>0</v>
      </c>
    </row>
    <row r="257" spans="1:7">
      <c r="A257">
        <v>12.726</v>
      </c>
      <c r="B257" s="8" t="s">
        <v>201</v>
      </c>
      <c r="C257">
        <v>81.7</v>
      </c>
      <c r="E257" s="3">
        <f t="shared" si="12"/>
        <v>12.7</v>
      </c>
      <c r="F257">
        <f t="shared" si="10"/>
        <v>13.31</v>
      </c>
      <c r="G257">
        <f t="shared" si="11"/>
        <v>0</v>
      </c>
    </row>
    <row r="258" spans="1:7">
      <c r="A258">
        <v>12.776</v>
      </c>
      <c r="B258" s="8" t="s">
        <v>202</v>
      </c>
      <c r="C258">
        <v>81.3</v>
      </c>
      <c r="E258" s="3">
        <f t="shared" si="12"/>
        <v>12.75</v>
      </c>
      <c r="F258">
        <f t="shared" si="10"/>
        <v>12.92</v>
      </c>
      <c r="G258">
        <f t="shared" si="11"/>
        <v>0</v>
      </c>
    </row>
    <row r="259" spans="1:7">
      <c r="A259">
        <v>12.826</v>
      </c>
      <c r="B259" s="8" t="s">
        <v>203</v>
      </c>
      <c r="C259">
        <v>81.2</v>
      </c>
      <c r="E259" s="3">
        <f t="shared" si="12"/>
        <v>12.8</v>
      </c>
      <c r="F259">
        <f t="shared" si="10"/>
        <v>12.54</v>
      </c>
      <c r="G259">
        <f t="shared" si="11"/>
        <v>0</v>
      </c>
    </row>
    <row r="260" spans="1:7">
      <c r="A260">
        <v>12.876</v>
      </c>
      <c r="B260" s="8" t="s">
        <v>26</v>
      </c>
      <c r="C260">
        <v>81.4</v>
      </c>
      <c r="E260" s="3">
        <f t="shared" si="12"/>
        <v>12.85</v>
      </c>
      <c r="F260">
        <f t="shared" ref="F260:F323" si="13">B260*1000</f>
        <v>12.33</v>
      </c>
      <c r="G260">
        <f t="shared" ref="G260:G323" si="14">IF(C260&lt;230,0,40)</f>
        <v>0</v>
      </c>
    </row>
    <row r="261" spans="1:7">
      <c r="A261">
        <v>12.926</v>
      </c>
      <c r="B261" s="8" t="s">
        <v>204</v>
      </c>
      <c r="C261">
        <v>81.8</v>
      </c>
      <c r="E261" s="3">
        <f t="shared" si="12"/>
        <v>12.9</v>
      </c>
      <c r="F261">
        <f t="shared" si="13"/>
        <v>12.24</v>
      </c>
      <c r="G261">
        <f t="shared" si="14"/>
        <v>0</v>
      </c>
    </row>
    <row r="262" spans="1:7">
      <c r="A262">
        <v>12.976</v>
      </c>
      <c r="B262" s="8" t="s">
        <v>205</v>
      </c>
      <c r="C262">
        <v>82.3</v>
      </c>
      <c r="E262" s="3">
        <f t="shared" si="12"/>
        <v>12.95</v>
      </c>
      <c r="F262">
        <f t="shared" si="13"/>
        <v>12.26</v>
      </c>
      <c r="G262">
        <f t="shared" si="14"/>
        <v>0</v>
      </c>
    </row>
    <row r="263" spans="1:7">
      <c r="A263">
        <v>13.026</v>
      </c>
      <c r="B263" s="8" t="s">
        <v>136</v>
      </c>
      <c r="C263">
        <v>81.4</v>
      </c>
      <c r="E263" s="3">
        <f t="shared" si="12"/>
        <v>13</v>
      </c>
      <c r="F263">
        <f t="shared" si="13"/>
        <v>12.47</v>
      </c>
      <c r="G263">
        <f t="shared" si="14"/>
        <v>0</v>
      </c>
    </row>
    <row r="264" spans="1:7">
      <c r="A264">
        <v>13.077</v>
      </c>
      <c r="B264" s="8" t="s">
        <v>206</v>
      </c>
      <c r="C264">
        <v>82.6</v>
      </c>
      <c r="E264" s="3">
        <f t="shared" si="12"/>
        <v>13.05</v>
      </c>
      <c r="F264">
        <f t="shared" si="13"/>
        <v>12.84</v>
      </c>
      <c r="G264">
        <f t="shared" si="14"/>
        <v>0</v>
      </c>
    </row>
    <row r="265" spans="1:7">
      <c r="A265">
        <v>13.127</v>
      </c>
      <c r="B265" s="8" t="s">
        <v>207</v>
      </c>
      <c r="C265">
        <v>81.1</v>
      </c>
      <c r="E265" s="3">
        <f t="shared" si="12"/>
        <v>13.1</v>
      </c>
      <c r="F265">
        <f t="shared" si="13"/>
        <v>13.2</v>
      </c>
      <c r="G265">
        <f t="shared" si="14"/>
        <v>0</v>
      </c>
    </row>
    <row r="266" spans="1:7">
      <c r="A266">
        <v>13.177</v>
      </c>
      <c r="B266" s="8" t="s">
        <v>208</v>
      </c>
      <c r="C266">
        <v>253.5</v>
      </c>
      <c r="E266" s="3">
        <f t="shared" ref="E266:E329" si="15">FLOOR(A266,0.05)</f>
        <v>13.15</v>
      </c>
      <c r="F266">
        <f t="shared" si="13"/>
        <v>13.55</v>
      </c>
      <c r="G266">
        <f t="shared" si="14"/>
        <v>40</v>
      </c>
    </row>
    <row r="267" spans="1:7">
      <c r="A267">
        <v>13.227</v>
      </c>
      <c r="B267" s="8" t="s">
        <v>209</v>
      </c>
      <c r="C267">
        <v>253.6</v>
      </c>
      <c r="E267" s="3">
        <f t="shared" si="15"/>
        <v>13.2</v>
      </c>
      <c r="F267">
        <f t="shared" si="13"/>
        <v>13.82</v>
      </c>
      <c r="G267">
        <f t="shared" si="14"/>
        <v>40</v>
      </c>
    </row>
    <row r="268" spans="1:7">
      <c r="A268">
        <v>13.277</v>
      </c>
      <c r="B268" s="8" t="s">
        <v>210</v>
      </c>
      <c r="C268">
        <v>253.6</v>
      </c>
      <c r="E268" s="3">
        <f t="shared" si="15"/>
        <v>13.25</v>
      </c>
      <c r="F268">
        <f t="shared" si="13"/>
        <v>13.87</v>
      </c>
      <c r="G268">
        <f t="shared" si="14"/>
        <v>40</v>
      </c>
    </row>
    <row r="269" spans="1:7">
      <c r="A269">
        <v>13.327</v>
      </c>
      <c r="B269" s="8" t="s">
        <v>161</v>
      </c>
      <c r="C269">
        <v>253.6</v>
      </c>
      <c r="E269" s="3">
        <f t="shared" si="15"/>
        <v>13.3</v>
      </c>
      <c r="F269">
        <f t="shared" si="13"/>
        <v>13.63</v>
      </c>
      <c r="G269">
        <f t="shared" si="14"/>
        <v>40</v>
      </c>
    </row>
    <row r="270" spans="1:7">
      <c r="A270">
        <v>13.377</v>
      </c>
      <c r="B270" s="8" t="s">
        <v>211</v>
      </c>
      <c r="C270">
        <v>253.6</v>
      </c>
      <c r="E270" s="3">
        <f t="shared" si="15"/>
        <v>13.35</v>
      </c>
      <c r="F270">
        <f t="shared" si="13"/>
        <v>13.21</v>
      </c>
      <c r="G270">
        <f t="shared" si="14"/>
        <v>40</v>
      </c>
    </row>
    <row r="271" spans="1:7">
      <c r="A271">
        <v>13.427</v>
      </c>
      <c r="B271" s="8" t="s">
        <v>212</v>
      </c>
      <c r="C271">
        <v>253.6</v>
      </c>
      <c r="E271" s="3">
        <f t="shared" si="15"/>
        <v>13.4</v>
      </c>
      <c r="F271">
        <f t="shared" si="13"/>
        <v>12.67</v>
      </c>
      <c r="G271">
        <f t="shared" si="14"/>
        <v>40</v>
      </c>
    </row>
    <row r="272" spans="1:7">
      <c r="A272">
        <v>13.477</v>
      </c>
      <c r="B272" s="8" t="s">
        <v>213</v>
      </c>
      <c r="C272">
        <v>253.6</v>
      </c>
      <c r="E272" s="3">
        <f t="shared" si="15"/>
        <v>13.45</v>
      </c>
      <c r="F272">
        <f t="shared" si="13"/>
        <v>11.98</v>
      </c>
      <c r="G272">
        <f t="shared" si="14"/>
        <v>40</v>
      </c>
    </row>
    <row r="273" spans="1:7">
      <c r="A273">
        <v>13.527</v>
      </c>
      <c r="B273" s="8" t="s">
        <v>148</v>
      </c>
      <c r="C273">
        <v>253.6</v>
      </c>
      <c r="E273" s="3">
        <f t="shared" si="15"/>
        <v>13.5</v>
      </c>
      <c r="F273">
        <f t="shared" si="13"/>
        <v>11.29</v>
      </c>
      <c r="G273">
        <f t="shared" si="14"/>
        <v>40</v>
      </c>
    </row>
    <row r="274" spans="1:7">
      <c r="A274">
        <v>13.578</v>
      </c>
      <c r="B274" s="8" t="s">
        <v>214</v>
      </c>
      <c r="C274">
        <v>253.6</v>
      </c>
      <c r="E274" s="3">
        <f t="shared" si="15"/>
        <v>13.55</v>
      </c>
      <c r="F274">
        <f t="shared" si="13"/>
        <v>10.72</v>
      </c>
      <c r="G274">
        <f t="shared" si="14"/>
        <v>40</v>
      </c>
    </row>
    <row r="275" spans="1:7">
      <c r="A275">
        <v>13.628</v>
      </c>
      <c r="B275" s="8" t="s">
        <v>215</v>
      </c>
      <c r="C275">
        <v>253.6</v>
      </c>
      <c r="E275" s="3">
        <f t="shared" si="15"/>
        <v>13.6</v>
      </c>
      <c r="F275">
        <f t="shared" si="13"/>
        <v>10.24</v>
      </c>
      <c r="G275">
        <f t="shared" si="14"/>
        <v>40</v>
      </c>
    </row>
    <row r="276" spans="1:7">
      <c r="A276">
        <v>13.678</v>
      </c>
      <c r="B276" s="8" t="s">
        <v>216</v>
      </c>
      <c r="C276">
        <v>253.6</v>
      </c>
      <c r="E276" s="3">
        <f t="shared" si="15"/>
        <v>13.65</v>
      </c>
      <c r="F276">
        <f t="shared" si="13"/>
        <v>9.871</v>
      </c>
      <c r="G276">
        <f t="shared" si="14"/>
        <v>40</v>
      </c>
    </row>
    <row r="277" spans="1:7">
      <c r="A277">
        <v>13.728</v>
      </c>
      <c r="B277" s="8" t="s">
        <v>217</v>
      </c>
      <c r="C277">
        <v>253.6</v>
      </c>
      <c r="E277" s="3">
        <f t="shared" si="15"/>
        <v>13.7</v>
      </c>
      <c r="F277">
        <f t="shared" si="13"/>
        <v>9.636</v>
      </c>
      <c r="G277">
        <f t="shared" si="14"/>
        <v>40</v>
      </c>
    </row>
    <row r="278" spans="1:7">
      <c r="A278">
        <v>13.778</v>
      </c>
      <c r="B278" s="8" t="s">
        <v>218</v>
      </c>
      <c r="C278">
        <v>253.6</v>
      </c>
      <c r="E278" s="3">
        <f t="shared" si="15"/>
        <v>13.75</v>
      </c>
      <c r="F278">
        <f t="shared" si="13"/>
        <v>9.415</v>
      </c>
      <c r="G278">
        <f t="shared" si="14"/>
        <v>40</v>
      </c>
    </row>
    <row r="279" spans="1:7">
      <c r="A279">
        <v>13.828</v>
      </c>
      <c r="B279" s="8" t="s">
        <v>219</v>
      </c>
      <c r="C279">
        <v>253.6</v>
      </c>
      <c r="E279" s="3">
        <f t="shared" si="15"/>
        <v>13.8</v>
      </c>
      <c r="F279">
        <f t="shared" si="13"/>
        <v>9.322</v>
      </c>
      <c r="G279">
        <f t="shared" si="14"/>
        <v>40</v>
      </c>
    </row>
    <row r="280" spans="1:7">
      <c r="A280">
        <v>13.878</v>
      </c>
      <c r="B280" s="8" t="s">
        <v>220</v>
      </c>
      <c r="C280">
        <v>253.5</v>
      </c>
      <c r="E280" s="3">
        <f t="shared" si="15"/>
        <v>13.85</v>
      </c>
      <c r="F280">
        <f t="shared" si="13"/>
        <v>9.324</v>
      </c>
      <c r="G280">
        <f t="shared" si="14"/>
        <v>40</v>
      </c>
    </row>
    <row r="281" spans="1:7">
      <c r="A281">
        <v>13.928</v>
      </c>
      <c r="B281" s="8" t="s">
        <v>221</v>
      </c>
      <c r="C281">
        <v>253.6</v>
      </c>
      <c r="E281" s="3">
        <f t="shared" si="15"/>
        <v>13.9</v>
      </c>
      <c r="F281">
        <f t="shared" si="13"/>
        <v>9.392</v>
      </c>
      <c r="G281">
        <f t="shared" si="14"/>
        <v>40</v>
      </c>
    </row>
    <row r="282" spans="1:7">
      <c r="A282">
        <v>13.978</v>
      </c>
      <c r="B282" s="8" t="s">
        <v>222</v>
      </c>
      <c r="C282">
        <v>253.6</v>
      </c>
      <c r="E282" s="3">
        <f t="shared" si="15"/>
        <v>13.95</v>
      </c>
      <c r="F282">
        <f t="shared" si="13"/>
        <v>9.568</v>
      </c>
      <c r="G282">
        <f t="shared" si="14"/>
        <v>40</v>
      </c>
    </row>
    <row r="283" spans="1:7">
      <c r="A283">
        <v>14.028</v>
      </c>
      <c r="B283" s="8" t="s">
        <v>223</v>
      </c>
      <c r="C283">
        <v>253.6</v>
      </c>
      <c r="E283" s="3">
        <f t="shared" si="15"/>
        <v>14</v>
      </c>
      <c r="F283">
        <f t="shared" si="13"/>
        <v>9.836</v>
      </c>
      <c r="G283">
        <f t="shared" si="14"/>
        <v>40</v>
      </c>
    </row>
    <row r="284" spans="1:7">
      <c r="A284">
        <v>14.079</v>
      </c>
      <c r="B284" s="8" t="s">
        <v>224</v>
      </c>
      <c r="C284">
        <v>253.6</v>
      </c>
      <c r="E284" s="3">
        <f t="shared" si="15"/>
        <v>14.05</v>
      </c>
      <c r="F284">
        <f t="shared" si="13"/>
        <v>10</v>
      </c>
      <c r="G284">
        <f t="shared" si="14"/>
        <v>40</v>
      </c>
    </row>
    <row r="285" spans="1:7">
      <c r="A285">
        <v>14.129</v>
      </c>
      <c r="B285" s="8" t="s">
        <v>225</v>
      </c>
      <c r="C285">
        <v>253.6</v>
      </c>
      <c r="E285" s="3">
        <f t="shared" si="15"/>
        <v>14.1</v>
      </c>
      <c r="F285">
        <f t="shared" si="13"/>
        <v>10.22</v>
      </c>
      <c r="G285">
        <f t="shared" si="14"/>
        <v>40</v>
      </c>
    </row>
    <row r="286" spans="1:7">
      <c r="A286">
        <v>14.179</v>
      </c>
      <c r="B286" s="8" t="s">
        <v>226</v>
      </c>
      <c r="C286">
        <v>253.5</v>
      </c>
      <c r="E286" s="3">
        <f t="shared" si="15"/>
        <v>14.15</v>
      </c>
      <c r="F286">
        <f t="shared" si="13"/>
        <v>10.3</v>
      </c>
      <c r="G286">
        <f t="shared" si="14"/>
        <v>40</v>
      </c>
    </row>
    <row r="287" spans="1:7">
      <c r="A287">
        <v>14.229</v>
      </c>
      <c r="B287" s="8" t="s">
        <v>227</v>
      </c>
      <c r="C287">
        <v>176.8</v>
      </c>
      <c r="E287" s="3">
        <f t="shared" si="15"/>
        <v>14.2</v>
      </c>
      <c r="F287">
        <f t="shared" si="13"/>
        <v>10.58</v>
      </c>
      <c r="G287">
        <f t="shared" si="14"/>
        <v>0</v>
      </c>
    </row>
    <row r="288" spans="1:7">
      <c r="A288">
        <v>14.279</v>
      </c>
      <c r="B288" s="8" t="s">
        <v>228</v>
      </c>
      <c r="C288">
        <v>181.7</v>
      </c>
      <c r="E288" s="3">
        <f t="shared" si="15"/>
        <v>14.25</v>
      </c>
      <c r="F288">
        <f t="shared" si="13"/>
        <v>10.89</v>
      </c>
      <c r="G288">
        <f t="shared" si="14"/>
        <v>0</v>
      </c>
    </row>
    <row r="289" spans="1:7">
      <c r="A289">
        <v>14.329</v>
      </c>
      <c r="B289" s="8" t="s">
        <v>229</v>
      </c>
      <c r="C289">
        <v>174.4</v>
      </c>
      <c r="E289" s="3">
        <f t="shared" si="15"/>
        <v>14.3</v>
      </c>
      <c r="F289">
        <f t="shared" si="13"/>
        <v>11.28</v>
      </c>
      <c r="G289">
        <f t="shared" si="14"/>
        <v>0</v>
      </c>
    </row>
    <row r="290" spans="1:7">
      <c r="A290">
        <v>14.379</v>
      </c>
      <c r="B290" s="8" t="s">
        <v>230</v>
      </c>
      <c r="C290">
        <v>167.2</v>
      </c>
      <c r="E290" s="3">
        <f t="shared" si="15"/>
        <v>14.35</v>
      </c>
      <c r="F290">
        <f t="shared" si="13"/>
        <v>11.72</v>
      </c>
      <c r="G290">
        <f t="shared" si="14"/>
        <v>0</v>
      </c>
    </row>
    <row r="291" spans="1:7">
      <c r="A291">
        <v>14.429</v>
      </c>
      <c r="B291" s="8" t="s">
        <v>231</v>
      </c>
      <c r="C291">
        <v>158.9</v>
      </c>
      <c r="E291" s="3">
        <f t="shared" si="15"/>
        <v>14.4</v>
      </c>
      <c r="F291">
        <f t="shared" si="13"/>
        <v>12.02</v>
      </c>
      <c r="G291">
        <f t="shared" si="14"/>
        <v>0</v>
      </c>
    </row>
    <row r="292" spans="1:7">
      <c r="A292">
        <v>14.479</v>
      </c>
      <c r="B292" s="8" t="s">
        <v>205</v>
      </c>
      <c r="C292">
        <v>151.7</v>
      </c>
      <c r="E292" s="3">
        <f t="shared" si="15"/>
        <v>14.45</v>
      </c>
      <c r="F292">
        <f t="shared" si="13"/>
        <v>12.26</v>
      </c>
      <c r="G292">
        <f t="shared" si="14"/>
        <v>0</v>
      </c>
    </row>
    <row r="293" spans="1:7">
      <c r="A293">
        <v>14.529</v>
      </c>
      <c r="B293" s="8" t="s">
        <v>204</v>
      </c>
      <c r="C293">
        <v>142.6</v>
      </c>
      <c r="E293" s="3">
        <f t="shared" si="15"/>
        <v>14.5</v>
      </c>
      <c r="F293">
        <f t="shared" si="13"/>
        <v>12.24</v>
      </c>
      <c r="G293">
        <f t="shared" si="14"/>
        <v>0</v>
      </c>
    </row>
    <row r="294" spans="1:7">
      <c r="A294">
        <v>14.58</v>
      </c>
      <c r="B294" s="8" t="s">
        <v>178</v>
      </c>
      <c r="C294">
        <v>133.6</v>
      </c>
      <c r="E294" s="3">
        <f t="shared" si="15"/>
        <v>14.55</v>
      </c>
      <c r="F294">
        <f t="shared" si="13"/>
        <v>12.08</v>
      </c>
      <c r="G294">
        <f t="shared" si="14"/>
        <v>0</v>
      </c>
    </row>
    <row r="295" spans="1:7">
      <c r="A295">
        <v>14.63</v>
      </c>
      <c r="B295" s="8" t="s">
        <v>232</v>
      </c>
      <c r="C295">
        <v>125</v>
      </c>
      <c r="E295" s="3">
        <f t="shared" si="15"/>
        <v>14.6</v>
      </c>
      <c r="F295">
        <f t="shared" si="13"/>
        <v>11.86</v>
      </c>
      <c r="G295">
        <f t="shared" si="14"/>
        <v>0</v>
      </c>
    </row>
    <row r="296" spans="1:7">
      <c r="A296">
        <v>14.68</v>
      </c>
      <c r="B296" s="8" t="s">
        <v>233</v>
      </c>
      <c r="C296">
        <v>116.9</v>
      </c>
      <c r="E296" s="3">
        <f t="shared" si="15"/>
        <v>14.65</v>
      </c>
      <c r="F296">
        <f t="shared" si="13"/>
        <v>11.42</v>
      </c>
      <c r="G296">
        <f t="shared" si="14"/>
        <v>0</v>
      </c>
    </row>
    <row r="297" spans="1:7">
      <c r="A297">
        <v>14.73</v>
      </c>
      <c r="B297" s="8" t="s">
        <v>234</v>
      </c>
      <c r="C297">
        <v>110.2</v>
      </c>
      <c r="E297" s="3">
        <f t="shared" si="15"/>
        <v>14.7</v>
      </c>
      <c r="F297">
        <f t="shared" si="13"/>
        <v>11.04</v>
      </c>
      <c r="G297">
        <f t="shared" si="14"/>
        <v>0</v>
      </c>
    </row>
    <row r="298" spans="1:7">
      <c r="A298">
        <v>14.78</v>
      </c>
      <c r="B298" s="8" t="s">
        <v>82</v>
      </c>
      <c r="C298">
        <v>103.4</v>
      </c>
      <c r="E298" s="3">
        <f t="shared" si="15"/>
        <v>14.75</v>
      </c>
      <c r="F298">
        <f t="shared" si="13"/>
        <v>10.73</v>
      </c>
      <c r="G298">
        <f t="shared" si="14"/>
        <v>0</v>
      </c>
    </row>
    <row r="299" spans="1:7">
      <c r="A299">
        <v>14.83</v>
      </c>
      <c r="B299" s="8" t="s">
        <v>214</v>
      </c>
      <c r="C299">
        <v>98.9</v>
      </c>
      <c r="E299" s="3">
        <f t="shared" si="15"/>
        <v>14.8</v>
      </c>
      <c r="F299">
        <f t="shared" si="13"/>
        <v>10.72</v>
      </c>
      <c r="G299">
        <f t="shared" si="14"/>
        <v>0</v>
      </c>
    </row>
    <row r="300" spans="1:7">
      <c r="A300">
        <v>14.88</v>
      </c>
      <c r="B300" s="8" t="s">
        <v>235</v>
      </c>
      <c r="C300">
        <v>95.5</v>
      </c>
      <c r="E300" s="3">
        <f t="shared" si="15"/>
        <v>14.85</v>
      </c>
      <c r="F300">
        <f t="shared" si="13"/>
        <v>10.82</v>
      </c>
      <c r="G300">
        <f t="shared" si="14"/>
        <v>0</v>
      </c>
    </row>
    <row r="301" spans="1:7">
      <c r="A301">
        <v>14.93</v>
      </c>
      <c r="B301" s="8" t="s">
        <v>236</v>
      </c>
      <c r="C301">
        <v>93.3</v>
      </c>
      <c r="E301" s="3">
        <f t="shared" si="15"/>
        <v>14.9</v>
      </c>
      <c r="F301">
        <f t="shared" si="13"/>
        <v>10.99</v>
      </c>
      <c r="G301">
        <f t="shared" si="14"/>
        <v>0</v>
      </c>
    </row>
    <row r="302" spans="1:7">
      <c r="A302">
        <v>14.98</v>
      </c>
      <c r="B302" s="8" t="s">
        <v>237</v>
      </c>
      <c r="C302">
        <v>92.7</v>
      </c>
      <c r="E302" s="3">
        <f t="shared" si="15"/>
        <v>14.95</v>
      </c>
      <c r="F302">
        <f t="shared" si="13"/>
        <v>11.3</v>
      </c>
      <c r="G302">
        <f t="shared" si="14"/>
        <v>0</v>
      </c>
    </row>
    <row r="303" spans="1:7">
      <c r="A303">
        <v>15.03</v>
      </c>
      <c r="B303" s="8" t="s">
        <v>238</v>
      </c>
      <c r="C303">
        <v>92</v>
      </c>
      <c r="E303" s="3">
        <f t="shared" si="15"/>
        <v>15</v>
      </c>
      <c r="F303">
        <f t="shared" si="13"/>
        <v>11.67</v>
      </c>
      <c r="G303">
        <f t="shared" si="14"/>
        <v>0</v>
      </c>
    </row>
    <row r="304" spans="1:7">
      <c r="A304">
        <v>15.081</v>
      </c>
      <c r="B304" s="8" t="s">
        <v>239</v>
      </c>
      <c r="C304">
        <v>92.5</v>
      </c>
      <c r="E304" s="3">
        <f t="shared" si="15"/>
        <v>15.05</v>
      </c>
      <c r="F304">
        <f t="shared" si="13"/>
        <v>11.97</v>
      </c>
      <c r="G304">
        <f t="shared" si="14"/>
        <v>0</v>
      </c>
    </row>
    <row r="305" spans="1:7">
      <c r="A305">
        <v>15.131</v>
      </c>
      <c r="B305" s="8" t="s">
        <v>114</v>
      </c>
      <c r="C305">
        <v>91.9</v>
      </c>
      <c r="E305" s="3">
        <f t="shared" si="15"/>
        <v>15.1</v>
      </c>
      <c r="F305">
        <f t="shared" si="13"/>
        <v>12.11</v>
      </c>
      <c r="G305">
        <f t="shared" si="14"/>
        <v>0</v>
      </c>
    </row>
    <row r="306" spans="1:7">
      <c r="A306">
        <v>15.181</v>
      </c>
      <c r="B306" s="8" t="s">
        <v>191</v>
      </c>
      <c r="C306">
        <v>91.8</v>
      </c>
      <c r="E306" s="3">
        <f t="shared" si="15"/>
        <v>15.15</v>
      </c>
      <c r="F306">
        <f t="shared" si="13"/>
        <v>12.19</v>
      </c>
      <c r="G306">
        <f t="shared" si="14"/>
        <v>0</v>
      </c>
    </row>
    <row r="307" spans="1:7">
      <c r="A307">
        <v>15.231</v>
      </c>
      <c r="B307" s="8" t="s">
        <v>17</v>
      </c>
      <c r="C307">
        <v>92.1</v>
      </c>
      <c r="E307" s="3">
        <f t="shared" si="15"/>
        <v>15.2</v>
      </c>
      <c r="F307">
        <f t="shared" si="13"/>
        <v>12.09</v>
      </c>
      <c r="G307">
        <f t="shared" si="14"/>
        <v>0</v>
      </c>
    </row>
    <row r="308" spans="1:7">
      <c r="A308">
        <v>15.281</v>
      </c>
      <c r="B308" s="8" t="s">
        <v>240</v>
      </c>
      <c r="C308">
        <v>91.7</v>
      </c>
      <c r="E308" s="3">
        <f t="shared" si="15"/>
        <v>15.25</v>
      </c>
      <c r="F308">
        <f t="shared" si="13"/>
        <v>11.9</v>
      </c>
      <c r="G308">
        <f t="shared" si="14"/>
        <v>0</v>
      </c>
    </row>
    <row r="309" spans="1:7">
      <c r="A309">
        <v>15.331</v>
      </c>
      <c r="B309" s="8" t="s">
        <v>241</v>
      </c>
      <c r="C309">
        <v>91.1</v>
      </c>
      <c r="E309" s="3">
        <f t="shared" si="15"/>
        <v>15.3</v>
      </c>
      <c r="F309">
        <f t="shared" si="13"/>
        <v>11.6</v>
      </c>
      <c r="G309">
        <f t="shared" si="14"/>
        <v>0</v>
      </c>
    </row>
    <row r="310" spans="1:7">
      <c r="A310">
        <v>15.381</v>
      </c>
      <c r="B310" s="8" t="s">
        <v>242</v>
      </c>
      <c r="C310">
        <v>89.3</v>
      </c>
      <c r="E310" s="3">
        <f t="shared" si="15"/>
        <v>15.35</v>
      </c>
      <c r="F310">
        <f t="shared" si="13"/>
        <v>11.24</v>
      </c>
      <c r="G310">
        <f t="shared" si="14"/>
        <v>0</v>
      </c>
    </row>
    <row r="311" spans="1:7">
      <c r="A311">
        <v>15.431</v>
      </c>
      <c r="B311" s="8" t="s">
        <v>243</v>
      </c>
      <c r="C311">
        <v>86.5</v>
      </c>
      <c r="E311" s="3">
        <f t="shared" si="15"/>
        <v>15.4</v>
      </c>
      <c r="F311">
        <f t="shared" si="13"/>
        <v>10.97</v>
      </c>
      <c r="G311">
        <f t="shared" si="14"/>
        <v>0</v>
      </c>
    </row>
    <row r="312" spans="1:7">
      <c r="A312">
        <v>15.481</v>
      </c>
      <c r="B312" s="8" t="s">
        <v>244</v>
      </c>
      <c r="C312">
        <v>85.5</v>
      </c>
      <c r="E312" s="3">
        <f t="shared" si="15"/>
        <v>15.45</v>
      </c>
      <c r="F312">
        <f t="shared" si="13"/>
        <v>10.81</v>
      </c>
      <c r="G312">
        <f t="shared" si="14"/>
        <v>0</v>
      </c>
    </row>
    <row r="313" spans="1:7">
      <c r="A313">
        <v>15.531</v>
      </c>
      <c r="B313" s="8" t="s">
        <v>235</v>
      </c>
      <c r="C313">
        <v>84.2</v>
      </c>
      <c r="E313" s="3">
        <f t="shared" si="15"/>
        <v>15.5</v>
      </c>
      <c r="F313">
        <f t="shared" si="13"/>
        <v>10.82</v>
      </c>
      <c r="G313">
        <f t="shared" si="14"/>
        <v>0</v>
      </c>
    </row>
    <row r="314" spans="1:7">
      <c r="A314">
        <v>15.582</v>
      </c>
      <c r="B314" s="8" t="s">
        <v>103</v>
      </c>
      <c r="C314">
        <v>83.8</v>
      </c>
      <c r="E314" s="3">
        <f t="shared" si="15"/>
        <v>15.55</v>
      </c>
      <c r="F314">
        <f t="shared" si="13"/>
        <v>10.96</v>
      </c>
      <c r="G314">
        <f t="shared" si="14"/>
        <v>0</v>
      </c>
    </row>
    <row r="315" spans="1:7">
      <c r="A315">
        <v>15.632</v>
      </c>
      <c r="B315" s="8" t="s">
        <v>245</v>
      </c>
      <c r="C315">
        <v>84.1</v>
      </c>
      <c r="E315" s="3">
        <f t="shared" si="15"/>
        <v>15.6</v>
      </c>
      <c r="F315">
        <f t="shared" si="13"/>
        <v>11.18</v>
      </c>
      <c r="G315">
        <f t="shared" si="14"/>
        <v>0</v>
      </c>
    </row>
    <row r="316" spans="1:7">
      <c r="A316">
        <v>15.682</v>
      </c>
      <c r="B316" s="8" t="s">
        <v>246</v>
      </c>
      <c r="C316">
        <v>83</v>
      </c>
      <c r="E316" s="3">
        <f t="shared" si="15"/>
        <v>15.65</v>
      </c>
      <c r="F316">
        <f t="shared" si="13"/>
        <v>11.59</v>
      </c>
      <c r="G316">
        <f t="shared" si="14"/>
        <v>0</v>
      </c>
    </row>
    <row r="317" spans="1:7">
      <c r="A317">
        <v>15.732</v>
      </c>
      <c r="B317" s="8" t="s">
        <v>247</v>
      </c>
      <c r="C317">
        <v>82.6</v>
      </c>
      <c r="E317" s="3">
        <f t="shared" si="15"/>
        <v>15.7</v>
      </c>
      <c r="F317">
        <f t="shared" si="13"/>
        <v>11.85</v>
      </c>
      <c r="G317">
        <f t="shared" si="14"/>
        <v>0</v>
      </c>
    </row>
    <row r="318" spans="1:7">
      <c r="A318">
        <v>15.782</v>
      </c>
      <c r="B318" s="8" t="s">
        <v>239</v>
      </c>
      <c r="C318">
        <v>81.9</v>
      </c>
      <c r="E318" s="3">
        <f t="shared" si="15"/>
        <v>15.75</v>
      </c>
      <c r="F318">
        <f t="shared" si="13"/>
        <v>11.97</v>
      </c>
      <c r="G318">
        <f t="shared" si="14"/>
        <v>0</v>
      </c>
    </row>
    <row r="319" spans="1:7">
      <c r="A319">
        <v>15.832</v>
      </c>
      <c r="B319" s="8" t="s">
        <v>239</v>
      </c>
      <c r="C319">
        <v>81.4</v>
      </c>
      <c r="E319" s="3">
        <f t="shared" si="15"/>
        <v>15.8</v>
      </c>
      <c r="F319">
        <f t="shared" si="13"/>
        <v>11.97</v>
      </c>
      <c r="G319">
        <f t="shared" si="14"/>
        <v>0</v>
      </c>
    </row>
    <row r="320" spans="1:7">
      <c r="A320">
        <v>15.882</v>
      </c>
      <c r="B320" s="8" t="s">
        <v>248</v>
      </c>
      <c r="C320">
        <v>81.5</v>
      </c>
      <c r="E320" s="3">
        <f t="shared" si="15"/>
        <v>15.85</v>
      </c>
      <c r="F320">
        <f t="shared" si="13"/>
        <v>11.88</v>
      </c>
      <c r="G320">
        <f t="shared" si="14"/>
        <v>0</v>
      </c>
    </row>
    <row r="321" spans="1:7">
      <c r="A321">
        <v>15.932</v>
      </c>
      <c r="B321" s="8" t="s">
        <v>230</v>
      </c>
      <c r="C321">
        <v>81.3</v>
      </c>
      <c r="E321" s="3">
        <f t="shared" si="15"/>
        <v>15.9</v>
      </c>
      <c r="F321">
        <f t="shared" si="13"/>
        <v>11.72</v>
      </c>
      <c r="G321">
        <f t="shared" si="14"/>
        <v>0</v>
      </c>
    </row>
    <row r="322" spans="1:7">
      <c r="A322">
        <v>15.982</v>
      </c>
      <c r="B322" s="8" t="s">
        <v>249</v>
      </c>
      <c r="C322">
        <v>81.8</v>
      </c>
      <c r="E322" s="3">
        <f t="shared" si="15"/>
        <v>15.95</v>
      </c>
      <c r="F322">
        <f t="shared" si="13"/>
        <v>11.48</v>
      </c>
      <c r="G322">
        <f t="shared" si="14"/>
        <v>0</v>
      </c>
    </row>
    <row r="323" spans="1:7">
      <c r="A323">
        <v>16.032</v>
      </c>
      <c r="B323" s="8" t="s">
        <v>250</v>
      </c>
      <c r="C323">
        <v>81.7</v>
      </c>
      <c r="E323" s="3">
        <f t="shared" si="15"/>
        <v>16</v>
      </c>
      <c r="F323">
        <f t="shared" si="13"/>
        <v>11.12</v>
      </c>
      <c r="G323">
        <f t="shared" si="14"/>
        <v>0</v>
      </c>
    </row>
    <row r="324" spans="1:7">
      <c r="A324">
        <v>16.083</v>
      </c>
      <c r="B324" s="8" t="s">
        <v>228</v>
      </c>
      <c r="C324">
        <v>81.2</v>
      </c>
      <c r="E324" s="3">
        <f t="shared" si="15"/>
        <v>16.05</v>
      </c>
      <c r="F324">
        <f t="shared" ref="F324:F387" si="16">B324*1000</f>
        <v>10.89</v>
      </c>
      <c r="G324">
        <f t="shared" ref="G324:G387" si="17">IF(C324&lt;230,0,40)</f>
        <v>0</v>
      </c>
    </row>
    <row r="325" spans="1:7">
      <c r="A325">
        <v>16.133</v>
      </c>
      <c r="B325" s="8" t="s">
        <v>251</v>
      </c>
      <c r="C325">
        <v>81.5</v>
      </c>
      <c r="E325" s="3">
        <f t="shared" si="15"/>
        <v>16.1</v>
      </c>
      <c r="F325">
        <f t="shared" si="16"/>
        <v>10.76</v>
      </c>
      <c r="G325">
        <f t="shared" si="17"/>
        <v>0</v>
      </c>
    </row>
    <row r="326" spans="1:7">
      <c r="A326">
        <v>16.183</v>
      </c>
      <c r="B326" s="8" t="s">
        <v>244</v>
      </c>
      <c r="C326">
        <v>82</v>
      </c>
      <c r="E326" s="3">
        <f t="shared" si="15"/>
        <v>16.15</v>
      </c>
      <c r="F326">
        <f t="shared" si="16"/>
        <v>10.81</v>
      </c>
      <c r="G326">
        <f t="shared" si="17"/>
        <v>0</v>
      </c>
    </row>
    <row r="327" spans="1:7">
      <c r="A327">
        <v>16.233</v>
      </c>
      <c r="B327" s="8" t="s">
        <v>228</v>
      </c>
      <c r="C327">
        <v>81.3</v>
      </c>
      <c r="E327" s="3">
        <f t="shared" si="15"/>
        <v>16.2</v>
      </c>
      <c r="F327">
        <f t="shared" si="16"/>
        <v>10.89</v>
      </c>
      <c r="G327">
        <f t="shared" si="17"/>
        <v>0</v>
      </c>
    </row>
    <row r="328" spans="1:7">
      <c r="A328">
        <v>16.283</v>
      </c>
      <c r="B328" s="8" t="s">
        <v>252</v>
      </c>
      <c r="C328">
        <v>80.8</v>
      </c>
      <c r="E328" s="3">
        <f t="shared" si="15"/>
        <v>16.25</v>
      </c>
      <c r="F328">
        <f t="shared" si="16"/>
        <v>11.08</v>
      </c>
      <c r="G328">
        <f t="shared" si="17"/>
        <v>0</v>
      </c>
    </row>
    <row r="329" spans="1:7">
      <c r="A329">
        <v>16.333</v>
      </c>
      <c r="B329" s="8" t="s">
        <v>253</v>
      </c>
      <c r="C329">
        <v>81.7</v>
      </c>
      <c r="E329" s="3">
        <f t="shared" si="15"/>
        <v>16.3</v>
      </c>
      <c r="F329">
        <f t="shared" si="16"/>
        <v>11.33</v>
      </c>
      <c r="G329">
        <f t="shared" si="17"/>
        <v>0</v>
      </c>
    </row>
    <row r="330" spans="1:7">
      <c r="A330">
        <v>16.383</v>
      </c>
      <c r="B330" s="8" t="s">
        <v>254</v>
      </c>
      <c r="C330">
        <v>80.8</v>
      </c>
      <c r="E330" s="3">
        <f t="shared" ref="E330:E393" si="18">FLOOR(A330,0.05)</f>
        <v>16.35</v>
      </c>
      <c r="F330">
        <f t="shared" si="16"/>
        <v>11.56</v>
      </c>
      <c r="G330">
        <f t="shared" si="17"/>
        <v>0</v>
      </c>
    </row>
    <row r="331" spans="1:7">
      <c r="A331">
        <v>16.433</v>
      </c>
      <c r="B331" s="8" t="s">
        <v>165</v>
      </c>
      <c r="C331">
        <v>80.6</v>
      </c>
      <c r="E331" s="3">
        <f t="shared" si="18"/>
        <v>16.4</v>
      </c>
      <c r="F331">
        <f t="shared" si="16"/>
        <v>11.66</v>
      </c>
      <c r="G331">
        <f t="shared" si="17"/>
        <v>0</v>
      </c>
    </row>
    <row r="332" spans="1:7">
      <c r="A332">
        <v>16.483</v>
      </c>
      <c r="B332" s="8" t="s">
        <v>147</v>
      </c>
      <c r="C332">
        <v>81.4</v>
      </c>
      <c r="E332" s="3">
        <f t="shared" si="18"/>
        <v>16.45</v>
      </c>
      <c r="F332">
        <f t="shared" si="16"/>
        <v>11.75</v>
      </c>
      <c r="G332">
        <f t="shared" si="17"/>
        <v>0</v>
      </c>
    </row>
    <row r="333" spans="1:7">
      <c r="A333">
        <v>16.534</v>
      </c>
      <c r="B333" s="8" t="s">
        <v>255</v>
      </c>
      <c r="C333">
        <v>81.4</v>
      </c>
      <c r="E333" s="3">
        <f t="shared" si="18"/>
        <v>16.5</v>
      </c>
      <c r="F333">
        <f t="shared" si="16"/>
        <v>11.73</v>
      </c>
      <c r="G333">
        <f t="shared" si="17"/>
        <v>0</v>
      </c>
    </row>
    <row r="334" spans="1:7">
      <c r="A334">
        <v>16.584</v>
      </c>
      <c r="B334" s="8" t="s">
        <v>256</v>
      </c>
      <c r="C334">
        <v>82</v>
      </c>
      <c r="E334" s="3">
        <f t="shared" si="18"/>
        <v>16.55</v>
      </c>
      <c r="F334">
        <f t="shared" si="16"/>
        <v>11.58</v>
      </c>
      <c r="G334">
        <f t="shared" si="17"/>
        <v>0</v>
      </c>
    </row>
    <row r="335" spans="1:7">
      <c r="A335">
        <v>16.634</v>
      </c>
      <c r="B335" s="8" t="s">
        <v>257</v>
      </c>
      <c r="C335">
        <v>82</v>
      </c>
      <c r="E335" s="3">
        <f t="shared" si="18"/>
        <v>16.6</v>
      </c>
      <c r="F335">
        <f t="shared" si="16"/>
        <v>11.41</v>
      </c>
      <c r="G335">
        <f t="shared" si="17"/>
        <v>0</v>
      </c>
    </row>
    <row r="336" spans="1:7">
      <c r="A336">
        <v>16.684</v>
      </c>
      <c r="B336" s="8" t="s">
        <v>258</v>
      </c>
      <c r="C336">
        <v>81</v>
      </c>
      <c r="E336" s="3">
        <f t="shared" si="18"/>
        <v>16.65</v>
      </c>
      <c r="F336">
        <f t="shared" si="16"/>
        <v>11.09</v>
      </c>
      <c r="G336">
        <f t="shared" si="17"/>
        <v>0</v>
      </c>
    </row>
    <row r="337" spans="1:7">
      <c r="A337">
        <v>16.734</v>
      </c>
      <c r="B337" s="8" t="s">
        <v>259</v>
      </c>
      <c r="C337">
        <v>81.1</v>
      </c>
      <c r="E337" s="3">
        <f t="shared" si="18"/>
        <v>16.7</v>
      </c>
      <c r="F337">
        <f t="shared" si="16"/>
        <v>10.88</v>
      </c>
      <c r="G337">
        <f t="shared" si="17"/>
        <v>0</v>
      </c>
    </row>
    <row r="338" spans="1:7">
      <c r="A338">
        <v>16.784</v>
      </c>
      <c r="B338" s="8" t="s">
        <v>260</v>
      </c>
      <c r="C338">
        <v>81.8</v>
      </c>
      <c r="E338" s="3">
        <f t="shared" si="18"/>
        <v>16.75</v>
      </c>
      <c r="F338">
        <f t="shared" si="16"/>
        <v>10.8</v>
      </c>
      <c r="G338">
        <f t="shared" si="17"/>
        <v>0</v>
      </c>
    </row>
    <row r="339" spans="1:7">
      <c r="A339">
        <v>16.834</v>
      </c>
      <c r="B339" s="8" t="s">
        <v>261</v>
      </c>
      <c r="C339">
        <v>81.5</v>
      </c>
      <c r="E339" s="3">
        <f t="shared" si="18"/>
        <v>16.8</v>
      </c>
      <c r="F339">
        <f t="shared" si="16"/>
        <v>10.84</v>
      </c>
      <c r="G339">
        <f t="shared" si="17"/>
        <v>0</v>
      </c>
    </row>
    <row r="340" spans="1:7">
      <c r="A340">
        <v>16.884</v>
      </c>
      <c r="B340" s="8" t="s">
        <v>262</v>
      </c>
      <c r="C340">
        <v>82.3</v>
      </c>
      <c r="E340" s="3">
        <f t="shared" si="18"/>
        <v>16.85</v>
      </c>
      <c r="F340">
        <f t="shared" si="16"/>
        <v>10.94</v>
      </c>
      <c r="G340">
        <f t="shared" si="17"/>
        <v>0</v>
      </c>
    </row>
    <row r="341" spans="1:7">
      <c r="A341">
        <v>16.934</v>
      </c>
      <c r="B341" s="8" t="s">
        <v>252</v>
      </c>
      <c r="C341">
        <v>81.9</v>
      </c>
      <c r="E341" s="3">
        <f t="shared" si="18"/>
        <v>16.9</v>
      </c>
      <c r="F341">
        <f t="shared" si="16"/>
        <v>11.08</v>
      </c>
      <c r="G341">
        <f t="shared" si="17"/>
        <v>0</v>
      </c>
    </row>
    <row r="342" spans="1:7">
      <c r="A342">
        <v>16.984</v>
      </c>
      <c r="B342" s="8" t="s">
        <v>263</v>
      </c>
      <c r="C342">
        <v>82</v>
      </c>
      <c r="E342" s="3">
        <f t="shared" si="18"/>
        <v>16.95</v>
      </c>
      <c r="F342">
        <f t="shared" si="16"/>
        <v>11.25</v>
      </c>
      <c r="G342">
        <f t="shared" si="17"/>
        <v>0</v>
      </c>
    </row>
    <row r="343" spans="1:7">
      <c r="A343">
        <v>17.035</v>
      </c>
      <c r="B343" s="8" t="s">
        <v>135</v>
      </c>
      <c r="C343">
        <v>81.1</v>
      </c>
      <c r="E343" s="3">
        <f t="shared" si="18"/>
        <v>17</v>
      </c>
      <c r="F343">
        <f t="shared" si="16"/>
        <v>11.53</v>
      </c>
      <c r="G343">
        <f t="shared" si="17"/>
        <v>0</v>
      </c>
    </row>
    <row r="344" spans="1:7">
      <c r="A344">
        <v>17.085</v>
      </c>
      <c r="B344" s="8" t="s">
        <v>264</v>
      </c>
      <c r="C344">
        <v>81.7</v>
      </c>
      <c r="E344" s="3">
        <f t="shared" si="18"/>
        <v>17.05</v>
      </c>
      <c r="F344">
        <f t="shared" si="16"/>
        <v>11.62</v>
      </c>
      <c r="G344">
        <f t="shared" si="17"/>
        <v>0</v>
      </c>
    </row>
    <row r="345" spans="1:7">
      <c r="A345">
        <v>17.135</v>
      </c>
      <c r="B345" s="8" t="s">
        <v>265</v>
      </c>
      <c r="C345">
        <v>81.5</v>
      </c>
      <c r="E345" s="3">
        <f t="shared" si="18"/>
        <v>17.1</v>
      </c>
      <c r="F345">
        <f t="shared" si="16"/>
        <v>11.63</v>
      </c>
      <c r="G345">
        <f t="shared" si="17"/>
        <v>0</v>
      </c>
    </row>
    <row r="346" spans="1:7">
      <c r="A346">
        <v>17.185</v>
      </c>
      <c r="B346" s="8" t="s">
        <v>264</v>
      </c>
      <c r="C346">
        <v>81.5</v>
      </c>
      <c r="E346" s="3">
        <f t="shared" si="18"/>
        <v>17.15</v>
      </c>
      <c r="F346">
        <f t="shared" si="16"/>
        <v>11.62</v>
      </c>
      <c r="G346">
        <f t="shared" si="17"/>
        <v>0</v>
      </c>
    </row>
    <row r="347" spans="1:7">
      <c r="A347">
        <v>17.235</v>
      </c>
      <c r="B347" s="8" t="s">
        <v>266</v>
      </c>
      <c r="C347">
        <v>91.9</v>
      </c>
      <c r="E347" s="3">
        <f t="shared" si="18"/>
        <v>17.2</v>
      </c>
      <c r="F347">
        <f t="shared" si="16"/>
        <v>11.47</v>
      </c>
      <c r="G347">
        <f t="shared" si="17"/>
        <v>0</v>
      </c>
    </row>
    <row r="348" spans="1:7">
      <c r="A348">
        <v>17.285</v>
      </c>
      <c r="B348" s="8" t="s">
        <v>267</v>
      </c>
      <c r="C348">
        <v>253.6</v>
      </c>
      <c r="E348" s="3">
        <f t="shared" si="18"/>
        <v>17.25</v>
      </c>
      <c r="F348">
        <f t="shared" si="16"/>
        <v>11.16</v>
      </c>
      <c r="G348">
        <f t="shared" si="17"/>
        <v>40</v>
      </c>
    </row>
    <row r="349" spans="1:7">
      <c r="A349">
        <v>17.335</v>
      </c>
      <c r="B349" s="8" t="s">
        <v>268</v>
      </c>
      <c r="C349">
        <v>253.6</v>
      </c>
      <c r="E349" s="3">
        <f t="shared" si="18"/>
        <v>17.3</v>
      </c>
      <c r="F349">
        <f t="shared" si="16"/>
        <v>10.92</v>
      </c>
      <c r="G349">
        <f t="shared" si="17"/>
        <v>40</v>
      </c>
    </row>
    <row r="350" spans="1:7">
      <c r="A350">
        <v>17.385</v>
      </c>
      <c r="B350" s="8" t="s">
        <v>269</v>
      </c>
      <c r="C350">
        <v>253.6</v>
      </c>
      <c r="E350" s="3">
        <f t="shared" si="18"/>
        <v>17.35</v>
      </c>
      <c r="F350">
        <f t="shared" si="16"/>
        <v>10.4</v>
      </c>
      <c r="G350">
        <f t="shared" si="17"/>
        <v>40</v>
      </c>
    </row>
    <row r="351" spans="1:7">
      <c r="A351">
        <v>17.435</v>
      </c>
      <c r="B351" s="8" t="s">
        <v>224</v>
      </c>
      <c r="C351">
        <v>253.5</v>
      </c>
      <c r="E351" s="3">
        <f t="shared" si="18"/>
        <v>17.4</v>
      </c>
      <c r="F351">
        <f t="shared" si="16"/>
        <v>10</v>
      </c>
      <c r="G351">
        <f t="shared" si="17"/>
        <v>40</v>
      </c>
    </row>
    <row r="352" spans="1:7">
      <c r="A352">
        <v>17.485</v>
      </c>
      <c r="B352" s="8" t="s">
        <v>270</v>
      </c>
      <c r="C352">
        <v>253.5</v>
      </c>
      <c r="E352" s="3">
        <f t="shared" si="18"/>
        <v>17.45</v>
      </c>
      <c r="F352">
        <f t="shared" si="16"/>
        <v>9.595</v>
      </c>
      <c r="G352">
        <f t="shared" si="17"/>
        <v>40</v>
      </c>
    </row>
    <row r="353" spans="1:7">
      <c r="A353">
        <v>17.536</v>
      </c>
      <c r="B353" s="8" t="s">
        <v>271</v>
      </c>
      <c r="C353">
        <v>253.6</v>
      </c>
      <c r="E353" s="3">
        <f t="shared" si="18"/>
        <v>17.5</v>
      </c>
      <c r="F353">
        <f t="shared" si="16"/>
        <v>9.3</v>
      </c>
      <c r="G353">
        <f t="shared" si="17"/>
        <v>40</v>
      </c>
    </row>
    <row r="354" spans="1:7">
      <c r="A354">
        <v>17.586</v>
      </c>
      <c r="B354" s="8" t="s">
        <v>272</v>
      </c>
      <c r="C354">
        <v>253.5</v>
      </c>
      <c r="E354" s="3">
        <f t="shared" si="18"/>
        <v>17.55</v>
      </c>
      <c r="F354">
        <f t="shared" si="16"/>
        <v>9.259</v>
      </c>
      <c r="G354">
        <f t="shared" si="17"/>
        <v>40</v>
      </c>
    </row>
    <row r="355" spans="1:7">
      <c r="A355">
        <v>17.636</v>
      </c>
      <c r="B355" s="8" t="s">
        <v>273</v>
      </c>
      <c r="C355">
        <v>253.6</v>
      </c>
      <c r="E355" s="3">
        <f t="shared" si="18"/>
        <v>17.6</v>
      </c>
      <c r="F355">
        <f t="shared" si="16"/>
        <v>9.355</v>
      </c>
      <c r="G355">
        <f t="shared" si="17"/>
        <v>40</v>
      </c>
    </row>
    <row r="356" spans="1:7">
      <c r="A356">
        <v>17.686</v>
      </c>
      <c r="B356" s="8" t="s">
        <v>274</v>
      </c>
      <c r="C356">
        <v>253.6</v>
      </c>
      <c r="E356" s="3">
        <f t="shared" si="18"/>
        <v>17.65</v>
      </c>
      <c r="F356">
        <f t="shared" si="16"/>
        <v>9.616</v>
      </c>
      <c r="G356">
        <f t="shared" si="17"/>
        <v>40</v>
      </c>
    </row>
    <row r="357" spans="1:7">
      <c r="A357">
        <v>17.736</v>
      </c>
      <c r="B357" s="8" t="s">
        <v>55</v>
      </c>
      <c r="C357">
        <v>253.6</v>
      </c>
      <c r="E357" s="3">
        <f t="shared" si="18"/>
        <v>17.7</v>
      </c>
      <c r="F357">
        <f t="shared" si="16"/>
        <v>10.03</v>
      </c>
      <c r="G357">
        <f t="shared" si="17"/>
        <v>40</v>
      </c>
    </row>
    <row r="358" spans="1:7">
      <c r="A358">
        <v>17.786</v>
      </c>
      <c r="B358" s="8" t="s">
        <v>275</v>
      </c>
      <c r="C358">
        <v>253.6</v>
      </c>
      <c r="E358" s="3">
        <f t="shared" si="18"/>
        <v>17.75</v>
      </c>
      <c r="F358">
        <f t="shared" si="16"/>
        <v>10.53</v>
      </c>
      <c r="G358">
        <f t="shared" si="17"/>
        <v>40</v>
      </c>
    </row>
    <row r="359" spans="1:7">
      <c r="A359">
        <v>17.836</v>
      </c>
      <c r="B359" s="8" t="s">
        <v>103</v>
      </c>
      <c r="C359">
        <v>253.6</v>
      </c>
      <c r="E359" s="3">
        <f t="shared" si="18"/>
        <v>17.8</v>
      </c>
      <c r="F359">
        <f t="shared" si="16"/>
        <v>10.96</v>
      </c>
      <c r="G359">
        <f t="shared" si="17"/>
        <v>40</v>
      </c>
    </row>
    <row r="360" spans="1:7">
      <c r="A360">
        <v>17.886</v>
      </c>
      <c r="B360" s="8" t="s">
        <v>229</v>
      </c>
      <c r="C360">
        <v>253.6</v>
      </c>
      <c r="E360" s="3">
        <f t="shared" si="18"/>
        <v>17.85</v>
      </c>
      <c r="F360">
        <f t="shared" si="16"/>
        <v>11.28</v>
      </c>
      <c r="G360">
        <f t="shared" si="17"/>
        <v>40</v>
      </c>
    </row>
    <row r="361" spans="1:7">
      <c r="A361">
        <v>17.936</v>
      </c>
      <c r="B361" s="8" t="s">
        <v>135</v>
      </c>
      <c r="C361">
        <v>253.7</v>
      </c>
      <c r="E361" s="3">
        <f t="shared" si="18"/>
        <v>17.9</v>
      </c>
      <c r="F361">
        <f t="shared" si="16"/>
        <v>11.53</v>
      </c>
      <c r="G361">
        <f t="shared" si="17"/>
        <v>40</v>
      </c>
    </row>
    <row r="362" spans="1:7">
      <c r="A362">
        <v>17.986</v>
      </c>
      <c r="B362" s="8" t="s">
        <v>276</v>
      </c>
      <c r="C362">
        <v>253.6</v>
      </c>
      <c r="E362" s="3">
        <f t="shared" si="18"/>
        <v>17.95</v>
      </c>
      <c r="F362">
        <f t="shared" si="16"/>
        <v>11.49</v>
      </c>
      <c r="G362">
        <f t="shared" si="17"/>
        <v>40</v>
      </c>
    </row>
    <row r="363" spans="1:7">
      <c r="A363">
        <v>18.037</v>
      </c>
      <c r="B363" s="8" t="s">
        <v>229</v>
      </c>
      <c r="C363">
        <v>253.5</v>
      </c>
      <c r="E363" s="3">
        <f t="shared" si="18"/>
        <v>18</v>
      </c>
      <c r="F363">
        <f t="shared" si="16"/>
        <v>11.28</v>
      </c>
      <c r="G363">
        <f t="shared" si="17"/>
        <v>40</v>
      </c>
    </row>
    <row r="364" spans="1:7">
      <c r="A364">
        <v>18.087</v>
      </c>
      <c r="B364" s="8" t="s">
        <v>228</v>
      </c>
      <c r="C364">
        <v>253.5</v>
      </c>
      <c r="E364" s="3">
        <f t="shared" si="18"/>
        <v>18.05</v>
      </c>
      <c r="F364">
        <f t="shared" si="16"/>
        <v>10.89</v>
      </c>
      <c r="G364">
        <f t="shared" si="17"/>
        <v>40</v>
      </c>
    </row>
    <row r="365" spans="1:7">
      <c r="A365">
        <v>18.137</v>
      </c>
      <c r="B365" s="8" t="s">
        <v>277</v>
      </c>
      <c r="C365">
        <v>253.5</v>
      </c>
      <c r="E365" s="3">
        <f t="shared" si="18"/>
        <v>18.1</v>
      </c>
      <c r="F365">
        <f t="shared" si="16"/>
        <v>10.48</v>
      </c>
      <c r="G365">
        <f t="shared" si="17"/>
        <v>40</v>
      </c>
    </row>
    <row r="366" spans="1:7">
      <c r="A366">
        <v>18.187</v>
      </c>
      <c r="B366" s="8" t="s">
        <v>278</v>
      </c>
      <c r="C366">
        <v>253.6</v>
      </c>
      <c r="E366" s="3">
        <f t="shared" si="18"/>
        <v>18.15</v>
      </c>
      <c r="F366">
        <f t="shared" si="16"/>
        <v>10.12</v>
      </c>
      <c r="G366">
        <f t="shared" si="17"/>
        <v>40</v>
      </c>
    </row>
    <row r="367" spans="1:7">
      <c r="A367">
        <v>18.237</v>
      </c>
      <c r="B367" s="8" t="s">
        <v>279</v>
      </c>
      <c r="C367">
        <v>253.6</v>
      </c>
      <c r="E367" s="3">
        <f t="shared" si="18"/>
        <v>18.2</v>
      </c>
      <c r="F367">
        <f t="shared" si="16"/>
        <v>9.785</v>
      </c>
      <c r="G367">
        <f t="shared" si="17"/>
        <v>40</v>
      </c>
    </row>
    <row r="368" spans="1:7">
      <c r="A368">
        <v>18.287</v>
      </c>
      <c r="B368" s="8" t="s">
        <v>280</v>
      </c>
      <c r="C368">
        <v>249.1</v>
      </c>
      <c r="E368" s="3">
        <f t="shared" si="18"/>
        <v>18.25</v>
      </c>
      <c r="F368">
        <f t="shared" si="16"/>
        <v>9.602</v>
      </c>
      <c r="G368">
        <f t="shared" si="17"/>
        <v>40</v>
      </c>
    </row>
    <row r="369" spans="1:7">
      <c r="A369">
        <v>18.337</v>
      </c>
      <c r="B369" s="8" t="s">
        <v>281</v>
      </c>
      <c r="C369">
        <v>204.9</v>
      </c>
      <c r="E369" s="3">
        <f t="shared" si="18"/>
        <v>18.3</v>
      </c>
      <c r="F369">
        <f t="shared" si="16"/>
        <v>9.668</v>
      </c>
      <c r="G369">
        <f t="shared" si="17"/>
        <v>0</v>
      </c>
    </row>
    <row r="370" spans="1:7">
      <c r="A370">
        <v>18.387</v>
      </c>
      <c r="B370" s="8" t="s">
        <v>282</v>
      </c>
      <c r="C370">
        <v>207.9</v>
      </c>
      <c r="E370" s="3">
        <f t="shared" si="18"/>
        <v>18.35</v>
      </c>
      <c r="F370">
        <f t="shared" si="16"/>
        <v>10.09</v>
      </c>
      <c r="G370">
        <f t="shared" si="17"/>
        <v>0</v>
      </c>
    </row>
    <row r="371" spans="1:7">
      <c r="A371">
        <v>18.437</v>
      </c>
      <c r="B371" s="8" t="s">
        <v>134</v>
      </c>
      <c r="C371">
        <v>203.1</v>
      </c>
      <c r="E371" s="3">
        <f t="shared" si="18"/>
        <v>18.4</v>
      </c>
      <c r="F371">
        <f t="shared" si="16"/>
        <v>10.66</v>
      </c>
      <c r="G371">
        <f t="shared" si="17"/>
        <v>0</v>
      </c>
    </row>
    <row r="372" spans="1:7">
      <c r="A372">
        <v>18.487</v>
      </c>
      <c r="B372" s="8" t="s">
        <v>257</v>
      </c>
      <c r="C372">
        <v>198.8</v>
      </c>
      <c r="E372" s="3">
        <f t="shared" si="18"/>
        <v>18.45</v>
      </c>
      <c r="F372">
        <f t="shared" si="16"/>
        <v>11.41</v>
      </c>
      <c r="G372">
        <f t="shared" si="17"/>
        <v>0</v>
      </c>
    </row>
    <row r="373" spans="1:7">
      <c r="A373">
        <v>18.538</v>
      </c>
      <c r="B373" s="8" t="s">
        <v>191</v>
      </c>
      <c r="C373">
        <v>192.9</v>
      </c>
      <c r="E373" s="3">
        <f t="shared" si="18"/>
        <v>18.5</v>
      </c>
      <c r="F373">
        <f t="shared" si="16"/>
        <v>12.19</v>
      </c>
      <c r="G373">
        <f t="shared" si="17"/>
        <v>0</v>
      </c>
    </row>
    <row r="374" spans="1:7">
      <c r="A374">
        <v>18.588</v>
      </c>
      <c r="B374" s="8" t="s">
        <v>283</v>
      </c>
      <c r="C374">
        <v>187.1</v>
      </c>
      <c r="E374" s="3">
        <f t="shared" si="18"/>
        <v>18.55</v>
      </c>
      <c r="F374">
        <f t="shared" si="16"/>
        <v>12.77</v>
      </c>
      <c r="G374">
        <f t="shared" si="17"/>
        <v>0</v>
      </c>
    </row>
    <row r="375" spans="1:7">
      <c r="A375">
        <v>18.638</v>
      </c>
      <c r="B375" s="8" t="s">
        <v>284</v>
      </c>
      <c r="C375">
        <v>180.7</v>
      </c>
      <c r="E375" s="3">
        <f t="shared" si="18"/>
        <v>18.6</v>
      </c>
      <c r="F375">
        <f t="shared" si="16"/>
        <v>12.94</v>
      </c>
      <c r="G375">
        <f t="shared" si="17"/>
        <v>0</v>
      </c>
    </row>
    <row r="376" spans="1:7">
      <c r="A376">
        <v>18.688</v>
      </c>
      <c r="B376" s="8" t="s">
        <v>285</v>
      </c>
      <c r="C376">
        <v>174.2</v>
      </c>
      <c r="E376" s="3">
        <f t="shared" si="18"/>
        <v>18.65</v>
      </c>
      <c r="F376">
        <f t="shared" si="16"/>
        <v>12.87</v>
      </c>
      <c r="G376">
        <f t="shared" si="17"/>
        <v>0</v>
      </c>
    </row>
    <row r="377" spans="1:7">
      <c r="A377">
        <v>18.738</v>
      </c>
      <c r="B377" s="8" t="s">
        <v>286</v>
      </c>
      <c r="C377">
        <v>167.6</v>
      </c>
      <c r="E377" s="3">
        <f t="shared" si="18"/>
        <v>18.7</v>
      </c>
      <c r="F377">
        <f t="shared" si="16"/>
        <v>12.46</v>
      </c>
      <c r="G377">
        <f t="shared" si="17"/>
        <v>0</v>
      </c>
    </row>
    <row r="378" spans="1:7">
      <c r="A378">
        <v>18.788</v>
      </c>
      <c r="B378" s="8" t="s">
        <v>232</v>
      </c>
      <c r="C378">
        <v>160.9</v>
      </c>
      <c r="E378" s="3">
        <f t="shared" si="18"/>
        <v>18.75</v>
      </c>
      <c r="F378">
        <f t="shared" si="16"/>
        <v>11.86</v>
      </c>
      <c r="G378">
        <f t="shared" si="17"/>
        <v>0</v>
      </c>
    </row>
    <row r="379" spans="1:7">
      <c r="A379">
        <v>18.838</v>
      </c>
      <c r="B379" s="8" t="s">
        <v>234</v>
      </c>
      <c r="C379">
        <v>153.5</v>
      </c>
      <c r="E379" s="3">
        <f t="shared" si="18"/>
        <v>18.8</v>
      </c>
      <c r="F379">
        <f t="shared" si="16"/>
        <v>11.04</v>
      </c>
      <c r="G379">
        <f t="shared" si="17"/>
        <v>0</v>
      </c>
    </row>
    <row r="380" spans="1:7">
      <c r="A380">
        <v>18.888</v>
      </c>
      <c r="B380" s="8" t="s">
        <v>287</v>
      </c>
      <c r="C380">
        <v>144.6</v>
      </c>
      <c r="E380" s="3">
        <f t="shared" si="18"/>
        <v>18.85</v>
      </c>
      <c r="F380">
        <f t="shared" si="16"/>
        <v>10.37</v>
      </c>
      <c r="G380">
        <f t="shared" si="17"/>
        <v>0</v>
      </c>
    </row>
    <row r="381" spans="1:7">
      <c r="A381">
        <v>18.938</v>
      </c>
      <c r="B381" s="8" t="s">
        <v>288</v>
      </c>
      <c r="C381">
        <v>137.7</v>
      </c>
      <c r="E381" s="3">
        <f t="shared" si="18"/>
        <v>18.9</v>
      </c>
      <c r="F381">
        <f t="shared" si="16"/>
        <v>9.99</v>
      </c>
      <c r="G381">
        <f t="shared" si="17"/>
        <v>0</v>
      </c>
    </row>
    <row r="382" spans="1:7">
      <c r="A382">
        <v>18.988</v>
      </c>
      <c r="B382" s="8" t="s">
        <v>289</v>
      </c>
      <c r="C382">
        <v>128.9</v>
      </c>
      <c r="E382" s="3">
        <f t="shared" si="18"/>
        <v>18.95</v>
      </c>
      <c r="F382">
        <f t="shared" si="16"/>
        <v>9.92</v>
      </c>
      <c r="G382">
        <f t="shared" si="17"/>
        <v>0</v>
      </c>
    </row>
    <row r="383" spans="1:7">
      <c r="A383">
        <v>19.039</v>
      </c>
      <c r="B383" s="8" t="s">
        <v>290</v>
      </c>
      <c r="C383">
        <v>119.9</v>
      </c>
      <c r="E383" s="3">
        <f t="shared" si="18"/>
        <v>19</v>
      </c>
      <c r="F383">
        <f t="shared" si="16"/>
        <v>10.05</v>
      </c>
      <c r="G383">
        <f t="shared" si="17"/>
        <v>0</v>
      </c>
    </row>
    <row r="384" spans="1:7">
      <c r="A384">
        <v>19.089</v>
      </c>
      <c r="B384" s="8" t="s">
        <v>291</v>
      </c>
      <c r="C384">
        <v>113.2</v>
      </c>
      <c r="E384" s="3">
        <f t="shared" si="18"/>
        <v>19.05</v>
      </c>
      <c r="F384">
        <f t="shared" si="16"/>
        <v>10.42</v>
      </c>
      <c r="G384">
        <f t="shared" si="17"/>
        <v>0</v>
      </c>
    </row>
    <row r="385" spans="1:7">
      <c r="A385">
        <v>19.139</v>
      </c>
      <c r="B385" s="8" t="s">
        <v>292</v>
      </c>
      <c r="C385">
        <v>107.2</v>
      </c>
      <c r="E385" s="3">
        <f t="shared" si="18"/>
        <v>19.1</v>
      </c>
      <c r="F385">
        <f t="shared" si="16"/>
        <v>11.1</v>
      </c>
      <c r="G385">
        <f t="shared" si="17"/>
        <v>0</v>
      </c>
    </row>
    <row r="386" spans="1:7">
      <c r="A386">
        <v>19.189</v>
      </c>
      <c r="B386" s="8" t="s">
        <v>293</v>
      </c>
      <c r="C386">
        <v>101.6</v>
      </c>
      <c r="E386" s="3">
        <f t="shared" si="18"/>
        <v>19.15</v>
      </c>
      <c r="F386">
        <f t="shared" si="16"/>
        <v>11.8</v>
      </c>
      <c r="G386">
        <f t="shared" si="17"/>
        <v>0</v>
      </c>
    </row>
    <row r="387" spans="1:7">
      <c r="A387">
        <v>19.239</v>
      </c>
      <c r="B387" s="8" t="s">
        <v>294</v>
      </c>
      <c r="C387">
        <v>97.8</v>
      </c>
      <c r="E387" s="3">
        <f t="shared" si="18"/>
        <v>19.2</v>
      </c>
      <c r="F387">
        <f t="shared" si="16"/>
        <v>12.35</v>
      </c>
      <c r="G387">
        <f t="shared" si="17"/>
        <v>0</v>
      </c>
    </row>
    <row r="388" spans="1:7">
      <c r="A388">
        <v>19.289</v>
      </c>
      <c r="B388" s="8" t="s">
        <v>212</v>
      </c>
      <c r="C388">
        <v>94.7</v>
      </c>
      <c r="E388" s="3">
        <f t="shared" si="18"/>
        <v>19.25</v>
      </c>
      <c r="F388">
        <f t="shared" ref="F388:F451" si="19">B388*1000</f>
        <v>12.67</v>
      </c>
      <c r="G388">
        <f t="shared" ref="G388:G451" si="20">IF(C388&lt;230,0,40)</f>
        <v>0</v>
      </c>
    </row>
    <row r="389" spans="1:7">
      <c r="A389">
        <v>19.339</v>
      </c>
      <c r="B389" s="8" t="s">
        <v>295</v>
      </c>
      <c r="C389">
        <v>93</v>
      </c>
      <c r="E389" s="3">
        <f t="shared" si="18"/>
        <v>19.3</v>
      </c>
      <c r="F389">
        <f t="shared" si="19"/>
        <v>12.71</v>
      </c>
      <c r="G389">
        <f t="shared" si="20"/>
        <v>0</v>
      </c>
    </row>
    <row r="390" spans="1:7">
      <c r="A390">
        <v>19.389</v>
      </c>
      <c r="B390" s="8" t="s">
        <v>146</v>
      </c>
      <c r="C390">
        <v>92.5</v>
      </c>
      <c r="E390" s="3">
        <f t="shared" si="18"/>
        <v>19.35</v>
      </c>
      <c r="F390">
        <f t="shared" si="19"/>
        <v>12.48</v>
      </c>
      <c r="G390">
        <f t="shared" si="20"/>
        <v>0</v>
      </c>
    </row>
    <row r="391" spans="1:7">
      <c r="A391">
        <v>19.439</v>
      </c>
      <c r="B391" s="8" t="s">
        <v>296</v>
      </c>
      <c r="C391">
        <v>92.4</v>
      </c>
      <c r="E391" s="3">
        <f t="shared" si="18"/>
        <v>19.4</v>
      </c>
      <c r="F391">
        <f t="shared" si="19"/>
        <v>12.05</v>
      </c>
      <c r="G391">
        <f t="shared" si="20"/>
        <v>0</v>
      </c>
    </row>
    <row r="392" spans="1:7">
      <c r="A392">
        <v>19.489</v>
      </c>
      <c r="B392" s="8" t="s">
        <v>297</v>
      </c>
      <c r="C392">
        <v>92.2</v>
      </c>
      <c r="E392" s="3">
        <f t="shared" si="18"/>
        <v>19.45</v>
      </c>
      <c r="F392">
        <f t="shared" si="19"/>
        <v>11.43</v>
      </c>
      <c r="G392">
        <f t="shared" si="20"/>
        <v>0</v>
      </c>
    </row>
    <row r="393" spans="1:7">
      <c r="A393">
        <v>19.54</v>
      </c>
      <c r="B393" s="8" t="s">
        <v>214</v>
      </c>
      <c r="C393">
        <v>92.1</v>
      </c>
      <c r="E393" s="3">
        <f t="shared" si="18"/>
        <v>19.5</v>
      </c>
      <c r="F393">
        <f t="shared" si="19"/>
        <v>10.72</v>
      </c>
      <c r="G393">
        <f t="shared" si="20"/>
        <v>0</v>
      </c>
    </row>
    <row r="394" spans="1:7">
      <c r="A394">
        <v>19.59</v>
      </c>
      <c r="B394" s="8" t="s">
        <v>226</v>
      </c>
      <c r="C394">
        <v>91.9</v>
      </c>
      <c r="E394" s="3">
        <f t="shared" ref="E394:E457" si="21">FLOOR(A394,0.05)</f>
        <v>19.55</v>
      </c>
      <c r="F394">
        <f t="shared" si="19"/>
        <v>10.3</v>
      </c>
      <c r="G394">
        <f t="shared" si="20"/>
        <v>0</v>
      </c>
    </row>
    <row r="395" spans="1:7">
      <c r="A395">
        <v>19.64</v>
      </c>
      <c r="B395" s="8" t="s">
        <v>298</v>
      </c>
      <c r="C395">
        <v>91.6</v>
      </c>
      <c r="E395" s="3">
        <f t="shared" si="21"/>
        <v>19.6</v>
      </c>
      <c r="F395">
        <f t="shared" si="19"/>
        <v>10.1</v>
      </c>
      <c r="G395">
        <f t="shared" si="20"/>
        <v>0</v>
      </c>
    </row>
    <row r="396" spans="1:7">
      <c r="A396">
        <v>19.69</v>
      </c>
      <c r="B396" s="8" t="s">
        <v>282</v>
      </c>
      <c r="C396">
        <v>91.3</v>
      </c>
      <c r="E396" s="3">
        <f t="shared" si="21"/>
        <v>19.65</v>
      </c>
      <c r="F396">
        <f t="shared" si="19"/>
        <v>10.09</v>
      </c>
      <c r="G396">
        <f t="shared" si="20"/>
        <v>0</v>
      </c>
    </row>
    <row r="397" spans="1:7">
      <c r="A397">
        <v>19.74</v>
      </c>
      <c r="B397" s="8" t="s">
        <v>299</v>
      </c>
      <c r="C397">
        <v>90.9</v>
      </c>
      <c r="E397" s="3">
        <f t="shared" si="21"/>
        <v>19.7</v>
      </c>
      <c r="F397">
        <f t="shared" si="19"/>
        <v>10.34</v>
      </c>
      <c r="G397">
        <f t="shared" si="20"/>
        <v>0</v>
      </c>
    </row>
    <row r="398" spans="1:7">
      <c r="A398">
        <v>19.79</v>
      </c>
      <c r="B398" s="8" t="s">
        <v>300</v>
      </c>
      <c r="C398">
        <v>89.6</v>
      </c>
      <c r="E398" s="3">
        <f t="shared" si="21"/>
        <v>19.75</v>
      </c>
      <c r="F398">
        <f t="shared" si="19"/>
        <v>10.86</v>
      </c>
      <c r="G398">
        <f t="shared" si="20"/>
        <v>0</v>
      </c>
    </row>
    <row r="399" spans="1:7">
      <c r="A399">
        <v>19.84</v>
      </c>
      <c r="B399" s="8" t="s">
        <v>301</v>
      </c>
      <c r="C399">
        <v>86.5</v>
      </c>
      <c r="E399" s="3">
        <f t="shared" si="21"/>
        <v>19.8</v>
      </c>
      <c r="F399">
        <f t="shared" si="19"/>
        <v>11.52</v>
      </c>
      <c r="G399">
        <f t="shared" si="20"/>
        <v>0</v>
      </c>
    </row>
    <row r="400" spans="1:7">
      <c r="A400">
        <v>19.89</v>
      </c>
      <c r="B400" s="8" t="s">
        <v>302</v>
      </c>
      <c r="C400">
        <v>85.3</v>
      </c>
      <c r="E400" s="3">
        <f t="shared" si="21"/>
        <v>19.85</v>
      </c>
      <c r="F400">
        <f t="shared" si="19"/>
        <v>11.99</v>
      </c>
      <c r="G400">
        <f t="shared" si="20"/>
        <v>0</v>
      </c>
    </row>
    <row r="401" spans="1:7">
      <c r="A401">
        <v>19.94</v>
      </c>
      <c r="B401" s="8" t="s">
        <v>303</v>
      </c>
      <c r="C401">
        <v>84.9</v>
      </c>
      <c r="E401" s="3">
        <f t="shared" si="21"/>
        <v>19.9</v>
      </c>
      <c r="F401">
        <f t="shared" si="19"/>
        <v>12.31</v>
      </c>
      <c r="G401">
        <f t="shared" si="20"/>
        <v>0</v>
      </c>
    </row>
    <row r="402" spans="1:7">
      <c r="A402">
        <v>19.991</v>
      </c>
      <c r="B402" s="8" t="s">
        <v>304</v>
      </c>
      <c r="C402">
        <v>84.5</v>
      </c>
      <c r="E402" s="3">
        <f t="shared" si="21"/>
        <v>19.95</v>
      </c>
      <c r="F402">
        <f t="shared" si="19"/>
        <v>12.42</v>
      </c>
      <c r="G402">
        <f t="shared" si="20"/>
        <v>0</v>
      </c>
    </row>
    <row r="403" spans="1:7">
      <c r="A403">
        <v>20.041</v>
      </c>
      <c r="B403" s="8" t="s">
        <v>305</v>
      </c>
      <c r="C403">
        <v>83.1</v>
      </c>
      <c r="E403" s="3">
        <f t="shared" si="21"/>
        <v>20</v>
      </c>
      <c r="F403">
        <f t="shared" si="19"/>
        <v>12.41</v>
      </c>
      <c r="G403">
        <f t="shared" si="20"/>
        <v>0</v>
      </c>
    </row>
    <row r="404" spans="1:7">
      <c r="A404">
        <v>20.091</v>
      </c>
      <c r="B404" s="8" t="s">
        <v>179</v>
      </c>
      <c r="C404">
        <v>250.9</v>
      </c>
      <c r="E404" s="3">
        <f t="shared" si="21"/>
        <v>20.05</v>
      </c>
      <c r="F404">
        <f t="shared" si="19"/>
        <v>11.94</v>
      </c>
      <c r="G404">
        <f t="shared" si="20"/>
        <v>40</v>
      </c>
    </row>
    <row r="405" spans="1:7">
      <c r="A405">
        <v>20.141</v>
      </c>
      <c r="B405" s="8" t="s">
        <v>253</v>
      </c>
      <c r="C405">
        <v>253.5</v>
      </c>
      <c r="E405" s="3">
        <f t="shared" si="21"/>
        <v>20.1</v>
      </c>
      <c r="F405">
        <f t="shared" si="19"/>
        <v>11.33</v>
      </c>
      <c r="G405">
        <f t="shared" si="20"/>
        <v>40</v>
      </c>
    </row>
    <row r="406" spans="1:7">
      <c r="A406">
        <v>20.191</v>
      </c>
      <c r="B406" s="8" t="s">
        <v>306</v>
      </c>
      <c r="C406">
        <v>253.5</v>
      </c>
      <c r="E406" s="3">
        <f t="shared" si="21"/>
        <v>20.15</v>
      </c>
      <c r="F406">
        <f t="shared" si="19"/>
        <v>10.63</v>
      </c>
      <c r="G406">
        <f t="shared" si="20"/>
        <v>40</v>
      </c>
    </row>
    <row r="407" spans="1:7">
      <c r="A407">
        <v>20.241</v>
      </c>
      <c r="B407" s="8" t="s">
        <v>307</v>
      </c>
      <c r="C407">
        <v>253.6</v>
      </c>
      <c r="E407" s="3">
        <f t="shared" si="21"/>
        <v>20.2</v>
      </c>
      <c r="F407">
        <f t="shared" si="19"/>
        <v>9.931</v>
      </c>
      <c r="G407">
        <f t="shared" si="20"/>
        <v>40</v>
      </c>
    </row>
    <row r="408" spans="1:7">
      <c r="A408">
        <v>20.291</v>
      </c>
      <c r="B408" s="8" t="s">
        <v>308</v>
      </c>
      <c r="C408">
        <v>253.6</v>
      </c>
      <c r="E408" s="3">
        <f t="shared" si="21"/>
        <v>20.25</v>
      </c>
      <c r="F408">
        <f t="shared" si="19"/>
        <v>9.342</v>
      </c>
      <c r="G408">
        <f t="shared" si="20"/>
        <v>40</v>
      </c>
    </row>
    <row r="409" spans="1:7">
      <c r="A409">
        <v>20.341</v>
      </c>
      <c r="B409" s="8" t="s">
        <v>309</v>
      </c>
      <c r="C409">
        <v>253.6</v>
      </c>
      <c r="E409" s="3">
        <f t="shared" si="21"/>
        <v>20.3</v>
      </c>
      <c r="F409">
        <f t="shared" si="19"/>
        <v>8.979</v>
      </c>
      <c r="G409">
        <f t="shared" si="20"/>
        <v>40</v>
      </c>
    </row>
    <row r="410" spans="1:7">
      <c r="A410">
        <v>20.391</v>
      </c>
      <c r="B410" s="8" t="s">
        <v>310</v>
      </c>
      <c r="C410">
        <v>253.6</v>
      </c>
      <c r="E410" s="3">
        <f t="shared" si="21"/>
        <v>20.35</v>
      </c>
      <c r="F410">
        <f t="shared" si="19"/>
        <v>8.809</v>
      </c>
      <c r="G410">
        <f t="shared" si="20"/>
        <v>40</v>
      </c>
    </row>
    <row r="411" spans="1:7">
      <c r="A411">
        <v>20.441</v>
      </c>
      <c r="B411" s="8" t="s">
        <v>311</v>
      </c>
      <c r="C411">
        <v>253.6</v>
      </c>
      <c r="E411" s="3">
        <f t="shared" si="21"/>
        <v>20.4</v>
      </c>
      <c r="F411">
        <f t="shared" si="19"/>
        <v>9.017</v>
      </c>
      <c r="G411">
        <f t="shared" si="20"/>
        <v>40</v>
      </c>
    </row>
    <row r="412" spans="1:7">
      <c r="A412">
        <v>20.492</v>
      </c>
      <c r="B412" s="8" t="s">
        <v>312</v>
      </c>
      <c r="C412">
        <v>253.6</v>
      </c>
      <c r="E412" s="3">
        <f t="shared" si="21"/>
        <v>20.45</v>
      </c>
      <c r="F412">
        <f t="shared" si="19"/>
        <v>9.495</v>
      </c>
      <c r="G412">
        <f t="shared" si="20"/>
        <v>40</v>
      </c>
    </row>
    <row r="413" spans="1:7">
      <c r="A413">
        <v>20.542</v>
      </c>
      <c r="B413" s="8" t="s">
        <v>313</v>
      </c>
      <c r="C413">
        <v>253.5</v>
      </c>
      <c r="E413" s="3">
        <f t="shared" si="21"/>
        <v>20.5</v>
      </c>
      <c r="F413">
        <f t="shared" si="19"/>
        <v>10.11</v>
      </c>
      <c r="G413">
        <f t="shared" si="20"/>
        <v>40</v>
      </c>
    </row>
    <row r="414" spans="1:7">
      <c r="A414">
        <v>20.592</v>
      </c>
      <c r="B414" s="8" t="s">
        <v>251</v>
      </c>
      <c r="C414">
        <v>253.6</v>
      </c>
      <c r="E414" s="3">
        <f t="shared" si="21"/>
        <v>20.55</v>
      </c>
      <c r="F414">
        <f t="shared" si="19"/>
        <v>10.76</v>
      </c>
      <c r="G414">
        <f t="shared" si="20"/>
        <v>40</v>
      </c>
    </row>
    <row r="415" spans="1:7">
      <c r="A415">
        <v>20.642</v>
      </c>
      <c r="B415" s="8" t="s">
        <v>276</v>
      </c>
      <c r="C415">
        <v>253.6</v>
      </c>
      <c r="E415" s="3">
        <f t="shared" si="21"/>
        <v>20.6</v>
      </c>
      <c r="F415">
        <f t="shared" si="19"/>
        <v>11.49</v>
      </c>
      <c r="G415">
        <f t="shared" si="20"/>
        <v>40</v>
      </c>
    </row>
    <row r="416" spans="1:7">
      <c r="A416">
        <v>20.692</v>
      </c>
      <c r="B416" s="8" t="s">
        <v>180</v>
      </c>
      <c r="C416">
        <v>253.6</v>
      </c>
      <c r="E416" s="3">
        <f t="shared" si="21"/>
        <v>20.65</v>
      </c>
      <c r="F416">
        <f t="shared" si="19"/>
        <v>11.89</v>
      </c>
      <c r="G416">
        <f t="shared" si="20"/>
        <v>40</v>
      </c>
    </row>
    <row r="417" spans="1:7">
      <c r="A417">
        <v>20.742</v>
      </c>
      <c r="B417" s="8" t="s">
        <v>314</v>
      </c>
      <c r="C417">
        <v>253.5</v>
      </c>
      <c r="E417" s="3">
        <f t="shared" si="21"/>
        <v>20.7</v>
      </c>
      <c r="F417">
        <f t="shared" si="19"/>
        <v>12.03</v>
      </c>
      <c r="G417">
        <f t="shared" si="20"/>
        <v>40</v>
      </c>
    </row>
    <row r="418" spans="1:7">
      <c r="A418">
        <v>20.792</v>
      </c>
      <c r="B418" s="8" t="s">
        <v>314</v>
      </c>
      <c r="C418">
        <v>253.5</v>
      </c>
      <c r="E418" s="3">
        <f t="shared" si="21"/>
        <v>20.75</v>
      </c>
      <c r="F418">
        <f t="shared" si="19"/>
        <v>12.03</v>
      </c>
      <c r="G418">
        <f t="shared" si="20"/>
        <v>40</v>
      </c>
    </row>
    <row r="419" spans="1:7">
      <c r="A419">
        <v>20.842</v>
      </c>
      <c r="B419" s="8" t="s">
        <v>255</v>
      </c>
      <c r="C419">
        <v>253.6</v>
      </c>
      <c r="E419" s="3">
        <f t="shared" si="21"/>
        <v>20.8</v>
      </c>
      <c r="F419">
        <f t="shared" si="19"/>
        <v>11.73</v>
      </c>
      <c r="G419">
        <f t="shared" si="20"/>
        <v>40</v>
      </c>
    </row>
    <row r="420" spans="1:7">
      <c r="A420">
        <v>20.892</v>
      </c>
      <c r="B420" s="8" t="s">
        <v>250</v>
      </c>
      <c r="C420">
        <v>253.7</v>
      </c>
      <c r="E420" s="3">
        <f t="shared" si="21"/>
        <v>20.85</v>
      </c>
      <c r="F420">
        <f t="shared" si="19"/>
        <v>11.12</v>
      </c>
      <c r="G420">
        <f t="shared" si="20"/>
        <v>40</v>
      </c>
    </row>
    <row r="421" spans="1:7">
      <c r="A421">
        <v>20.942</v>
      </c>
      <c r="B421" s="8" t="s">
        <v>315</v>
      </c>
      <c r="C421">
        <v>253.6</v>
      </c>
      <c r="E421" s="3">
        <f t="shared" si="21"/>
        <v>20.9</v>
      </c>
      <c r="F421">
        <f t="shared" si="19"/>
        <v>10.45</v>
      </c>
      <c r="G421">
        <f t="shared" si="20"/>
        <v>40</v>
      </c>
    </row>
    <row r="422" spans="1:7">
      <c r="A422">
        <v>20.993</v>
      </c>
      <c r="B422" s="8" t="s">
        <v>316</v>
      </c>
      <c r="C422">
        <v>253.6</v>
      </c>
      <c r="E422" s="3">
        <f t="shared" si="21"/>
        <v>20.95</v>
      </c>
      <c r="F422">
        <f t="shared" si="19"/>
        <v>9.951</v>
      </c>
      <c r="G422">
        <f t="shared" si="20"/>
        <v>40</v>
      </c>
    </row>
    <row r="423" spans="1:7">
      <c r="A423">
        <v>21.043</v>
      </c>
      <c r="B423" s="8" t="s">
        <v>317</v>
      </c>
      <c r="C423">
        <v>253.6</v>
      </c>
      <c r="E423" s="3">
        <f t="shared" si="21"/>
        <v>21</v>
      </c>
      <c r="F423">
        <f t="shared" si="19"/>
        <v>9.536</v>
      </c>
      <c r="G423">
        <f t="shared" si="20"/>
        <v>40</v>
      </c>
    </row>
    <row r="424" spans="1:7">
      <c r="A424">
        <v>21.093</v>
      </c>
      <c r="B424" s="8" t="s">
        <v>318</v>
      </c>
      <c r="C424">
        <v>253.7</v>
      </c>
      <c r="E424" s="3">
        <f t="shared" si="21"/>
        <v>21.05</v>
      </c>
      <c r="F424">
        <f t="shared" si="19"/>
        <v>9.296</v>
      </c>
      <c r="G424">
        <f t="shared" si="20"/>
        <v>40</v>
      </c>
    </row>
    <row r="425" spans="1:7">
      <c r="A425">
        <v>21.143</v>
      </c>
      <c r="B425" s="8" t="s">
        <v>319</v>
      </c>
      <c r="C425">
        <v>228.6</v>
      </c>
      <c r="E425" s="3">
        <f t="shared" si="21"/>
        <v>21.1</v>
      </c>
      <c r="F425">
        <f t="shared" si="19"/>
        <v>9.312</v>
      </c>
      <c r="G425">
        <f t="shared" si="20"/>
        <v>0</v>
      </c>
    </row>
    <row r="426" spans="1:7">
      <c r="A426">
        <v>21.193</v>
      </c>
      <c r="B426" s="8" t="s">
        <v>320</v>
      </c>
      <c r="C426">
        <v>230.7</v>
      </c>
      <c r="E426" s="3">
        <f t="shared" si="21"/>
        <v>21.15</v>
      </c>
      <c r="F426">
        <f t="shared" si="19"/>
        <v>9.61</v>
      </c>
      <c r="G426">
        <f t="shared" si="20"/>
        <v>40</v>
      </c>
    </row>
    <row r="427" spans="1:7">
      <c r="A427">
        <v>21.243</v>
      </c>
      <c r="B427" s="8" t="s">
        <v>321</v>
      </c>
      <c r="C427">
        <v>228.2</v>
      </c>
      <c r="E427" s="3">
        <f t="shared" si="21"/>
        <v>21.2</v>
      </c>
      <c r="F427">
        <f t="shared" si="19"/>
        <v>10.33</v>
      </c>
      <c r="G427">
        <f t="shared" si="20"/>
        <v>0</v>
      </c>
    </row>
    <row r="428" spans="1:7">
      <c r="A428">
        <v>21.293</v>
      </c>
      <c r="B428" s="8" t="s">
        <v>322</v>
      </c>
      <c r="C428">
        <v>224.3</v>
      </c>
      <c r="E428" s="3">
        <f t="shared" si="21"/>
        <v>21.25</v>
      </c>
      <c r="F428">
        <f t="shared" si="19"/>
        <v>11.32</v>
      </c>
      <c r="G428">
        <f t="shared" si="20"/>
        <v>0</v>
      </c>
    </row>
    <row r="429" spans="1:7">
      <c r="A429">
        <v>21.343</v>
      </c>
      <c r="B429" s="8" t="s">
        <v>323</v>
      </c>
      <c r="C429">
        <v>220.8</v>
      </c>
      <c r="E429" s="3">
        <f t="shared" si="21"/>
        <v>21.3</v>
      </c>
      <c r="F429">
        <f t="shared" si="19"/>
        <v>12.22</v>
      </c>
      <c r="G429">
        <f t="shared" si="20"/>
        <v>0</v>
      </c>
    </row>
    <row r="430" spans="1:7">
      <c r="A430">
        <v>21.393</v>
      </c>
      <c r="B430" s="8" t="s">
        <v>176</v>
      </c>
      <c r="C430">
        <v>216.8</v>
      </c>
      <c r="E430" s="3">
        <f t="shared" si="21"/>
        <v>21.35</v>
      </c>
      <c r="F430">
        <f t="shared" si="19"/>
        <v>12.91</v>
      </c>
      <c r="G430">
        <f t="shared" si="20"/>
        <v>0</v>
      </c>
    </row>
    <row r="431" spans="1:7">
      <c r="A431">
        <v>21.443</v>
      </c>
      <c r="B431" s="8" t="s">
        <v>201</v>
      </c>
      <c r="C431">
        <v>213.4</v>
      </c>
      <c r="E431" s="3">
        <f t="shared" si="21"/>
        <v>21.4</v>
      </c>
      <c r="F431">
        <f t="shared" si="19"/>
        <v>13.31</v>
      </c>
      <c r="G431">
        <f t="shared" si="20"/>
        <v>0</v>
      </c>
    </row>
    <row r="432" spans="1:7">
      <c r="A432">
        <v>21.494</v>
      </c>
      <c r="B432" s="8" t="s">
        <v>145</v>
      </c>
      <c r="C432">
        <v>208.8</v>
      </c>
      <c r="E432" s="3">
        <f t="shared" si="21"/>
        <v>21.45</v>
      </c>
      <c r="F432">
        <f t="shared" si="19"/>
        <v>13.28</v>
      </c>
      <c r="G432">
        <f t="shared" si="20"/>
        <v>0</v>
      </c>
    </row>
    <row r="433" spans="1:7">
      <c r="A433">
        <v>21.544</v>
      </c>
      <c r="B433" s="8" t="s">
        <v>324</v>
      </c>
      <c r="C433">
        <v>203.5</v>
      </c>
      <c r="E433" s="3">
        <f t="shared" si="21"/>
        <v>21.5</v>
      </c>
      <c r="F433">
        <f t="shared" si="19"/>
        <v>12.88</v>
      </c>
      <c r="G433">
        <f t="shared" si="20"/>
        <v>0</v>
      </c>
    </row>
    <row r="434" spans="1:7">
      <c r="A434">
        <v>21.594</v>
      </c>
      <c r="B434" s="8" t="s">
        <v>325</v>
      </c>
      <c r="C434">
        <v>199.5</v>
      </c>
      <c r="E434" s="3">
        <f t="shared" si="21"/>
        <v>21.55</v>
      </c>
      <c r="F434">
        <f t="shared" si="19"/>
        <v>12.2</v>
      </c>
      <c r="G434">
        <f t="shared" si="20"/>
        <v>0</v>
      </c>
    </row>
    <row r="435" spans="1:7">
      <c r="A435">
        <v>21.644</v>
      </c>
      <c r="B435" s="8" t="s">
        <v>148</v>
      </c>
      <c r="C435">
        <v>193.8</v>
      </c>
      <c r="E435" s="3">
        <f t="shared" si="21"/>
        <v>21.6</v>
      </c>
      <c r="F435">
        <f t="shared" si="19"/>
        <v>11.29</v>
      </c>
      <c r="G435">
        <f t="shared" si="20"/>
        <v>0</v>
      </c>
    </row>
    <row r="436" spans="1:7">
      <c r="A436">
        <v>21.694</v>
      </c>
      <c r="B436" s="8" t="s">
        <v>326</v>
      </c>
      <c r="C436">
        <v>188.6</v>
      </c>
      <c r="E436" s="3">
        <f t="shared" si="21"/>
        <v>21.65</v>
      </c>
      <c r="F436">
        <f t="shared" si="19"/>
        <v>10.47</v>
      </c>
      <c r="G436">
        <f t="shared" si="20"/>
        <v>0</v>
      </c>
    </row>
    <row r="437" spans="1:7">
      <c r="A437">
        <v>21.744</v>
      </c>
      <c r="B437" s="8" t="s">
        <v>327</v>
      </c>
      <c r="C437">
        <v>182.8</v>
      </c>
      <c r="E437" s="3">
        <f t="shared" si="21"/>
        <v>21.7</v>
      </c>
      <c r="F437">
        <f t="shared" si="19"/>
        <v>9.794</v>
      </c>
      <c r="G437">
        <f t="shared" si="20"/>
        <v>0</v>
      </c>
    </row>
    <row r="438" spans="1:7">
      <c r="A438">
        <v>21.794</v>
      </c>
      <c r="B438" s="8" t="s">
        <v>328</v>
      </c>
      <c r="C438">
        <v>177.7</v>
      </c>
      <c r="E438" s="3">
        <f t="shared" si="21"/>
        <v>21.75</v>
      </c>
      <c r="F438">
        <f t="shared" si="19"/>
        <v>9.559</v>
      </c>
      <c r="G438">
        <f t="shared" si="20"/>
        <v>0</v>
      </c>
    </row>
    <row r="439" spans="1:7">
      <c r="A439">
        <v>21.844</v>
      </c>
      <c r="B439" s="8" t="s">
        <v>329</v>
      </c>
      <c r="C439">
        <v>169.8</v>
      </c>
      <c r="E439" s="3">
        <f t="shared" si="21"/>
        <v>21.8</v>
      </c>
      <c r="F439">
        <f t="shared" si="19"/>
        <v>9.605</v>
      </c>
      <c r="G439">
        <f t="shared" si="20"/>
        <v>0</v>
      </c>
    </row>
    <row r="440" spans="1:7">
      <c r="A440">
        <v>21.894</v>
      </c>
      <c r="B440" s="8" t="s">
        <v>132</v>
      </c>
      <c r="C440">
        <v>163.3</v>
      </c>
      <c r="E440" s="3">
        <f t="shared" si="21"/>
        <v>21.85</v>
      </c>
      <c r="F440">
        <f t="shared" si="19"/>
        <v>10.08</v>
      </c>
      <c r="G440">
        <f t="shared" si="20"/>
        <v>0</v>
      </c>
    </row>
    <row r="441" spans="1:7">
      <c r="A441">
        <v>21.944</v>
      </c>
      <c r="B441" s="8" t="s">
        <v>260</v>
      </c>
      <c r="C441">
        <v>157.4</v>
      </c>
      <c r="E441" s="3">
        <f t="shared" si="21"/>
        <v>21.9</v>
      </c>
      <c r="F441">
        <f t="shared" si="19"/>
        <v>10.8</v>
      </c>
      <c r="G441">
        <f t="shared" si="20"/>
        <v>0</v>
      </c>
    </row>
    <row r="442" spans="1:7">
      <c r="A442">
        <v>21.995</v>
      </c>
      <c r="B442" s="8" t="s">
        <v>330</v>
      </c>
      <c r="C442">
        <v>149.7</v>
      </c>
      <c r="E442" s="3">
        <f t="shared" si="21"/>
        <v>21.95</v>
      </c>
      <c r="F442">
        <f t="shared" si="19"/>
        <v>11.65</v>
      </c>
      <c r="G442">
        <f t="shared" si="20"/>
        <v>0</v>
      </c>
    </row>
    <row r="443" spans="1:7">
      <c r="A443">
        <v>22.045</v>
      </c>
      <c r="B443" s="8" t="s">
        <v>136</v>
      </c>
      <c r="C443">
        <v>142</v>
      </c>
      <c r="E443" s="3">
        <f t="shared" si="21"/>
        <v>22</v>
      </c>
      <c r="F443">
        <f t="shared" si="19"/>
        <v>12.47</v>
      </c>
      <c r="G443">
        <f t="shared" si="20"/>
        <v>0</v>
      </c>
    </row>
    <row r="444" spans="1:7">
      <c r="A444">
        <v>22.095</v>
      </c>
      <c r="B444" s="8" t="s">
        <v>331</v>
      </c>
      <c r="C444">
        <v>134.5</v>
      </c>
      <c r="E444" s="3">
        <f t="shared" si="21"/>
        <v>22.05</v>
      </c>
      <c r="F444">
        <f t="shared" si="19"/>
        <v>12.97</v>
      </c>
      <c r="G444">
        <f t="shared" si="20"/>
        <v>0</v>
      </c>
    </row>
    <row r="445" spans="1:7">
      <c r="A445">
        <v>22.145</v>
      </c>
      <c r="B445" s="8" t="s">
        <v>207</v>
      </c>
      <c r="C445">
        <v>125.9</v>
      </c>
      <c r="E445" s="3">
        <f t="shared" si="21"/>
        <v>22.1</v>
      </c>
      <c r="F445">
        <f t="shared" si="19"/>
        <v>13.2</v>
      </c>
      <c r="G445">
        <f t="shared" si="20"/>
        <v>0</v>
      </c>
    </row>
    <row r="446" spans="1:7">
      <c r="A446">
        <v>22.195</v>
      </c>
      <c r="B446" s="8" t="s">
        <v>332</v>
      </c>
      <c r="C446">
        <v>118.5</v>
      </c>
      <c r="E446" s="3">
        <f t="shared" si="21"/>
        <v>22.15</v>
      </c>
      <c r="F446">
        <f t="shared" si="19"/>
        <v>13.02</v>
      </c>
      <c r="G446">
        <f t="shared" si="20"/>
        <v>0</v>
      </c>
    </row>
    <row r="447" spans="1:7">
      <c r="A447">
        <v>22.245</v>
      </c>
      <c r="B447" s="8" t="s">
        <v>333</v>
      </c>
      <c r="C447">
        <v>112.5</v>
      </c>
      <c r="E447" s="3">
        <f t="shared" si="21"/>
        <v>22.2</v>
      </c>
      <c r="F447">
        <f t="shared" si="19"/>
        <v>12.55</v>
      </c>
      <c r="G447">
        <f t="shared" si="20"/>
        <v>0</v>
      </c>
    </row>
    <row r="448" spans="1:7">
      <c r="A448">
        <v>22.295</v>
      </c>
      <c r="B448" s="8" t="s">
        <v>334</v>
      </c>
      <c r="C448">
        <v>105.2</v>
      </c>
      <c r="E448" s="3">
        <f t="shared" si="21"/>
        <v>22.25</v>
      </c>
      <c r="F448">
        <f t="shared" si="19"/>
        <v>11.83</v>
      </c>
      <c r="G448">
        <f t="shared" si="20"/>
        <v>0</v>
      </c>
    </row>
    <row r="449" spans="1:7">
      <c r="A449">
        <v>22.345</v>
      </c>
      <c r="B449" s="8" t="s">
        <v>243</v>
      </c>
      <c r="C449">
        <v>101.2</v>
      </c>
      <c r="E449" s="3">
        <f t="shared" si="21"/>
        <v>22.3</v>
      </c>
      <c r="F449">
        <f t="shared" si="19"/>
        <v>10.97</v>
      </c>
      <c r="G449">
        <f t="shared" si="20"/>
        <v>0</v>
      </c>
    </row>
    <row r="450" spans="1:7">
      <c r="A450">
        <v>22.395</v>
      </c>
      <c r="B450" s="8" t="s">
        <v>225</v>
      </c>
      <c r="C450">
        <v>97.1</v>
      </c>
      <c r="E450" s="3">
        <f t="shared" si="21"/>
        <v>22.35</v>
      </c>
      <c r="F450">
        <f t="shared" si="19"/>
        <v>10.22</v>
      </c>
      <c r="G450">
        <f t="shared" si="20"/>
        <v>0</v>
      </c>
    </row>
    <row r="451" spans="1:7">
      <c r="A451">
        <v>22.445</v>
      </c>
      <c r="B451" s="8" t="s">
        <v>335</v>
      </c>
      <c r="C451">
        <v>94.1</v>
      </c>
      <c r="E451" s="3">
        <f t="shared" si="21"/>
        <v>22.4</v>
      </c>
      <c r="F451">
        <f t="shared" si="19"/>
        <v>9.792</v>
      </c>
      <c r="G451">
        <f t="shared" si="20"/>
        <v>0</v>
      </c>
    </row>
    <row r="452" spans="1:7">
      <c r="A452">
        <v>22.496</v>
      </c>
      <c r="B452" s="8" t="s">
        <v>336</v>
      </c>
      <c r="C452">
        <v>93.1</v>
      </c>
      <c r="E452" s="3">
        <f t="shared" si="21"/>
        <v>22.45</v>
      </c>
      <c r="F452">
        <f t="shared" ref="F452:F515" si="22">B452*1000</f>
        <v>9.688</v>
      </c>
      <c r="G452">
        <f t="shared" ref="G452:G515" si="23">IF(C452&lt;230,0,40)</f>
        <v>0</v>
      </c>
    </row>
    <row r="453" spans="1:7">
      <c r="A453">
        <v>22.546</v>
      </c>
      <c r="B453" s="8" t="s">
        <v>337</v>
      </c>
      <c r="C453">
        <v>92.5</v>
      </c>
      <c r="E453" s="3">
        <f t="shared" si="21"/>
        <v>22.5</v>
      </c>
      <c r="F453">
        <f t="shared" si="22"/>
        <v>9.827</v>
      </c>
      <c r="G453">
        <f t="shared" si="23"/>
        <v>0</v>
      </c>
    </row>
    <row r="454" spans="1:7">
      <c r="A454">
        <v>22.596</v>
      </c>
      <c r="B454" s="8" t="s">
        <v>226</v>
      </c>
      <c r="C454">
        <v>91.8</v>
      </c>
      <c r="E454" s="3">
        <f t="shared" si="21"/>
        <v>22.55</v>
      </c>
      <c r="F454">
        <f t="shared" si="22"/>
        <v>10.3</v>
      </c>
      <c r="G454">
        <f t="shared" si="23"/>
        <v>0</v>
      </c>
    </row>
    <row r="455" spans="1:7">
      <c r="A455">
        <v>22.646</v>
      </c>
      <c r="B455" s="8" t="s">
        <v>338</v>
      </c>
      <c r="C455">
        <v>92.3</v>
      </c>
      <c r="E455" s="3">
        <f t="shared" si="21"/>
        <v>22.6</v>
      </c>
      <c r="F455">
        <f t="shared" si="22"/>
        <v>11.07</v>
      </c>
      <c r="G455">
        <f t="shared" si="23"/>
        <v>0</v>
      </c>
    </row>
    <row r="456" spans="1:7">
      <c r="A456">
        <v>22.696</v>
      </c>
      <c r="B456" s="8" t="s">
        <v>339</v>
      </c>
      <c r="C456">
        <v>92.4</v>
      </c>
      <c r="E456" s="3">
        <f t="shared" si="21"/>
        <v>22.65</v>
      </c>
      <c r="F456">
        <f t="shared" si="22"/>
        <v>11.78</v>
      </c>
      <c r="G456">
        <f t="shared" si="23"/>
        <v>0</v>
      </c>
    </row>
    <row r="457" spans="1:7">
      <c r="A457">
        <v>22.746</v>
      </c>
      <c r="B457" s="8" t="s">
        <v>340</v>
      </c>
      <c r="C457">
        <v>91.8</v>
      </c>
      <c r="E457" s="3">
        <f t="shared" si="21"/>
        <v>22.7</v>
      </c>
      <c r="F457">
        <f t="shared" si="22"/>
        <v>12.36</v>
      </c>
      <c r="G457">
        <f t="shared" si="23"/>
        <v>0</v>
      </c>
    </row>
    <row r="458" spans="1:7">
      <c r="A458">
        <v>22.796</v>
      </c>
      <c r="B458" s="8" t="s">
        <v>341</v>
      </c>
      <c r="C458">
        <v>91.1</v>
      </c>
      <c r="E458" s="3">
        <f t="shared" ref="E458:E521" si="24">FLOOR(A458,0.05)</f>
        <v>22.75</v>
      </c>
      <c r="F458">
        <f t="shared" si="22"/>
        <v>12.66</v>
      </c>
      <c r="G458">
        <f t="shared" si="23"/>
        <v>0</v>
      </c>
    </row>
    <row r="459" spans="1:7">
      <c r="A459">
        <v>22.846</v>
      </c>
      <c r="B459" s="8" t="s">
        <v>341</v>
      </c>
      <c r="C459">
        <v>91.8</v>
      </c>
      <c r="E459" s="3">
        <f t="shared" si="24"/>
        <v>22.8</v>
      </c>
      <c r="F459">
        <f t="shared" si="22"/>
        <v>12.66</v>
      </c>
      <c r="G459">
        <f t="shared" si="23"/>
        <v>0</v>
      </c>
    </row>
    <row r="460" spans="1:7">
      <c r="A460">
        <v>22.896</v>
      </c>
      <c r="B460" s="8" t="s">
        <v>340</v>
      </c>
      <c r="C460">
        <v>92</v>
      </c>
      <c r="E460" s="3">
        <f t="shared" si="24"/>
        <v>22.85</v>
      </c>
      <c r="F460">
        <f t="shared" si="22"/>
        <v>12.36</v>
      </c>
      <c r="G460">
        <f t="shared" si="23"/>
        <v>0</v>
      </c>
    </row>
    <row r="461" spans="1:7">
      <c r="A461">
        <v>22.947</v>
      </c>
      <c r="B461" s="8" t="s">
        <v>342</v>
      </c>
      <c r="C461">
        <v>89.9</v>
      </c>
      <c r="E461" s="3">
        <f t="shared" si="24"/>
        <v>22.9</v>
      </c>
      <c r="F461">
        <f t="shared" si="22"/>
        <v>11.74</v>
      </c>
      <c r="G461">
        <f t="shared" si="23"/>
        <v>0</v>
      </c>
    </row>
    <row r="462" spans="1:7">
      <c r="A462">
        <v>22.997</v>
      </c>
      <c r="B462" s="8" t="s">
        <v>343</v>
      </c>
      <c r="C462">
        <v>87.5</v>
      </c>
      <c r="E462" s="3">
        <f t="shared" si="24"/>
        <v>22.95</v>
      </c>
      <c r="F462">
        <f t="shared" si="22"/>
        <v>10.98</v>
      </c>
      <c r="G462">
        <f t="shared" si="23"/>
        <v>0</v>
      </c>
    </row>
    <row r="463" spans="1:7">
      <c r="A463">
        <v>23.047</v>
      </c>
      <c r="B463" s="8" t="s">
        <v>344</v>
      </c>
      <c r="C463">
        <v>84.8</v>
      </c>
      <c r="E463" s="3">
        <f t="shared" si="24"/>
        <v>23</v>
      </c>
      <c r="F463">
        <f t="shared" si="22"/>
        <v>10.25</v>
      </c>
      <c r="G463">
        <f t="shared" si="23"/>
        <v>0</v>
      </c>
    </row>
    <row r="464" spans="1:7">
      <c r="A464">
        <v>23.097</v>
      </c>
      <c r="B464" s="8" t="s">
        <v>345</v>
      </c>
      <c r="C464">
        <v>86.5</v>
      </c>
      <c r="E464" s="3">
        <f t="shared" si="24"/>
        <v>23.05</v>
      </c>
      <c r="F464">
        <f t="shared" si="22"/>
        <v>9.837</v>
      </c>
      <c r="G464">
        <f t="shared" si="23"/>
        <v>0</v>
      </c>
    </row>
    <row r="465" spans="1:7">
      <c r="A465">
        <v>23.147</v>
      </c>
      <c r="B465" s="8" t="s">
        <v>346</v>
      </c>
      <c r="C465">
        <v>84.8</v>
      </c>
      <c r="E465" s="3">
        <f t="shared" si="24"/>
        <v>23.1</v>
      </c>
      <c r="F465">
        <f t="shared" si="22"/>
        <v>9.538</v>
      </c>
      <c r="G465">
        <f t="shared" si="23"/>
        <v>0</v>
      </c>
    </row>
    <row r="466" spans="1:7">
      <c r="A466">
        <v>23.197</v>
      </c>
      <c r="B466" s="8" t="s">
        <v>347</v>
      </c>
      <c r="C466">
        <v>85</v>
      </c>
      <c r="E466" s="3">
        <f t="shared" si="24"/>
        <v>23.15</v>
      </c>
      <c r="F466">
        <f t="shared" si="22"/>
        <v>9.658</v>
      </c>
      <c r="G466">
        <f t="shared" si="23"/>
        <v>0</v>
      </c>
    </row>
    <row r="467" spans="1:7">
      <c r="A467">
        <v>23.247</v>
      </c>
      <c r="B467" s="8" t="s">
        <v>55</v>
      </c>
      <c r="C467">
        <v>84.6</v>
      </c>
      <c r="E467" s="3">
        <f t="shared" si="24"/>
        <v>23.2</v>
      </c>
      <c r="F467">
        <f t="shared" si="22"/>
        <v>10.03</v>
      </c>
      <c r="G467">
        <f t="shared" si="23"/>
        <v>0</v>
      </c>
    </row>
    <row r="468" spans="1:7">
      <c r="A468">
        <v>23.297</v>
      </c>
      <c r="B468" s="8" t="s">
        <v>348</v>
      </c>
      <c r="C468">
        <v>82.7</v>
      </c>
      <c r="E468" s="3">
        <f t="shared" si="24"/>
        <v>23.25</v>
      </c>
      <c r="F468">
        <f t="shared" si="22"/>
        <v>10.64</v>
      </c>
      <c r="G468">
        <f t="shared" si="23"/>
        <v>0</v>
      </c>
    </row>
    <row r="469" spans="1:7">
      <c r="A469">
        <v>23.347</v>
      </c>
      <c r="B469" s="8" t="s">
        <v>229</v>
      </c>
      <c r="C469">
        <v>82.2</v>
      </c>
      <c r="E469" s="3">
        <f t="shared" si="24"/>
        <v>23.3</v>
      </c>
      <c r="F469">
        <f t="shared" si="22"/>
        <v>11.28</v>
      </c>
      <c r="G469">
        <f t="shared" si="23"/>
        <v>0</v>
      </c>
    </row>
    <row r="470" spans="1:7">
      <c r="A470">
        <v>23.397</v>
      </c>
      <c r="B470" s="8" t="s">
        <v>240</v>
      </c>
      <c r="C470">
        <v>82.3</v>
      </c>
      <c r="E470" s="3">
        <f t="shared" si="24"/>
        <v>23.35</v>
      </c>
      <c r="F470">
        <f t="shared" si="22"/>
        <v>11.9</v>
      </c>
      <c r="G470">
        <f t="shared" si="23"/>
        <v>0</v>
      </c>
    </row>
    <row r="471" spans="1:7">
      <c r="A471">
        <v>23.448</v>
      </c>
      <c r="B471" s="8" t="s">
        <v>349</v>
      </c>
      <c r="C471">
        <v>81.3</v>
      </c>
      <c r="E471" s="3">
        <f t="shared" si="24"/>
        <v>23.4</v>
      </c>
      <c r="F471">
        <f t="shared" si="22"/>
        <v>12.27</v>
      </c>
      <c r="G471">
        <f t="shared" si="23"/>
        <v>0</v>
      </c>
    </row>
    <row r="472" spans="1:7">
      <c r="A472">
        <v>23.498</v>
      </c>
      <c r="B472" s="8" t="s">
        <v>350</v>
      </c>
      <c r="C472">
        <v>82.2</v>
      </c>
      <c r="E472" s="3">
        <f t="shared" si="24"/>
        <v>23.45</v>
      </c>
      <c r="F472">
        <f t="shared" si="22"/>
        <v>12.32</v>
      </c>
      <c r="G472">
        <f t="shared" si="23"/>
        <v>0</v>
      </c>
    </row>
    <row r="473" spans="1:7">
      <c r="A473">
        <v>23.548</v>
      </c>
      <c r="B473" s="8" t="s">
        <v>192</v>
      </c>
      <c r="C473">
        <v>81.8</v>
      </c>
      <c r="E473" s="3">
        <f t="shared" si="24"/>
        <v>23.5</v>
      </c>
      <c r="F473">
        <f t="shared" si="22"/>
        <v>12.15</v>
      </c>
      <c r="G473">
        <f t="shared" si="23"/>
        <v>0</v>
      </c>
    </row>
    <row r="474" spans="1:7">
      <c r="A474">
        <v>23.598</v>
      </c>
      <c r="B474" s="8" t="s">
        <v>165</v>
      </c>
      <c r="C474">
        <v>81.1</v>
      </c>
      <c r="E474" s="3">
        <f t="shared" si="24"/>
        <v>23.55</v>
      </c>
      <c r="F474">
        <f t="shared" si="22"/>
        <v>11.66</v>
      </c>
      <c r="G474">
        <f t="shared" si="23"/>
        <v>0</v>
      </c>
    </row>
    <row r="475" spans="1:7">
      <c r="A475">
        <v>23.648</v>
      </c>
      <c r="B475" s="8" t="s">
        <v>351</v>
      </c>
      <c r="C475">
        <v>81.4</v>
      </c>
      <c r="E475" s="3">
        <f t="shared" si="24"/>
        <v>23.6</v>
      </c>
      <c r="F475">
        <f t="shared" si="22"/>
        <v>11.03</v>
      </c>
      <c r="G475">
        <f t="shared" si="23"/>
        <v>0</v>
      </c>
    </row>
    <row r="476" spans="1:7">
      <c r="A476">
        <v>23.698</v>
      </c>
      <c r="B476" s="8" t="s">
        <v>352</v>
      </c>
      <c r="C476">
        <v>81.4</v>
      </c>
      <c r="E476" s="3">
        <f t="shared" si="24"/>
        <v>23.65</v>
      </c>
      <c r="F476">
        <f t="shared" si="22"/>
        <v>10.31</v>
      </c>
      <c r="G476">
        <f t="shared" si="23"/>
        <v>0</v>
      </c>
    </row>
    <row r="477" spans="1:7">
      <c r="A477">
        <v>23.748</v>
      </c>
      <c r="B477" s="8" t="s">
        <v>353</v>
      </c>
      <c r="C477">
        <v>80.6</v>
      </c>
      <c r="E477" s="3">
        <f t="shared" si="24"/>
        <v>23.7</v>
      </c>
      <c r="F477">
        <f t="shared" si="22"/>
        <v>9.829</v>
      </c>
      <c r="G477">
        <f t="shared" si="23"/>
        <v>0</v>
      </c>
    </row>
    <row r="478" spans="1:7">
      <c r="A478">
        <v>23.798</v>
      </c>
      <c r="B478" s="8" t="s">
        <v>354</v>
      </c>
      <c r="C478">
        <v>81.5</v>
      </c>
      <c r="E478" s="3">
        <f t="shared" si="24"/>
        <v>23.75</v>
      </c>
      <c r="F478">
        <f t="shared" si="22"/>
        <v>9.563</v>
      </c>
      <c r="G478">
        <f t="shared" si="23"/>
        <v>0</v>
      </c>
    </row>
    <row r="479" spans="1:7">
      <c r="A479">
        <v>23.848</v>
      </c>
      <c r="B479" s="8" t="s">
        <v>355</v>
      </c>
      <c r="C479">
        <v>82.2</v>
      </c>
      <c r="E479" s="3">
        <f t="shared" si="24"/>
        <v>23.8</v>
      </c>
      <c r="F479">
        <f t="shared" si="22"/>
        <v>9.597</v>
      </c>
      <c r="G479">
        <f t="shared" si="23"/>
        <v>0</v>
      </c>
    </row>
    <row r="480" spans="1:7">
      <c r="A480">
        <v>23.898</v>
      </c>
      <c r="B480" s="8" t="s">
        <v>356</v>
      </c>
      <c r="C480">
        <v>81.2</v>
      </c>
      <c r="E480" s="3">
        <f t="shared" si="24"/>
        <v>23.85</v>
      </c>
      <c r="F480">
        <f t="shared" si="22"/>
        <v>9.935</v>
      </c>
      <c r="G480">
        <f t="shared" si="23"/>
        <v>0</v>
      </c>
    </row>
    <row r="481" spans="1:7">
      <c r="A481">
        <v>23.949</v>
      </c>
      <c r="B481" s="8" t="s">
        <v>28</v>
      </c>
      <c r="C481">
        <v>81.8</v>
      </c>
      <c r="E481" s="3">
        <f t="shared" si="24"/>
        <v>23.9</v>
      </c>
      <c r="F481">
        <f t="shared" si="22"/>
        <v>10.49</v>
      </c>
      <c r="G481">
        <f t="shared" si="23"/>
        <v>0</v>
      </c>
    </row>
    <row r="482" spans="1:7">
      <c r="A482">
        <v>23.999</v>
      </c>
      <c r="B482" s="8" t="s">
        <v>250</v>
      </c>
      <c r="C482">
        <v>81</v>
      </c>
      <c r="E482" s="3">
        <f t="shared" si="24"/>
        <v>23.95</v>
      </c>
      <c r="F482">
        <f t="shared" si="22"/>
        <v>11.12</v>
      </c>
      <c r="G482">
        <f t="shared" si="23"/>
        <v>0</v>
      </c>
    </row>
    <row r="483" spans="1:7">
      <c r="A483">
        <v>24.049</v>
      </c>
      <c r="B483" s="8" t="s">
        <v>256</v>
      </c>
      <c r="C483">
        <v>81.2</v>
      </c>
      <c r="E483" s="3">
        <f t="shared" si="24"/>
        <v>24</v>
      </c>
      <c r="F483">
        <f t="shared" si="22"/>
        <v>11.58</v>
      </c>
      <c r="G483">
        <f t="shared" si="23"/>
        <v>0</v>
      </c>
    </row>
    <row r="484" spans="1:7">
      <c r="A484">
        <v>24.099</v>
      </c>
      <c r="B484" s="8" t="s">
        <v>357</v>
      </c>
      <c r="C484">
        <v>81.4</v>
      </c>
      <c r="E484" s="3">
        <f t="shared" si="24"/>
        <v>24.05</v>
      </c>
      <c r="F484">
        <f t="shared" si="22"/>
        <v>12.01</v>
      </c>
      <c r="G484">
        <f t="shared" si="23"/>
        <v>0</v>
      </c>
    </row>
    <row r="485" spans="1:7">
      <c r="A485">
        <v>24.149</v>
      </c>
      <c r="B485" s="8" t="s">
        <v>204</v>
      </c>
      <c r="C485">
        <v>81.6</v>
      </c>
      <c r="E485" s="3">
        <f t="shared" si="24"/>
        <v>24.1</v>
      </c>
      <c r="F485">
        <f t="shared" si="22"/>
        <v>12.24</v>
      </c>
      <c r="G485">
        <f t="shared" si="23"/>
        <v>0</v>
      </c>
    </row>
    <row r="486" spans="1:7">
      <c r="A486">
        <v>24.199</v>
      </c>
      <c r="B486" s="8" t="s">
        <v>358</v>
      </c>
      <c r="C486">
        <v>81.6</v>
      </c>
      <c r="E486" s="3">
        <f t="shared" si="24"/>
        <v>24.15</v>
      </c>
      <c r="F486">
        <f t="shared" si="22"/>
        <v>12.12</v>
      </c>
      <c r="G486">
        <f t="shared" si="23"/>
        <v>0</v>
      </c>
    </row>
    <row r="487" spans="1:7">
      <c r="A487">
        <v>24.249</v>
      </c>
      <c r="B487" s="8" t="s">
        <v>255</v>
      </c>
      <c r="C487">
        <v>253.5</v>
      </c>
      <c r="E487" s="3">
        <f t="shared" si="24"/>
        <v>24.2</v>
      </c>
      <c r="F487">
        <f t="shared" si="22"/>
        <v>11.73</v>
      </c>
      <c r="G487">
        <f t="shared" si="23"/>
        <v>40</v>
      </c>
    </row>
    <row r="488" spans="1:7">
      <c r="A488">
        <v>24.299</v>
      </c>
      <c r="B488" s="8" t="s">
        <v>267</v>
      </c>
      <c r="C488">
        <v>253.6</v>
      </c>
      <c r="E488" s="3">
        <f t="shared" si="24"/>
        <v>24.25</v>
      </c>
      <c r="F488">
        <f t="shared" si="22"/>
        <v>11.16</v>
      </c>
      <c r="G488">
        <f t="shared" si="23"/>
        <v>40</v>
      </c>
    </row>
    <row r="489" spans="1:7">
      <c r="A489">
        <v>24.349</v>
      </c>
      <c r="B489" s="8" t="s">
        <v>315</v>
      </c>
      <c r="C489">
        <v>253.6</v>
      </c>
      <c r="E489" s="3">
        <f t="shared" si="24"/>
        <v>24.3</v>
      </c>
      <c r="F489">
        <f t="shared" si="22"/>
        <v>10.45</v>
      </c>
      <c r="G489">
        <f t="shared" si="23"/>
        <v>40</v>
      </c>
    </row>
    <row r="490" spans="1:7">
      <c r="A490">
        <v>24.399</v>
      </c>
      <c r="B490" s="8" t="s">
        <v>359</v>
      </c>
      <c r="C490">
        <v>253.6</v>
      </c>
      <c r="E490" s="3">
        <f t="shared" si="24"/>
        <v>24.35</v>
      </c>
      <c r="F490">
        <f t="shared" si="22"/>
        <v>9.724</v>
      </c>
      <c r="G490">
        <f t="shared" si="23"/>
        <v>40</v>
      </c>
    </row>
    <row r="491" spans="1:7">
      <c r="A491">
        <v>24.45</v>
      </c>
      <c r="B491" s="8" t="s">
        <v>360</v>
      </c>
      <c r="C491">
        <v>253.5</v>
      </c>
      <c r="E491" s="3">
        <f t="shared" si="24"/>
        <v>24.45</v>
      </c>
      <c r="F491">
        <f t="shared" si="22"/>
        <v>9.268</v>
      </c>
      <c r="G491">
        <f t="shared" si="23"/>
        <v>40</v>
      </c>
    </row>
    <row r="492" spans="1:7">
      <c r="A492">
        <v>24.5</v>
      </c>
      <c r="B492" s="8" t="s">
        <v>361</v>
      </c>
      <c r="C492">
        <v>253.6</v>
      </c>
      <c r="E492" s="3">
        <f t="shared" si="24"/>
        <v>24.5</v>
      </c>
      <c r="F492">
        <f t="shared" si="22"/>
        <v>8.815</v>
      </c>
      <c r="G492">
        <f t="shared" si="23"/>
        <v>40</v>
      </c>
    </row>
    <row r="493" spans="1:7">
      <c r="A493">
        <v>24.55</v>
      </c>
      <c r="B493" s="8" t="s">
        <v>362</v>
      </c>
      <c r="C493">
        <v>253.6</v>
      </c>
      <c r="E493" s="3">
        <f t="shared" si="24"/>
        <v>24.55</v>
      </c>
      <c r="F493">
        <f t="shared" si="22"/>
        <v>8.718</v>
      </c>
      <c r="G493">
        <f t="shared" si="23"/>
        <v>40</v>
      </c>
    </row>
    <row r="494" spans="1:7">
      <c r="A494">
        <v>24.6</v>
      </c>
      <c r="B494" s="8" t="s">
        <v>363</v>
      </c>
      <c r="C494">
        <v>253.7</v>
      </c>
      <c r="E494" s="3">
        <f t="shared" si="24"/>
        <v>24.6</v>
      </c>
      <c r="F494">
        <f t="shared" si="22"/>
        <v>8.912</v>
      </c>
      <c r="G494">
        <f t="shared" si="23"/>
        <v>40</v>
      </c>
    </row>
    <row r="495" spans="1:7">
      <c r="A495">
        <v>24.65</v>
      </c>
      <c r="B495" s="8" t="s">
        <v>364</v>
      </c>
      <c r="C495">
        <v>253.6</v>
      </c>
      <c r="E495" s="3">
        <f t="shared" si="24"/>
        <v>24.65</v>
      </c>
      <c r="F495">
        <f t="shared" si="22"/>
        <v>9.388</v>
      </c>
      <c r="G495">
        <f t="shared" si="23"/>
        <v>40</v>
      </c>
    </row>
    <row r="496" spans="1:7">
      <c r="A496">
        <v>24.7</v>
      </c>
      <c r="B496" s="8" t="s">
        <v>365</v>
      </c>
      <c r="C496">
        <v>253.6</v>
      </c>
      <c r="E496" s="3">
        <f t="shared" si="24"/>
        <v>24.7</v>
      </c>
      <c r="F496">
        <f t="shared" si="22"/>
        <v>9.968</v>
      </c>
      <c r="G496">
        <f t="shared" si="23"/>
        <v>40</v>
      </c>
    </row>
    <row r="497" spans="1:7">
      <c r="A497">
        <v>24.75</v>
      </c>
      <c r="B497" s="8" t="s">
        <v>366</v>
      </c>
      <c r="C497">
        <v>253.6</v>
      </c>
      <c r="E497" s="3">
        <f t="shared" si="24"/>
        <v>24.75</v>
      </c>
      <c r="F497">
        <f t="shared" si="22"/>
        <v>10.79</v>
      </c>
      <c r="G497">
        <f t="shared" si="23"/>
        <v>40</v>
      </c>
    </row>
    <row r="498" spans="1:7">
      <c r="A498">
        <v>24.8</v>
      </c>
      <c r="B498" s="8" t="s">
        <v>276</v>
      </c>
      <c r="C498">
        <v>253.6</v>
      </c>
      <c r="E498" s="3">
        <f t="shared" si="24"/>
        <v>24.8</v>
      </c>
      <c r="F498">
        <f t="shared" si="22"/>
        <v>11.49</v>
      </c>
      <c r="G498">
        <f t="shared" si="23"/>
        <v>40</v>
      </c>
    </row>
    <row r="499" spans="1:7">
      <c r="A499">
        <v>24.85</v>
      </c>
      <c r="B499" s="8" t="s">
        <v>302</v>
      </c>
      <c r="C499">
        <v>253.7</v>
      </c>
      <c r="E499" s="3">
        <f t="shared" si="24"/>
        <v>24.85</v>
      </c>
      <c r="F499">
        <f t="shared" si="22"/>
        <v>11.99</v>
      </c>
      <c r="G499">
        <f t="shared" si="23"/>
        <v>40</v>
      </c>
    </row>
    <row r="500" spans="1:7">
      <c r="A500">
        <v>24.9</v>
      </c>
      <c r="B500" s="8" t="s">
        <v>350</v>
      </c>
      <c r="C500">
        <v>253.6</v>
      </c>
      <c r="E500" s="3">
        <f t="shared" si="24"/>
        <v>24.9</v>
      </c>
      <c r="F500">
        <f t="shared" si="22"/>
        <v>12.32</v>
      </c>
      <c r="G500">
        <f t="shared" si="23"/>
        <v>40</v>
      </c>
    </row>
    <row r="501" spans="1:7">
      <c r="A501">
        <v>24.951</v>
      </c>
      <c r="B501" s="8" t="s">
        <v>325</v>
      </c>
      <c r="C501">
        <v>253.6</v>
      </c>
      <c r="E501" s="3">
        <f t="shared" si="24"/>
        <v>24.95</v>
      </c>
      <c r="F501">
        <f t="shared" si="22"/>
        <v>12.2</v>
      </c>
      <c r="G501">
        <f t="shared" si="23"/>
        <v>40</v>
      </c>
    </row>
    <row r="502" spans="1:7">
      <c r="A502">
        <v>25.001</v>
      </c>
      <c r="B502" s="8" t="s">
        <v>248</v>
      </c>
      <c r="C502">
        <v>253.6</v>
      </c>
      <c r="E502" s="3">
        <f t="shared" si="24"/>
        <v>25</v>
      </c>
      <c r="F502">
        <f t="shared" si="22"/>
        <v>11.88</v>
      </c>
      <c r="G502">
        <f t="shared" si="23"/>
        <v>40</v>
      </c>
    </row>
    <row r="503" spans="1:7">
      <c r="A503">
        <v>25.051</v>
      </c>
      <c r="B503" s="8" t="s">
        <v>253</v>
      </c>
      <c r="C503">
        <v>253.6</v>
      </c>
      <c r="E503" s="3">
        <f t="shared" si="24"/>
        <v>25.05</v>
      </c>
      <c r="F503">
        <f t="shared" si="22"/>
        <v>11.33</v>
      </c>
      <c r="G503">
        <f t="shared" si="23"/>
        <v>40</v>
      </c>
    </row>
    <row r="504" spans="1:7">
      <c r="A504">
        <v>25.101</v>
      </c>
      <c r="B504" s="8" t="s">
        <v>367</v>
      </c>
      <c r="C504">
        <v>253.6</v>
      </c>
      <c r="E504" s="3">
        <f t="shared" si="24"/>
        <v>25.1</v>
      </c>
      <c r="F504">
        <f t="shared" si="22"/>
        <v>10.61</v>
      </c>
      <c r="G504">
        <f t="shared" si="23"/>
        <v>40</v>
      </c>
    </row>
    <row r="505" spans="1:7">
      <c r="A505">
        <v>25.151</v>
      </c>
      <c r="B505" s="8" t="s">
        <v>368</v>
      </c>
      <c r="C505">
        <v>253.7</v>
      </c>
      <c r="E505" s="3">
        <f t="shared" si="24"/>
        <v>25.15</v>
      </c>
      <c r="F505">
        <f t="shared" si="22"/>
        <v>9.866</v>
      </c>
      <c r="G505">
        <f t="shared" si="23"/>
        <v>40</v>
      </c>
    </row>
    <row r="506" spans="1:7">
      <c r="A506">
        <v>25.201</v>
      </c>
      <c r="B506" s="8" t="s">
        <v>369</v>
      </c>
      <c r="C506">
        <v>253.6</v>
      </c>
      <c r="E506" s="3">
        <f t="shared" si="24"/>
        <v>25.2</v>
      </c>
      <c r="F506">
        <f t="shared" si="22"/>
        <v>9.444</v>
      </c>
      <c r="G506">
        <f t="shared" si="23"/>
        <v>40</v>
      </c>
    </row>
    <row r="507" spans="1:7">
      <c r="A507">
        <v>25.251</v>
      </c>
      <c r="B507" s="8" t="s">
        <v>370</v>
      </c>
      <c r="C507">
        <v>253.5</v>
      </c>
      <c r="E507" s="3">
        <f t="shared" si="24"/>
        <v>25.25</v>
      </c>
      <c r="F507">
        <f t="shared" si="22"/>
        <v>9.169</v>
      </c>
      <c r="G507">
        <f t="shared" si="23"/>
        <v>40</v>
      </c>
    </row>
    <row r="508" spans="1:7">
      <c r="A508">
        <v>25.301</v>
      </c>
      <c r="B508" s="8" t="s">
        <v>371</v>
      </c>
      <c r="C508">
        <v>217.1</v>
      </c>
      <c r="E508" s="3">
        <f t="shared" si="24"/>
        <v>25.3</v>
      </c>
      <c r="F508">
        <f t="shared" si="22"/>
        <v>9.143</v>
      </c>
      <c r="G508">
        <f t="shared" si="23"/>
        <v>0</v>
      </c>
    </row>
    <row r="509" spans="1:7">
      <c r="A509">
        <v>25.351</v>
      </c>
      <c r="B509" s="8" t="s">
        <v>372</v>
      </c>
      <c r="C509">
        <v>220.9</v>
      </c>
      <c r="E509" s="3">
        <f t="shared" si="24"/>
        <v>25.35</v>
      </c>
      <c r="F509">
        <f t="shared" si="22"/>
        <v>9.478</v>
      </c>
      <c r="G509">
        <f t="shared" si="23"/>
        <v>0</v>
      </c>
    </row>
    <row r="510" spans="1:7">
      <c r="A510">
        <v>25.401</v>
      </c>
      <c r="B510" s="8" t="s">
        <v>344</v>
      </c>
      <c r="C510">
        <v>217.1</v>
      </c>
      <c r="E510" s="3">
        <f t="shared" si="24"/>
        <v>25.4</v>
      </c>
      <c r="F510">
        <f t="shared" si="22"/>
        <v>10.25</v>
      </c>
      <c r="G510">
        <f t="shared" si="23"/>
        <v>0</v>
      </c>
    </row>
    <row r="511" spans="1:7">
      <c r="A511">
        <v>25.452</v>
      </c>
      <c r="B511" s="8" t="s">
        <v>373</v>
      </c>
      <c r="C511">
        <v>212.2</v>
      </c>
      <c r="E511" s="3">
        <f t="shared" si="24"/>
        <v>25.45</v>
      </c>
      <c r="F511">
        <f t="shared" si="22"/>
        <v>11.23</v>
      </c>
      <c r="G511">
        <f t="shared" si="23"/>
        <v>0</v>
      </c>
    </row>
    <row r="512" spans="1:7">
      <c r="A512">
        <v>25.502</v>
      </c>
      <c r="B512" s="8" t="s">
        <v>325</v>
      </c>
      <c r="C512">
        <v>207.8</v>
      </c>
      <c r="E512" s="3">
        <f t="shared" si="24"/>
        <v>25.5</v>
      </c>
      <c r="F512">
        <f t="shared" si="22"/>
        <v>12.2</v>
      </c>
      <c r="G512">
        <f t="shared" si="23"/>
        <v>0</v>
      </c>
    </row>
    <row r="513" spans="1:7">
      <c r="A513">
        <v>25.552</v>
      </c>
      <c r="B513" s="8" t="s">
        <v>374</v>
      </c>
      <c r="C513">
        <v>202.8</v>
      </c>
      <c r="E513" s="3">
        <f t="shared" si="24"/>
        <v>25.55</v>
      </c>
      <c r="F513">
        <f t="shared" si="22"/>
        <v>12.99</v>
      </c>
      <c r="G513">
        <f t="shared" si="23"/>
        <v>0</v>
      </c>
    </row>
    <row r="514" spans="1:7">
      <c r="A514">
        <v>25.602</v>
      </c>
      <c r="B514" s="8" t="s">
        <v>19</v>
      </c>
      <c r="C514">
        <v>197.8</v>
      </c>
      <c r="E514" s="3">
        <f t="shared" si="24"/>
        <v>25.6</v>
      </c>
      <c r="F514">
        <f t="shared" si="22"/>
        <v>13.39</v>
      </c>
      <c r="G514">
        <f t="shared" si="23"/>
        <v>0</v>
      </c>
    </row>
    <row r="515" spans="1:7">
      <c r="A515">
        <v>25.652</v>
      </c>
      <c r="B515" s="8" t="s">
        <v>19</v>
      </c>
      <c r="C515">
        <v>193.3</v>
      </c>
      <c r="E515" s="3">
        <f t="shared" si="24"/>
        <v>25.65</v>
      </c>
      <c r="F515">
        <f t="shared" si="22"/>
        <v>13.39</v>
      </c>
      <c r="G515">
        <f t="shared" si="23"/>
        <v>0</v>
      </c>
    </row>
    <row r="516" spans="1:7">
      <c r="A516">
        <v>25.702</v>
      </c>
      <c r="B516" s="8" t="s">
        <v>25</v>
      </c>
      <c r="C516">
        <v>187.5</v>
      </c>
      <c r="E516" s="3">
        <f t="shared" si="24"/>
        <v>25.7</v>
      </c>
      <c r="F516">
        <f t="shared" ref="F516:F579" si="25">B516*1000</f>
        <v>12.98</v>
      </c>
      <c r="G516">
        <f t="shared" ref="G516:G579" si="26">IF(C516&lt;230,0,40)</f>
        <v>0</v>
      </c>
    </row>
    <row r="517" spans="1:7">
      <c r="A517">
        <v>25.752</v>
      </c>
      <c r="B517" s="8" t="s">
        <v>323</v>
      </c>
      <c r="C517">
        <v>181.7</v>
      </c>
      <c r="E517" s="3">
        <f t="shared" si="24"/>
        <v>25.75</v>
      </c>
      <c r="F517">
        <f t="shared" si="25"/>
        <v>12.22</v>
      </c>
      <c r="G517">
        <f t="shared" si="26"/>
        <v>0</v>
      </c>
    </row>
    <row r="518" spans="1:7">
      <c r="A518">
        <v>25.802</v>
      </c>
      <c r="B518" s="8" t="s">
        <v>375</v>
      </c>
      <c r="C518">
        <v>175.8</v>
      </c>
      <c r="E518" s="3">
        <f t="shared" si="24"/>
        <v>25.8</v>
      </c>
      <c r="F518">
        <f t="shared" si="25"/>
        <v>11.35</v>
      </c>
      <c r="G518">
        <f t="shared" si="26"/>
        <v>0</v>
      </c>
    </row>
    <row r="519" spans="1:7">
      <c r="A519">
        <v>25.852</v>
      </c>
      <c r="B519" s="8" t="s">
        <v>376</v>
      </c>
      <c r="C519">
        <v>169</v>
      </c>
      <c r="E519" s="3">
        <f t="shared" si="24"/>
        <v>25.85</v>
      </c>
      <c r="F519">
        <f t="shared" si="25"/>
        <v>10.41</v>
      </c>
      <c r="G519">
        <f t="shared" si="26"/>
        <v>0</v>
      </c>
    </row>
    <row r="520" spans="1:7">
      <c r="A520">
        <v>25.902</v>
      </c>
      <c r="B520" s="8" t="s">
        <v>377</v>
      </c>
      <c r="C520">
        <v>163.2</v>
      </c>
      <c r="E520" s="3">
        <f t="shared" si="24"/>
        <v>25.9</v>
      </c>
      <c r="F520">
        <f t="shared" si="25"/>
        <v>9.725</v>
      </c>
      <c r="G520">
        <f t="shared" si="26"/>
        <v>0</v>
      </c>
    </row>
    <row r="521" spans="1:7">
      <c r="A521">
        <v>25.953</v>
      </c>
      <c r="B521" s="8" t="s">
        <v>378</v>
      </c>
      <c r="C521">
        <v>156</v>
      </c>
      <c r="E521" s="3">
        <f t="shared" si="24"/>
        <v>25.95</v>
      </c>
      <c r="F521">
        <f t="shared" si="25"/>
        <v>9.403</v>
      </c>
      <c r="G521">
        <f t="shared" si="26"/>
        <v>0</v>
      </c>
    </row>
    <row r="522" spans="1:7">
      <c r="A522">
        <v>26.003</v>
      </c>
      <c r="B522" s="8" t="s">
        <v>379</v>
      </c>
      <c r="C522">
        <v>147.1</v>
      </c>
      <c r="E522" s="3">
        <f t="shared" ref="E522:E585" si="27">FLOOR(A522,0.05)</f>
        <v>26</v>
      </c>
      <c r="F522">
        <f t="shared" si="25"/>
        <v>9.364</v>
      </c>
      <c r="G522">
        <f t="shared" si="26"/>
        <v>0</v>
      </c>
    </row>
    <row r="523" spans="1:7">
      <c r="A523">
        <v>26.053</v>
      </c>
      <c r="B523" s="8" t="s">
        <v>380</v>
      </c>
      <c r="C523">
        <v>140.8</v>
      </c>
      <c r="E523" s="3">
        <f t="shared" si="27"/>
        <v>26.05</v>
      </c>
      <c r="F523">
        <f t="shared" si="25"/>
        <v>9.721</v>
      </c>
      <c r="G523">
        <f t="shared" si="26"/>
        <v>0</v>
      </c>
    </row>
    <row r="524" spans="1:7">
      <c r="A524">
        <v>26.103</v>
      </c>
      <c r="B524" s="8" t="s">
        <v>28</v>
      </c>
      <c r="C524">
        <v>132.3</v>
      </c>
      <c r="E524" s="3">
        <f t="shared" si="27"/>
        <v>26.1</v>
      </c>
      <c r="F524">
        <f t="shared" si="25"/>
        <v>10.49</v>
      </c>
      <c r="G524">
        <f t="shared" si="26"/>
        <v>0</v>
      </c>
    </row>
    <row r="525" spans="1:7">
      <c r="A525">
        <v>26.153</v>
      </c>
      <c r="B525" s="8" t="s">
        <v>375</v>
      </c>
      <c r="C525">
        <v>125</v>
      </c>
      <c r="E525" s="3">
        <f t="shared" si="27"/>
        <v>26.15</v>
      </c>
      <c r="F525">
        <f t="shared" si="25"/>
        <v>11.35</v>
      </c>
      <c r="G525">
        <f t="shared" si="26"/>
        <v>0</v>
      </c>
    </row>
    <row r="526" spans="1:7">
      <c r="A526">
        <v>26.203</v>
      </c>
      <c r="B526" s="8" t="s">
        <v>191</v>
      </c>
      <c r="C526">
        <v>117.1</v>
      </c>
      <c r="E526" s="3">
        <f t="shared" si="27"/>
        <v>26.2</v>
      </c>
      <c r="F526">
        <f t="shared" si="25"/>
        <v>12.19</v>
      </c>
      <c r="G526">
        <f t="shared" si="26"/>
        <v>0</v>
      </c>
    </row>
    <row r="527" spans="1:7">
      <c r="A527">
        <v>26.253</v>
      </c>
      <c r="B527" s="8" t="s">
        <v>18</v>
      </c>
      <c r="C527">
        <v>110.2</v>
      </c>
      <c r="E527" s="3">
        <f t="shared" si="27"/>
        <v>26.25</v>
      </c>
      <c r="F527">
        <f t="shared" si="25"/>
        <v>12.82</v>
      </c>
      <c r="G527">
        <f t="shared" si="26"/>
        <v>0</v>
      </c>
    </row>
    <row r="528" spans="1:7">
      <c r="A528">
        <v>26.303</v>
      </c>
      <c r="B528" s="8" t="s">
        <v>381</v>
      </c>
      <c r="C528">
        <v>104.8</v>
      </c>
      <c r="E528" s="3">
        <f t="shared" si="27"/>
        <v>26.3</v>
      </c>
      <c r="F528">
        <f t="shared" si="25"/>
        <v>13.04</v>
      </c>
      <c r="G528">
        <f t="shared" si="26"/>
        <v>0</v>
      </c>
    </row>
    <row r="529" spans="1:7">
      <c r="A529">
        <v>26.353</v>
      </c>
      <c r="B529" s="8" t="s">
        <v>190</v>
      </c>
      <c r="C529">
        <v>99.8</v>
      </c>
      <c r="E529" s="3">
        <f t="shared" si="27"/>
        <v>26.35</v>
      </c>
      <c r="F529">
        <f t="shared" si="25"/>
        <v>12.9</v>
      </c>
      <c r="G529">
        <f t="shared" si="26"/>
        <v>0</v>
      </c>
    </row>
    <row r="530" spans="1:7">
      <c r="A530">
        <v>26.404</v>
      </c>
      <c r="B530" s="8" t="s">
        <v>305</v>
      </c>
      <c r="C530">
        <v>96.3</v>
      </c>
      <c r="E530" s="3">
        <f t="shared" si="27"/>
        <v>26.4</v>
      </c>
      <c r="F530">
        <f t="shared" si="25"/>
        <v>12.41</v>
      </c>
      <c r="G530">
        <f t="shared" si="26"/>
        <v>0</v>
      </c>
    </row>
    <row r="531" spans="1:7">
      <c r="A531">
        <v>26.454</v>
      </c>
      <c r="B531" s="8" t="s">
        <v>265</v>
      </c>
      <c r="C531">
        <v>93.6</v>
      </c>
      <c r="E531" s="3">
        <f t="shared" si="27"/>
        <v>26.45</v>
      </c>
      <c r="F531">
        <f t="shared" si="25"/>
        <v>11.63</v>
      </c>
      <c r="G531">
        <f t="shared" si="26"/>
        <v>0</v>
      </c>
    </row>
    <row r="532" spans="1:7">
      <c r="A532">
        <v>26.504</v>
      </c>
      <c r="B532" s="8" t="s">
        <v>261</v>
      </c>
      <c r="C532">
        <v>92.8</v>
      </c>
      <c r="E532" s="3">
        <f t="shared" si="27"/>
        <v>26.5</v>
      </c>
      <c r="F532">
        <f t="shared" si="25"/>
        <v>10.84</v>
      </c>
      <c r="G532">
        <f t="shared" si="26"/>
        <v>0</v>
      </c>
    </row>
    <row r="533" spans="1:7">
      <c r="A533">
        <v>26.554</v>
      </c>
      <c r="B533" s="8" t="s">
        <v>382</v>
      </c>
      <c r="C533">
        <v>92.7</v>
      </c>
      <c r="E533" s="3">
        <f t="shared" si="27"/>
        <v>26.55</v>
      </c>
      <c r="F533">
        <f t="shared" si="25"/>
        <v>10.04</v>
      </c>
      <c r="G533">
        <f t="shared" si="26"/>
        <v>0</v>
      </c>
    </row>
    <row r="534" spans="1:7">
      <c r="A534">
        <v>26.604</v>
      </c>
      <c r="B534" s="8" t="s">
        <v>383</v>
      </c>
      <c r="C534">
        <v>92.2</v>
      </c>
      <c r="E534" s="3">
        <f t="shared" si="27"/>
        <v>26.6</v>
      </c>
      <c r="F534">
        <f t="shared" si="25"/>
        <v>9.513</v>
      </c>
      <c r="G534">
        <f t="shared" si="26"/>
        <v>0</v>
      </c>
    </row>
    <row r="535" spans="1:7">
      <c r="A535">
        <v>26.654</v>
      </c>
      <c r="B535" s="8" t="s">
        <v>384</v>
      </c>
      <c r="C535">
        <v>91.7</v>
      </c>
      <c r="E535" s="3">
        <f t="shared" si="27"/>
        <v>26.65</v>
      </c>
      <c r="F535">
        <f t="shared" si="25"/>
        <v>9.408</v>
      </c>
      <c r="G535">
        <f t="shared" si="26"/>
        <v>0</v>
      </c>
    </row>
    <row r="536" spans="1:7">
      <c r="A536">
        <v>26.704</v>
      </c>
      <c r="B536" s="8" t="s">
        <v>385</v>
      </c>
      <c r="C536">
        <v>92.2</v>
      </c>
      <c r="E536" s="3">
        <f t="shared" si="27"/>
        <v>26.7</v>
      </c>
      <c r="F536">
        <f t="shared" si="25"/>
        <v>9.576</v>
      </c>
      <c r="G536">
        <f t="shared" si="26"/>
        <v>0</v>
      </c>
    </row>
    <row r="537" spans="1:7">
      <c r="A537">
        <v>26.754</v>
      </c>
      <c r="B537" s="8" t="s">
        <v>386</v>
      </c>
      <c r="C537">
        <v>91.5</v>
      </c>
      <c r="E537" s="3">
        <f t="shared" si="27"/>
        <v>26.75</v>
      </c>
      <c r="F537">
        <f t="shared" si="25"/>
        <v>10.06</v>
      </c>
      <c r="G537">
        <f t="shared" si="26"/>
        <v>0</v>
      </c>
    </row>
    <row r="538" spans="1:7">
      <c r="A538">
        <v>26.804</v>
      </c>
      <c r="B538" s="8" t="s">
        <v>300</v>
      </c>
      <c r="C538">
        <v>91.9</v>
      </c>
      <c r="E538" s="3">
        <f t="shared" si="27"/>
        <v>26.8</v>
      </c>
      <c r="F538">
        <f t="shared" si="25"/>
        <v>10.86</v>
      </c>
      <c r="G538">
        <f t="shared" si="26"/>
        <v>0</v>
      </c>
    </row>
    <row r="539" spans="1:7">
      <c r="A539">
        <v>26.854</v>
      </c>
      <c r="B539" s="8" t="s">
        <v>264</v>
      </c>
      <c r="C539">
        <v>91.6</v>
      </c>
      <c r="E539" s="3">
        <f t="shared" si="27"/>
        <v>26.85</v>
      </c>
      <c r="F539">
        <f t="shared" si="25"/>
        <v>11.62</v>
      </c>
      <c r="G539">
        <f t="shared" si="26"/>
        <v>0</v>
      </c>
    </row>
    <row r="540" spans="1:7">
      <c r="A540">
        <v>26.905</v>
      </c>
      <c r="B540" s="8" t="s">
        <v>387</v>
      </c>
      <c r="C540">
        <v>90.9</v>
      </c>
      <c r="E540" s="3">
        <f t="shared" si="27"/>
        <v>26.9</v>
      </c>
      <c r="F540">
        <f t="shared" si="25"/>
        <v>12.28</v>
      </c>
      <c r="G540">
        <f t="shared" si="26"/>
        <v>0</v>
      </c>
    </row>
    <row r="541" spans="1:7">
      <c r="A541">
        <v>26.955</v>
      </c>
      <c r="B541" s="8" t="s">
        <v>182</v>
      </c>
      <c r="C541">
        <v>90.3</v>
      </c>
      <c r="E541" s="3">
        <f t="shared" si="27"/>
        <v>26.95</v>
      </c>
      <c r="F541">
        <f t="shared" si="25"/>
        <v>12.61</v>
      </c>
      <c r="G541">
        <f t="shared" si="26"/>
        <v>0</v>
      </c>
    </row>
    <row r="542" spans="1:7">
      <c r="A542">
        <v>27.005</v>
      </c>
      <c r="B542" s="8" t="s">
        <v>388</v>
      </c>
      <c r="C542">
        <v>86.6</v>
      </c>
      <c r="E542" s="3">
        <f t="shared" si="27"/>
        <v>27</v>
      </c>
      <c r="F542">
        <f t="shared" si="25"/>
        <v>12.64</v>
      </c>
      <c r="G542">
        <f t="shared" si="26"/>
        <v>0</v>
      </c>
    </row>
    <row r="543" spans="1:7">
      <c r="A543">
        <v>27.055</v>
      </c>
      <c r="B543" s="8" t="s">
        <v>389</v>
      </c>
      <c r="C543">
        <v>85.3</v>
      </c>
      <c r="E543" s="3">
        <f t="shared" si="27"/>
        <v>27.05</v>
      </c>
      <c r="F543">
        <f t="shared" si="25"/>
        <v>12.37</v>
      </c>
      <c r="G543">
        <f t="shared" si="26"/>
        <v>0</v>
      </c>
    </row>
    <row r="544" spans="1:7">
      <c r="A544">
        <v>27.105</v>
      </c>
      <c r="B544" s="8" t="s">
        <v>390</v>
      </c>
      <c r="C544">
        <v>84.9</v>
      </c>
      <c r="E544" s="3">
        <f t="shared" si="27"/>
        <v>27.1</v>
      </c>
      <c r="F544">
        <f t="shared" si="25"/>
        <v>11.7</v>
      </c>
      <c r="G544">
        <f t="shared" si="26"/>
        <v>0</v>
      </c>
    </row>
    <row r="545" spans="1:7">
      <c r="A545">
        <v>27.155</v>
      </c>
      <c r="B545" s="8" t="s">
        <v>391</v>
      </c>
      <c r="C545">
        <v>83.8</v>
      </c>
      <c r="E545" s="3">
        <f t="shared" si="27"/>
        <v>27.15</v>
      </c>
      <c r="F545">
        <f t="shared" si="25"/>
        <v>11</v>
      </c>
      <c r="G545">
        <f t="shared" si="26"/>
        <v>0</v>
      </c>
    </row>
    <row r="546" spans="1:7">
      <c r="A546">
        <v>27.205</v>
      </c>
      <c r="B546" s="8" t="s">
        <v>392</v>
      </c>
      <c r="C546">
        <v>85.9</v>
      </c>
      <c r="E546" s="3">
        <f t="shared" si="27"/>
        <v>27.2</v>
      </c>
      <c r="F546">
        <f t="shared" si="25"/>
        <v>10.21</v>
      </c>
      <c r="G546">
        <f t="shared" si="26"/>
        <v>0</v>
      </c>
    </row>
    <row r="547" spans="1:7">
      <c r="A547">
        <v>27.255</v>
      </c>
      <c r="B547" s="8" t="s">
        <v>380</v>
      </c>
      <c r="C547">
        <v>84.3</v>
      </c>
      <c r="E547" s="3">
        <f t="shared" si="27"/>
        <v>27.25</v>
      </c>
      <c r="F547">
        <f t="shared" si="25"/>
        <v>9.721</v>
      </c>
      <c r="G547">
        <f t="shared" si="26"/>
        <v>0</v>
      </c>
    </row>
    <row r="548" spans="1:7">
      <c r="A548">
        <v>27.305</v>
      </c>
      <c r="B548" s="8" t="s">
        <v>393</v>
      </c>
      <c r="C548">
        <v>83</v>
      </c>
      <c r="E548" s="3">
        <f t="shared" si="27"/>
        <v>27.3</v>
      </c>
      <c r="F548">
        <f t="shared" si="25"/>
        <v>9.435</v>
      </c>
      <c r="G548">
        <f t="shared" si="26"/>
        <v>0</v>
      </c>
    </row>
    <row r="549" spans="1:7">
      <c r="A549">
        <v>27.355</v>
      </c>
      <c r="B549" s="8" t="s">
        <v>394</v>
      </c>
      <c r="C549">
        <v>81.5</v>
      </c>
      <c r="E549" s="3">
        <f t="shared" si="27"/>
        <v>27.35</v>
      </c>
      <c r="F549">
        <f t="shared" si="25"/>
        <v>9.572</v>
      </c>
      <c r="G549">
        <f t="shared" si="26"/>
        <v>0</v>
      </c>
    </row>
    <row r="550" spans="1:7">
      <c r="A550">
        <v>27.406</v>
      </c>
      <c r="B550" s="8" t="s">
        <v>395</v>
      </c>
      <c r="C550">
        <v>81.1</v>
      </c>
      <c r="E550" s="3">
        <f t="shared" si="27"/>
        <v>27.4</v>
      </c>
      <c r="F550">
        <f t="shared" si="25"/>
        <v>9.887</v>
      </c>
      <c r="G550">
        <f t="shared" si="26"/>
        <v>0</v>
      </c>
    </row>
    <row r="551" spans="1:7">
      <c r="A551">
        <v>27.456</v>
      </c>
      <c r="B551" s="8" t="s">
        <v>396</v>
      </c>
      <c r="C551">
        <v>82.6</v>
      </c>
      <c r="E551" s="3">
        <f t="shared" si="27"/>
        <v>27.45</v>
      </c>
      <c r="F551">
        <f t="shared" si="25"/>
        <v>10.6</v>
      </c>
      <c r="G551">
        <f t="shared" si="26"/>
        <v>0</v>
      </c>
    </row>
    <row r="552" spans="1:7">
      <c r="A552">
        <v>27.506</v>
      </c>
      <c r="B552" s="8" t="s">
        <v>397</v>
      </c>
      <c r="C552">
        <v>81.3</v>
      </c>
      <c r="E552" s="3">
        <f t="shared" si="27"/>
        <v>27.5</v>
      </c>
      <c r="F552">
        <f t="shared" si="25"/>
        <v>11.31</v>
      </c>
      <c r="G552">
        <f t="shared" si="26"/>
        <v>0</v>
      </c>
    </row>
    <row r="553" spans="1:7">
      <c r="A553">
        <v>27.556</v>
      </c>
      <c r="B553" s="8" t="s">
        <v>357</v>
      </c>
      <c r="C553">
        <v>81.5</v>
      </c>
      <c r="E553" s="3">
        <f t="shared" si="27"/>
        <v>27.55</v>
      </c>
      <c r="F553">
        <f t="shared" si="25"/>
        <v>12.01</v>
      </c>
      <c r="G553">
        <f t="shared" si="26"/>
        <v>0</v>
      </c>
    </row>
    <row r="554" spans="1:7">
      <c r="A554">
        <v>27.606</v>
      </c>
      <c r="B554" s="8" t="s">
        <v>304</v>
      </c>
      <c r="C554">
        <v>81.2</v>
      </c>
      <c r="E554" s="3">
        <f t="shared" si="27"/>
        <v>27.6</v>
      </c>
      <c r="F554">
        <f t="shared" si="25"/>
        <v>12.42</v>
      </c>
      <c r="G554">
        <f t="shared" si="26"/>
        <v>0</v>
      </c>
    </row>
    <row r="555" spans="1:7">
      <c r="A555">
        <v>27.656</v>
      </c>
      <c r="B555" s="8" t="s">
        <v>398</v>
      </c>
      <c r="C555">
        <v>81.2</v>
      </c>
      <c r="E555" s="3">
        <f t="shared" si="27"/>
        <v>27.65</v>
      </c>
      <c r="F555">
        <f t="shared" si="25"/>
        <v>12.39</v>
      </c>
      <c r="G555">
        <f t="shared" si="26"/>
        <v>0</v>
      </c>
    </row>
    <row r="556" spans="1:7">
      <c r="A556">
        <v>27.706</v>
      </c>
      <c r="B556" s="8" t="s">
        <v>399</v>
      </c>
      <c r="C556">
        <v>81.5</v>
      </c>
      <c r="E556" s="3">
        <f t="shared" si="27"/>
        <v>27.7</v>
      </c>
      <c r="F556">
        <f t="shared" si="25"/>
        <v>12.14</v>
      </c>
      <c r="G556">
        <f t="shared" si="26"/>
        <v>0</v>
      </c>
    </row>
    <row r="557" spans="1:7">
      <c r="A557">
        <v>27.756</v>
      </c>
      <c r="B557" s="8" t="s">
        <v>241</v>
      </c>
      <c r="C557">
        <v>81.3</v>
      </c>
      <c r="E557" s="3">
        <f t="shared" si="27"/>
        <v>27.75</v>
      </c>
      <c r="F557">
        <f t="shared" si="25"/>
        <v>11.6</v>
      </c>
      <c r="G557">
        <f t="shared" si="26"/>
        <v>0</v>
      </c>
    </row>
    <row r="558" spans="1:7">
      <c r="A558">
        <v>27.806</v>
      </c>
      <c r="B558" s="8" t="s">
        <v>400</v>
      </c>
      <c r="C558">
        <v>80.1</v>
      </c>
      <c r="E558" s="3">
        <f t="shared" si="27"/>
        <v>27.8</v>
      </c>
      <c r="F558">
        <f t="shared" si="25"/>
        <v>10.9</v>
      </c>
      <c r="G558">
        <f t="shared" si="26"/>
        <v>0</v>
      </c>
    </row>
    <row r="559" spans="1:7">
      <c r="A559">
        <v>27.856</v>
      </c>
      <c r="B559" s="8" t="s">
        <v>401</v>
      </c>
      <c r="C559">
        <v>80</v>
      </c>
      <c r="E559" s="3">
        <f t="shared" si="27"/>
        <v>27.85</v>
      </c>
      <c r="F559">
        <f t="shared" si="25"/>
        <v>10.13</v>
      </c>
      <c r="G559">
        <f t="shared" si="26"/>
        <v>0</v>
      </c>
    </row>
    <row r="560" spans="1:7">
      <c r="A560">
        <v>27.907</v>
      </c>
      <c r="B560" s="8" t="s">
        <v>402</v>
      </c>
      <c r="C560">
        <v>80.6</v>
      </c>
      <c r="E560" s="3">
        <f t="shared" si="27"/>
        <v>27.9</v>
      </c>
      <c r="F560">
        <f t="shared" si="25"/>
        <v>9.594</v>
      </c>
      <c r="G560">
        <f t="shared" si="26"/>
        <v>0</v>
      </c>
    </row>
    <row r="561" spans="1:7">
      <c r="A561">
        <v>27.957</v>
      </c>
      <c r="B561" s="8" t="s">
        <v>403</v>
      </c>
      <c r="C561">
        <v>79.4</v>
      </c>
      <c r="E561" s="3">
        <f t="shared" si="27"/>
        <v>27.95</v>
      </c>
      <c r="F561">
        <f t="shared" si="25"/>
        <v>9.263</v>
      </c>
      <c r="G561">
        <f t="shared" si="26"/>
        <v>0</v>
      </c>
    </row>
    <row r="562" spans="1:7">
      <c r="A562">
        <v>28.007</v>
      </c>
      <c r="B562" s="8" t="s">
        <v>404</v>
      </c>
      <c r="C562">
        <v>79.6</v>
      </c>
      <c r="E562" s="3">
        <f t="shared" si="27"/>
        <v>28</v>
      </c>
      <c r="F562">
        <f t="shared" si="25"/>
        <v>9.255</v>
      </c>
      <c r="G562">
        <f t="shared" si="26"/>
        <v>0</v>
      </c>
    </row>
    <row r="563" spans="1:7">
      <c r="A563">
        <v>28.057</v>
      </c>
      <c r="B563" s="8" t="s">
        <v>405</v>
      </c>
      <c r="C563">
        <v>79.3</v>
      </c>
      <c r="E563" s="3">
        <f t="shared" si="27"/>
        <v>28.05</v>
      </c>
      <c r="F563">
        <f t="shared" si="25"/>
        <v>9.58</v>
      </c>
      <c r="G563">
        <f t="shared" si="26"/>
        <v>0</v>
      </c>
    </row>
    <row r="564" spans="1:7">
      <c r="A564">
        <v>28.107</v>
      </c>
      <c r="B564" s="8" t="s">
        <v>392</v>
      </c>
      <c r="C564">
        <v>79.5</v>
      </c>
      <c r="E564" s="3">
        <f t="shared" si="27"/>
        <v>28.1</v>
      </c>
      <c r="F564">
        <f t="shared" si="25"/>
        <v>10.21</v>
      </c>
      <c r="G564">
        <f t="shared" si="26"/>
        <v>0</v>
      </c>
    </row>
    <row r="565" spans="1:7">
      <c r="A565">
        <v>28.157</v>
      </c>
      <c r="B565" s="8" t="s">
        <v>228</v>
      </c>
      <c r="C565">
        <v>79.5</v>
      </c>
      <c r="E565" s="3">
        <f t="shared" si="27"/>
        <v>28.15</v>
      </c>
      <c r="F565">
        <f t="shared" si="25"/>
        <v>10.89</v>
      </c>
      <c r="G565">
        <f t="shared" si="26"/>
        <v>0</v>
      </c>
    </row>
    <row r="566" spans="1:7">
      <c r="A566">
        <v>28.207</v>
      </c>
      <c r="B566" s="8" t="s">
        <v>266</v>
      </c>
      <c r="C566">
        <v>79.5</v>
      </c>
      <c r="E566" s="3">
        <f t="shared" si="27"/>
        <v>28.2</v>
      </c>
      <c r="F566">
        <f t="shared" si="25"/>
        <v>11.47</v>
      </c>
      <c r="G566">
        <f t="shared" si="26"/>
        <v>0</v>
      </c>
    </row>
    <row r="567" spans="1:7">
      <c r="A567">
        <v>28.257</v>
      </c>
      <c r="B567" s="8" t="s">
        <v>406</v>
      </c>
      <c r="C567">
        <v>78.8</v>
      </c>
      <c r="E567" s="3">
        <f t="shared" si="27"/>
        <v>28.25</v>
      </c>
      <c r="F567">
        <f t="shared" si="25"/>
        <v>11.87</v>
      </c>
      <c r="G567">
        <f t="shared" si="26"/>
        <v>0</v>
      </c>
    </row>
    <row r="568" spans="1:7">
      <c r="A568">
        <v>28.307</v>
      </c>
      <c r="B568" s="8" t="s">
        <v>213</v>
      </c>
      <c r="C568">
        <v>79.5</v>
      </c>
      <c r="E568" s="3">
        <f t="shared" si="27"/>
        <v>28.3</v>
      </c>
      <c r="F568">
        <f t="shared" si="25"/>
        <v>11.98</v>
      </c>
      <c r="G568">
        <f t="shared" si="26"/>
        <v>0</v>
      </c>
    </row>
    <row r="569" spans="1:7">
      <c r="A569">
        <v>28.357</v>
      </c>
      <c r="B569" s="8" t="s">
        <v>163</v>
      </c>
      <c r="C569">
        <v>79.1</v>
      </c>
      <c r="E569" s="3">
        <f t="shared" si="27"/>
        <v>28.35</v>
      </c>
      <c r="F569">
        <f t="shared" si="25"/>
        <v>11.76</v>
      </c>
      <c r="G569">
        <f t="shared" si="26"/>
        <v>0</v>
      </c>
    </row>
    <row r="570" spans="1:7">
      <c r="A570">
        <v>28.408</v>
      </c>
      <c r="B570" s="8" t="s">
        <v>253</v>
      </c>
      <c r="C570">
        <v>79.3</v>
      </c>
      <c r="E570" s="3">
        <f t="shared" si="27"/>
        <v>28.4</v>
      </c>
      <c r="F570">
        <f t="shared" si="25"/>
        <v>11.33</v>
      </c>
      <c r="G570">
        <f t="shared" si="26"/>
        <v>0</v>
      </c>
    </row>
    <row r="571" spans="1:7">
      <c r="A571">
        <v>28.458</v>
      </c>
      <c r="B571" s="8" t="s">
        <v>407</v>
      </c>
      <c r="C571">
        <v>78.2</v>
      </c>
      <c r="E571" s="3">
        <f t="shared" si="27"/>
        <v>28.45</v>
      </c>
      <c r="F571">
        <f t="shared" si="25"/>
        <v>10.77</v>
      </c>
      <c r="G571">
        <f t="shared" si="26"/>
        <v>0</v>
      </c>
    </row>
    <row r="572" spans="1:7">
      <c r="A572">
        <v>28.508</v>
      </c>
      <c r="B572" s="8" t="s">
        <v>401</v>
      </c>
      <c r="C572">
        <v>79.3</v>
      </c>
      <c r="E572" s="3">
        <f t="shared" si="27"/>
        <v>28.5</v>
      </c>
      <c r="F572">
        <f t="shared" si="25"/>
        <v>10.13</v>
      </c>
      <c r="G572">
        <f t="shared" si="26"/>
        <v>0</v>
      </c>
    </row>
    <row r="573" spans="1:7">
      <c r="A573">
        <v>28.558</v>
      </c>
      <c r="B573" s="8" t="s">
        <v>408</v>
      </c>
      <c r="C573">
        <v>78.2</v>
      </c>
      <c r="E573" s="3">
        <f t="shared" si="27"/>
        <v>28.55</v>
      </c>
      <c r="F573">
        <f t="shared" si="25"/>
        <v>9.983</v>
      </c>
      <c r="G573">
        <f t="shared" si="26"/>
        <v>0</v>
      </c>
    </row>
    <row r="574" spans="1:7">
      <c r="A574">
        <v>28.608</v>
      </c>
      <c r="B574" s="8" t="s">
        <v>321</v>
      </c>
      <c r="C574">
        <v>79.2</v>
      </c>
      <c r="E574" s="3">
        <f t="shared" si="27"/>
        <v>28.6</v>
      </c>
      <c r="F574">
        <f t="shared" si="25"/>
        <v>10.33</v>
      </c>
      <c r="G574">
        <f t="shared" si="26"/>
        <v>0</v>
      </c>
    </row>
    <row r="575" spans="1:7">
      <c r="A575">
        <v>28.658</v>
      </c>
      <c r="B575" s="8" t="s">
        <v>409</v>
      </c>
      <c r="C575">
        <v>80.1</v>
      </c>
      <c r="E575" s="3">
        <f t="shared" si="27"/>
        <v>28.65</v>
      </c>
      <c r="F575">
        <f t="shared" si="25"/>
        <v>10.67</v>
      </c>
      <c r="G575">
        <f t="shared" si="26"/>
        <v>0</v>
      </c>
    </row>
    <row r="576" spans="1:7">
      <c r="A576">
        <v>28.708</v>
      </c>
      <c r="B576" s="8" t="s">
        <v>410</v>
      </c>
      <c r="C576">
        <v>79.6</v>
      </c>
      <c r="E576" s="3">
        <f t="shared" si="27"/>
        <v>28.7</v>
      </c>
      <c r="F576">
        <f t="shared" si="25"/>
        <v>11.22</v>
      </c>
      <c r="G576">
        <f t="shared" si="26"/>
        <v>0</v>
      </c>
    </row>
    <row r="577" spans="1:7">
      <c r="A577">
        <v>28.758</v>
      </c>
      <c r="B577" s="8" t="s">
        <v>411</v>
      </c>
      <c r="C577">
        <v>80</v>
      </c>
      <c r="E577" s="3">
        <f t="shared" si="27"/>
        <v>28.75</v>
      </c>
      <c r="F577">
        <f t="shared" si="25"/>
        <v>12</v>
      </c>
      <c r="G577">
        <f t="shared" si="26"/>
        <v>0</v>
      </c>
    </row>
    <row r="578" spans="1:7">
      <c r="A578">
        <v>28.808</v>
      </c>
      <c r="B578" s="8" t="s">
        <v>412</v>
      </c>
      <c r="C578">
        <v>80.2</v>
      </c>
      <c r="E578" s="3">
        <f t="shared" si="27"/>
        <v>28.8</v>
      </c>
      <c r="F578">
        <f t="shared" si="25"/>
        <v>12.72</v>
      </c>
      <c r="G578">
        <f t="shared" si="26"/>
        <v>0</v>
      </c>
    </row>
    <row r="579" spans="1:7">
      <c r="A579">
        <v>28.858</v>
      </c>
      <c r="B579" s="8" t="s">
        <v>413</v>
      </c>
      <c r="C579">
        <v>81.1</v>
      </c>
      <c r="E579" s="3">
        <f t="shared" si="27"/>
        <v>28.85</v>
      </c>
      <c r="F579">
        <f t="shared" si="25"/>
        <v>13.4</v>
      </c>
      <c r="G579">
        <f t="shared" si="26"/>
        <v>0</v>
      </c>
    </row>
    <row r="580" spans="1:7">
      <c r="A580">
        <v>28.909</v>
      </c>
      <c r="B580" s="8" t="s">
        <v>414</v>
      </c>
      <c r="C580">
        <v>81.2</v>
      </c>
      <c r="E580" s="3">
        <f t="shared" si="27"/>
        <v>28.9</v>
      </c>
      <c r="F580">
        <f t="shared" ref="F580:F643" si="28">B580*1000</f>
        <v>13.89</v>
      </c>
      <c r="G580">
        <f t="shared" ref="G580:G643" si="29">IF(C580&lt;230,0,40)</f>
        <v>0</v>
      </c>
    </row>
    <row r="581" spans="1:7">
      <c r="A581">
        <v>28.959</v>
      </c>
      <c r="B581" s="8" t="s">
        <v>415</v>
      </c>
      <c r="C581">
        <v>80.5</v>
      </c>
      <c r="E581" s="3">
        <f t="shared" si="27"/>
        <v>28.95</v>
      </c>
      <c r="F581">
        <f t="shared" si="28"/>
        <v>14.08</v>
      </c>
      <c r="G581">
        <f t="shared" si="29"/>
        <v>0</v>
      </c>
    </row>
    <row r="582" spans="1:7">
      <c r="A582">
        <v>29.009</v>
      </c>
      <c r="B582" s="8" t="s">
        <v>210</v>
      </c>
      <c r="C582">
        <v>80.4</v>
      </c>
      <c r="E582" s="3">
        <f t="shared" si="27"/>
        <v>29</v>
      </c>
      <c r="F582">
        <f t="shared" si="28"/>
        <v>13.87</v>
      </c>
      <c r="G582">
        <f t="shared" si="29"/>
        <v>0</v>
      </c>
    </row>
    <row r="583" spans="1:7">
      <c r="A583">
        <v>29.059</v>
      </c>
      <c r="B583" s="8" t="s">
        <v>189</v>
      </c>
      <c r="C583">
        <v>80.8</v>
      </c>
      <c r="E583" s="3">
        <f t="shared" si="27"/>
        <v>29.05</v>
      </c>
      <c r="F583">
        <f t="shared" si="28"/>
        <v>13.42</v>
      </c>
      <c r="G583">
        <f t="shared" si="29"/>
        <v>0</v>
      </c>
    </row>
    <row r="584" spans="1:7">
      <c r="A584">
        <v>29.109</v>
      </c>
      <c r="B584" s="8" t="s">
        <v>416</v>
      </c>
      <c r="C584">
        <v>80.9</v>
      </c>
      <c r="E584" s="3">
        <f t="shared" si="27"/>
        <v>29.1</v>
      </c>
      <c r="F584">
        <f t="shared" si="28"/>
        <v>12.79</v>
      </c>
      <c r="G584">
        <f t="shared" si="29"/>
        <v>0</v>
      </c>
    </row>
    <row r="585" spans="1:7">
      <c r="A585">
        <v>29.159</v>
      </c>
      <c r="B585" s="8" t="s">
        <v>162</v>
      </c>
      <c r="C585">
        <v>82.1</v>
      </c>
      <c r="E585" s="3">
        <f t="shared" si="27"/>
        <v>29.15</v>
      </c>
      <c r="F585">
        <f t="shared" si="28"/>
        <v>12.21</v>
      </c>
      <c r="G585">
        <f t="shared" si="29"/>
        <v>0</v>
      </c>
    </row>
    <row r="586" spans="1:7">
      <c r="A586">
        <v>29.209</v>
      </c>
      <c r="B586" s="8" t="s">
        <v>151</v>
      </c>
      <c r="C586">
        <v>82</v>
      </c>
      <c r="E586" s="3">
        <f t="shared" ref="E586:E649" si="30">FLOOR(A586,0.05)</f>
        <v>29.2</v>
      </c>
      <c r="F586">
        <f t="shared" si="28"/>
        <v>11.81</v>
      </c>
      <c r="G586">
        <f t="shared" si="29"/>
        <v>0</v>
      </c>
    </row>
    <row r="587" spans="1:7">
      <c r="A587">
        <v>29.259</v>
      </c>
      <c r="B587" s="8" t="s">
        <v>417</v>
      </c>
      <c r="C587">
        <v>81.6</v>
      </c>
      <c r="E587" s="3">
        <f t="shared" si="30"/>
        <v>29.25</v>
      </c>
      <c r="F587">
        <f t="shared" si="28"/>
        <v>11.64</v>
      </c>
      <c r="G587">
        <f t="shared" si="29"/>
        <v>0</v>
      </c>
    </row>
    <row r="588" spans="1:7">
      <c r="A588">
        <v>29.309</v>
      </c>
      <c r="B588" s="8" t="s">
        <v>163</v>
      </c>
      <c r="C588">
        <v>81.1</v>
      </c>
      <c r="E588" s="3">
        <f t="shared" si="30"/>
        <v>29.3</v>
      </c>
      <c r="F588">
        <f t="shared" si="28"/>
        <v>11.76</v>
      </c>
      <c r="G588">
        <f t="shared" si="29"/>
        <v>0</v>
      </c>
    </row>
    <row r="589" spans="1:7">
      <c r="A589">
        <v>29.36</v>
      </c>
      <c r="B589" s="8" t="s">
        <v>411</v>
      </c>
      <c r="C589">
        <v>82.4</v>
      </c>
      <c r="E589" s="3">
        <f t="shared" si="30"/>
        <v>29.35</v>
      </c>
      <c r="F589">
        <f t="shared" si="28"/>
        <v>12</v>
      </c>
      <c r="G589">
        <f t="shared" si="29"/>
        <v>0</v>
      </c>
    </row>
    <row r="590" spans="1:7">
      <c r="A590">
        <v>29.41</v>
      </c>
      <c r="B590" s="8" t="s">
        <v>418</v>
      </c>
      <c r="C590">
        <v>81.6</v>
      </c>
      <c r="E590" s="3">
        <f t="shared" si="30"/>
        <v>29.4</v>
      </c>
      <c r="F590">
        <f t="shared" si="28"/>
        <v>12.44</v>
      </c>
      <c r="G590">
        <f t="shared" si="29"/>
        <v>0</v>
      </c>
    </row>
    <row r="591" spans="1:7">
      <c r="A591">
        <v>29.46</v>
      </c>
      <c r="B591" s="8" t="s">
        <v>190</v>
      </c>
      <c r="C591">
        <v>82.4</v>
      </c>
      <c r="E591" s="3">
        <f t="shared" si="30"/>
        <v>29.45</v>
      </c>
      <c r="F591">
        <f t="shared" si="28"/>
        <v>12.9</v>
      </c>
      <c r="G591">
        <f t="shared" si="29"/>
        <v>0</v>
      </c>
    </row>
    <row r="592" spans="1:7">
      <c r="A592">
        <v>29.51</v>
      </c>
      <c r="B592" s="8" t="s">
        <v>419</v>
      </c>
      <c r="C592">
        <v>82.4</v>
      </c>
      <c r="E592" s="3">
        <f t="shared" si="30"/>
        <v>29.5</v>
      </c>
      <c r="F592">
        <f t="shared" si="28"/>
        <v>13.35</v>
      </c>
      <c r="G592">
        <f t="shared" si="29"/>
        <v>0</v>
      </c>
    </row>
    <row r="593" spans="1:7">
      <c r="A593">
        <v>29.56</v>
      </c>
      <c r="B593" s="8" t="s">
        <v>189</v>
      </c>
      <c r="C593">
        <v>82.8</v>
      </c>
      <c r="E593" s="3">
        <f t="shared" si="30"/>
        <v>29.55</v>
      </c>
      <c r="F593">
        <f t="shared" si="28"/>
        <v>13.42</v>
      </c>
      <c r="G593">
        <f t="shared" si="29"/>
        <v>0</v>
      </c>
    </row>
    <row r="594" spans="1:7">
      <c r="A594">
        <v>29.61</v>
      </c>
      <c r="B594" s="8" t="s">
        <v>420</v>
      </c>
      <c r="C594">
        <v>81.5</v>
      </c>
      <c r="E594" s="3">
        <f t="shared" si="30"/>
        <v>29.6</v>
      </c>
      <c r="F594">
        <f t="shared" si="28"/>
        <v>13.37</v>
      </c>
      <c r="G594">
        <f t="shared" si="29"/>
        <v>0</v>
      </c>
    </row>
    <row r="595" spans="1:7">
      <c r="A595">
        <v>29.66</v>
      </c>
      <c r="B595" s="8" t="s">
        <v>129</v>
      </c>
      <c r="C595">
        <v>82.5</v>
      </c>
      <c r="E595" s="3">
        <f t="shared" si="30"/>
        <v>29.65</v>
      </c>
      <c r="F595">
        <f t="shared" si="28"/>
        <v>13.17</v>
      </c>
      <c r="G595">
        <f t="shared" si="29"/>
        <v>0</v>
      </c>
    </row>
    <row r="596" spans="1:7">
      <c r="A596">
        <v>29.71</v>
      </c>
      <c r="B596" s="8" t="s">
        <v>341</v>
      </c>
      <c r="C596">
        <v>82.6</v>
      </c>
      <c r="E596" s="3">
        <f t="shared" si="30"/>
        <v>29.7</v>
      </c>
      <c r="F596">
        <f t="shared" si="28"/>
        <v>12.66</v>
      </c>
      <c r="G596">
        <f t="shared" si="29"/>
        <v>0</v>
      </c>
    </row>
    <row r="597" spans="1:7">
      <c r="A597">
        <v>29.76</v>
      </c>
      <c r="B597" s="8" t="s">
        <v>314</v>
      </c>
      <c r="C597">
        <v>81.7</v>
      </c>
      <c r="E597" s="3">
        <f t="shared" si="30"/>
        <v>29.75</v>
      </c>
      <c r="F597">
        <f t="shared" si="28"/>
        <v>12.03</v>
      </c>
      <c r="G597">
        <f t="shared" si="29"/>
        <v>0</v>
      </c>
    </row>
    <row r="598" spans="1:7">
      <c r="A598">
        <v>29.81</v>
      </c>
      <c r="B598" s="8" t="s">
        <v>421</v>
      </c>
      <c r="C598">
        <v>82</v>
      </c>
      <c r="E598" s="3">
        <f t="shared" si="30"/>
        <v>29.8</v>
      </c>
      <c r="F598">
        <f t="shared" si="28"/>
        <v>11.68</v>
      </c>
      <c r="G598">
        <f t="shared" si="29"/>
        <v>0</v>
      </c>
    </row>
    <row r="599" spans="1:7">
      <c r="A599">
        <v>29.861</v>
      </c>
      <c r="B599" s="8" t="s">
        <v>148</v>
      </c>
      <c r="C599">
        <v>83.1</v>
      </c>
      <c r="E599" s="3">
        <f t="shared" si="30"/>
        <v>29.85</v>
      </c>
      <c r="F599">
        <f t="shared" si="28"/>
        <v>11.29</v>
      </c>
      <c r="G599">
        <f t="shared" si="29"/>
        <v>0</v>
      </c>
    </row>
    <row r="600" spans="1:7">
      <c r="A600">
        <v>29.911</v>
      </c>
      <c r="B600" s="8" t="s">
        <v>292</v>
      </c>
      <c r="C600">
        <v>82.6</v>
      </c>
      <c r="E600" s="3">
        <f t="shared" si="30"/>
        <v>29.9</v>
      </c>
      <c r="F600">
        <f t="shared" si="28"/>
        <v>11.1</v>
      </c>
      <c r="G600">
        <f t="shared" si="29"/>
        <v>0</v>
      </c>
    </row>
    <row r="601" spans="1:7">
      <c r="A601">
        <v>29.961</v>
      </c>
      <c r="B601" s="8" t="s">
        <v>250</v>
      </c>
      <c r="C601">
        <v>82.1</v>
      </c>
      <c r="E601" s="3">
        <f t="shared" si="30"/>
        <v>29.95</v>
      </c>
      <c r="F601">
        <f t="shared" si="28"/>
        <v>11.12</v>
      </c>
      <c r="G601">
        <f t="shared" si="29"/>
        <v>0</v>
      </c>
    </row>
    <row r="602" spans="1:7">
      <c r="A602">
        <v>30.011</v>
      </c>
      <c r="B602" s="8" t="s">
        <v>422</v>
      </c>
      <c r="C602">
        <v>82.6</v>
      </c>
      <c r="E602" s="3">
        <f t="shared" si="30"/>
        <v>30</v>
      </c>
      <c r="F602">
        <f t="shared" si="28"/>
        <v>11.38</v>
      </c>
      <c r="G602">
        <f t="shared" si="29"/>
        <v>0</v>
      </c>
    </row>
    <row r="603" spans="1:7">
      <c r="A603">
        <v>30.061</v>
      </c>
      <c r="B603" s="8" t="s">
        <v>423</v>
      </c>
      <c r="C603">
        <v>82.8</v>
      </c>
      <c r="E603" s="3">
        <f t="shared" si="30"/>
        <v>30.05</v>
      </c>
      <c r="F603">
        <f t="shared" si="28"/>
        <v>11.82</v>
      </c>
      <c r="G603">
        <f t="shared" si="29"/>
        <v>0</v>
      </c>
    </row>
    <row r="604" spans="1:7">
      <c r="A604">
        <v>30.111</v>
      </c>
      <c r="B604" s="8" t="s">
        <v>193</v>
      </c>
      <c r="C604">
        <v>82.5</v>
      </c>
      <c r="E604" s="3">
        <f t="shared" si="30"/>
        <v>30.1</v>
      </c>
      <c r="F604">
        <f t="shared" si="28"/>
        <v>12.38</v>
      </c>
      <c r="G604">
        <f t="shared" si="29"/>
        <v>0</v>
      </c>
    </row>
    <row r="605" spans="1:7">
      <c r="A605">
        <v>30.161</v>
      </c>
      <c r="B605" s="8" t="s">
        <v>424</v>
      </c>
      <c r="C605">
        <v>82.1</v>
      </c>
      <c r="E605" s="3">
        <f t="shared" si="30"/>
        <v>30.15</v>
      </c>
      <c r="F605">
        <f t="shared" si="28"/>
        <v>12.76</v>
      </c>
      <c r="G605">
        <f t="shared" si="29"/>
        <v>0</v>
      </c>
    </row>
    <row r="606" spans="1:7">
      <c r="A606">
        <v>30.211</v>
      </c>
      <c r="B606" s="8" t="s">
        <v>25</v>
      </c>
      <c r="C606">
        <v>82.4</v>
      </c>
      <c r="E606" s="3">
        <f t="shared" si="30"/>
        <v>30.2</v>
      </c>
      <c r="F606">
        <f t="shared" si="28"/>
        <v>12.98</v>
      </c>
      <c r="G606">
        <f t="shared" si="29"/>
        <v>0</v>
      </c>
    </row>
    <row r="607" spans="1:7">
      <c r="A607">
        <v>30.261</v>
      </c>
      <c r="B607" s="8" t="s">
        <v>425</v>
      </c>
      <c r="C607">
        <v>83.2</v>
      </c>
      <c r="E607" s="3">
        <f t="shared" si="30"/>
        <v>30.25</v>
      </c>
      <c r="F607">
        <f t="shared" si="28"/>
        <v>13.06</v>
      </c>
      <c r="G607">
        <f t="shared" si="29"/>
        <v>0</v>
      </c>
    </row>
    <row r="608" spans="1:7">
      <c r="A608">
        <v>30.311</v>
      </c>
      <c r="B608" s="8" t="s">
        <v>284</v>
      </c>
      <c r="C608">
        <v>83.2</v>
      </c>
      <c r="E608" s="3">
        <f t="shared" si="30"/>
        <v>30.3</v>
      </c>
      <c r="F608">
        <f t="shared" si="28"/>
        <v>12.94</v>
      </c>
      <c r="G608">
        <f t="shared" si="29"/>
        <v>0</v>
      </c>
    </row>
    <row r="609" spans="1:7">
      <c r="A609">
        <v>30.362</v>
      </c>
      <c r="B609" s="8" t="s">
        <v>426</v>
      </c>
      <c r="C609">
        <v>82.1</v>
      </c>
      <c r="E609" s="3">
        <f t="shared" si="30"/>
        <v>30.35</v>
      </c>
      <c r="F609">
        <f t="shared" si="28"/>
        <v>12.57</v>
      </c>
      <c r="G609">
        <f t="shared" si="29"/>
        <v>0</v>
      </c>
    </row>
    <row r="610" spans="1:7">
      <c r="A610">
        <v>30.412</v>
      </c>
      <c r="B610" s="8" t="s">
        <v>427</v>
      </c>
      <c r="C610">
        <v>82.1</v>
      </c>
      <c r="E610" s="3">
        <f t="shared" si="30"/>
        <v>30.4</v>
      </c>
      <c r="F610">
        <f t="shared" si="28"/>
        <v>12.13</v>
      </c>
      <c r="G610">
        <f t="shared" si="29"/>
        <v>0</v>
      </c>
    </row>
    <row r="611" spans="1:7">
      <c r="A611">
        <v>30.462</v>
      </c>
      <c r="B611" s="8" t="s">
        <v>265</v>
      </c>
      <c r="C611">
        <v>82.5</v>
      </c>
      <c r="E611" s="3">
        <f t="shared" si="30"/>
        <v>30.45</v>
      </c>
      <c r="F611">
        <f t="shared" si="28"/>
        <v>11.63</v>
      </c>
      <c r="G611">
        <f t="shared" si="29"/>
        <v>0</v>
      </c>
    </row>
    <row r="612" spans="1:7">
      <c r="A612">
        <v>30.512</v>
      </c>
      <c r="B612" s="8" t="s">
        <v>263</v>
      </c>
      <c r="C612">
        <v>82.4</v>
      </c>
      <c r="E612" s="3">
        <f t="shared" si="30"/>
        <v>30.5</v>
      </c>
      <c r="F612">
        <f t="shared" si="28"/>
        <v>11.25</v>
      </c>
      <c r="G612">
        <f t="shared" si="29"/>
        <v>0</v>
      </c>
    </row>
    <row r="613" spans="1:7">
      <c r="A613">
        <v>30.562</v>
      </c>
      <c r="B613" s="8" t="s">
        <v>250</v>
      </c>
      <c r="C613">
        <v>82.4</v>
      </c>
      <c r="E613" s="3">
        <f t="shared" si="30"/>
        <v>30.55</v>
      </c>
      <c r="F613">
        <f t="shared" si="28"/>
        <v>11.12</v>
      </c>
      <c r="G613">
        <f t="shared" si="29"/>
        <v>0</v>
      </c>
    </row>
    <row r="614" spans="1:7">
      <c r="A614">
        <v>30.612</v>
      </c>
      <c r="B614" s="8" t="s">
        <v>338</v>
      </c>
      <c r="C614">
        <v>82.8</v>
      </c>
      <c r="E614" s="3">
        <f t="shared" si="30"/>
        <v>30.6</v>
      </c>
      <c r="F614">
        <f t="shared" si="28"/>
        <v>11.07</v>
      </c>
      <c r="G614">
        <f t="shared" si="29"/>
        <v>0</v>
      </c>
    </row>
    <row r="615" spans="1:7">
      <c r="A615">
        <v>30.662</v>
      </c>
      <c r="B615" s="8" t="s">
        <v>237</v>
      </c>
      <c r="C615">
        <v>82.8</v>
      </c>
      <c r="E615" s="3">
        <f t="shared" si="30"/>
        <v>30.65</v>
      </c>
      <c r="F615">
        <f t="shared" si="28"/>
        <v>11.3</v>
      </c>
      <c r="G615">
        <f t="shared" si="29"/>
        <v>0</v>
      </c>
    </row>
    <row r="616" spans="1:7">
      <c r="A616">
        <v>30.712</v>
      </c>
      <c r="B616" s="8" t="s">
        <v>421</v>
      </c>
      <c r="C616">
        <v>82.8</v>
      </c>
      <c r="E616" s="3">
        <f t="shared" si="30"/>
        <v>30.7</v>
      </c>
      <c r="F616">
        <f t="shared" si="28"/>
        <v>11.68</v>
      </c>
      <c r="G616">
        <f t="shared" si="29"/>
        <v>0</v>
      </c>
    </row>
    <row r="617" spans="1:7">
      <c r="A617">
        <v>30.762</v>
      </c>
      <c r="B617" s="8" t="s">
        <v>428</v>
      </c>
      <c r="C617">
        <v>83.1</v>
      </c>
      <c r="E617" s="3">
        <f t="shared" si="30"/>
        <v>30.75</v>
      </c>
      <c r="F617">
        <f t="shared" si="28"/>
        <v>12.3</v>
      </c>
      <c r="G617">
        <f t="shared" si="29"/>
        <v>0</v>
      </c>
    </row>
    <row r="618" spans="1:7">
      <c r="A618">
        <v>30.812</v>
      </c>
      <c r="B618" s="8" t="s">
        <v>212</v>
      </c>
      <c r="C618">
        <v>82.6</v>
      </c>
      <c r="E618" s="3">
        <f t="shared" si="30"/>
        <v>30.8</v>
      </c>
      <c r="F618">
        <f t="shared" si="28"/>
        <v>12.67</v>
      </c>
      <c r="G618">
        <f t="shared" si="29"/>
        <v>0</v>
      </c>
    </row>
    <row r="619" spans="1:7">
      <c r="A619">
        <v>30.863</v>
      </c>
      <c r="B619" s="8" t="s">
        <v>429</v>
      </c>
      <c r="C619">
        <v>82.2</v>
      </c>
      <c r="E619" s="3">
        <f t="shared" si="30"/>
        <v>30.85</v>
      </c>
      <c r="F619">
        <f t="shared" si="28"/>
        <v>12.93</v>
      </c>
      <c r="G619">
        <f t="shared" si="29"/>
        <v>0</v>
      </c>
    </row>
    <row r="620" spans="1:7">
      <c r="A620">
        <v>30.913</v>
      </c>
      <c r="B620" s="8" t="s">
        <v>430</v>
      </c>
      <c r="C620">
        <v>83.1</v>
      </c>
      <c r="E620" s="3">
        <f t="shared" si="30"/>
        <v>30.9</v>
      </c>
      <c r="F620">
        <f t="shared" si="28"/>
        <v>13.09</v>
      </c>
      <c r="G620">
        <f t="shared" si="29"/>
        <v>0</v>
      </c>
    </row>
    <row r="621" spans="1:7">
      <c r="A621">
        <v>30.963</v>
      </c>
      <c r="B621" s="8" t="s">
        <v>284</v>
      </c>
      <c r="C621">
        <v>82.7</v>
      </c>
      <c r="E621" s="3">
        <f t="shared" si="30"/>
        <v>30.95</v>
      </c>
      <c r="F621">
        <f t="shared" si="28"/>
        <v>12.94</v>
      </c>
      <c r="G621">
        <f t="shared" si="29"/>
        <v>0</v>
      </c>
    </row>
    <row r="622" spans="1:7">
      <c r="A622">
        <v>31.013</v>
      </c>
      <c r="B622" s="8" t="s">
        <v>212</v>
      </c>
      <c r="C622">
        <v>82.3</v>
      </c>
      <c r="E622" s="3">
        <f t="shared" si="30"/>
        <v>31</v>
      </c>
      <c r="F622">
        <f t="shared" si="28"/>
        <v>12.67</v>
      </c>
      <c r="G622">
        <f t="shared" si="29"/>
        <v>0</v>
      </c>
    </row>
    <row r="623" spans="1:7">
      <c r="A623">
        <v>31.063</v>
      </c>
      <c r="B623" s="8" t="s">
        <v>162</v>
      </c>
      <c r="C623">
        <v>82.4</v>
      </c>
      <c r="E623" s="3">
        <f t="shared" si="30"/>
        <v>31.05</v>
      </c>
      <c r="F623">
        <f t="shared" si="28"/>
        <v>12.21</v>
      </c>
      <c r="G623">
        <f t="shared" si="29"/>
        <v>0</v>
      </c>
    </row>
    <row r="624" spans="1:7">
      <c r="A624">
        <v>31.113</v>
      </c>
      <c r="B624" s="8" t="s">
        <v>147</v>
      </c>
      <c r="C624">
        <v>82.4</v>
      </c>
      <c r="E624" s="3">
        <f t="shared" si="30"/>
        <v>31.1</v>
      </c>
      <c r="F624">
        <f t="shared" si="28"/>
        <v>11.75</v>
      </c>
      <c r="G624">
        <f t="shared" si="29"/>
        <v>0</v>
      </c>
    </row>
    <row r="625" spans="1:7">
      <c r="A625">
        <v>31.163</v>
      </c>
      <c r="B625" s="8" t="s">
        <v>431</v>
      </c>
      <c r="C625">
        <v>83.7</v>
      </c>
      <c r="E625" s="3">
        <f t="shared" si="30"/>
        <v>31.15</v>
      </c>
      <c r="F625">
        <f t="shared" si="28"/>
        <v>11.39</v>
      </c>
      <c r="G625">
        <f t="shared" si="29"/>
        <v>0</v>
      </c>
    </row>
    <row r="626" spans="1:7">
      <c r="A626">
        <v>31.213</v>
      </c>
      <c r="B626" s="8" t="s">
        <v>432</v>
      </c>
      <c r="C626">
        <v>81.9</v>
      </c>
      <c r="E626" s="3">
        <f t="shared" si="30"/>
        <v>31.2</v>
      </c>
      <c r="F626">
        <f t="shared" si="28"/>
        <v>11.17</v>
      </c>
      <c r="G626">
        <f t="shared" si="29"/>
        <v>0</v>
      </c>
    </row>
    <row r="627" spans="1:7">
      <c r="A627">
        <v>31.263</v>
      </c>
      <c r="B627" s="8" t="s">
        <v>433</v>
      </c>
      <c r="C627">
        <v>82.4</v>
      </c>
      <c r="E627" s="3">
        <f t="shared" si="30"/>
        <v>31.25</v>
      </c>
      <c r="F627">
        <f t="shared" si="28"/>
        <v>11.26</v>
      </c>
      <c r="G627">
        <f t="shared" si="29"/>
        <v>0</v>
      </c>
    </row>
    <row r="628" spans="1:7">
      <c r="A628">
        <v>31.313</v>
      </c>
      <c r="B628" s="8" t="s">
        <v>257</v>
      </c>
      <c r="C628">
        <v>81.8</v>
      </c>
      <c r="E628" s="3">
        <f t="shared" si="30"/>
        <v>31.3</v>
      </c>
      <c r="F628">
        <f t="shared" si="28"/>
        <v>11.41</v>
      </c>
      <c r="G628">
        <f t="shared" si="29"/>
        <v>0</v>
      </c>
    </row>
    <row r="629" spans="1:7">
      <c r="A629">
        <v>31.364</v>
      </c>
      <c r="B629" s="8" t="s">
        <v>255</v>
      </c>
      <c r="C629">
        <v>83</v>
      </c>
      <c r="E629" s="3">
        <f t="shared" si="30"/>
        <v>31.35</v>
      </c>
      <c r="F629">
        <f t="shared" si="28"/>
        <v>11.73</v>
      </c>
      <c r="G629">
        <f t="shared" si="29"/>
        <v>0</v>
      </c>
    </row>
    <row r="630" spans="1:7">
      <c r="A630">
        <v>31.414</v>
      </c>
      <c r="B630" s="8" t="s">
        <v>70</v>
      </c>
      <c r="C630">
        <v>82.5</v>
      </c>
      <c r="E630" s="3">
        <f t="shared" si="30"/>
        <v>31.4</v>
      </c>
      <c r="F630">
        <f t="shared" si="28"/>
        <v>12.16</v>
      </c>
      <c r="G630">
        <f t="shared" si="29"/>
        <v>0</v>
      </c>
    </row>
    <row r="631" spans="1:7">
      <c r="A631">
        <v>31.464</v>
      </c>
      <c r="B631" s="8" t="s">
        <v>203</v>
      </c>
      <c r="C631">
        <v>82.9</v>
      </c>
      <c r="E631" s="3">
        <f t="shared" si="30"/>
        <v>31.45</v>
      </c>
      <c r="F631">
        <f t="shared" si="28"/>
        <v>12.54</v>
      </c>
      <c r="G631">
        <f t="shared" si="29"/>
        <v>0</v>
      </c>
    </row>
    <row r="632" spans="1:7">
      <c r="A632">
        <v>31.514</v>
      </c>
      <c r="B632" s="8" t="s">
        <v>206</v>
      </c>
      <c r="C632">
        <v>83.2</v>
      </c>
      <c r="E632" s="3">
        <f t="shared" si="30"/>
        <v>31.5</v>
      </c>
      <c r="F632">
        <f t="shared" si="28"/>
        <v>12.84</v>
      </c>
      <c r="G632">
        <f t="shared" si="29"/>
        <v>0</v>
      </c>
    </row>
    <row r="633" spans="1:7">
      <c r="A633">
        <v>31.564</v>
      </c>
      <c r="B633" s="8" t="s">
        <v>285</v>
      </c>
      <c r="C633">
        <v>83.5</v>
      </c>
      <c r="E633" s="3">
        <f t="shared" si="30"/>
        <v>31.55</v>
      </c>
      <c r="F633">
        <f t="shared" si="28"/>
        <v>12.87</v>
      </c>
      <c r="G633">
        <f t="shared" si="29"/>
        <v>0</v>
      </c>
    </row>
    <row r="634" spans="1:7">
      <c r="A634">
        <v>31.614</v>
      </c>
      <c r="B634" s="8" t="s">
        <v>18</v>
      </c>
      <c r="C634">
        <v>83.3</v>
      </c>
      <c r="E634" s="3">
        <f t="shared" si="30"/>
        <v>31.6</v>
      </c>
      <c r="F634">
        <f t="shared" si="28"/>
        <v>12.82</v>
      </c>
      <c r="G634">
        <f t="shared" si="29"/>
        <v>0</v>
      </c>
    </row>
    <row r="635" spans="1:7">
      <c r="A635">
        <v>31.664</v>
      </c>
      <c r="B635" s="8" t="s">
        <v>152</v>
      </c>
      <c r="C635">
        <v>83.6</v>
      </c>
      <c r="E635" s="3">
        <f t="shared" si="30"/>
        <v>31.65</v>
      </c>
      <c r="F635">
        <f t="shared" si="28"/>
        <v>12.53</v>
      </c>
      <c r="G635">
        <f t="shared" si="29"/>
        <v>0</v>
      </c>
    </row>
    <row r="636" spans="1:7">
      <c r="A636">
        <v>31.714</v>
      </c>
      <c r="B636" s="8" t="s">
        <v>358</v>
      </c>
      <c r="C636">
        <v>83.4</v>
      </c>
      <c r="E636" s="3">
        <f t="shared" si="30"/>
        <v>31.7</v>
      </c>
      <c r="F636">
        <f t="shared" si="28"/>
        <v>12.12</v>
      </c>
      <c r="G636">
        <f t="shared" si="29"/>
        <v>0</v>
      </c>
    </row>
    <row r="637" spans="1:7">
      <c r="A637">
        <v>31.764</v>
      </c>
      <c r="B637" s="8" t="s">
        <v>230</v>
      </c>
      <c r="C637">
        <v>83</v>
      </c>
      <c r="E637" s="3">
        <f t="shared" si="30"/>
        <v>31.75</v>
      </c>
      <c r="F637">
        <f t="shared" si="28"/>
        <v>11.72</v>
      </c>
      <c r="G637">
        <f t="shared" si="29"/>
        <v>0</v>
      </c>
    </row>
    <row r="638" spans="1:7">
      <c r="A638">
        <v>31.814</v>
      </c>
      <c r="B638" s="8" t="s">
        <v>27</v>
      </c>
      <c r="C638">
        <v>82.3</v>
      </c>
      <c r="E638" s="3">
        <f t="shared" si="30"/>
        <v>31.8</v>
      </c>
      <c r="F638">
        <f t="shared" si="28"/>
        <v>11.46</v>
      </c>
      <c r="G638">
        <f t="shared" si="29"/>
        <v>0</v>
      </c>
    </row>
    <row r="639" spans="1:7">
      <c r="A639">
        <v>31.865</v>
      </c>
      <c r="B639" s="8" t="s">
        <v>373</v>
      </c>
      <c r="C639">
        <v>83.2</v>
      </c>
      <c r="E639" s="3">
        <f t="shared" si="30"/>
        <v>31.85</v>
      </c>
      <c r="F639">
        <f t="shared" si="28"/>
        <v>11.23</v>
      </c>
      <c r="G639">
        <f t="shared" si="29"/>
        <v>0</v>
      </c>
    </row>
    <row r="640" spans="1:7">
      <c r="A640">
        <v>31.915</v>
      </c>
      <c r="B640" s="8" t="s">
        <v>434</v>
      </c>
      <c r="C640">
        <v>82.8</v>
      </c>
      <c r="E640" s="3">
        <f t="shared" si="30"/>
        <v>31.9</v>
      </c>
      <c r="F640">
        <f t="shared" si="28"/>
        <v>11.27</v>
      </c>
      <c r="G640">
        <f t="shared" si="29"/>
        <v>0</v>
      </c>
    </row>
    <row r="641" spans="1:7">
      <c r="A641">
        <v>31.965</v>
      </c>
      <c r="B641" s="8" t="s">
        <v>422</v>
      </c>
      <c r="C641">
        <v>82.6</v>
      </c>
      <c r="E641" s="3">
        <f t="shared" si="30"/>
        <v>31.95</v>
      </c>
      <c r="F641">
        <f t="shared" si="28"/>
        <v>11.38</v>
      </c>
      <c r="G641">
        <f t="shared" si="29"/>
        <v>0</v>
      </c>
    </row>
    <row r="642" spans="1:7">
      <c r="A642">
        <v>32.015</v>
      </c>
      <c r="B642" s="8" t="s">
        <v>417</v>
      </c>
      <c r="C642">
        <v>83.4</v>
      </c>
      <c r="E642" s="3">
        <f t="shared" si="30"/>
        <v>32</v>
      </c>
      <c r="F642">
        <f t="shared" si="28"/>
        <v>11.64</v>
      </c>
      <c r="G642">
        <f t="shared" si="29"/>
        <v>0</v>
      </c>
    </row>
    <row r="643" spans="1:7">
      <c r="A643">
        <v>32.065</v>
      </c>
      <c r="B643" s="8" t="s">
        <v>411</v>
      </c>
      <c r="C643">
        <v>83.8</v>
      </c>
      <c r="E643" s="3">
        <f t="shared" si="30"/>
        <v>32.05</v>
      </c>
      <c r="F643">
        <f t="shared" si="28"/>
        <v>12</v>
      </c>
      <c r="G643">
        <f t="shared" si="29"/>
        <v>0</v>
      </c>
    </row>
    <row r="644" spans="1:7">
      <c r="A644">
        <v>32.115</v>
      </c>
      <c r="B644" s="8" t="s">
        <v>305</v>
      </c>
      <c r="C644">
        <v>83</v>
      </c>
      <c r="E644" s="3">
        <f t="shared" si="30"/>
        <v>32.1</v>
      </c>
      <c r="F644">
        <f t="shared" ref="F644:F707" si="31">B644*1000</f>
        <v>12.41</v>
      </c>
      <c r="G644">
        <f t="shared" ref="G644:G707" si="32">IF(C644&lt;230,0,40)</f>
        <v>0</v>
      </c>
    </row>
    <row r="645" spans="1:7">
      <c r="A645">
        <v>32.165</v>
      </c>
      <c r="B645" s="8" t="s">
        <v>341</v>
      </c>
      <c r="C645">
        <v>83.4</v>
      </c>
      <c r="E645" s="3">
        <f t="shared" si="30"/>
        <v>32.15</v>
      </c>
      <c r="F645">
        <f t="shared" si="31"/>
        <v>12.66</v>
      </c>
      <c r="G645">
        <f t="shared" si="32"/>
        <v>0</v>
      </c>
    </row>
    <row r="646" spans="1:7">
      <c r="A646">
        <v>32.215</v>
      </c>
      <c r="B646" s="8" t="s">
        <v>283</v>
      </c>
      <c r="C646">
        <v>81.9</v>
      </c>
      <c r="E646" s="3">
        <f t="shared" si="30"/>
        <v>32.2</v>
      </c>
      <c r="F646">
        <f t="shared" si="31"/>
        <v>12.77</v>
      </c>
      <c r="G646">
        <f t="shared" si="32"/>
        <v>0</v>
      </c>
    </row>
    <row r="647" spans="1:7">
      <c r="A647">
        <v>32.265</v>
      </c>
      <c r="B647" s="8" t="s">
        <v>212</v>
      </c>
      <c r="C647">
        <v>83</v>
      </c>
      <c r="E647" s="3">
        <f t="shared" si="30"/>
        <v>32.25</v>
      </c>
      <c r="F647">
        <f t="shared" si="31"/>
        <v>12.67</v>
      </c>
      <c r="G647">
        <f t="shared" si="32"/>
        <v>0</v>
      </c>
    </row>
    <row r="648" spans="1:7">
      <c r="A648">
        <v>32.315</v>
      </c>
      <c r="B648" s="8" t="s">
        <v>136</v>
      </c>
      <c r="C648">
        <v>83.9</v>
      </c>
      <c r="E648" s="3">
        <f t="shared" si="30"/>
        <v>32.3</v>
      </c>
      <c r="F648">
        <f t="shared" si="31"/>
        <v>12.47</v>
      </c>
      <c r="G648">
        <f t="shared" si="32"/>
        <v>0</v>
      </c>
    </row>
    <row r="649" spans="1:7">
      <c r="A649">
        <v>32.366</v>
      </c>
      <c r="B649" s="8" t="s">
        <v>192</v>
      </c>
      <c r="C649">
        <v>83.6</v>
      </c>
      <c r="E649" s="3">
        <f t="shared" si="30"/>
        <v>32.35</v>
      </c>
      <c r="F649">
        <f t="shared" si="31"/>
        <v>12.15</v>
      </c>
      <c r="G649">
        <f t="shared" si="32"/>
        <v>0</v>
      </c>
    </row>
    <row r="650" spans="1:7">
      <c r="A650">
        <v>32.416</v>
      </c>
      <c r="B650" s="8" t="s">
        <v>423</v>
      </c>
      <c r="C650">
        <v>84.7</v>
      </c>
      <c r="E650" s="3">
        <f t="shared" ref="E650:E713" si="33">FLOOR(A650,0.05)</f>
        <v>32.4</v>
      </c>
      <c r="F650">
        <f t="shared" si="31"/>
        <v>11.82</v>
      </c>
      <c r="G650">
        <f t="shared" si="32"/>
        <v>0</v>
      </c>
    </row>
    <row r="651" spans="1:7">
      <c r="A651">
        <v>32.466</v>
      </c>
      <c r="B651" s="8" t="s">
        <v>435</v>
      </c>
      <c r="C651">
        <v>84</v>
      </c>
      <c r="E651" s="3">
        <f t="shared" si="33"/>
        <v>32.45</v>
      </c>
      <c r="F651">
        <f t="shared" si="31"/>
        <v>11.54</v>
      </c>
      <c r="G651">
        <f t="shared" si="32"/>
        <v>0</v>
      </c>
    </row>
    <row r="652" spans="1:7">
      <c r="A652">
        <v>32.516</v>
      </c>
      <c r="B652" s="8" t="s">
        <v>422</v>
      </c>
      <c r="C652">
        <v>84</v>
      </c>
      <c r="E652" s="3">
        <f t="shared" si="33"/>
        <v>32.5</v>
      </c>
      <c r="F652">
        <f t="shared" si="31"/>
        <v>11.38</v>
      </c>
      <c r="G652">
        <f t="shared" si="32"/>
        <v>0</v>
      </c>
    </row>
    <row r="653" spans="1:7">
      <c r="A653">
        <v>32.566</v>
      </c>
      <c r="B653" s="8" t="s">
        <v>375</v>
      </c>
      <c r="C653">
        <v>83.6</v>
      </c>
      <c r="E653" s="3">
        <f t="shared" si="33"/>
        <v>32.55</v>
      </c>
      <c r="F653">
        <f t="shared" si="31"/>
        <v>11.35</v>
      </c>
      <c r="G653">
        <f t="shared" si="32"/>
        <v>0</v>
      </c>
    </row>
    <row r="654" spans="1:7">
      <c r="A654">
        <v>32.616</v>
      </c>
      <c r="B654" s="8" t="s">
        <v>436</v>
      </c>
      <c r="C654">
        <v>83.8</v>
      </c>
      <c r="E654" s="3">
        <f t="shared" si="33"/>
        <v>32.6</v>
      </c>
      <c r="F654">
        <f t="shared" si="31"/>
        <v>11.45</v>
      </c>
      <c r="G654">
        <f t="shared" si="32"/>
        <v>0</v>
      </c>
    </row>
    <row r="655" spans="1:7">
      <c r="A655">
        <v>32.666</v>
      </c>
      <c r="B655" s="8" t="s">
        <v>437</v>
      </c>
      <c r="C655">
        <v>83.6</v>
      </c>
      <c r="E655" s="3">
        <f t="shared" si="33"/>
        <v>32.65</v>
      </c>
      <c r="F655">
        <f t="shared" si="31"/>
        <v>11.61</v>
      </c>
      <c r="G655">
        <f t="shared" si="32"/>
        <v>0</v>
      </c>
    </row>
    <row r="656" spans="1:7">
      <c r="A656">
        <v>32.716</v>
      </c>
      <c r="B656" s="8" t="s">
        <v>411</v>
      </c>
      <c r="C656">
        <v>83.2</v>
      </c>
      <c r="E656" s="3">
        <f t="shared" si="33"/>
        <v>32.7</v>
      </c>
      <c r="F656">
        <f t="shared" si="31"/>
        <v>12</v>
      </c>
      <c r="G656">
        <f t="shared" si="32"/>
        <v>0</v>
      </c>
    </row>
    <row r="657" spans="1:7">
      <c r="A657">
        <v>32.766</v>
      </c>
      <c r="B657" s="8" t="s">
        <v>428</v>
      </c>
      <c r="C657">
        <v>83.7</v>
      </c>
      <c r="E657" s="3">
        <f t="shared" si="33"/>
        <v>32.75</v>
      </c>
      <c r="F657">
        <f t="shared" si="31"/>
        <v>12.3</v>
      </c>
      <c r="G657">
        <f t="shared" si="32"/>
        <v>0</v>
      </c>
    </row>
    <row r="658" spans="1:7">
      <c r="A658">
        <v>32.817</v>
      </c>
      <c r="B658" s="8" t="s">
        <v>333</v>
      </c>
      <c r="C658">
        <v>82.9</v>
      </c>
      <c r="E658" s="3">
        <f t="shared" si="33"/>
        <v>32.8</v>
      </c>
      <c r="F658">
        <f t="shared" si="31"/>
        <v>12.55</v>
      </c>
      <c r="G658">
        <f t="shared" si="32"/>
        <v>0</v>
      </c>
    </row>
    <row r="659" spans="1:7">
      <c r="A659">
        <v>32.867</v>
      </c>
      <c r="B659" s="8" t="s">
        <v>341</v>
      </c>
      <c r="C659">
        <v>83.4</v>
      </c>
      <c r="E659" s="3">
        <f t="shared" si="33"/>
        <v>32.85</v>
      </c>
      <c r="F659">
        <f t="shared" si="31"/>
        <v>12.66</v>
      </c>
      <c r="G659">
        <f t="shared" si="32"/>
        <v>0</v>
      </c>
    </row>
    <row r="660" spans="1:7">
      <c r="A660">
        <v>32.917</v>
      </c>
      <c r="B660" s="8" t="s">
        <v>212</v>
      </c>
      <c r="C660">
        <v>84.2</v>
      </c>
      <c r="E660" s="3">
        <f t="shared" si="33"/>
        <v>32.9</v>
      </c>
      <c r="F660">
        <f t="shared" si="31"/>
        <v>12.67</v>
      </c>
      <c r="G660">
        <f t="shared" si="32"/>
        <v>0</v>
      </c>
    </row>
    <row r="661" spans="1:7">
      <c r="A661">
        <v>32.967</v>
      </c>
      <c r="B661" s="8" t="s">
        <v>146</v>
      </c>
      <c r="C661">
        <v>83.9</v>
      </c>
      <c r="E661" s="3">
        <f t="shared" si="33"/>
        <v>32.95</v>
      </c>
      <c r="F661">
        <f t="shared" si="31"/>
        <v>12.48</v>
      </c>
      <c r="G661">
        <f t="shared" si="32"/>
        <v>0</v>
      </c>
    </row>
    <row r="662" spans="1:7">
      <c r="A662">
        <v>33.017</v>
      </c>
      <c r="B662" s="8" t="s">
        <v>325</v>
      </c>
      <c r="C662">
        <v>82.7</v>
      </c>
      <c r="E662" s="3">
        <f t="shared" si="33"/>
        <v>33</v>
      </c>
      <c r="F662">
        <f t="shared" si="31"/>
        <v>12.2</v>
      </c>
      <c r="G662">
        <f t="shared" si="32"/>
        <v>0</v>
      </c>
    </row>
    <row r="663" spans="1:7">
      <c r="A663">
        <v>33.067</v>
      </c>
      <c r="B663" s="8" t="s">
        <v>248</v>
      </c>
      <c r="C663">
        <v>82.5</v>
      </c>
      <c r="E663" s="3">
        <f t="shared" si="33"/>
        <v>33.05</v>
      </c>
      <c r="F663">
        <f t="shared" si="31"/>
        <v>11.88</v>
      </c>
      <c r="G663">
        <f t="shared" si="32"/>
        <v>0</v>
      </c>
    </row>
    <row r="664" spans="1:7">
      <c r="A664">
        <v>33.117</v>
      </c>
      <c r="B664" s="8" t="s">
        <v>265</v>
      </c>
      <c r="C664">
        <v>83.5</v>
      </c>
      <c r="E664" s="3">
        <f t="shared" si="33"/>
        <v>33.1</v>
      </c>
      <c r="F664">
        <f t="shared" si="31"/>
        <v>11.63</v>
      </c>
      <c r="G664">
        <f t="shared" si="32"/>
        <v>0</v>
      </c>
    </row>
    <row r="665" spans="1:7">
      <c r="A665">
        <v>33.167</v>
      </c>
      <c r="B665" s="8" t="s">
        <v>249</v>
      </c>
      <c r="C665">
        <v>83.1</v>
      </c>
      <c r="E665" s="3">
        <f t="shared" si="33"/>
        <v>33.15</v>
      </c>
      <c r="F665">
        <f t="shared" si="31"/>
        <v>11.48</v>
      </c>
      <c r="G665">
        <f t="shared" si="32"/>
        <v>0</v>
      </c>
    </row>
    <row r="666" spans="1:7">
      <c r="A666">
        <v>33.217</v>
      </c>
      <c r="B666" s="8" t="s">
        <v>297</v>
      </c>
      <c r="C666">
        <v>83.8</v>
      </c>
      <c r="E666" s="3">
        <f t="shared" si="33"/>
        <v>33.2</v>
      </c>
      <c r="F666">
        <f t="shared" si="31"/>
        <v>11.43</v>
      </c>
      <c r="G666">
        <f t="shared" si="32"/>
        <v>0</v>
      </c>
    </row>
    <row r="667" spans="1:7">
      <c r="A667">
        <v>33.267</v>
      </c>
      <c r="B667" s="8" t="s">
        <v>438</v>
      </c>
      <c r="C667">
        <v>83.7</v>
      </c>
      <c r="E667" s="3">
        <f t="shared" si="33"/>
        <v>33.25</v>
      </c>
      <c r="F667">
        <f t="shared" si="31"/>
        <v>11.5</v>
      </c>
      <c r="G667">
        <f t="shared" si="32"/>
        <v>0</v>
      </c>
    </row>
    <row r="668" spans="1:7">
      <c r="A668">
        <v>33.318</v>
      </c>
      <c r="B668" s="8" t="s">
        <v>265</v>
      </c>
      <c r="C668">
        <v>83.3</v>
      </c>
      <c r="E668" s="3">
        <f t="shared" si="33"/>
        <v>33.3</v>
      </c>
      <c r="F668">
        <f t="shared" si="31"/>
        <v>11.63</v>
      </c>
      <c r="G668">
        <f t="shared" si="32"/>
        <v>0</v>
      </c>
    </row>
    <row r="669" spans="1:7">
      <c r="A669">
        <v>33.368</v>
      </c>
      <c r="B669" s="8" t="s">
        <v>179</v>
      </c>
      <c r="C669">
        <v>83.9</v>
      </c>
      <c r="E669" s="3">
        <f t="shared" si="33"/>
        <v>33.35</v>
      </c>
      <c r="F669">
        <f t="shared" si="31"/>
        <v>11.94</v>
      </c>
      <c r="G669">
        <f t="shared" si="32"/>
        <v>0</v>
      </c>
    </row>
    <row r="670" spans="1:7">
      <c r="A670">
        <v>33.418</v>
      </c>
      <c r="B670" s="8" t="s">
        <v>70</v>
      </c>
      <c r="C670">
        <v>83.5</v>
      </c>
      <c r="E670" s="3">
        <f t="shared" si="33"/>
        <v>33.4</v>
      </c>
      <c r="F670">
        <f t="shared" si="31"/>
        <v>12.16</v>
      </c>
      <c r="G670">
        <f t="shared" si="32"/>
        <v>0</v>
      </c>
    </row>
    <row r="671" spans="1:7">
      <c r="A671">
        <v>33.468</v>
      </c>
      <c r="B671" s="8" t="s">
        <v>193</v>
      </c>
      <c r="C671">
        <v>84.1</v>
      </c>
      <c r="E671" s="3">
        <f t="shared" si="33"/>
        <v>33.45</v>
      </c>
      <c r="F671">
        <f t="shared" si="31"/>
        <v>12.38</v>
      </c>
      <c r="G671">
        <f t="shared" si="32"/>
        <v>0</v>
      </c>
    </row>
    <row r="672" spans="1:7">
      <c r="A672">
        <v>33.518</v>
      </c>
      <c r="B672" s="8" t="s">
        <v>146</v>
      </c>
      <c r="C672">
        <v>83.1</v>
      </c>
      <c r="E672" s="3">
        <f t="shared" si="33"/>
        <v>33.5</v>
      </c>
      <c r="F672">
        <f t="shared" si="31"/>
        <v>12.48</v>
      </c>
      <c r="G672">
        <f t="shared" si="32"/>
        <v>0</v>
      </c>
    </row>
    <row r="673" spans="1:7">
      <c r="A673">
        <v>33.568</v>
      </c>
      <c r="B673" s="8" t="s">
        <v>177</v>
      </c>
      <c r="C673">
        <v>83.5</v>
      </c>
      <c r="E673" s="3">
        <f t="shared" si="33"/>
        <v>33.55</v>
      </c>
      <c r="F673">
        <f t="shared" si="31"/>
        <v>12.51</v>
      </c>
      <c r="G673">
        <f t="shared" si="32"/>
        <v>0</v>
      </c>
    </row>
    <row r="674" spans="1:7">
      <c r="A674">
        <v>33.618</v>
      </c>
      <c r="B674" s="8" t="s">
        <v>398</v>
      </c>
      <c r="C674">
        <v>83.3</v>
      </c>
      <c r="E674" s="3">
        <f t="shared" si="33"/>
        <v>33.6</v>
      </c>
      <c r="F674">
        <f t="shared" si="31"/>
        <v>12.39</v>
      </c>
      <c r="G674">
        <f t="shared" si="32"/>
        <v>0</v>
      </c>
    </row>
    <row r="675" spans="1:7">
      <c r="A675">
        <v>33.668</v>
      </c>
      <c r="B675" s="8" t="s">
        <v>181</v>
      </c>
      <c r="C675">
        <v>84.7</v>
      </c>
      <c r="E675" s="3">
        <f t="shared" si="33"/>
        <v>33.65</v>
      </c>
      <c r="F675">
        <f t="shared" si="31"/>
        <v>12.1</v>
      </c>
      <c r="G675">
        <f t="shared" si="32"/>
        <v>0</v>
      </c>
    </row>
    <row r="676" spans="1:7">
      <c r="A676">
        <v>33.718</v>
      </c>
      <c r="B676" s="8" t="s">
        <v>423</v>
      </c>
      <c r="C676">
        <v>84.5</v>
      </c>
      <c r="E676" s="3">
        <f t="shared" si="33"/>
        <v>33.7</v>
      </c>
      <c r="F676">
        <f t="shared" si="31"/>
        <v>11.82</v>
      </c>
      <c r="G676">
        <f t="shared" si="32"/>
        <v>0</v>
      </c>
    </row>
    <row r="677" spans="1:7">
      <c r="A677">
        <v>33.768</v>
      </c>
      <c r="B677" s="8" t="s">
        <v>417</v>
      </c>
      <c r="C677">
        <v>84.3</v>
      </c>
      <c r="E677" s="3">
        <f t="shared" si="33"/>
        <v>33.75</v>
      </c>
      <c r="F677">
        <f t="shared" si="31"/>
        <v>11.64</v>
      </c>
      <c r="G677">
        <f t="shared" si="32"/>
        <v>0</v>
      </c>
    </row>
    <row r="678" spans="1:7">
      <c r="A678">
        <v>33.819</v>
      </c>
      <c r="B678" s="8" t="s">
        <v>135</v>
      </c>
      <c r="C678">
        <v>83.7</v>
      </c>
      <c r="E678" s="3">
        <f t="shared" si="33"/>
        <v>33.8</v>
      </c>
      <c r="F678">
        <f t="shared" si="31"/>
        <v>11.53</v>
      </c>
      <c r="G678">
        <f t="shared" si="32"/>
        <v>0</v>
      </c>
    </row>
    <row r="679" spans="1:7">
      <c r="A679">
        <v>33.869</v>
      </c>
      <c r="B679" s="8" t="s">
        <v>436</v>
      </c>
      <c r="C679">
        <v>85</v>
      </c>
      <c r="E679" s="3">
        <f t="shared" si="33"/>
        <v>33.85</v>
      </c>
      <c r="F679">
        <f t="shared" si="31"/>
        <v>11.45</v>
      </c>
      <c r="G679">
        <f t="shared" si="32"/>
        <v>0</v>
      </c>
    </row>
    <row r="680" spans="1:7">
      <c r="A680">
        <v>33.919</v>
      </c>
      <c r="B680" s="8" t="s">
        <v>249</v>
      </c>
      <c r="C680">
        <v>84.1</v>
      </c>
      <c r="E680" s="3">
        <f t="shared" si="33"/>
        <v>33.9</v>
      </c>
      <c r="F680">
        <f t="shared" si="31"/>
        <v>11.48</v>
      </c>
      <c r="G680">
        <f t="shared" si="32"/>
        <v>0</v>
      </c>
    </row>
    <row r="681" spans="1:7">
      <c r="A681">
        <v>33.969</v>
      </c>
      <c r="B681" s="8" t="s">
        <v>437</v>
      </c>
      <c r="C681">
        <v>84.5</v>
      </c>
      <c r="E681" s="3">
        <f t="shared" si="33"/>
        <v>33.95</v>
      </c>
      <c r="F681">
        <f t="shared" si="31"/>
        <v>11.61</v>
      </c>
      <c r="G681">
        <f t="shared" si="32"/>
        <v>0</v>
      </c>
    </row>
    <row r="682" spans="1:7">
      <c r="A682">
        <v>34.019</v>
      </c>
      <c r="B682" s="8" t="s">
        <v>248</v>
      </c>
      <c r="C682">
        <v>84.4</v>
      </c>
      <c r="E682" s="3">
        <f t="shared" si="33"/>
        <v>34</v>
      </c>
      <c r="F682">
        <f t="shared" si="31"/>
        <v>11.88</v>
      </c>
      <c r="G682">
        <f t="shared" si="32"/>
        <v>0</v>
      </c>
    </row>
    <row r="683" spans="1:7">
      <c r="A683">
        <v>34.069</v>
      </c>
      <c r="B683" s="8" t="s">
        <v>439</v>
      </c>
      <c r="C683">
        <v>83.6</v>
      </c>
      <c r="E683" s="3">
        <f t="shared" si="33"/>
        <v>34.05</v>
      </c>
      <c r="F683">
        <f t="shared" si="31"/>
        <v>12.06</v>
      </c>
      <c r="G683">
        <f t="shared" si="32"/>
        <v>0</v>
      </c>
    </row>
    <row r="684" spans="1:7">
      <c r="A684">
        <v>34.119</v>
      </c>
      <c r="B684" s="8" t="s">
        <v>440</v>
      </c>
      <c r="C684">
        <v>83.5</v>
      </c>
      <c r="E684" s="3">
        <f t="shared" si="33"/>
        <v>34.1</v>
      </c>
      <c r="F684">
        <f t="shared" si="31"/>
        <v>12.29</v>
      </c>
      <c r="G684">
        <f t="shared" si="32"/>
        <v>0</v>
      </c>
    </row>
    <row r="685" spans="1:7">
      <c r="A685">
        <v>34.169</v>
      </c>
      <c r="B685" s="8" t="s">
        <v>294</v>
      </c>
      <c r="C685">
        <v>84.1</v>
      </c>
      <c r="E685" s="3">
        <f t="shared" si="33"/>
        <v>34.15</v>
      </c>
      <c r="F685">
        <f t="shared" si="31"/>
        <v>12.35</v>
      </c>
      <c r="G685">
        <f t="shared" si="32"/>
        <v>0</v>
      </c>
    </row>
    <row r="686" spans="1:7">
      <c r="A686">
        <v>34.219</v>
      </c>
      <c r="B686" s="8" t="s">
        <v>387</v>
      </c>
      <c r="C686">
        <v>83.4</v>
      </c>
      <c r="E686" s="3">
        <f t="shared" si="33"/>
        <v>34.2</v>
      </c>
      <c r="F686">
        <f t="shared" si="31"/>
        <v>12.28</v>
      </c>
      <c r="G686">
        <f t="shared" si="32"/>
        <v>0</v>
      </c>
    </row>
    <row r="687" spans="1:7">
      <c r="A687">
        <v>34.269</v>
      </c>
      <c r="B687" s="8" t="s">
        <v>441</v>
      </c>
      <c r="C687">
        <v>83.5</v>
      </c>
      <c r="E687" s="3">
        <f t="shared" si="33"/>
        <v>34.25</v>
      </c>
      <c r="F687">
        <f t="shared" si="31"/>
        <v>12.17</v>
      </c>
      <c r="G687">
        <f t="shared" si="32"/>
        <v>0</v>
      </c>
    </row>
    <row r="688" spans="1:7">
      <c r="A688">
        <v>34.32</v>
      </c>
      <c r="B688" s="8" t="s">
        <v>296</v>
      </c>
      <c r="C688">
        <v>83.8</v>
      </c>
      <c r="E688" s="3">
        <f t="shared" si="33"/>
        <v>34.3</v>
      </c>
      <c r="F688">
        <f t="shared" si="31"/>
        <v>12.05</v>
      </c>
      <c r="G688">
        <f t="shared" si="32"/>
        <v>0</v>
      </c>
    </row>
    <row r="689" spans="1:7">
      <c r="A689">
        <v>34.37</v>
      </c>
      <c r="B689" s="8" t="s">
        <v>406</v>
      </c>
      <c r="C689">
        <v>83.7</v>
      </c>
      <c r="E689" s="3">
        <f t="shared" si="33"/>
        <v>34.35</v>
      </c>
      <c r="F689">
        <f t="shared" si="31"/>
        <v>11.87</v>
      </c>
      <c r="G689">
        <f t="shared" si="32"/>
        <v>0</v>
      </c>
    </row>
    <row r="690" spans="1:7">
      <c r="A690">
        <v>34.42</v>
      </c>
      <c r="B690" s="8" t="s">
        <v>264</v>
      </c>
      <c r="C690">
        <v>83.1</v>
      </c>
      <c r="E690" s="3">
        <f t="shared" si="33"/>
        <v>34.4</v>
      </c>
      <c r="F690">
        <f t="shared" si="31"/>
        <v>11.62</v>
      </c>
      <c r="G690">
        <f t="shared" si="32"/>
        <v>0</v>
      </c>
    </row>
    <row r="691" spans="1:7">
      <c r="A691">
        <v>34.47</v>
      </c>
      <c r="B691" s="8" t="s">
        <v>256</v>
      </c>
      <c r="C691">
        <v>83.3</v>
      </c>
      <c r="E691" s="3">
        <f t="shared" si="33"/>
        <v>34.45</v>
      </c>
      <c r="F691">
        <f t="shared" si="31"/>
        <v>11.58</v>
      </c>
      <c r="G691">
        <f t="shared" si="32"/>
        <v>0</v>
      </c>
    </row>
    <row r="692" spans="1:7">
      <c r="A692">
        <v>34.52</v>
      </c>
      <c r="B692" s="8" t="s">
        <v>241</v>
      </c>
      <c r="C692">
        <v>84.1</v>
      </c>
      <c r="E692" s="3">
        <f t="shared" si="33"/>
        <v>34.5</v>
      </c>
      <c r="F692">
        <f t="shared" si="31"/>
        <v>11.6</v>
      </c>
      <c r="G692">
        <f t="shared" si="32"/>
        <v>0</v>
      </c>
    </row>
    <row r="693" spans="1:7">
      <c r="A693">
        <v>34.57</v>
      </c>
      <c r="B693" s="8" t="s">
        <v>330</v>
      </c>
      <c r="C693">
        <v>84</v>
      </c>
      <c r="E693" s="3">
        <f t="shared" si="33"/>
        <v>34.55</v>
      </c>
      <c r="F693">
        <f t="shared" si="31"/>
        <v>11.65</v>
      </c>
      <c r="G693">
        <f t="shared" si="32"/>
        <v>0</v>
      </c>
    </row>
    <row r="694" spans="1:7">
      <c r="A694">
        <v>34.62</v>
      </c>
      <c r="B694" s="8" t="s">
        <v>442</v>
      </c>
      <c r="C694">
        <v>83.5</v>
      </c>
      <c r="E694" s="3">
        <f t="shared" si="33"/>
        <v>34.6</v>
      </c>
      <c r="F694">
        <f t="shared" si="31"/>
        <v>11.79</v>
      </c>
      <c r="G694">
        <f t="shared" si="32"/>
        <v>0</v>
      </c>
    </row>
    <row r="695" spans="1:7">
      <c r="A695">
        <v>34.67</v>
      </c>
      <c r="B695" s="8" t="s">
        <v>179</v>
      </c>
      <c r="C695">
        <v>83.7</v>
      </c>
      <c r="E695" s="3">
        <f t="shared" si="33"/>
        <v>34.65</v>
      </c>
      <c r="F695">
        <f t="shared" si="31"/>
        <v>11.94</v>
      </c>
      <c r="G695">
        <f t="shared" si="32"/>
        <v>0</v>
      </c>
    </row>
    <row r="696" spans="1:7">
      <c r="A696">
        <v>34.72</v>
      </c>
      <c r="B696" s="8" t="s">
        <v>192</v>
      </c>
      <c r="C696">
        <v>83.6</v>
      </c>
      <c r="E696" s="3">
        <f t="shared" si="33"/>
        <v>34.7</v>
      </c>
      <c r="F696">
        <f t="shared" si="31"/>
        <v>12.15</v>
      </c>
      <c r="G696">
        <f t="shared" si="32"/>
        <v>0</v>
      </c>
    </row>
    <row r="697" spans="1:7">
      <c r="A697">
        <v>34.77</v>
      </c>
      <c r="B697" s="8" t="s">
        <v>26</v>
      </c>
      <c r="C697">
        <v>83.4</v>
      </c>
      <c r="E697" s="3">
        <f t="shared" si="33"/>
        <v>34.75</v>
      </c>
      <c r="F697">
        <f t="shared" si="31"/>
        <v>12.33</v>
      </c>
      <c r="G697">
        <f t="shared" si="32"/>
        <v>0</v>
      </c>
    </row>
    <row r="698" spans="1:7">
      <c r="A698">
        <v>34.821</v>
      </c>
      <c r="B698" s="8" t="s">
        <v>294</v>
      </c>
      <c r="C698">
        <v>83.9</v>
      </c>
      <c r="E698" s="3">
        <f t="shared" si="33"/>
        <v>34.8</v>
      </c>
      <c r="F698">
        <f t="shared" si="31"/>
        <v>12.35</v>
      </c>
      <c r="G698">
        <f t="shared" si="32"/>
        <v>0</v>
      </c>
    </row>
    <row r="699" spans="1:7">
      <c r="A699">
        <v>34.871</v>
      </c>
      <c r="B699" s="8" t="s">
        <v>428</v>
      </c>
      <c r="C699">
        <v>83.2</v>
      </c>
      <c r="E699" s="3">
        <f t="shared" si="33"/>
        <v>34.85</v>
      </c>
      <c r="F699">
        <f t="shared" si="31"/>
        <v>12.3</v>
      </c>
      <c r="G699">
        <f t="shared" si="32"/>
        <v>0</v>
      </c>
    </row>
    <row r="700" spans="1:7">
      <c r="A700">
        <v>34.921</v>
      </c>
      <c r="B700" s="8" t="s">
        <v>441</v>
      </c>
      <c r="C700">
        <v>83.3</v>
      </c>
      <c r="E700" s="3">
        <f t="shared" si="33"/>
        <v>34.9</v>
      </c>
      <c r="F700">
        <f t="shared" si="31"/>
        <v>12.17</v>
      </c>
      <c r="G700">
        <f t="shared" si="32"/>
        <v>0</v>
      </c>
    </row>
    <row r="701" spans="1:7">
      <c r="A701">
        <v>34.971</v>
      </c>
      <c r="B701" s="8" t="s">
        <v>439</v>
      </c>
      <c r="C701">
        <v>83.4</v>
      </c>
      <c r="E701" s="3">
        <f t="shared" si="33"/>
        <v>34.95</v>
      </c>
      <c r="F701">
        <f t="shared" si="31"/>
        <v>12.06</v>
      </c>
      <c r="G701">
        <f t="shared" si="32"/>
        <v>0</v>
      </c>
    </row>
    <row r="702" spans="1:7">
      <c r="A702">
        <v>35.021</v>
      </c>
      <c r="B702" s="8" t="s">
        <v>248</v>
      </c>
      <c r="C702">
        <v>84.5</v>
      </c>
      <c r="E702" s="3">
        <f t="shared" si="33"/>
        <v>35</v>
      </c>
      <c r="F702">
        <f t="shared" si="31"/>
        <v>11.88</v>
      </c>
      <c r="G702">
        <f t="shared" si="32"/>
        <v>0</v>
      </c>
    </row>
    <row r="703" spans="1:7">
      <c r="A703">
        <v>35.071</v>
      </c>
      <c r="B703" s="8" t="s">
        <v>443</v>
      </c>
      <c r="C703">
        <v>84.2</v>
      </c>
      <c r="E703" s="3">
        <f t="shared" si="33"/>
        <v>35.05</v>
      </c>
      <c r="F703">
        <f t="shared" si="31"/>
        <v>11.69</v>
      </c>
      <c r="G703">
        <f t="shared" si="32"/>
        <v>0</v>
      </c>
    </row>
    <row r="704" spans="1:7">
      <c r="A704">
        <v>35.121</v>
      </c>
      <c r="B704" s="8" t="s">
        <v>265</v>
      </c>
      <c r="C704">
        <v>83.7</v>
      </c>
      <c r="E704" s="3">
        <f t="shared" si="33"/>
        <v>35.1</v>
      </c>
      <c r="F704">
        <f t="shared" si="31"/>
        <v>11.63</v>
      </c>
      <c r="G704">
        <f t="shared" si="32"/>
        <v>0</v>
      </c>
    </row>
    <row r="705" spans="1:7">
      <c r="A705">
        <v>35.171</v>
      </c>
      <c r="B705" s="8" t="s">
        <v>417</v>
      </c>
      <c r="C705">
        <v>83.5</v>
      </c>
      <c r="E705" s="3">
        <f t="shared" si="33"/>
        <v>35.15</v>
      </c>
      <c r="F705">
        <f t="shared" si="31"/>
        <v>11.64</v>
      </c>
      <c r="G705">
        <f t="shared" si="32"/>
        <v>0</v>
      </c>
    </row>
    <row r="706" spans="1:7">
      <c r="A706">
        <v>35.221</v>
      </c>
      <c r="B706" s="8" t="s">
        <v>444</v>
      </c>
      <c r="C706">
        <v>84.5</v>
      </c>
      <c r="E706" s="3">
        <f t="shared" si="33"/>
        <v>35.2</v>
      </c>
      <c r="F706">
        <f t="shared" si="31"/>
        <v>11.71</v>
      </c>
      <c r="G706">
        <f t="shared" si="32"/>
        <v>0</v>
      </c>
    </row>
    <row r="707" spans="1:7">
      <c r="A707">
        <v>35.271</v>
      </c>
      <c r="B707" s="8" t="s">
        <v>334</v>
      </c>
      <c r="C707">
        <v>83.2</v>
      </c>
      <c r="E707" s="3">
        <f t="shared" si="33"/>
        <v>35.25</v>
      </c>
      <c r="F707">
        <f t="shared" si="31"/>
        <v>11.83</v>
      </c>
      <c r="G707">
        <f t="shared" si="32"/>
        <v>0</v>
      </c>
    </row>
    <row r="708" spans="1:7">
      <c r="A708">
        <v>35.322</v>
      </c>
      <c r="B708" s="8" t="s">
        <v>445</v>
      </c>
      <c r="C708">
        <v>82.8</v>
      </c>
      <c r="E708" s="3">
        <f t="shared" si="33"/>
        <v>35.3</v>
      </c>
      <c r="F708">
        <f t="shared" ref="F708:F771" si="34">B708*1000</f>
        <v>11.96</v>
      </c>
      <c r="G708">
        <f t="shared" ref="G708:G771" si="35">IF(C708&lt;230,0,40)</f>
        <v>0</v>
      </c>
    </row>
    <row r="709" spans="1:7">
      <c r="A709">
        <v>35.372</v>
      </c>
      <c r="B709" s="8" t="s">
        <v>446</v>
      </c>
      <c r="C709">
        <v>84</v>
      </c>
      <c r="E709" s="3">
        <f t="shared" si="33"/>
        <v>35.35</v>
      </c>
      <c r="F709">
        <f t="shared" si="34"/>
        <v>12.07</v>
      </c>
      <c r="G709">
        <f t="shared" si="35"/>
        <v>0</v>
      </c>
    </row>
    <row r="710" spans="1:7">
      <c r="A710">
        <v>35.422</v>
      </c>
      <c r="B710" s="8" t="s">
        <v>303</v>
      </c>
      <c r="C710">
        <v>83.5</v>
      </c>
      <c r="E710" s="3">
        <f t="shared" si="33"/>
        <v>35.4</v>
      </c>
      <c r="F710">
        <f t="shared" si="34"/>
        <v>12.31</v>
      </c>
      <c r="G710">
        <f t="shared" si="35"/>
        <v>0</v>
      </c>
    </row>
    <row r="711" spans="1:7">
      <c r="A711">
        <v>35.472</v>
      </c>
      <c r="B711" s="8" t="s">
        <v>428</v>
      </c>
      <c r="C711">
        <v>83.6</v>
      </c>
      <c r="E711" s="3">
        <f t="shared" si="33"/>
        <v>35.45</v>
      </c>
      <c r="F711">
        <f t="shared" si="34"/>
        <v>12.3</v>
      </c>
      <c r="G711">
        <f t="shared" si="35"/>
        <v>0</v>
      </c>
    </row>
    <row r="712" spans="1:7">
      <c r="A712">
        <v>35.522</v>
      </c>
      <c r="B712" s="8" t="s">
        <v>349</v>
      </c>
      <c r="C712">
        <v>83.7</v>
      </c>
      <c r="E712" s="3">
        <f t="shared" si="33"/>
        <v>35.5</v>
      </c>
      <c r="F712">
        <f t="shared" si="34"/>
        <v>12.27</v>
      </c>
      <c r="G712">
        <f t="shared" si="35"/>
        <v>0</v>
      </c>
    </row>
    <row r="713" spans="1:7">
      <c r="A713">
        <v>35.572</v>
      </c>
      <c r="B713" s="8" t="s">
        <v>447</v>
      </c>
      <c r="C713">
        <v>85.1</v>
      </c>
      <c r="E713" s="3">
        <f t="shared" si="33"/>
        <v>35.55</v>
      </c>
      <c r="F713">
        <f t="shared" si="34"/>
        <v>12.18</v>
      </c>
      <c r="G713">
        <f t="shared" si="35"/>
        <v>0</v>
      </c>
    </row>
    <row r="714" spans="1:7">
      <c r="A714">
        <v>35.622</v>
      </c>
      <c r="B714" s="8" t="s">
        <v>448</v>
      </c>
      <c r="C714">
        <v>83.9</v>
      </c>
      <c r="E714" s="3">
        <f t="shared" ref="E714:E777" si="36">FLOOR(A714,0.05)</f>
        <v>35.6</v>
      </c>
      <c r="F714">
        <f t="shared" si="34"/>
        <v>12.04</v>
      </c>
      <c r="G714">
        <f t="shared" si="35"/>
        <v>0</v>
      </c>
    </row>
    <row r="715" spans="1:7">
      <c r="A715">
        <v>35.672</v>
      </c>
      <c r="B715" s="8" t="s">
        <v>449</v>
      </c>
      <c r="C715">
        <v>83.4</v>
      </c>
      <c r="E715" s="3">
        <f t="shared" si="36"/>
        <v>35.65</v>
      </c>
      <c r="F715">
        <f t="shared" si="34"/>
        <v>11.92</v>
      </c>
      <c r="G715">
        <f t="shared" si="35"/>
        <v>0</v>
      </c>
    </row>
    <row r="716" spans="1:7">
      <c r="A716">
        <v>35.722</v>
      </c>
      <c r="B716" s="8" t="s">
        <v>255</v>
      </c>
      <c r="C716">
        <v>83.9</v>
      </c>
      <c r="E716" s="3">
        <f t="shared" si="36"/>
        <v>35.7</v>
      </c>
      <c r="F716">
        <f t="shared" si="34"/>
        <v>11.73</v>
      </c>
      <c r="G716">
        <f t="shared" si="35"/>
        <v>0</v>
      </c>
    </row>
    <row r="717" spans="1:7">
      <c r="A717">
        <v>35.772</v>
      </c>
      <c r="B717" s="8" t="s">
        <v>165</v>
      </c>
      <c r="C717">
        <v>83.9</v>
      </c>
      <c r="E717" s="3">
        <f t="shared" si="36"/>
        <v>35.75</v>
      </c>
      <c r="F717">
        <f t="shared" si="34"/>
        <v>11.66</v>
      </c>
      <c r="G717">
        <f t="shared" si="35"/>
        <v>0</v>
      </c>
    </row>
    <row r="718" spans="1:7">
      <c r="A718">
        <v>35.823</v>
      </c>
      <c r="B718" s="8" t="s">
        <v>165</v>
      </c>
      <c r="C718">
        <v>83.2</v>
      </c>
      <c r="E718" s="3">
        <f t="shared" si="36"/>
        <v>35.8</v>
      </c>
      <c r="F718">
        <f t="shared" si="34"/>
        <v>11.66</v>
      </c>
      <c r="G718">
        <f t="shared" si="35"/>
        <v>0</v>
      </c>
    </row>
    <row r="719" spans="1:7">
      <c r="A719">
        <v>35.873</v>
      </c>
      <c r="B719" s="8" t="s">
        <v>450</v>
      </c>
      <c r="C719">
        <v>83.2</v>
      </c>
      <c r="E719" s="3">
        <f t="shared" si="36"/>
        <v>35.85</v>
      </c>
      <c r="F719">
        <f t="shared" si="34"/>
        <v>11.77</v>
      </c>
      <c r="G719">
        <f t="shared" si="35"/>
        <v>0</v>
      </c>
    </row>
    <row r="720" spans="1:7">
      <c r="A720">
        <v>35.923</v>
      </c>
      <c r="B720" s="8" t="s">
        <v>247</v>
      </c>
      <c r="C720">
        <v>83.6</v>
      </c>
      <c r="E720" s="3">
        <f t="shared" si="36"/>
        <v>35.9</v>
      </c>
      <c r="F720">
        <f t="shared" si="34"/>
        <v>11.85</v>
      </c>
      <c r="G720">
        <f t="shared" si="35"/>
        <v>0</v>
      </c>
    </row>
    <row r="721" spans="1:7">
      <c r="A721">
        <v>35.973</v>
      </c>
      <c r="B721" s="8" t="s">
        <v>130</v>
      </c>
      <c r="C721">
        <v>82.9</v>
      </c>
      <c r="E721" s="3">
        <f t="shared" si="36"/>
        <v>35.95</v>
      </c>
      <c r="F721">
        <f t="shared" si="34"/>
        <v>11.95</v>
      </c>
      <c r="G721">
        <f t="shared" si="35"/>
        <v>0</v>
      </c>
    </row>
    <row r="722" spans="1:7">
      <c r="A722">
        <v>36.023</v>
      </c>
      <c r="B722" s="8" t="s">
        <v>181</v>
      </c>
      <c r="C722">
        <v>83.7</v>
      </c>
      <c r="E722" s="3">
        <f t="shared" si="36"/>
        <v>36</v>
      </c>
      <c r="F722">
        <f t="shared" si="34"/>
        <v>12.1</v>
      </c>
      <c r="G722">
        <f t="shared" si="35"/>
        <v>0</v>
      </c>
    </row>
    <row r="723" spans="1:7">
      <c r="A723">
        <v>36.073</v>
      </c>
      <c r="B723" s="8" t="s">
        <v>204</v>
      </c>
      <c r="C723">
        <v>84.1</v>
      </c>
      <c r="E723" s="3">
        <f t="shared" si="36"/>
        <v>36.05</v>
      </c>
      <c r="F723">
        <f t="shared" si="34"/>
        <v>12.24</v>
      </c>
      <c r="G723">
        <f t="shared" si="35"/>
        <v>0</v>
      </c>
    </row>
    <row r="724" spans="1:7">
      <c r="A724">
        <v>36.123</v>
      </c>
      <c r="B724" s="8" t="s">
        <v>205</v>
      </c>
      <c r="C724">
        <v>83.9</v>
      </c>
      <c r="E724" s="3">
        <f t="shared" si="36"/>
        <v>36.1</v>
      </c>
      <c r="F724">
        <f t="shared" si="34"/>
        <v>12.26</v>
      </c>
      <c r="G724">
        <f t="shared" si="35"/>
        <v>0</v>
      </c>
    </row>
    <row r="725" spans="1:7">
      <c r="A725">
        <v>36.173</v>
      </c>
      <c r="B725" s="8" t="s">
        <v>451</v>
      </c>
      <c r="C725">
        <v>83.6</v>
      </c>
      <c r="E725" s="3">
        <f t="shared" si="36"/>
        <v>36.15</v>
      </c>
      <c r="F725">
        <f t="shared" si="34"/>
        <v>12.23</v>
      </c>
      <c r="G725">
        <f t="shared" si="35"/>
        <v>0</v>
      </c>
    </row>
    <row r="726" spans="1:7">
      <c r="A726">
        <v>36.223</v>
      </c>
      <c r="B726" s="8" t="s">
        <v>192</v>
      </c>
      <c r="C726">
        <v>83.6</v>
      </c>
      <c r="E726" s="3">
        <f t="shared" si="36"/>
        <v>36.2</v>
      </c>
      <c r="F726">
        <f t="shared" si="34"/>
        <v>12.15</v>
      </c>
      <c r="G726">
        <f t="shared" si="35"/>
        <v>0</v>
      </c>
    </row>
    <row r="727" spans="1:7">
      <c r="A727">
        <v>36.274</v>
      </c>
      <c r="B727" s="8" t="s">
        <v>357</v>
      </c>
      <c r="C727">
        <v>84</v>
      </c>
      <c r="E727" s="3">
        <f t="shared" si="36"/>
        <v>36.25</v>
      </c>
      <c r="F727">
        <f t="shared" si="34"/>
        <v>12.01</v>
      </c>
      <c r="G727">
        <f t="shared" si="35"/>
        <v>0</v>
      </c>
    </row>
    <row r="728" spans="1:7">
      <c r="A728">
        <v>36.324</v>
      </c>
      <c r="B728" s="8" t="s">
        <v>130</v>
      </c>
      <c r="C728">
        <v>83.4</v>
      </c>
      <c r="E728" s="3">
        <f t="shared" si="36"/>
        <v>36.3</v>
      </c>
      <c r="F728">
        <f t="shared" si="34"/>
        <v>11.95</v>
      </c>
      <c r="G728">
        <f t="shared" si="35"/>
        <v>0</v>
      </c>
    </row>
    <row r="729" spans="1:7">
      <c r="A729">
        <v>36.374</v>
      </c>
      <c r="B729" s="8" t="s">
        <v>339</v>
      </c>
      <c r="C729">
        <v>84.2</v>
      </c>
      <c r="E729" s="3">
        <f t="shared" si="36"/>
        <v>36.35</v>
      </c>
      <c r="F729">
        <f t="shared" si="34"/>
        <v>11.78</v>
      </c>
      <c r="G729">
        <f t="shared" si="35"/>
        <v>0</v>
      </c>
    </row>
    <row r="730" spans="1:7">
      <c r="A730">
        <v>36.424</v>
      </c>
      <c r="B730" s="8" t="s">
        <v>390</v>
      </c>
      <c r="C730">
        <v>83.9</v>
      </c>
      <c r="E730" s="3">
        <f t="shared" si="36"/>
        <v>36.4</v>
      </c>
      <c r="F730">
        <f t="shared" si="34"/>
        <v>11.7</v>
      </c>
      <c r="G730">
        <f t="shared" si="35"/>
        <v>0</v>
      </c>
    </row>
    <row r="731" spans="1:7">
      <c r="A731">
        <v>36.474</v>
      </c>
      <c r="B731" s="8" t="s">
        <v>230</v>
      </c>
      <c r="C731">
        <v>84</v>
      </c>
      <c r="E731" s="3">
        <f t="shared" si="36"/>
        <v>36.45</v>
      </c>
      <c r="F731">
        <f t="shared" si="34"/>
        <v>11.72</v>
      </c>
      <c r="G731">
        <f t="shared" si="35"/>
        <v>0</v>
      </c>
    </row>
    <row r="732" spans="1:7">
      <c r="A732">
        <v>36.524</v>
      </c>
      <c r="B732" s="8" t="s">
        <v>339</v>
      </c>
      <c r="C732">
        <v>84.3</v>
      </c>
      <c r="E732" s="3">
        <f t="shared" si="36"/>
        <v>36.5</v>
      </c>
      <c r="F732">
        <f t="shared" si="34"/>
        <v>11.78</v>
      </c>
      <c r="G732">
        <f t="shared" si="35"/>
        <v>0</v>
      </c>
    </row>
    <row r="733" spans="1:7">
      <c r="A733">
        <v>36.574</v>
      </c>
      <c r="B733" s="8" t="s">
        <v>406</v>
      </c>
      <c r="C733">
        <v>83.3</v>
      </c>
      <c r="E733" s="3">
        <f t="shared" si="36"/>
        <v>36.55</v>
      </c>
      <c r="F733">
        <f t="shared" si="34"/>
        <v>11.87</v>
      </c>
      <c r="G733">
        <f t="shared" si="35"/>
        <v>0</v>
      </c>
    </row>
    <row r="734" spans="1:7">
      <c r="A734">
        <v>36.624</v>
      </c>
      <c r="B734" s="8" t="s">
        <v>213</v>
      </c>
      <c r="C734">
        <v>83.7</v>
      </c>
      <c r="E734" s="3">
        <f t="shared" si="36"/>
        <v>36.6</v>
      </c>
      <c r="F734">
        <f t="shared" si="34"/>
        <v>11.98</v>
      </c>
      <c r="G734">
        <f t="shared" si="35"/>
        <v>0</v>
      </c>
    </row>
    <row r="735" spans="1:7">
      <c r="A735">
        <v>36.674</v>
      </c>
      <c r="B735" s="8" t="s">
        <v>446</v>
      </c>
      <c r="C735">
        <v>83.8</v>
      </c>
      <c r="E735" s="3">
        <f t="shared" si="36"/>
        <v>36.65</v>
      </c>
      <c r="F735">
        <f t="shared" si="34"/>
        <v>12.07</v>
      </c>
      <c r="G735">
        <f t="shared" si="35"/>
        <v>0</v>
      </c>
    </row>
    <row r="736" spans="1:7">
      <c r="A736">
        <v>36.724</v>
      </c>
      <c r="B736" s="8" t="s">
        <v>204</v>
      </c>
      <c r="C736">
        <v>83.7</v>
      </c>
      <c r="E736" s="3">
        <f t="shared" si="36"/>
        <v>36.7</v>
      </c>
      <c r="F736">
        <f t="shared" si="34"/>
        <v>12.24</v>
      </c>
      <c r="G736">
        <f t="shared" si="35"/>
        <v>0</v>
      </c>
    </row>
    <row r="737" spans="1:7">
      <c r="A737">
        <v>36.775</v>
      </c>
      <c r="B737" s="8" t="s">
        <v>387</v>
      </c>
      <c r="C737">
        <v>83.5</v>
      </c>
      <c r="E737" s="3">
        <f t="shared" si="36"/>
        <v>36.75</v>
      </c>
      <c r="F737">
        <f t="shared" si="34"/>
        <v>12.28</v>
      </c>
      <c r="G737">
        <f t="shared" si="35"/>
        <v>0</v>
      </c>
    </row>
    <row r="738" spans="1:7">
      <c r="A738">
        <v>36.825</v>
      </c>
      <c r="B738" s="8" t="s">
        <v>162</v>
      </c>
      <c r="C738">
        <v>84.2</v>
      </c>
      <c r="E738" s="3">
        <f t="shared" si="36"/>
        <v>36.8</v>
      </c>
      <c r="F738">
        <f t="shared" si="34"/>
        <v>12.21</v>
      </c>
      <c r="G738">
        <f t="shared" si="35"/>
        <v>0</v>
      </c>
    </row>
    <row r="739" spans="1:7">
      <c r="A739">
        <v>36.875</v>
      </c>
      <c r="B739" s="8" t="s">
        <v>441</v>
      </c>
      <c r="C739">
        <v>83.7</v>
      </c>
      <c r="E739" s="3">
        <f t="shared" si="36"/>
        <v>36.85</v>
      </c>
      <c r="F739">
        <f t="shared" si="34"/>
        <v>12.17</v>
      </c>
      <c r="G739">
        <f t="shared" si="35"/>
        <v>0</v>
      </c>
    </row>
    <row r="740" spans="1:7">
      <c r="A740">
        <v>36.925</v>
      </c>
      <c r="B740" s="8" t="s">
        <v>181</v>
      </c>
      <c r="C740">
        <v>84</v>
      </c>
      <c r="E740" s="3">
        <f t="shared" si="36"/>
        <v>36.9</v>
      </c>
      <c r="F740">
        <f t="shared" si="34"/>
        <v>12.1</v>
      </c>
      <c r="G740">
        <f t="shared" si="35"/>
        <v>0</v>
      </c>
    </row>
    <row r="741" spans="1:7">
      <c r="A741">
        <v>36.975</v>
      </c>
      <c r="B741" s="8" t="s">
        <v>411</v>
      </c>
      <c r="C741">
        <v>83.6</v>
      </c>
      <c r="E741" s="3">
        <f t="shared" si="36"/>
        <v>36.95</v>
      </c>
      <c r="F741">
        <f t="shared" si="34"/>
        <v>12</v>
      </c>
      <c r="G741">
        <f t="shared" si="35"/>
        <v>0</v>
      </c>
    </row>
    <row r="742" spans="1:7">
      <c r="A742">
        <v>37.025</v>
      </c>
      <c r="B742" s="8" t="s">
        <v>452</v>
      </c>
      <c r="C742">
        <v>83.6</v>
      </c>
      <c r="E742" s="3">
        <f t="shared" si="36"/>
        <v>37</v>
      </c>
      <c r="F742">
        <f t="shared" si="34"/>
        <v>11.91</v>
      </c>
      <c r="G742">
        <f t="shared" si="35"/>
        <v>0</v>
      </c>
    </row>
    <row r="743" spans="1:7">
      <c r="A743">
        <v>37.075</v>
      </c>
      <c r="B743" s="8" t="s">
        <v>442</v>
      </c>
      <c r="C743">
        <v>84.4</v>
      </c>
      <c r="E743" s="3">
        <f t="shared" si="36"/>
        <v>37.05</v>
      </c>
      <c r="F743">
        <f t="shared" si="34"/>
        <v>11.79</v>
      </c>
      <c r="G743">
        <f t="shared" si="35"/>
        <v>0</v>
      </c>
    </row>
    <row r="744" spans="1:7">
      <c r="A744">
        <v>37.125</v>
      </c>
      <c r="B744" s="8" t="s">
        <v>339</v>
      </c>
      <c r="C744">
        <v>83.2</v>
      </c>
      <c r="E744" s="3">
        <f t="shared" si="36"/>
        <v>37.1</v>
      </c>
      <c r="F744">
        <f t="shared" si="34"/>
        <v>11.78</v>
      </c>
      <c r="G744">
        <f t="shared" si="35"/>
        <v>0</v>
      </c>
    </row>
    <row r="745" spans="1:7">
      <c r="A745">
        <v>37.175</v>
      </c>
      <c r="B745" s="8" t="s">
        <v>232</v>
      </c>
      <c r="C745">
        <v>84.2</v>
      </c>
      <c r="E745" s="3">
        <f t="shared" si="36"/>
        <v>37.15</v>
      </c>
      <c r="F745">
        <f t="shared" si="34"/>
        <v>11.86</v>
      </c>
      <c r="G745">
        <f t="shared" si="35"/>
        <v>0</v>
      </c>
    </row>
    <row r="746" spans="1:7">
      <c r="A746">
        <v>37.225</v>
      </c>
      <c r="B746" s="8" t="s">
        <v>452</v>
      </c>
      <c r="C746">
        <v>83.8</v>
      </c>
      <c r="E746" s="3">
        <f t="shared" si="36"/>
        <v>37.2</v>
      </c>
      <c r="F746">
        <f t="shared" si="34"/>
        <v>11.91</v>
      </c>
      <c r="G746">
        <f t="shared" si="35"/>
        <v>0</v>
      </c>
    </row>
    <row r="747" spans="1:7">
      <c r="A747">
        <v>37.276</v>
      </c>
      <c r="B747" s="8" t="s">
        <v>302</v>
      </c>
      <c r="C747">
        <v>83.5</v>
      </c>
      <c r="E747" s="3">
        <f t="shared" si="36"/>
        <v>37.25</v>
      </c>
      <c r="F747">
        <f t="shared" si="34"/>
        <v>11.99</v>
      </c>
      <c r="G747">
        <f t="shared" si="35"/>
        <v>0</v>
      </c>
    </row>
    <row r="748" spans="1:7">
      <c r="A748">
        <v>37.326</v>
      </c>
      <c r="B748" s="8" t="s">
        <v>448</v>
      </c>
      <c r="C748">
        <v>83.6</v>
      </c>
      <c r="E748" s="3">
        <f t="shared" si="36"/>
        <v>37.3</v>
      </c>
      <c r="F748">
        <f t="shared" si="34"/>
        <v>12.04</v>
      </c>
      <c r="G748">
        <f t="shared" si="35"/>
        <v>0</v>
      </c>
    </row>
    <row r="749" spans="1:7">
      <c r="A749">
        <v>37.376</v>
      </c>
      <c r="B749" s="8" t="s">
        <v>162</v>
      </c>
      <c r="C749">
        <v>83.3</v>
      </c>
      <c r="E749" s="3">
        <f t="shared" si="36"/>
        <v>37.35</v>
      </c>
      <c r="F749">
        <f t="shared" si="34"/>
        <v>12.21</v>
      </c>
      <c r="G749">
        <f t="shared" si="35"/>
        <v>0</v>
      </c>
    </row>
    <row r="750" spans="1:7">
      <c r="A750">
        <v>37.426</v>
      </c>
      <c r="B750" s="8" t="s">
        <v>204</v>
      </c>
      <c r="C750">
        <v>84</v>
      </c>
      <c r="E750" s="3">
        <f t="shared" si="36"/>
        <v>37.4</v>
      </c>
      <c r="F750">
        <f t="shared" si="34"/>
        <v>12.24</v>
      </c>
      <c r="G750">
        <f t="shared" si="35"/>
        <v>0</v>
      </c>
    </row>
    <row r="751" spans="1:7">
      <c r="A751">
        <v>37.476</v>
      </c>
      <c r="B751" s="8" t="s">
        <v>162</v>
      </c>
      <c r="C751">
        <v>84.6</v>
      </c>
      <c r="E751" s="3">
        <f t="shared" si="36"/>
        <v>37.45</v>
      </c>
      <c r="F751">
        <f t="shared" si="34"/>
        <v>12.21</v>
      </c>
      <c r="G751">
        <f t="shared" si="35"/>
        <v>0</v>
      </c>
    </row>
    <row r="752" spans="1:7">
      <c r="A752">
        <v>37.526</v>
      </c>
      <c r="B752" s="8" t="s">
        <v>114</v>
      </c>
      <c r="C752">
        <v>83.3</v>
      </c>
      <c r="E752" s="3">
        <f t="shared" si="36"/>
        <v>37.5</v>
      </c>
      <c r="F752">
        <f t="shared" si="34"/>
        <v>12.11</v>
      </c>
      <c r="G752">
        <f t="shared" si="35"/>
        <v>0</v>
      </c>
    </row>
    <row r="753" spans="1:7">
      <c r="A753">
        <v>37.576</v>
      </c>
      <c r="B753" s="8" t="s">
        <v>446</v>
      </c>
      <c r="C753">
        <v>83.3</v>
      </c>
      <c r="E753" s="3">
        <f t="shared" si="36"/>
        <v>37.55</v>
      </c>
      <c r="F753">
        <f t="shared" si="34"/>
        <v>12.07</v>
      </c>
      <c r="G753">
        <f t="shared" si="35"/>
        <v>0</v>
      </c>
    </row>
    <row r="754" spans="1:7">
      <c r="A754">
        <v>37.626</v>
      </c>
      <c r="B754" s="8" t="s">
        <v>357</v>
      </c>
      <c r="C754">
        <v>83.5</v>
      </c>
      <c r="E754" s="3">
        <f t="shared" si="36"/>
        <v>37.6</v>
      </c>
      <c r="F754">
        <f t="shared" si="34"/>
        <v>12.01</v>
      </c>
      <c r="G754">
        <f t="shared" si="35"/>
        <v>0</v>
      </c>
    </row>
    <row r="755" spans="1:7">
      <c r="A755">
        <v>37.676</v>
      </c>
      <c r="B755" s="8" t="s">
        <v>452</v>
      </c>
      <c r="C755">
        <v>83.6</v>
      </c>
      <c r="E755" s="3">
        <f t="shared" si="36"/>
        <v>37.65</v>
      </c>
      <c r="F755">
        <f t="shared" si="34"/>
        <v>11.91</v>
      </c>
      <c r="G755">
        <f t="shared" si="35"/>
        <v>0</v>
      </c>
    </row>
    <row r="756" spans="1:7">
      <c r="A756">
        <v>37.726</v>
      </c>
      <c r="B756" s="8" t="s">
        <v>453</v>
      </c>
      <c r="C756">
        <v>83.9</v>
      </c>
      <c r="E756" s="3">
        <f t="shared" si="36"/>
        <v>37.7</v>
      </c>
      <c r="F756">
        <f t="shared" si="34"/>
        <v>11.84</v>
      </c>
      <c r="G756">
        <f t="shared" si="35"/>
        <v>0</v>
      </c>
    </row>
    <row r="757" spans="1:7">
      <c r="A757">
        <v>37.777</v>
      </c>
      <c r="B757" s="8" t="s">
        <v>293</v>
      </c>
      <c r="C757">
        <v>83.3</v>
      </c>
      <c r="E757" s="3">
        <f t="shared" si="36"/>
        <v>37.75</v>
      </c>
      <c r="F757">
        <f t="shared" si="34"/>
        <v>11.8</v>
      </c>
      <c r="G757">
        <f t="shared" si="35"/>
        <v>0</v>
      </c>
    </row>
    <row r="758" spans="1:7">
      <c r="A758">
        <v>37.827</v>
      </c>
      <c r="B758" s="8" t="s">
        <v>232</v>
      </c>
      <c r="C758">
        <v>84.6</v>
      </c>
      <c r="E758" s="3">
        <f t="shared" si="36"/>
        <v>37.8</v>
      </c>
      <c r="F758">
        <f t="shared" si="34"/>
        <v>11.86</v>
      </c>
      <c r="G758">
        <f t="shared" si="35"/>
        <v>0</v>
      </c>
    </row>
    <row r="759" spans="1:7">
      <c r="A759">
        <v>37.877</v>
      </c>
      <c r="B759" s="8" t="s">
        <v>454</v>
      </c>
      <c r="C759">
        <v>84.2</v>
      </c>
      <c r="E759" s="3">
        <f t="shared" si="36"/>
        <v>37.85</v>
      </c>
      <c r="F759">
        <f t="shared" si="34"/>
        <v>11.93</v>
      </c>
      <c r="G759">
        <f t="shared" si="35"/>
        <v>0</v>
      </c>
    </row>
    <row r="760" spans="1:7">
      <c r="A760">
        <v>37.927</v>
      </c>
      <c r="B760" s="8" t="s">
        <v>179</v>
      </c>
      <c r="C760">
        <v>83.8</v>
      </c>
      <c r="E760" s="3">
        <f t="shared" si="36"/>
        <v>37.9</v>
      </c>
      <c r="F760">
        <f t="shared" si="34"/>
        <v>11.94</v>
      </c>
      <c r="G760">
        <f t="shared" si="35"/>
        <v>0</v>
      </c>
    </row>
    <row r="761" spans="1:7">
      <c r="A761">
        <v>37.977</v>
      </c>
      <c r="B761" s="8" t="s">
        <v>231</v>
      </c>
      <c r="C761">
        <v>83.9</v>
      </c>
      <c r="E761" s="3">
        <f t="shared" si="36"/>
        <v>37.95</v>
      </c>
      <c r="F761">
        <f t="shared" si="34"/>
        <v>12.02</v>
      </c>
      <c r="G761">
        <f t="shared" si="35"/>
        <v>0</v>
      </c>
    </row>
    <row r="762" spans="1:7">
      <c r="A762">
        <v>38.027</v>
      </c>
      <c r="B762" s="8" t="s">
        <v>427</v>
      </c>
      <c r="C762">
        <v>84.5</v>
      </c>
      <c r="E762" s="3">
        <f t="shared" si="36"/>
        <v>38</v>
      </c>
      <c r="F762">
        <f t="shared" si="34"/>
        <v>12.13</v>
      </c>
      <c r="G762">
        <f t="shared" si="35"/>
        <v>0</v>
      </c>
    </row>
    <row r="763" spans="1:7">
      <c r="A763">
        <v>38.077</v>
      </c>
      <c r="B763" s="8" t="s">
        <v>192</v>
      </c>
      <c r="C763">
        <v>83.8</v>
      </c>
      <c r="E763" s="3">
        <f t="shared" si="36"/>
        <v>38.05</v>
      </c>
      <c r="F763">
        <f t="shared" si="34"/>
        <v>12.15</v>
      </c>
      <c r="G763">
        <f t="shared" si="35"/>
        <v>0</v>
      </c>
    </row>
    <row r="764" spans="1:7">
      <c r="A764">
        <v>38.127</v>
      </c>
      <c r="B764" s="8" t="s">
        <v>70</v>
      </c>
      <c r="C764">
        <v>83.1</v>
      </c>
      <c r="E764" s="3">
        <f t="shared" si="36"/>
        <v>38.1</v>
      </c>
      <c r="F764">
        <f t="shared" si="34"/>
        <v>12.16</v>
      </c>
      <c r="G764">
        <f t="shared" si="35"/>
        <v>0</v>
      </c>
    </row>
    <row r="765" spans="1:7">
      <c r="A765">
        <v>38.177</v>
      </c>
      <c r="B765" s="8" t="s">
        <v>178</v>
      </c>
      <c r="C765">
        <v>84.3</v>
      </c>
      <c r="E765" s="3">
        <f t="shared" si="36"/>
        <v>38.15</v>
      </c>
      <c r="F765">
        <f t="shared" si="34"/>
        <v>12.08</v>
      </c>
      <c r="G765">
        <f t="shared" si="35"/>
        <v>0</v>
      </c>
    </row>
    <row r="766" spans="1:7">
      <c r="A766">
        <v>38.227</v>
      </c>
      <c r="B766" s="8" t="s">
        <v>448</v>
      </c>
      <c r="C766">
        <v>84.5</v>
      </c>
      <c r="E766" s="3">
        <f t="shared" si="36"/>
        <v>38.2</v>
      </c>
      <c r="F766">
        <f t="shared" si="34"/>
        <v>12.04</v>
      </c>
      <c r="G766">
        <f t="shared" si="35"/>
        <v>0</v>
      </c>
    </row>
    <row r="767" spans="1:7">
      <c r="A767">
        <v>38.278</v>
      </c>
      <c r="B767" s="8" t="s">
        <v>231</v>
      </c>
      <c r="C767">
        <v>83.4</v>
      </c>
      <c r="E767" s="3">
        <f t="shared" si="36"/>
        <v>38.25</v>
      </c>
      <c r="F767">
        <f t="shared" si="34"/>
        <v>12.02</v>
      </c>
      <c r="G767">
        <f t="shared" si="35"/>
        <v>0</v>
      </c>
    </row>
    <row r="768" spans="1:7">
      <c r="A768">
        <v>38.328</v>
      </c>
      <c r="B768" s="8" t="s">
        <v>411</v>
      </c>
      <c r="C768">
        <v>83.9</v>
      </c>
      <c r="E768" s="3">
        <f t="shared" si="36"/>
        <v>38.3</v>
      </c>
      <c r="F768">
        <f t="shared" si="34"/>
        <v>12</v>
      </c>
      <c r="G768">
        <f t="shared" si="35"/>
        <v>0</v>
      </c>
    </row>
    <row r="769" spans="1:7">
      <c r="A769">
        <v>38.378</v>
      </c>
      <c r="B769" s="8" t="s">
        <v>213</v>
      </c>
      <c r="C769">
        <v>82.7</v>
      </c>
      <c r="E769" s="3">
        <f t="shared" si="36"/>
        <v>38.35</v>
      </c>
      <c r="F769">
        <f t="shared" si="34"/>
        <v>11.98</v>
      </c>
      <c r="G769">
        <f t="shared" si="35"/>
        <v>0</v>
      </c>
    </row>
    <row r="770" spans="1:7">
      <c r="A770">
        <v>38.428</v>
      </c>
      <c r="B770" s="8" t="s">
        <v>130</v>
      </c>
      <c r="C770">
        <v>83.4</v>
      </c>
      <c r="E770" s="3">
        <f t="shared" si="36"/>
        <v>38.4</v>
      </c>
      <c r="F770">
        <f t="shared" si="34"/>
        <v>11.95</v>
      </c>
      <c r="G770">
        <f t="shared" si="35"/>
        <v>0</v>
      </c>
    </row>
    <row r="771" spans="1:7">
      <c r="A771">
        <v>38.478</v>
      </c>
      <c r="B771" s="8" t="s">
        <v>130</v>
      </c>
      <c r="C771">
        <v>84</v>
      </c>
      <c r="E771" s="3">
        <f t="shared" si="36"/>
        <v>38.45</v>
      </c>
      <c r="F771">
        <f t="shared" si="34"/>
        <v>11.95</v>
      </c>
      <c r="G771">
        <f t="shared" si="35"/>
        <v>0</v>
      </c>
    </row>
    <row r="772" spans="1:7">
      <c r="A772">
        <v>38.528</v>
      </c>
      <c r="B772" s="8" t="s">
        <v>302</v>
      </c>
      <c r="C772">
        <v>83.9</v>
      </c>
      <c r="E772" s="3">
        <f t="shared" si="36"/>
        <v>38.5</v>
      </c>
      <c r="F772">
        <f t="shared" ref="F772:F835" si="37">B772*1000</f>
        <v>11.99</v>
      </c>
      <c r="G772">
        <f t="shared" ref="G772:G835" si="38">IF(C772&lt;230,0,40)</f>
        <v>0</v>
      </c>
    </row>
    <row r="773" spans="1:7">
      <c r="A773">
        <v>38.578</v>
      </c>
      <c r="B773" s="8" t="s">
        <v>302</v>
      </c>
      <c r="C773">
        <v>84</v>
      </c>
      <c r="E773" s="3">
        <f t="shared" si="36"/>
        <v>38.55</v>
      </c>
      <c r="F773">
        <f t="shared" si="37"/>
        <v>11.99</v>
      </c>
      <c r="G773">
        <f t="shared" si="38"/>
        <v>0</v>
      </c>
    </row>
    <row r="774" spans="1:7">
      <c r="A774">
        <v>38.628</v>
      </c>
      <c r="B774" s="8" t="s">
        <v>314</v>
      </c>
      <c r="C774">
        <v>84</v>
      </c>
      <c r="E774" s="3">
        <f t="shared" si="36"/>
        <v>38.6</v>
      </c>
      <c r="F774">
        <f t="shared" si="37"/>
        <v>12.03</v>
      </c>
      <c r="G774">
        <f t="shared" si="38"/>
        <v>0</v>
      </c>
    </row>
    <row r="775" spans="1:7">
      <c r="A775">
        <v>38.678</v>
      </c>
      <c r="B775" s="8" t="s">
        <v>192</v>
      </c>
      <c r="C775">
        <v>83.6</v>
      </c>
      <c r="E775" s="3">
        <f t="shared" si="36"/>
        <v>38.65</v>
      </c>
      <c r="F775">
        <f t="shared" si="37"/>
        <v>12.15</v>
      </c>
      <c r="G775">
        <f t="shared" si="38"/>
        <v>0</v>
      </c>
    </row>
    <row r="776" spans="1:7">
      <c r="A776">
        <v>38.728</v>
      </c>
      <c r="B776" s="8" t="s">
        <v>192</v>
      </c>
      <c r="C776">
        <v>83.6</v>
      </c>
      <c r="E776" s="3">
        <f t="shared" si="36"/>
        <v>38.7</v>
      </c>
      <c r="F776">
        <f t="shared" si="37"/>
        <v>12.15</v>
      </c>
      <c r="G776">
        <f t="shared" si="38"/>
        <v>0</v>
      </c>
    </row>
    <row r="777" spans="1:7">
      <c r="A777">
        <v>38.779</v>
      </c>
      <c r="B777" s="8" t="s">
        <v>399</v>
      </c>
      <c r="C777">
        <v>83.9</v>
      </c>
      <c r="E777" s="3">
        <f t="shared" si="36"/>
        <v>38.75</v>
      </c>
      <c r="F777">
        <f t="shared" si="37"/>
        <v>12.14</v>
      </c>
      <c r="G777">
        <f t="shared" si="38"/>
        <v>0</v>
      </c>
    </row>
    <row r="778" spans="1:7">
      <c r="A778">
        <v>38.829</v>
      </c>
      <c r="B778" s="8" t="s">
        <v>17</v>
      </c>
      <c r="C778">
        <v>84.4</v>
      </c>
      <c r="E778" s="3">
        <f t="shared" ref="E778:E841" si="39">FLOOR(A778,0.05)</f>
        <v>38.8</v>
      </c>
      <c r="F778">
        <f t="shared" si="37"/>
        <v>12.09</v>
      </c>
      <c r="G778">
        <f t="shared" si="38"/>
        <v>0</v>
      </c>
    </row>
    <row r="779" spans="1:7">
      <c r="A779">
        <v>38.879</v>
      </c>
      <c r="B779" s="8" t="s">
        <v>446</v>
      </c>
      <c r="C779">
        <v>83.6</v>
      </c>
      <c r="E779" s="3">
        <f t="shared" si="39"/>
        <v>38.85</v>
      </c>
      <c r="F779">
        <f t="shared" si="37"/>
        <v>12.07</v>
      </c>
      <c r="G779">
        <f t="shared" si="38"/>
        <v>0</v>
      </c>
    </row>
    <row r="780" spans="1:7">
      <c r="A780">
        <v>38.929</v>
      </c>
      <c r="B780" s="8" t="s">
        <v>314</v>
      </c>
      <c r="C780">
        <v>83.7</v>
      </c>
      <c r="E780" s="3">
        <f t="shared" si="39"/>
        <v>38.9</v>
      </c>
      <c r="F780">
        <f t="shared" si="37"/>
        <v>12.03</v>
      </c>
      <c r="G780">
        <f t="shared" si="38"/>
        <v>0</v>
      </c>
    </row>
    <row r="781" spans="1:7">
      <c r="A781">
        <v>38.979</v>
      </c>
      <c r="B781" s="8" t="s">
        <v>314</v>
      </c>
      <c r="C781">
        <v>84.5</v>
      </c>
      <c r="E781" s="3">
        <f t="shared" si="39"/>
        <v>38.95</v>
      </c>
      <c r="F781">
        <f t="shared" si="37"/>
        <v>12.03</v>
      </c>
      <c r="G781">
        <f t="shared" si="38"/>
        <v>0</v>
      </c>
    </row>
    <row r="782" spans="1:7">
      <c r="A782">
        <v>39.029</v>
      </c>
      <c r="B782" s="8" t="s">
        <v>231</v>
      </c>
      <c r="C782">
        <v>84.6</v>
      </c>
      <c r="E782" s="3">
        <f t="shared" si="39"/>
        <v>39</v>
      </c>
      <c r="F782">
        <f t="shared" si="37"/>
        <v>12.02</v>
      </c>
      <c r="G782">
        <f t="shared" si="38"/>
        <v>0</v>
      </c>
    </row>
    <row r="783" spans="1:7">
      <c r="A783">
        <v>39.079</v>
      </c>
      <c r="B783" s="8" t="s">
        <v>17</v>
      </c>
      <c r="C783">
        <v>83.5</v>
      </c>
      <c r="E783" s="3">
        <f t="shared" si="39"/>
        <v>39.05</v>
      </c>
      <c r="F783">
        <f t="shared" si="37"/>
        <v>12.09</v>
      </c>
      <c r="G783">
        <f t="shared" si="38"/>
        <v>0</v>
      </c>
    </row>
    <row r="784" spans="1:7">
      <c r="A784">
        <v>39.129</v>
      </c>
      <c r="B784" s="8" t="s">
        <v>358</v>
      </c>
      <c r="C784">
        <v>83.8</v>
      </c>
      <c r="E784" s="3">
        <f t="shared" si="39"/>
        <v>39.1</v>
      </c>
      <c r="F784">
        <f t="shared" si="37"/>
        <v>12.12</v>
      </c>
      <c r="G784">
        <f t="shared" si="38"/>
        <v>0</v>
      </c>
    </row>
    <row r="785" spans="1:7">
      <c r="A785">
        <v>39.179</v>
      </c>
      <c r="B785" s="8" t="s">
        <v>162</v>
      </c>
      <c r="C785">
        <v>84</v>
      </c>
      <c r="E785" s="3">
        <f t="shared" si="39"/>
        <v>39.15</v>
      </c>
      <c r="F785">
        <f t="shared" si="37"/>
        <v>12.21</v>
      </c>
      <c r="G785">
        <f t="shared" si="38"/>
        <v>0</v>
      </c>
    </row>
    <row r="786" spans="1:7">
      <c r="A786">
        <v>39.23</v>
      </c>
      <c r="B786" s="8" t="s">
        <v>455</v>
      </c>
      <c r="C786">
        <v>82.9</v>
      </c>
      <c r="E786" s="3">
        <f t="shared" si="39"/>
        <v>39.2</v>
      </c>
      <c r="F786">
        <f t="shared" si="37"/>
        <v>12.25</v>
      </c>
      <c r="G786">
        <f t="shared" si="38"/>
        <v>0</v>
      </c>
    </row>
    <row r="787" spans="1:7">
      <c r="A787">
        <v>39.28</v>
      </c>
      <c r="B787" s="8" t="s">
        <v>387</v>
      </c>
      <c r="C787">
        <v>84.1</v>
      </c>
      <c r="E787" s="3">
        <f t="shared" si="39"/>
        <v>39.25</v>
      </c>
      <c r="F787">
        <f t="shared" si="37"/>
        <v>12.28</v>
      </c>
      <c r="G787">
        <f t="shared" si="38"/>
        <v>0</v>
      </c>
    </row>
    <row r="788" spans="1:7">
      <c r="A788">
        <v>39.33</v>
      </c>
      <c r="B788" s="8" t="s">
        <v>455</v>
      </c>
      <c r="C788">
        <v>83.1</v>
      </c>
      <c r="E788" s="3">
        <f t="shared" si="39"/>
        <v>39.3</v>
      </c>
      <c r="F788">
        <f t="shared" si="37"/>
        <v>12.25</v>
      </c>
      <c r="G788">
        <f t="shared" si="38"/>
        <v>0</v>
      </c>
    </row>
    <row r="789" spans="1:7">
      <c r="A789">
        <v>39.38</v>
      </c>
      <c r="B789" s="8" t="s">
        <v>204</v>
      </c>
      <c r="C789">
        <v>83.4</v>
      </c>
      <c r="E789" s="3">
        <f t="shared" si="39"/>
        <v>39.35</v>
      </c>
      <c r="F789">
        <f t="shared" si="37"/>
        <v>12.24</v>
      </c>
      <c r="G789">
        <f t="shared" si="38"/>
        <v>0</v>
      </c>
    </row>
    <row r="790" spans="1:7">
      <c r="A790">
        <v>39.43</v>
      </c>
      <c r="B790" s="8" t="s">
        <v>323</v>
      </c>
      <c r="C790">
        <v>83.6</v>
      </c>
      <c r="E790" s="3">
        <f t="shared" si="39"/>
        <v>39.4</v>
      </c>
      <c r="F790">
        <f t="shared" si="37"/>
        <v>12.22</v>
      </c>
      <c r="G790">
        <f t="shared" si="38"/>
        <v>0</v>
      </c>
    </row>
    <row r="791" spans="1:7">
      <c r="A791">
        <v>39.48</v>
      </c>
      <c r="B791" s="8" t="s">
        <v>447</v>
      </c>
      <c r="C791">
        <v>83.4</v>
      </c>
      <c r="E791" s="3">
        <f t="shared" si="39"/>
        <v>39.45</v>
      </c>
      <c r="F791">
        <f t="shared" si="37"/>
        <v>12.18</v>
      </c>
      <c r="G791">
        <f t="shared" si="38"/>
        <v>0</v>
      </c>
    </row>
    <row r="792" spans="1:7">
      <c r="A792">
        <v>39.53</v>
      </c>
      <c r="B792" s="8" t="s">
        <v>358</v>
      </c>
      <c r="C792">
        <v>84</v>
      </c>
      <c r="E792" s="3">
        <f t="shared" si="39"/>
        <v>39.5</v>
      </c>
      <c r="F792">
        <f t="shared" si="37"/>
        <v>12.12</v>
      </c>
      <c r="G792">
        <f t="shared" si="38"/>
        <v>0</v>
      </c>
    </row>
    <row r="793" spans="1:7">
      <c r="A793">
        <v>39.58</v>
      </c>
      <c r="B793" s="8" t="s">
        <v>17</v>
      </c>
      <c r="C793">
        <v>83.8</v>
      </c>
      <c r="E793" s="3">
        <f t="shared" si="39"/>
        <v>39.55</v>
      </c>
      <c r="F793">
        <f t="shared" si="37"/>
        <v>12.09</v>
      </c>
      <c r="G793">
        <f t="shared" si="38"/>
        <v>0</v>
      </c>
    </row>
    <row r="794" spans="1:7">
      <c r="A794">
        <v>39.63</v>
      </c>
      <c r="B794" s="8" t="s">
        <v>296</v>
      </c>
      <c r="C794">
        <v>83.8</v>
      </c>
      <c r="E794" s="3">
        <f t="shared" si="39"/>
        <v>39.6</v>
      </c>
      <c r="F794">
        <f t="shared" si="37"/>
        <v>12.05</v>
      </c>
      <c r="G794">
        <f t="shared" si="38"/>
        <v>0</v>
      </c>
    </row>
    <row r="795" spans="1:7">
      <c r="A795">
        <v>39.68</v>
      </c>
      <c r="B795" s="8" t="s">
        <v>181</v>
      </c>
      <c r="C795">
        <v>82.7</v>
      </c>
      <c r="E795" s="3">
        <f t="shared" si="39"/>
        <v>39.65</v>
      </c>
      <c r="F795">
        <f t="shared" si="37"/>
        <v>12.1</v>
      </c>
      <c r="G795">
        <f t="shared" si="38"/>
        <v>0</v>
      </c>
    </row>
    <row r="796" spans="1:7">
      <c r="A796">
        <v>39.731</v>
      </c>
      <c r="B796" s="8" t="s">
        <v>427</v>
      </c>
      <c r="C796">
        <v>84.1</v>
      </c>
      <c r="E796" s="3">
        <f t="shared" si="39"/>
        <v>39.7</v>
      </c>
      <c r="F796">
        <f t="shared" si="37"/>
        <v>12.13</v>
      </c>
      <c r="G796">
        <f t="shared" si="38"/>
        <v>0</v>
      </c>
    </row>
    <row r="797" spans="1:7">
      <c r="A797">
        <v>39.781</v>
      </c>
      <c r="B797" s="8" t="s">
        <v>447</v>
      </c>
      <c r="C797">
        <v>83.5</v>
      </c>
      <c r="E797" s="3">
        <f t="shared" si="39"/>
        <v>39.75</v>
      </c>
      <c r="F797">
        <f t="shared" si="37"/>
        <v>12.18</v>
      </c>
      <c r="G797">
        <f t="shared" si="38"/>
        <v>0</v>
      </c>
    </row>
    <row r="798" spans="1:7">
      <c r="A798">
        <v>39.831</v>
      </c>
      <c r="B798" s="8" t="s">
        <v>451</v>
      </c>
      <c r="C798">
        <v>84.1</v>
      </c>
      <c r="E798" s="3">
        <f t="shared" si="39"/>
        <v>39.8</v>
      </c>
      <c r="F798">
        <f t="shared" si="37"/>
        <v>12.23</v>
      </c>
      <c r="G798">
        <f t="shared" si="38"/>
        <v>0</v>
      </c>
    </row>
    <row r="799" spans="1:7">
      <c r="A799">
        <v>39.881</v>
      </c>
      <c r="B799" s="8" t="s">
        <v>205</v>
      </c>
      <c r="C799">
        <v>83</v>
      </c>
      <c r="E799" s="3">
        <f t="shared" si="39"/>
        <v>39.85</v>
      </c>
      <c r="F799">
        <f t="shared" si="37"/>
        <v>12.26</v>
      </c>
      <c r="G799">
        <f t="shared" si="38"/>
        <v>0</v>
      </c>
    </row>
    <row r="800" spans="1:7">
      <c r="A800">
        <v>39.931</v>
      </c>
      <c r="B800" s="8" t="s">
        <v>349</v>
      </c>
      <c r="C800">
        <v>84.6</v>
      </c>
      <c r="E800" s="3">
        <f t="shared" si="39"/>
        <v>39.9</v>
      </c>
      <c r="F800">
        <f t="shared" si="37"/>
        <v>12.27</v>
      </c>
      <c r="G800">
        <f t="shared" si="38"/>
        <v>0</v>
      </c>
    </row>
    <row r="801" spans="1:7">
      <c r="A801">
        <v>39.981</v>
      </c>
      <c r="B801" s="8" t="s">
        <v>205</v>
      </c>
      <c r="C801">
        <v>83.6</v>
      </c>
      <c r="E801" s="3">
        <f t="shared" si="39"/>
        <v>39.95</v>
      </c>
      <c r="F801">
        <f t="shared" si="37"/>
        <v>12.26</v>
      </c>
      <c r="G801">
        <f t="shared" si="38"/>
        <v>0</v>
      </c>
    </row>
    <row r="802" spans="1:7">
      <c r="A802">
        <v>40.031</v>
      </c>
      <c r="B802" s="8" t="s">
        <v>349</v>
      </c>
      <c r="C802">
        <v>83.8</v>
      </c>
      <c r="E802" s="3">
        <f t="shared" si="39"/>
        <v>40</v>
      </c>
      <c r="F802">
        <f t="shared" si="37"/>
        <v>12.27</v>
      </c>
      <c r="G802">
        <f t="shared" si="38"/>
        <v>0</v>
      </c>
    </row>
    <row r="803" spans="1:7">
      <c r="A803">
        <v>40.081</v>
      </c>
      <c r="B803" s="8" t="s">
        <v>162</v>
      </c>
      <c r="C803">
        <v>83.8</v>
      </c>
      <c r="E803" s="3">
        <f t="shared" si="39"/>
        <v>40.05</v>
      </c>
      <c r="F803">
        <f t="shared" si="37"/>
        <v>12.21</v>
      </c>
      <c r="G803">
        <f t="shared" si="38"/>
        <v>0</v>
      </c>
    </row>
    <row r="804" spans="1:7">
      <c r="A804">
        <v>40.131</v>
      </c>
      <c r="B804" s="8" t="s">
        <v>447</v>
      </c>
      <c r="C804">
        <v>83.9</v>
      </c>
      <c r="E804" s="3">
        <f t="shared" si="39"/>
        <v>40.1</v>
      </c>
      <c r="F804">
        <f t="shared" si="37"/>
        <v>12.18</v>
      </c>
      <c r="G804">
        <f t="shared" si="38"/>
        <v>0</v>
      </c>
    </row>
    <row r="805" spans="1:7">
      <c r="A805">
        <v>40.181</v>
      </c>
      <c r="B805" s="8" t="s">
        <v>358</v>
      </c>
      <c r="C805">
        <v>83.6</v>
      </c>
      <c r="E805" s="3">
        <f t="shared" si="39"/>
        <v>40.15</v>
      </c>
      <c r="F805">
        <f t="shared" si="37"/>
        <v>12.12</v>
      </c>
      <c r="G805">
        <f t="shared" si="38"/>
        <v>0</v>
      </c>
    </row>
    <row r="806" spans="1:7">
      <c r="A806">
        <v>40.232</v>
      </c>
      <c r="B806" s="8" t="s">
        <v>181</v>
      </c>
      <c r="C806">
        <v>83.4</v>
      </c>
      <c r="E806" s="3">
        <f t="shared" si="39"/>
        <v>40.2</v>
      </c>
      <c r="F806">
        <f t="shared" si="37"/>
        <v>12.1</v>
      </c>
      <c r="G806">
        <f t="shared" si="38"/>
        <v>0</v>
      </c>
    </row>
    <row r="807" spans="1:7">
      <c r="A807">
        <v>40.282</v>
      </c>
      <c r="B807" s="8" t="s">
        <v>114</v>
      </c>
      <c r="C807">
        <v>83.4</v>
      </c>
      <c r="E807" s="3">
        <f t="shared" si="39"/>
        <v>40.25</v>
      </c>
      <c r="F807">
        <f t="shared" si="37"/>
        <v>12.11</v>
      </c>
      <c r="G807">
        <f t="shared" si="38"/>
        <v>0</v>
      </c>
    </row>
    <row r="808" spans="1:7">
      <c r="A808">
        <v>40.332</v>
      </c>
      <c r="B808" s="8" t="s">
        <v>114</v>
      </c>
      <c r="C808">
        <v>83.8</v>
      </c>
      <c r="E808" s="3">
        <f t="shared" si="39"/>
        <v>40.3</v>
      </c>
      <c r="F808">
        <f t="shared" si="37"/>
        <v>12.11</v>
      </c>
      <c r="G808">
        <f t="shared" si="38"/>
        <v>0</v>
      </c>
    </row>
    <row r="809" spans="1:7">
      <c r="A809">
        <v>40.382</v>
      </c>
      <c r="B809" s="8" t="s">
        <v>427</v>
      </c>
      <c r="C809">
        <v>84.5</v>
      </c>
      <c r="E809" s="3">
        <f t="shared" si="39"/>
        <v>40.35</v>
      </c>
      <c r="F809">
        <f t="shared" si="37"/>
        <v>12.13</v>
      </c>
      <c r="G809">
        <f t="shared" si="38"/>
        <v>0</v>
      </c>
    </row>
    <row r="810" spans="1:7">
      <c r="A810">
        <v>40.432</v>
      </c>
      <c r="B810" s="8" t="s">
        <v>191</v>
      </c>
      <c r="C810">
        <v>83.8</v>
      </c>
      <c r="E810" s="3">
        <f t="shared" si="39"/>
        <v>40.4</v>
      </c>
      <c r="F810">
        <f t="shared" si="37"/>
        <v>12.19</v>
      </c>
      <c r="G810">
        <f t="shared" si="38"/>
        <v>0</v>
      </c>
    </row>
    <row r="811" spans="1:7">
      <c r="A811">
        <v>40.482</v>
      </c>
      <c r="B811" s="8" t="s">
        <v>323</v>
      </c>
      <c r="C811">
        <v>83.4</v>
      </c>
      <c r="E811" s="3">
        <f t="shared" si="39"/>
        <v>40.45</v>
      </c>
      <c r="F811">
        <f t="shared" si="37"/>
        <v>12.22</v>
      </c>
      <c r="G811">
        <f t="shared" si="38"/>
        <v>0</v>
      </c>
    </row>
    <row r="812" spans="1:7">
      <c r="A812">
        <v>40.532</v>
      </c>
      <c r="B812" s="8" t="s">
        <v>205</v>
      </c>
      <c r="C812">
        <v>84</v>
      </c>
      <c r="E812" s="3">
        <f t="shared" si="39"/>
        <v>40.5</v>
      </c>
      <c r="F812">
        <f t="shared" si="37"/>
        <v>12.26</v>
      </c>
      <c r="G812">
        <f t="shared" si="38"/>
        <v>0</v>
      </c>
    </row>
    <row r="813" spans="1:7">
      <c r="A813">
        <v>40.582</v>
      </c>
      <c r="B813" s="8" t="s">
        <v>387</v>
      </c>
      <c r="C813">
        <v>84.4</v>
      </c>
      <c r="E813" s="3">
        <f t="shared" si="39"/>
        <v>40.55</v>
      </c>
      <c r="F813">
        <f t="shared" si="37"/>
        <v>12.28</v>
      </c>
      <c r="G813">
        <f t="shared" si="38"/>
        <v>0</v>
      </c>
    </row>
    <row r="814" spans="1:7">
      <c r="A814">
        <v>40.632</v>
      </c>
      <c r="B814" s="8" t="s">
        <v>387</v>
      </c>
      <c r="C814">
        <v>84</v>
      </c>
      <c r="E814" s="3">
        <f t="shared" si="39"/>
        <v>40.6</v>
      </c>
      <c r="F814">
        <f t="shared" si="37"/>
        <v>12.28</v>
      </c>
      <c r="G814">
        <f t="shared" si="38"/>
        <v>0</v>
      </c>
    </row>
    <row r="815" spans="1:7">
      <c r="A815">
        <v>40.682</v>
      </c>
      <c r="B815" s="8" t="s">
        <v>205</v>
      </c>
      <c r="C815">
        <v>84.6</v>
      </c>
      <c r="E815" s="3">
        <f t="shared" si="39"/>
        <v>40.65</v>
      </c>
      <c r="F815">
        <f t="shared" si="37"/>
        <v>12.26</v>
      </c>
      <c r="G815">
        <f t="shared" si="38"/>
        <v>0</v>
      </c>
    </row>
    <row r="816" spans="1:7">
      <c r="A816">
        <v>40.733</v>
      </c>
      <c r="B816" s="8" t="s">
        <v>323</v>
      </c>
      <c r="C816">
        <v>84.8</v>
      </c>
      <c r="E816" s="3">
        <f t="shared" si="39"/>
        <v>40.7</v>
      </c>
      <c r="F816">
        <f t="shared" si="37"/>
        <v>12.22</v>
      </c>
      <c r="G816">
        <f t="shared" si="38"/>
        <v>0</v>
      </c>
    </row>
    <row r="817" spans="1:7">
      <c r="A817">
        <v>40.783</v>
      </c>
      <c r="B817" s="8" t="s">
        <v>191</v>
      </c>
      <c r="C817">
        <v>85.4</v>
      </c>
      <c r="E817" s="3">
        <f t="shared" si="39"/>
        <v>40.75</v>
      </c>
      <c r="F817">
        <f t="shared" si="37"/>
        <v>12.19</v>
      </c>
      <c r="G817">
        <f t="shared" si="38"/>
        <v>0</v>
      </c>
    </row>
    <row r="818" spans="1:7">
      <c r="A818">
        <v>40.833</v>
      </c>
      <c r="B818" s="8" t="s">
        <v>70</v>
      </c>
      <c r="C818">
        <v>83.8</v>
      </c>
      <c r="E818" s="3">
        <f t="shared" si="39"/>
        <v>40.8</v>
      </c>
      <c r="F818">
        <f t="shared" si="37"/>
        <v>12.16</v>
      </c>
      <c r="G818">
        <f t="shared" si="38"/>
        <v>0</v>
      </c>
    </row>
    <row r="819" spans="1:7">
      <c r="A819">
        <v>40.883</v>
      </c>
      <c r="B819" s="8" t="s">
        <v>114</v>
      </c>
      <c r="C819">
        <v>84.2</v>
      </c>
      <c r="E819" s="3">
        <f t="shared" si="39"/>
        <v>40.85</v>
      </c>
      <c r="F819">
        <f t="shared" si="37"/>
        <v>12.11</v>
      </c>
      <c r="G819">
        <f t="shared" si="38"/>
        <v>0</v>
      </c>
    </row>
    <row r="820" spans="1:7">
      <c r="A820">
        <v>40.933</v>
      </c>
      <c r="B820" s="8" t="s">
        <v>358</v>
      </c>
      <c r="C820">
        <v>84.8</v>
      </c>
      <c r="E820" s="3">
        <f t="shared" si="39"/>
        <v>40.9</v>
      </c>
      <c r="F820">
        <f t="shared" si="37"/>
        <v>12.12</v>
      </c>
      <c r="G820">
        <f t="shared" si="38"/>
        <v>0</v>
      </c>
    </row>
    <row r="821" spans="1:7">
      <c r="A821">
        <v>40.983</v>
      </c>
      <c r="B821" s="8" t="s">
        <v>192</v>
      </c>
      <c r="C821">
        <v>83.4</v>
      </c>
      <c r="E821" s="3">
        <f t="shared" si="39"/>
        <v>40.95</v>
      </c>
      <c r="F821">
        <f t="shared" si="37"/>
        <v>12.15</v>
      </c>
      <c r="G821">
        <f t="shared" si="38"/>
        <v>0</v>
      </c>
    </row>
    <row r="822" spans="1:7">
      <c r="A822">
        <v>41.033</v>
      </c>
      <c r="B822" s="8" t="s">
        <v>70</v>
      </c>
      <c r="C822">
        <v>84.1</v>
      </c>
      <c r="E822" s="3">
        <f t="shared" si="39"/>
        <v>41</v>
      </c>
      <c r="F822">
        <f t="shared" si="37"/>
        <v>12.16</v>
      </c>
      <c r="G822">
        <f t="shared" si="38"/>
        <v>0</v>
      </c>
    </row>
    <row r="823" spans="1:7">
      <c r="A823">
        <v>41.083</v>
      </c>
      <c r="B823" s="8" t="s">
        <v>323</v>
      </c>
      <c r="C823">
        <v>82.5</v>
      </c>
      <c r="E823" s="3">
        <f t="shared" si="39"/>
        <v>41.05</v>
      </c>
      <c r="F823">
        <f t="shared" si="37"/>
        <v>12.22</v>
      </c>
      <c r="G823">
        <f t="shared" si="38"/>
        <v>0</v>
      </c>
    </row>
    <row r="824" spans="1:7">
      <c r="A824">
        <v>41.133</v>
      </c>
      <c r="B824" s="8" t="s">
        <v>455</v>
      </c>
      <c r="C824">
        <v>84.4</v>
      </c>
      <c r="E824" s="3">
        <f t="shared" si="39"/>
        <v>41.1</v>
      </c>
      <c r="F824">
        <f t="shared" si="37"/>
        <v>12.25</v>
      </c>
      <c r="G824">
        <f t="shared" si="38"/>
        <v>0</v>
      </c>
    </row>
    <row r="825" spans="1:7">
      <c r="A825">
        <v>41.183</v>
      </c>
      <c r="B825" s="8" t="s">
        <v>205</v>
      </c>
      <c r="C825">
        <v>84.2</v>
      </c>
      <c r="E825" s="3">
        <f t="shared" si="39"/>
        <v>41.15</v>
      </c>
      <c r="F825">
        <f t="shared" si="37"/>
        <v>12.26</v>
      </c>
      <c r="G825">
        <f t="shared" si="38"/>
        <v>0</v>
      </c>
    </row>
    <row r="826" spans="1:7">
      <c r="A826">
        <v>41.234</v>
      </c>
      <c r="B826" s="8" t="s">
        <v>455</v>
      </c>
      <c r="C826">
        <v>83.2</v>
      </c>
      <c r="E826" s="3">
        <f t="shared" si="39"/>
        <v>41.2</v>
      </c>
      <c r="F826">
        <f t="shared" si="37"/>
        <v>12.25</v>
      </c>
      <c r="G826">
        <f t="shared" si="38"/>
        <v>0</v>
      </c>
    </row>
    <row r="827" spans="1:7">
      <c r="A827">
        <v>41.284</v>
      </c>
      <c r="B827" s="8" t="s">
        <v>451</v>
      </c>
      <c r="C827">
        <v>82.8</v>
      </c>
      <c r="E827" s="3">
        <f t="shared" si="39"/>
        <v>41.25</v>
      </c>
      <c r="F827">
        <f t="shared" si="37"/>
        <v>12.23</v>
      </c>
      <c r="G827">
        <f t="shared" si="38"/>
        <v>0</v>
      </c>
    </row>
    <row r="828" spans="1:7">
      <c r="A828">
        <v>41.334</v>
      </c>
      <c r="B828" s="8" t="s">
        <v>204</v>
      </c>
      <c r="C828">
        <v>82.9</v>
      </c>
      <c r="E828" s="3">
        <f t="shared" si="39"/>
        <v>41.3</v>
      </c>
      <c r="F828">
        <f t="shared" si="37"/>
        <v>12.24</v>
      </c>
      <c r="G828">
        <f t="shared" si="38"/>
        <v>0</v>
      </c>
    </row>
    <row r="829" spans="1:7">
      <c r="A829">
        <v>41.384</v>
      </c>
      <c r="B829" s="8" t="s">
        <v>191</v>
      </c>
      <c r="C829">
        <v>83.2</v>
      </c>
      <c r="E829" s="3">
        <f t="shared" si="39"/>
        <v>41.35</v>
      </c>
      <c r="F829">
        <f t="shared" si="37"/>
        <v>12.19</v>
      </c>
      <c r="G829">
        <f t="shared" si="38"/>
        <v>0</v>
      </c>
    </row>
    <row r="830" spans="1:7">
      <c r="A830">
        <v>41.434</v>
      </c>
      <c r="B830" s="8" t="s">
        <v>447</v>
      </c>
      <c r="C830">
        <v>84.7</v>
      </c>
      <c r="E830" s="3">
        <f t="shared" si="39"/>
        <v>41.4</v>
      </c>
      <c r="F830">
        <f t="shared" si="37"/>
        <v>12.18</v>
      </c>
      <c r="G830">
        <f t="shared" si="38"/>
        <v>0</v>
      </c>
    </row>
    <row r="831" spans="1:7">
      <c r="A831">
        <v>41.484</v>
      </c>
      <c r="B831" s="8" t="s">
        <v>192</v>
      </c>
      <c r="C831">
        <v>83.6</v>
      </c>
      <c r="E831" s="3">
        <f t="shared" si="39"/>
        <v>41.45</v>
      </c>
      <c r="F831">
        <f t="shared" si="37"/>
        <v>12.15</v>
      </c>
      <c r="G831">
        <f t="shared" si="38"/>
        <v>0</v>
      </c>
    </row>
    <row r="832" spans="1:7">
      <c r="A832">
        <v>41.534</v>
      </c>
      <c r="B832" s="8" t="s">
        <v>181</v>
      </c>
      <c r="C832">
        <v>84.8</v>
      </c>
      <c r="E832" s="3">
        <f t="shared" si="39"/>
        <v>41.5</v>
      </c>
      <c r="F832">
        <f t="shared" si="37"/>
        <v>12.1</v>
      </c>
      <c r="G832">
        <f t="shared" si="38"/>
        <v>0</v>
      </c>
    </row>
    <row r="833" spans="1:7">
      <c r="A833">
        <v>41.584</v>
      </c>
      <c r="B833" s="8" t="s">
        <v>181</v>
      </c>
      <c r="C833">
        <v>82.8</v>
      </c>
      <c r="E833" s="3">
        <f t="shared" si="39"/>
        <v>41.55</v>
      </c>
      <c r="F833">
        <f t="shared" si="37"/>
        <v>12.1</v>
      </c>
      <c r="G833">
        <f t="shared" si="38"/>
        <v>0</v>
      </c>
    </row>
    <row r="834" spans="1:7">
      <c r="A834">
        <v>41.634</v>
      </c>
      <c r="B834" s="8" t="s">
        <v>399</v>
      </c>
      <c r="C834">
        <v>83.8</v>
      </c>
      <c r="E834" s="3">
        <f t="shared" si="39"/>
        <v>41.6</v>
      </c>
      <c r="F834">
        <f t="shared" si="37"/>
        <v>12.14</v>
      </c>
      <c r="G834">
        <f t="shared" si="38"/>
        <v>0</v>
      </c>
    </row>
    <row r="835" spans="1:7">
      <c r="A835">
        <v>41.684</v>
      </c>
      <c r="B835" s="8" t="s">
        <v>191</v>
      </c>
      <c r="C835">
        <v>84.1</v>
      </c>
      <c r="E835" s="3">
        <f t="shared" si="39"/>
        <v>41.65</v>
      </c>
      <c r="F835">
        <f t="shared" si="37"/>
        <v>12.19</v>
      </c>
      <c r="G835">
        <f t="shared" si="38"/>
        <v>0</v>
      </c>
    </row>
    <row r="836" spans="1:7">
      <c r="A836">
        <v>41.735</v>
      </c>
      <c r="B836" s="8" t="s">
        <v>325</v>
      </c>
      <c r="C836">
        <v>83.5</v>
      </c>
      <c r="E836" s="3">
        <f t="shared" si="39"/>
        <v>41.7</v>
      </c>
      <c r="F836">
        <f t="shared" ref="F836:F871" si="40">B836*1000</f>
        <v>12.2</v>
      </c>
      <c r="G836">
        <f t="shared" ref="G836:G871" si="41">IF(C836&lt;230,0,40)</f>
        <v>0</v>
      </c>
    </row>
    <row r="837" spans="1:7">
      <c r="A837">
        <v>41.785</v>
      </c>
      <c r="B837" s="8" t="s">
        <v>162</v>
      </c>
      <c r="C837">
        <v>83.8</v>
      </c>
      <c r="E837" s="3">
        <f t="shared" si="39"/>
        <v>41.75</v>
      </c>
      <c r="F837">
        <f t="shared" si="40"/>
        <v>12.21</v>
      </c>
      <c r="G837">
        <f t="shared" si="41"/>
        <v>0</v>
      </c>
    </row>
    <row r="838" spans="1:7">
      <c r="A838">
        <v>41.835</v>
      </c>
      <c r="B838" s="8" t="s">
        <v>349</v>
      </c>
      <c r="C838">
        <v>83.2</v>
      </c>
      <c r="E838" s="3">
        <f t="shared" si="39"/>
        <v>41.8</v>
      </c>
      <c r="F838">
        <f t="shared" si="40"/>
        <v>12.27</v>
      </c>
      <c r="G838">
        <f t="shared" si="41"/>
        <v>0</v>
      </c>
    </row>
    <row r="839" spans="1:7">
      <c r="A839">
        <v>41.885</v>
      </c>
      <c r="B839" s="8" t="s">
        <v>205</v>
      </c>
      <c r="C839">
        <v>83.8</v>
      </c>
      <c r="E839" s="3">
        <f t="shared" si="39"/>
        <v>41.85</v>
      </c>
      <c r="F839">
        <f t="shared" si="40"/>
        <v>12.26</v>
      </c>
      <c r="G839">
        <f t="shared" si="41"/>
        <v>0</v>
      </c>
    </row>
    <row r="840" spans="1:7">
      <c r="A840">
        <v>41.935</v>
      </c>
      <c r="B840" s="8" t="s">
        <v>204</v>
      </c>
      <c r="C840">
        <v>84.1</v>
      </c>
      <c r="E840" s="3">
        <f t="shared" si="39"/>
        <v>41.9</v>
      </c>
      <c r="F840">
        <f t="shared" si="40"/>
        <v>12.24</v>
      </c>
      <c r="G840">
        <f t="shared" si="41"/>
        <v>0</v>
      </c>
    </row>
    <row r="841" spans="1:7">
      <c r="A841">
        <v>41.985</v>
      </c>
      <c r="B841" s="8" t="s">
        <v>451</v>
      </c>
      <c r="C841">
        <v>83.8</v>
      </c>
      <c r="E841" s="3">
        <f t="shared" si="39"/>
        <v>41.95</v>
      </c>
      <c r="F841">
        <f t="shared" si="40"/>
        <v>12.23</v>
      </c>
      <c r="G841">
        <f t="shared" si="41"/>
        <v>0</v>
      </c>
    </row>
    <row r="842" spans="1:7">
      <c r="A842">
        <v>42.035</v>
      </c>
      <c r="B842" s="8" t="s">
        <v>162</v>
      </c>
      <c r="C842">
        <v>83.5</v>
      </c>
      <c r="E842" s="3">
        <f t="shared" ref="E842:E871" si="42">FLOOR(A842,0.05)</f>
        <v>42</v>
      </c>
      <c r="F842">
        <f t="shared" si="40"/>
        <v>12.21</v>
      </c>
      <c r="G842">
        <f t="shared" si="41"/>
        <v>0</v>
      </c>
    </row>
    <row r="843" spans="1:7">
      <c r="A843">
        <v>42.085</v>
      </c>
      <c r="B843" s="8" t="s">
        <v>191</v>
      </c>
      <c r="C843">
        <v>84.3</v>
      </c>
      <c r="E843" s="3">
        <f t="shared" si="42"/>
        <v>42.05</v>
      </c>
      <c r="F843">
        <f t="shared" si="40"/>
        <v>12.19</v>
      </c>
      <c r="G843">
        <f t="shared" si="41"/>
        <v>0</v>
      </c>
    </row>
    <row r="844" spans="1:7">
      <c r="A844">
        <v>42.135</v>
      </c>
      <c r="B844" s="8" t="s">
        <v>399</v>
      </c>
      <c r="C844">
        <v>84</v>
      </c>
      <c r="E844" s="3">
        <f t="shared" si="42"/>
        <v>42.1</v>
      </c>
      <c r="F844">
        <f t="shared" si="40"/>
        <v>12.14</v>
      </c>
      <c r="G844">
        <f t="shared" si="41"/>
        <v>0</v>
      </c>
    </row>
    <row r="845" spans="1:7">
      <c r="A845">
        <v>42.185</v>
      </c>
      <c r="B845" s="8" t="s">
        <v>427</v>
      </c>
      <c r="C845">
        <v>84.5</v>
      </c>
      <c r="E845" s="3">
        <f t="shared" si="42"/>
        <v>42.15</v>
      </c>
      <c r="F845">
        <f t="shared" si="40"/>
        <v>12.13</v>
      </c>
      <c r="G845">
        <f t="shared" si="41"/>
        <v>0</v>
      </c>
    </row>
    <row r="846" spans="1:7">
      <c r="A846">
        <v>42.236</v>
      </c>
      <c r="B846" s="8" t="s">
        <v>399</v>
      </c>
      <c r="C846">
        <v>83.9</v>
      </c>
      <c r="E846" s="3">
        <f t="shared" si="42"/>
        <v>42.2</v>
      </c>
      <c r="F846">
        <f t="shared" si="40"/>
        <v>12.14</v>
      </c>
      <c r="G846">
        <f t="shared" si="41"/>
        <v>0</v>
      </c>
    </row>
    <row r="847" spans="1:7">
      <c r="A847">
        <v>42.286</v>
      </c>
      <c r="B847" s="8" t="s">
        <v>441</v>
      </c>
      <c r="C847">
        <v>84.7</v>
      </c>
      <c r="E847" s="3">
        <f t="shared" si="42"/>
        <v>42.25</v>
      </c>
      <c r="F847">
        <f t="shared" si="40"/>
        <v>12.17</v>
      </c>
      <c r="G847">
        <f t="shared" si="41"/>
        <v>0</v>
      </c>
    </row>
    <row r="848" spans="1:7">
      <c r="A848">
        <v>42.336</v>
      </c>
      <c r="B848" s="8" t="s">
        <v>162</v>
      </c>
      <c r="C848">
        <v>83.6</v>
      </c>
      <c r="E848" s="3">
        <f t="shared" si="42"/>
        <v>42.3</v>
      </c>
      <c r="F848">
        <f t="shared" si="40"/>
        <v>12.21</v>
      </c>
      <c r="G848">
        <f t="shared" si="41"/>
        <v>0</v>
      </c>
    </row>
    <row r="849" spans="1:7">
      <c r="A849">
        <v>42.386</v>
      </c>
      <c r="B849" s="8" t="s">
        <v>204</v>
      </c>
      <c r="C849">
        <v>82.9</v>
      </c>
      <c r="E849" s="3">
        <f t="shared" si="42"/>
        <v>42.35</v>
      </c>
      <c r="F849">
        <f t="shared" si="40"/>
        <v>12.24</v>
      </c>
      <c r="G849">
        <f t="shared" si="41"/>
        <v>0</v>
      </c>
    </row>
    <row r="850" spans="1:7">
      <c r="A850">
        <v>42.436</v>
      </c>
      <c r="B850" s="8" t="s">
        <v>204</v>
      </c>
      <c r="C850">
        <v>84.5</v>
      </c>
      <c r="E850" s="3">
        <f t="shared" si="42"/>
        <v>42.4</v>
      </c>
      <c r="F850">
        <f t="shared" si="40"/>
        <v>12.24</v>
      </c>
      <c r="G850">
        <f t="shared" si="41"/>
        <v>0</v>
      </c>
    </row>
    <row r="851" spans="1:7">
      <c r="A851">
        <v>42.486</v>
      </c>
      <c r="B851" s="8" t="s">
        <v>349</v>
      </c>
      <c r="C851">
        <v>84</v>
      </c>
      <c r="E851" s="3">
        <f t="shared" si="42"/>
        <v>42.45</v>
      </c>
      <c r="F851">
        <f t="shared" si="40"/>
        <v>12.27</v>
      </c>
      <c r="G851">
        <f t="shared" si="41"/>
        <v>0</v>
      </c>
    </row>
    <row r="852" spans="1:7">
      <c r="A852">
        <v>42.536</v>
      </c>
      <c r="B852" s="8" t="s">
        <v>204</v>
      </c>
      <c r="C852">
        <v>83.9</v>
      </c>
      <c r="E852" s="3">
        <f t="shared" si="42"/>
        <v>42.5</v>
      </c>
      <c r="F852">
        <f t="shared" si="40"/>
        <v>12.24</v>
      </c>
      <c r="G852">
        <f t="shared" si="41"/>
        <v>0</v>
      </c>
    </row>
    <row r="853" spans="1:7">
      <c r="A853">
        <v>42.586</v>
      </c>
      <c r="B853" s="8" t="s">
        <v>451</v>
      </c>
      <c r="C853">
        <v>83.6</v>
      </c>
      <c r="E853" s="3">
        <f t="shared" si="42"/>
        <v>42.55</v>
      </c>
      <c r="F853">
        <f t="shared" si="40"/>
        <v>12.23</v>
      </c>
      <c r="G853">
        <f t="shared" si="41"/>
        <v>0</v>
      </c>
    </row>
    <row r="854" spans="1:7">
      <c r="A854">
        <v>42.636</v>
      </c>
      <c r="B854" s="8" t="s">
        <v>191</v>
      </c>
      <c r="C854">
        <v>83.3</v>
      </c>
      <c r="E854" s="3">
        <f t="shared" si="42"/>
        <v>42.6</v>
      </c>
      <c r="F854">
        <f t="shared" si="40"/>
        <v>12.19</v>
      </c>
      <c r="G854">
        <f t="shared" si="41"/>
        <v>0</v>
      </c>
    </row>
    <row r="855" spans="1:7">
      <c r="A855">
        <v>42.687</v>
      </c>
      <c r="B855" s="8" t="s">
        <v>191</v>
      </c>
      <c r="C855">
        <v>83.1</v>
      </c>
      <c r="E855" s="3">
        <f t="shared" si="42"/>
        <v>42.65</v>
      </c>
      <c r="F855">
        <f t="shared" si="40"/>
        <v>12.19</v>
      </c>
      <c r="G855">
        <f t="shared" si="41"/>
        <v>0</v>
      </c>
    </row>
    <row r="856" spans="1:7">
      <c r="A856">
        <v>42.737</v>
      </c>
      <c r="B856" s="8" t="s">
        <v>70</v>
      </c>
      <c r="C856">
        <v>84.5</v>
      </c>
      <c r="E856" s="3">
        <f t="shared" si="42"/>
        <v>42.7</v>
      </c>
      <c r="F856">
        <f t="shared" si="40"/>
        <v>12.16</v>
      </c>
      <c r="G856">
        <f t="shared" si="41"/>
        <v>0</v>
      </c>
    </row>
    <row r="857" spans="1:7">
      <c r="A857">
        <v>42.787</v>
      </c>
      <c r="B857" s="8" t="s">
        <v>427</v>
      </c>
      <c r="C857">
        <v>83.9</v>
      </c>
      <c r="E857" s="3">
        <f t="shared" si="42"/>
        <v>42.75</v>
      </c>
      <c r="F857">
        <f t="shared" si="40"/>
        <v>12.13</v>
      </c>
      <c r="G857">
        <f t="shared" si="41"/>
        <v>0</v>
      </c>
    </row>
    <row r="858" spans="1:7">
      <c r="A858">
        <v>42.837</v>
      </c>
      <c r="B858" s="8" t="s">
        <v>358</v>
      </c>
      <c r="C858">
        <v>83.6</v>
      </c>
      <c r="E858" s="3">
        <f t="shared" si="42"/>
        <v>42.8</v>
      </c>
      <c r="F858">
        <f t="shared" si="40"/>
        <v>12.12</v>
      </c>
      <c r="G858">
        <f t="shared" si="41"/>
        <v>0</v>
      </c>
    </row>
    <row r="859" spans="1:7">
      <c r="A859">
        <v>42.887</v>
      </c>
      <c r="B859" s="8" t="s">
        <v>192</v>
      </c>
      <c r="C859">
        <v>84.2</v>
      </c>
      <c r="E859" s="3">
        <f t="shared" si="42"/>
        <v>42.85</v>
      </c>
      <c r="F859">
        <f t="shared" si="40"/>
        <v>12.15</v>
      </c>
      <c r="G859">
        <f t="shared" si="41"/>
        <v>0</v>
      </c>
    </row>
    <row r="860" spans="1:7">
      <c r="A860">
        <v>42.937</v>
      </c>
      <c r="B860" s="8" t="s">
        <v>192</v>
      </c>
      <c r="C860">
        <v>83.4</v>
      </c>
      <c r="E860" s="3">
        <f t="shared" si="42"/>
        <v>42.9</v>
      </c>
      <c r="F860">
        <f t="shared" si="40"/>
        <v>12.15</v>
      </c>
      <c r="G860">
        <f t="shared" si="41"/>
        <v>0</v>
      </c>
    </row>
    <row r="861" spans="1:7">
      <c r="A861">
        <v>42.987</v>
      </c>
      <c r="B861" s="8" t="s">
        <v>447</v>
      </c>
      <c r="C861">
        <v>84</v>
      </c>
      <c r="E861" s="3">
        <f t="shared" si="42"/>
        <v>42.95</v>
      </c>
      <c r="F861">
        <f t="shared" si="40"/>
        <v>12.18</v>
      </c>
      <c r="G861">
        <f t="shared" si="41"/>
        <v>0</v>
      </c>
    </row>
    <row r="862" spans="1:7">
      <c r="A862">
        <v>43.037</v>
      </c>
      <c r="B862" s="8" t="s">
        <v>162</v>
      </c>
      <c r="C862">
        <v>83.9</v>
      </c>
      <c r="E862" s="3">
        <f t="shared" si="42"/>
        <v>43</v>
      </c>
      <c r="F862">
        <f t="shared" si="40"/>
        <v>12.21</v>
      </c>
      <c r="G862">
        <f t="shared" si="41"/>
        <v>0</v>
      </c>
    </row>
    <row r="863" spans="1:7">
      <c r="A863">
        <v>43.087</v>
      </c>
      <c r="B863" s="8" t="s">
        <v>451</v>
      </c>
      <c r="C863">
        <v>84</v>
      </c>
      <c r="E863" s="3">
        <f t="shared" si="42"/>
        <v>43.05</v>
      </c>
      <c r="F863">
        <f t="shared" si="40"/>
        <v>12.23</v>
      </c>
      <c r="G863">
        <f t="shared" si="41"/>
        <v>0</v>
      </c>
    </row>
    <row r="864" spans="1:7">
      <c r="A864">
        <v>43.137</v>
      </c>
      <c r="B864" s="8" t="s">
        <v>205</v>
      </c>
      <c r="C864">
        <v>83.6</v>
      </c>
      <c r="E864" s="3">
        <f t="shared" si="42"/>
        <v>43.1</v>
      </c>
      <c r="F864">
        <f t="shared" si="40"/>
        <v>12.26</v>
      </c>
      <c r="G864">
        <f t="shared" si="41"/>
        <v>0</v>
      </c>
    </row>
    <row r="865" spans="1:7">
      <c r="A865">
        <v>43.188</v>
      </c>
      <c r="B865" s="8" t="s">
        <v>323</v>
      </c>
      <c r="C865">
        <v>83.9</v>
      </c>
      <c r="E865" s="3">
        <f t="shared" si="42"/>
        <v>43.15</v>
      </c>
      <c r="F865">
        <f t="shared" si="40"/>
        <v>12.22</v>
      </c>
      <c r="G865">
        <f t="shared" si="41"/>
        <v>0</v>
      </c>
    </row>
    <row r="866" spans="1:7">
      <c r="A866">
        <v>43.238</v>
      </c>
      <c r="B866" s="8" t="s">
        <v>451</v>
      </c>
      <c r="C866">
        <v>83</v>
      </c>
      <c r="E866" s="3">
        <f t="shared" si="42"/>
        <v>43.2</v>
      </c>
      <c r="F866">
        <f t="shared" si="40"/>
        <v>12.23</v>
      </c>
      <c r="G866">
        <f t="shared" si="41"/>
        <v>0</v>
      </c>
    </row>
    <row r="867" spans="1:7">
      <c r="A867">
        <v>43.288</v>
      </c>
      <c r="B867" s="8" t="s">
        <v>191</v>
      </c>
      <c r="C867">
        <v>82.9</v>
      </c>
      <c r="E867" s="3">
        <f t="shared" si="42"/>
        <v>43.25</v>
      </c>
      <c r="F867">
        <f t="shared" si="40"/>
        <v>12.19</v>
      </c>
      <c r="G867">
        <f t="shared" si="41"/>
        <v>0</v>
      </c>
    </row>
    <row r="868" spans="1:7">
      <c r="A868">
        <v>43.338</v>
      </c>
      <c r="B868" s="8" t="s">
        <v>191</v>
      </c>
      <c r="C868">
        <v>83.8</v>
      </c>
      <c r="E868" s="3">
        <f t="shared" si="42"/>
        <v>43.3</v>
      </c>
      <c r="F868">
        <f t="shared" si="40"/>
        <v>12.19</v>
      </c>
      <c r="G868">
        <f t="shared" si="41"/>
        <v>0</v>
      </c>
    </row>
    <row r="869" spans="1:7">
      <c r="A869">
        <v>43.388</v>
      </c>
      <c r="B869" s="8" t="s">
        <v>192</v>
      </c>
      <c r="C869">
        <v>84.3</v>
      </c>
      <c r="E869" s="3">
        <f t="shared" si="42"/>
        <v>43.35</v>
      </c>
      <c r="F869">
        <f t="shared" si="40"/>
        <v>12.15</v>
      </c>
      <c r="G869">
        <f t="shared" si="41"/>
        <v>0</v>
      </c>
    </row>
    <row r="870" spans="1:7">
      <c r="A870">
        <v>43.438</v>
      </c>
      <c r="B870" s="8" t="s">
        <v>358</v>
      </c>
      <c r="C870">
        <v>84.3</v>
      </c>
      <c r="E870" s="3">
        <f t="shared" si="42"/>
        <v>43.4</v>
      </c>
      <c r="F870">
        <f t="shared" si="40"/>
        <v>12.12</v>
      </c>
      <c r="G870">
        <f t="shared" si="41"/>
        <v>0</v>
      </c>
    </row>
    <row r="871" spans="1:7">
      <c r="A871">
        <v>43.488</v>
      </c>
      <c r="B871" s="8" t="s">
        <v>181</v>
      </c>
      <c r="C871">
        <v>83</v>
      </c>
      <c r="E871" s="3">
        <f t="shared" si="42"/>
        <v>43.45</v>
      </c>
      <c r="F871">
        <f t="shared" si="40"/>
        <v>12.1</v>
      </c>
      <c r="G871">
        <f t="shared" si="41"/>
        <v>0</v>
      </c>
    </row>
  </sheetData>
  <mergeCells count="1">
    <mergeCell ref="A1:C1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3"/>
  <sheetViews>
    <sheetView topLeftCell="A46" workbookViewId="0">
      <selection activeCell="K4" sqref="K4:K1144"/>
    </sheetView>
  </sheetViews>
  <sheetFormatPr defaultColWidth="8.88888888888889" defaultRowHeight="14.4" outlineLevelCol="6"/>
  <cols>
    <col min="1" max="1" width="7.66666666666667" customWidth="1"/>
    <col min="2" max="2" width="10.7777777777778" customWidth="1"/>
    <col min="3" max="3" width="7.66666666666667" customWidth="1"/>
    <col min="6" max="6" width="9.66666666666667"/>
  </cols>
  <sheetData>
    <row r="1" spans="1:7">
      <c r="E1" t="s">
        <v>2</v>
      </c>
      <c r="F1" t="s">
        <v>3</v>
      </c>
      <c r="G1" t="s">
        <v>4</v>
      </c>
    </row>
    <row r="2" spans="1:7">
      <c r="A2" t="s">
        <v>5</v>
      </c>
      <c r="B2" t="s">
        <v>6</v>
      </c>
      <c r="C2" t="s">
        <v>7</v>
      </c>
      <c r="F2" t="s">
        <v>6</v>
      </c>
      <c r="G2" t="s">
        <v>7</v>
      </c>
    </row>
    <row r="3" spans="1:7">
      <c r="A3">
        <v>0</v>
      </c>
      <c r="B3" s="8" t="s">
        <v>456</v>
      </c>
      <c r="C3">
        <v>68.2</v>
      </c>
      <c r="E3" s="3">
        <f t="shared" ref="E3:E66" si="0">FLOOR(A3,0.05)</f>
        <v>0</v>
      </c>
      <c r="F3">
        <f t="shared" ref="F3:F66" si="1">B3*1000</f>
        <v>0.2675</v>
      </c>
      <c r="G3">
        <f>IF(C3&lt;230,0,1)</f>
        <v>0</v>
      </c>
    </row>
    <row r="4" spans="1:7">
      <c r="A4">
        <v>0.05</v>
      </c>
      <c r="B4" s="8" t="s">
        <v>457</v>
      </c>
      <c r="C4">
        <v>69.2</v>
      </c>
      <c r="E4" s="3">
        <f t="shared" si="0"/>
        <v>0.05</v>
      </c>
      <c r="F4">
        <f t="shared" si="1"/>
        <v>0.2763</v>
      </c>
      <c r="G4">
        <f t="shared" ref="G4:G67" si="2">IF(C4&lt;230,0,1)</f>
        <v>0</v>
      </c>
    </row>
    <row r="5" spans="1:7">
      <c r="A5">
        <v>0.1</v>
      </c>
      <c r="B5" s="8" t="s">
        <v>458</v>
      </c>
      <c r="C5">
        <v>68.6</v>
      </c>
      <c r="E5" s="3">
        <f t="shared" si="0"/>
        <v>0.1</v>
      </c>
      <c r="F5">
        <f t="shared" si="1"/>
        <v>0.2886</v>
      </c>
      <c r="G5">
        <f t="shared" si="2"/>
        <v>0</v>
      </c>
    </row>
    <row r="6" spans="1:7">
      <c r="A6">
        <v>0.15</v>
      </c>
      <c r="B6" s="8" t="s">
        <v>459</v>
      </c>
      <c r="C6">
        <v>69.2</v>
      </c>
      <c r="E6" s="3">
        <f t="shared" si="0"/>
        <v>0.15</v>
      </c>
      <c r="F6">
        <f t="shared" si="1"/>
        <v>0.2949</v>
      </c>
      <c r="G6">
        <f t="shared" si="2"/>
        <v>0</v>
      </c>
    </row>
    <row r="7" spans="1:7">
      <c r="A7">
        <v>0.2</v>
      </c>
      <c r="B7" s="8" t="s">
        <v>460</v>
      </c>
      <c r="C7">
        <v>69</v>
      </c>
      <c r="E7" s="3">
        <f t="shared" si="0"/>
        <v>0.2</v>
      </c>
      <c r="F7">
        <f t="shared" si="1"/>
        <v>0.2636</v>
      </c>
      <c r="G7">
        <f t="shared" si="2"/>
        <v>0</v>
      </c>
    </row>
    <row r="8" spans="1:7">
      <c r="A8">
        <v>0.25</v>
      </c>
      <c r="B8" s="8" t="s">
        <v>461</v>
      </c>
      <c r="C8">
        <v>69</v>
      </c>
      <c r="E8" s="3">
        <f t="shared" si="0"/>
        <v>0.25</v>
      </c>
      <c r="F8">
        <f t="shared" si="1"/>
        <v>0.2614</v>
      </c>
      <c r="G8">
        <f t="shared" si="2"/>
        <v>0</v>
      </c>
    </row>
    <row r="9" spans="1:7">
      <c r="A9">
        <v>0.3</v>
      </c>
      <c r="B9" s="8" t="s">
        <v>462</v>
      </c>
      <c r="C9">
        <v>68.9</v>
      </c>
      <c r="E9" s="3">
        <f t="shared" si="0"/>
        <v>0.3</v>
      </c>
      <c r="F9">
        <f t="shared" si="1"/>
        <v>0.2713</v>
      </c>
      <c r="G9">
        <f t="shared" si="2"/>
        <v>0</v>
      </c>
    </row>
    <row r="10" spans="1:7">
      <c r="A10">
        <v>0.351</v>
      </c>
      <c r="B10" s="8" t="s">
        <v>463</v>
      </c>
      <c r="C10">
        <v>68.5</v>
      </c>
      <c r="E10" s="3">
        <f t="shared" si="0"/>
        <v>0.35</v>
      </c>
      <c r="F10">
        <f t="shared" si="1"/>
        <v>0.2347</v>
      </c>
      <c r="G10">
        <f t="shared" si="2"/>
        <v>0</v>
      </c>
    </row>
    <row r="11" spans="1:7">
      <c r="A11">
        <v>0.401</v>
      </c>
      <c r="B11" s="8" t="s">
        <v>464</v>
      </c>
      <c r="C11">
        <v>69.1</v>
      </c>
      <c r="E11" s="3">
        <f t="shared" si="0"/>
        <v>0.4</v>
      </c>
      <c r="F11">
        <f t="shared" si="1"/>
        <v>0.2333</v>
      </c>
      <c r="G11">
        <f t="shared" si="2"/>
        <v>0</v>
      </c>
    </row>
    <row r="12" spans="1:7">
      <c r="A12">
        <v>0.451</v>
      </c>
      <c r="B12" s="8" t="s">
        <v>465</v>
      </c>
      <c r="C12">
        <v>68.8</v>
      </c>
      <c r="E12" s="3">
        <f t="shared" si="0"/>
        <v>0.45</v>
      </c>
      <c r="F12">
        <f t="shared" si="1"/>
        <v>0.2483</v>
      </c>
      <c r="G12">
        <f t="shared" si="2"/>
        <v>0</v>
      </c>
    </row>
    <row r="13" spans="1:7">
      <c r="A13">
        <v>0.501</v>
      </c>
      <c r="B13" s="8" t="s">
        <v>466</v>
      </c>
      <c r="C13">
        <v>68.8</v>
      </c>
      <c r="E13" s="3">
        <f t="shared" si="0"/>
        <v>0.5</v>
      </c>
      <c r="F13">
        <f t="shared" si="1"/>
        <v>0.2931</v>
      </c>
      <c r="G13">
        <f t="shared" si="2"/>
        <v>0</v>
      </c>
    </row>
    <row r="14" spans="1:7">
      <c r="A14">
        <v>0.551</v>
      </c>
      <c r="B14" s="8" t="s">
        <v>467</v>
      </c>
      <c r="C14">
        <v>69.2</v>
      </c>
      <c r="E14" s="3">
        <f t="shared" si="0"/>
        <v>0.55</v>
      </c>
      <c r="F14">
        <f t="shared" si="1"/>
        <v>0.2722</v>
      </c>
      <c r="G14">
        <f t="shared" si="2"/>
        <v>0</v>
      </c>
    </row>
    <row r="15" spans="1:7">
      <c r="A15">
        <v>0.601</v>
      </c>
      <c r="B15" s="8" t="s">
        <v>468</v>
      </c>
      <c r="C15">
        <v>68.4</v>
      </c>
      <c r="E15" s="3">
        <f t="shared" si="0"/>
        <v>0.6</v>
      </c>
      <c r="F15">
        <f t="shared" si="1"/>
        <v>0.242</v>
      </c>
      <c r="G15">
        <f t="shared" si="2"/>
        <v>0</v>
      </c>
    </row>
    <row r="16" spans="1:7">
      <c r="A16">
        <v>0.651</v>
      </c>
      <c r="B16" s="8" t="s">
        <v>469</v>
      </c>
      <c r="C16">
        <v>69.1</v>
      </c>
      <c r="E16" s="3">
        <f t="shared" si="0"/>
        <v>0.65</v>
      </c>
      <c r="F16">
        <f t="shared" si="1"/>
        <v>0.2914</v>
      </c>
      <c r="G16">
        <f t="shared" si="2"/>
        <v>0</v>
      </c>
    </row>
    <row r="17" spans="1:7">
      <c r="A17">
        <v>0.701</v>
      </c>
      <c r="B17" s="8" t="s">
        <v>470</v>
      </c>
      <c r="C17">
        <v>69.2</v>
      </c>
      <c r="E17" s="3">
        <f t="shared" si="0"/>
        <v>0.7</v>
      </c>
      <c r="F17">
        <f t="shared" si="1"/>
        <v>0.2959</v>
      </c>
      <c r="G17">
        <f t="shared" si="2"/>
        <v>0</v>
      </c>
    </row>
    <row r="18" spans="1:7">
      <c r="A18">
        <v>0.751</v>
      </c>
      <c r="B18" s="8" t="s">
        <v>471</v>
      </c>
      <c r="C18">
        <v>69.4</v>
      </c>
      <c r="E18" s="3">
        <f t="shared" si="0"/>
        <v>0.75</v>
      </c>
      <c r="F18">
        <f t="shared" si="1"/>
        <v>0.2878</v>
      </c>
      <c r="G18">
        <f t="shared" si="2"/>
        <v>0</v>
      </c>
    </row>
    <row r="19" spans="1:7">
      <c r="A19">
        <v>0.801</v>
      </c>
      <c r="B19" s="8" t="s">
        <v>472</v>
      </c>
      <c r="C19">
        <v>68.6</v>
      </c>
      <c r="E19" s="3">
        <f t="shared" si="0"/>
        <v>0.8</v>
      </c>
      <c r="F19">
        <f t="shared" si="1"/>
        <v>0.257</v>
      </c>
      <c r="G19">
        <f t="shared" si="2"/>
        <v>0</v>
      </c>
    </row>
    <row r="20" spans="1:7">
      <c r="A20">
        <v>0.851</v>
      </c>
      <c r="B20" s="8" t="s">
        <v>473</v>
      </c>
      <c r="C20">
        <v>69</v>
      </c>
      <c r="E20" s="3">
        <f t="shared" si="0"/>
        <v>0.85</v>
      </c>
      <c r="F20">
        <f t="shared" si="1"/>
        <v>0.258</v>
      </c>
      <c r="G20">
        <f t="shared" si="2"/>
        <v>0</v>
      </c>
    </row>
    <row r="21" spans="1:7">
      <c r="A21">
        <v>0.901</v>
      </c>
      <c r="B21" s="8" t="s">
        <v>474</v>
      </c>
      <c r="C21">
        <v>68.7</v>
      </c>
      <c r="E21" s="3">
        <f t="shared" si="0"/>
        <v>0.9</v>
      </c>
      <c r="F21">
        <f t="shared" si="1"/>
        <v>0.2339</v>
      </c>
      <c r="G21">
        <f t="shared" si="2"/>
        <v>0</v>
      </c>
    </row>
    <row r="22" spans="1:7">
      <c r="A22">
        <v>0.952</v>
      </c>
      <c r="B22" s="8" t="s">
        <v>475</v>
      </c>
      <c r="C22">
        <v>68.9</v>
      </c>
      <c r="E22" s="3">
        <f t="shared" si="0"/>
        <v>0.95</v>
      </c>
      <c r="F22">
        <f t="shared" si="1"/>
        <v>0.2408</v>
      </c>
      <c r="G22">
        <f t="shared" si="2"/>
        <v>0</v>
      </c>
    </row>
    <row r="23" spans="1:7">
      <c r="A23">
        <v>1.002</v>
      </c>
      <c r="B23" s="8" t="s">
        <v>476</v>
      </c>
      <c r="C23">
        <v>68.7</v>
      </c>
      <c r="E23" s="3">
        <f t="shared" si="0"/>
        <v>1</v>
      </c>
      <c r="F23">
        <f t="shared" si="1"/>
        <v>0.2514</v>
      </c>
      <c r="G23">
        <f t="shared" si="2"/>
        <v>0</v>
      </c>
    </row>
    <row r="24" spans="1:7">
      <c r="A24">
        <v>1.052</v>
      </c>
      <c r="B24" s="8" t="s">
        <v>477</v>
      </c>
      <c r="C24">
        <v>69.3</v>
      </c>
      <c r="E24" s="3">
        <f t="shared" si="0"/>
        <v>1.05</v>
      </c>
      <c r="F24">
        <f t="shared" si="1"/>
        <v>0.2536</v>
      </c>
      <c r="G24">
        <f t="shared" si="2"/>
        <v>0</v>
      </c>
    </row>
    <row r="25" spans="1:7">
      <c r="A25">
        <v>1.102</v>
      </c>
      <c r="B25" s="8" t="s">
        <v>478</v>
      </c>
      <c r="C25">
        <v>253.3</v>
      </c>
      <c r="E25" s="3">
        <f t="shared" si="0"/>
        <v>1.1</v>
      </c>
      <c r="F25">
        <f t="shared" si="1"/>
        <v>0.2928</v>
      </c>
      <c r="G25">
        <f t="shared" si="2"/>
        <v>1</v>
      </c>
    </row>
    <row r="26" spans="1:7">
      <c r="A26">
        <v>1.152</v>
      </c>
      <c r="B26" s="8" t="s">
        <v>479</v>
      </c>
      <c r="C26">
        <v>253.9</v>
      </c>
      <c r="E26" s="3">
        <f t="shared" si="0"/>
        <v>1.15</v>
      </c>
      <c r="F26">
        <f t="shared" si="1"/>
        <v>0.2691</v>
      </c>
      <c r="G26">
        <f t="shared" si="2"/>
        <v>1</v>
      </c>
    </row>
    <row r="27" spans="1:7">
      <c r="A27">
        <v>1.202</v>
      </c>
      <c r="B27" s="8" t="s">
        <v>480</v>
      </c>
      <c r="C27">
        <v>254.1</v>
      </c>
      <c r="E27" s="3">
        <f t="shared" si="0"/>
        <v>1.2</v>
      </c>
      <c r="F27">
        <f t="shared" si="1"/>
        <v>0.1811</v>
      </c>
      <c r="G27">
        <f t="shared" si="2"/>
        <v>1</v>
      </c>
    </row>
    <row r="28" spans="1:7">
      <c r="A28">
        <v>1.252</v>
      </c>
      <c r="B28" s="8" t="s">
        <v>481</v>
      </c>
      <c r="C28">
        <v>254</v>
      </c>
      <c r="E28" s="3">
        <f t="shared" si="0"/>
        <v>1.25</v>
      </c>
      <c r="F28">
        <f t="shared" si="1"/>
        <v>0.01868</v>
      </c>
      <c r="G28">
        <f t="shared" si="2"/>
        <v>1</v>
      </c>
    </row>
    <row r="29" spans="1:7">
      <c r="A29">
        <v>1.302</v>
      </c>
      <c r="B29" s="2">
        <v>-0.0002041</v>
      </c>
      <c r="C29">
        <v>254</v>
      </c>
      <c r="E29" s="3">
        <f t="shared" si="0"/>
        <v>1.3</v>
      </c>
      <c r="F29">
        <f t="shared" si="1"/>
        <v>-0.2041</v>
      </c>
      <c r="G29">
        <f t="shared" si="2"/>
        <v>1</v>
      </c>
    </row>
    <row r="30" spans="1:7">
      <c r="A30">
        <v>1.352</v>
      </c>
      <c r="B30" s="2">
        <v>-0.0003935</v>
      </c>
      <c r="C30">
        <v>253.8</v>
      </c>
      <c r="E30" s="3">
        <f t="shared" si="0"/>
        <v>1.35</v>
      </c>
      <c r="F30">
        <f t="shared" si="1"/>
        <v>-0.3935</v>
      </c>
      <c r="G30">
        <f t="shared" si="2"/>
        <v>1</v>
      </c>
    </row>
    <row r="31" spans="1:7">
      <c r="A31">
        <v>1.402</v>
      </c>
      <c r="B31" s="2">
        <v>-0.0005096</v>
      </c>
      <c r="C31">
        <v>253.8</v>
      </c>
      <c r="E31" s="3">
        <f t="shared" si="0"/>
        <v>1.4</v>
      </c>
      <c r="F31">
        <f t="shared" si="1"/>
        <v>-0.5096</v>
      </c>
      <c r="G31">
        <f t="shared" si="2"/>
        <v>1</v>
      </c>
    </row>
    <row r="32" spans="1:7">
      <c r="A32">
        <v>1.452</v>
      </c>
      <c r="B32" s="2">
        <v>-0.0004049</v>
      </c>
      <c r="C32">
        <v>253.8</v>
      </c>
      <c r="E32" s="3">
        <f t="shared" si="0"/>
        <v>1.45</v>
      </c>
      <c r="F32">
        <f t="shared" si="1"/>
        <v>-0.4049</v>
      </c>
      <c r="G32">
        <f t="shared" si="2"/>
        <v>1</v>
      </c>
    </row>
    <row r="33" spans="1:7">
      <c r="A33">
        <v>1.502</v>
      </c>
      <c r="B33" s="2">
        <v>-0.0002437</v>
      </c>
      <c r="C33">
        <v>253.7</v>
      </c>
      <c r="E33" s="3">
        <f t="shared" si="0"/>
        <v>1.5</v>
      </c>
      <c r="F33">
        <f t="shared" si="1"/>
        <v>-0.2437</v>
      </c>
      <c r="G33">
        <f t="shared" si="2"/>
        <v>1</v>
      </c>
    </row>
    <row r="34" spans="1:7">
      <c r="A34">
        <v>1.552</v>
      </c>
      <c r="B34" s="8" t="s">
        <v>482</v>
      </c>
      <c r="C34">
        <v>69</v>
      </c>
      <c r="E34" s="3">
        <f t="shared" si="0"/>
        <v>1.55</v>
      </c>
      <c r="F34">
        <f t="shared" si="1"/>
        <v>0.1313</v>
      </c>
      <c r="G34">
        <f t="shared" si="2"/>
        <v>0</v>
      </c>
    </row>
    <row r="35" spans="1:7">
      <c r="A35">
        <v>1.603</v>
      </c>
      <c r="B35" s="8" t="s">
        <v>483</v>
      </c>
      <c r="C35">
        <v>69.2</v>
      </c>
      <c r="E35" s="3">
        <f t="shared" si="0"/>
        <v>1.6</v>
      </c>
      <c r="F35">
        <f t="shared" si="1"/>
        <v>0.5961</v>
      </c>
      <c r="G35">
        <f t="shared" si="2"/>
        <v>0</v>
      </c>
    </row>
    <row r="36" spans="1:7">
      <c r="A36">
        <v>1.653</v>
      </c>
      <c r="B36" s="8" t="s">
        <v>484</v>
      </c>
      <c r="C36">
        <v>68.5</v>
      </c>
      <c r="E36" s="3">
        <f t="shared" si="0"/>
        <v>1.65</v>
      </c>
      <c r="F36">
        <f t="shared" si="1"/>
        <v>1.105</v>
      </c>
      <c r="G36">
        <f t="shared" si="2"/>
        <v>0</v>
      </c>
    </row>
    <row r="37" spans="1:7">
      <c r="A37">
        <v>1.703</v>
      </c>
      <c r="B37" s="8" t="s">
        <v>485</v>
      </c>
      <c r="C37">
        <v>69.2</v>
      </c>
      <c r="E37" s="3">
        <f t="shared" si="0"/>
        <v>1.7</v>
      </c>
      <c r="F37">
        <f t="shared" si="1"/>
        <v>1.606</v>
      </c>
      <c r="G37">
        <f t="shared" si="2"/>
        <v>0</v>
      </c>
    </row>
    <row r="38" spans="1:7">
      <c r="A38">
        <v>1.753</v>
      </c>
      <c r="B38" s="8" t="s">
        <v>486</v>
      </c>
      <c r="C38">
        <v>68.8</v>
      </c>
      <c r="E38" s="3">
        <f t="shared" si="0"/>
        <v>1.75</v>
      </c>
      <c r="F38">
        <f t="shared" si="1"/>
        <v>1.857</v>
      </c>
      <c r="G38">
        <f t="shared" si="2"/>
        <v>0</v>
      </c>
    </row>
    <row r="39" spans="1:7">
      <c r="A39">
        <v>1.803</v>
      </c>
      <c r="B39" s="8" t="s">
        <v>487</v>
      </c>
      <c r="C39">
        <v>69.1</v>
      </c>
      <c r="E39" s="3">
        <f t="shared" si="0"/>
        <v>1.8</v>
      </c>
      <c r="F39">
        <f t="shared" si="1"/>
        <v>1.924</v>
      </c>
      <c r="G39">
        <f t="shared" si="2"/>
        <v>0</v>
      </c>
    </row>
    <row r="40" spans="1:7">
      <c r="A40">
        <v>1.853</v>
      </c>
      <c r="B40" s="8" t="s">
        <v>488</v>
      </c>
      <c r="C40">
        <v>68.5</v>
      </c>
      <c r="E40" s="3">
        <f t="shared" si="0"/>
        <v>1.85</v>
      </c>
      <c r="F40">
        <f t="shared" si="1"/>
        <v>1.782</v>
      </c>
      <c r="G40">
        <f t="shared" si="2"/>
        <v>0</v>
      </c>
    </row>
    <row r="41" spans="1:7">
      <c r="A41">
        <v>1.903</v>
      </c>
      <c r="B41" s="8" t="s">
        <v>489</v>
      </c>
      <c r="C41">
        <v>254</v>
      </c>
      <c r="E41" s="3">
        <f t="shared" si="0"/>
        <v>1.9</v>
      </c>
      <c r="F41">
        <f t="shared" si="1"/>
        <v>1.346</v>
      </c>
      <c r="G41">
        <f t="shared" si="2"/>
        <v>1</v>
      </c>
    </row>
    <row r="42" spans="1:7">
      <c r="A42">
        <v>1.953</v>
      </c>
      <c r="B42" s="8" t="s">
        <v>490</v>
      </c>
      <c r="C42">
        <v>253.9</v>
      </c>
      <c r="E42" s="3">
        <f t="shared" si="0"/>
        <v>1.95</v>
      </c>
      <c r="F42">
        <f t="shared" si="1"/>
        <v>0.9568</v>
      </c>
      <c r="G42">
        <f t="shared" si="2"/>
        <v>1</v>
      </c>
    </row>
    <row r="43" spans="1:7">
      <c r="A43">
        <v>2.003</v>
      </c>
      <c r="B43" s="8" t="s">
        <v>491</v>
      </c>
      <c r="C43">
        <v>253.8</v>
      </c>
      <c r="E43" s="3">
        <f t="shared" si="0"/>
        <v>2</v>
      </c>
      <c r="F43">
        <f t="shared" si="1"/>
        <v>0.2848</v>
      </c>
      <c r="G43">
        <f t="shared" si="2"/>
        <v>1</v>
      </c>
    </row>
    <row r="44" spans="1:7">
      <c r="A44">
        <v>2.053</v>
      </c>
      <c r="B44" s="2">
        <v>-0.0003056</v>
      </c>
      <c r="C44">
        <v>253.7</v>
      </c>
      <c r="E44" s="3">
        <f t="shared" si="0"/>
        <v>2.05</v>
      </c>
      <c r="F44">
        <f t="shared" si="1"/>
        <v>-0.3056</v>
      </c>
      <c r="G44">
        <f t="shared" si="2"/>
        <v>1</v>
      </c>
    </row>
    <row r="45" spans="1:7">
      <c r="A45">
        <v>2.103</v>
      </c>
      <c r="B45" s="2">
        <v>-0.0005993</v>
      </c>
      <c r="C45">
        <v>253.7</v>
      </c>
      <c r="E45" s="3">
        <f t="shared" si="0"/>
        <v>2.1</v>
      </c>
      <c r="F45">
        <f t="shared" si="1"/>
        <v>-0.5993</v>
      </c>
      <c r="G45">
        <f t="shared" si="2"/>
        <v>1</v>
      </c>
    </row>
    <row r="46" spans="1:7">
      <c r="A46">
        <v>2.153</v>
      </c>
      <c r="B46" s="2">
        <v>-0.0007028</v>
      </c>
      <c r="C46">
        <v>253.8</v>
      </c>
      <c r="E46" s="3">
        <f t="shared" si="0"/>
        <v>2.15</v>
      </c>
      <c r="F46">
        <f t="shared" si="1"/>
        <v>-0.7028</v>
      </c>
      <c r="G46">
        <f t="shared" si="2"/>
        <v>1</v>
      </c>
    </row>
    <row r="47" spans="1:7">
      <c r="A47">
        <v>2.204</v>
      </c>
      <c r="B47" s="2">
        <v>-0.0006218</v>
      </c>
      <c r="C47">
        <v>253.8</v>
      </c>
      <c r="E47" s="3">
        <f t="shared" si="0"/>
        <v>2.2</v>
      </c>
      <c r="F47">
        <f t="shared" si="1"/>
        <v>-0.6218</v>
      </c>
      <c r="G47">
        <f t="shared" si="2"/>
        <v>1</v>
      </c>
    </row>
    <row r="48" spans="1:7">
      <c r="A48">
        <v>2.254</v>
      </c>
      <c r="B48" s="2">
        <v>-0.0002721</v>
      </c>
      <c r="C48">
        <v>253.8</v>
      </c>
      <c r="E48" s="3">
        <f t="shared" si="0"/>
        <v>2.25</v>
      </c>
      <c r="F48">
        <f t="shared" si="1"/>
        <v>-0.2721</v>
      </c>
      <c r="G48">
        <f t="shared" si="2"/>
        <v>1</v>
      </c>
    </row>
    <row r="49" spans="1:7">
      <c r="A49">
        <v>2.304</v>
      </c>
      <c r="B49" s="8" t="s">
        <v>492</v>
      </c>
      <c r="C49">
        <v>253.6</v>
      </c>
      <c r="E49" s="3">
        <f t="shared" si="0"/>
        <v>2.3</v>
      </c>
      <c r="F49">
        <f t="shared" si="1"/>
        <v>0.239</v>
      </c>
      <c r="G49">
        <f t="shared" si="2"/>
        <v>1</v>
      </c>
    </row>
    <row r="50" spans="1:7">
      <c r="A50">
        <v>2.354</v>
      </c>
      <c r="B50" s="8" t="s">
        <v>493</v>
      </c>
      <c r="C50">
        <v>91.4</v>
      </c>
      <c r="E50" s="3">
        <f t="shared" si="0"/>
        <v>2.35</v>
      </c>
      <c r="F50">
        <f t="shared" si="1"/>
        <v>0.9825</v>
      </c>
      <c r="G50">
        <f t="shared" si="2"/>
        <v>0</v>
      </c>
    </row>
    <row r="51" spans="1:7">
      <c r="A51">
        <v>2.404</v>
      </c>
      <c r="B51" s="8" t="s">
        <v>494</v>
      </c>
      <c r="C51">
        <v>91.8</v>
      </c>
      <c r="E51" s="3">
        <f t="shared" si="0"/>
        <v>2.4</v>
      </c>
      <c r="F51">
        <f t="shared" si="1"/>
        <v>1.582</v>
      </c>
      <c r="G51">
        <f t="shared" si="2"/>
        <v>0</v>
      </c>
    </row>
    <row r="52" spans="1:7">
      <c r="A52">
        <v>2.454</v>
      </c>
      <c r="B52" s="8" t="s">
        <v>495</v>
      </c>
      <c r="C52">
        <v>89.6</v>
      </c>
      <c r="E52" s="3">
        <f t="shared" si="0"/>
        <v>2.45</v>
      </c>
      <c r="F52">
        <f t="shared" si="1"/>
        <v>2.201</v>
      </c>
      <c r="G52">
        <f t="shared" si="2"/>
        <v>0</v>
      </c>
    </row>
    <row r="53" spans="1:7">
      <c r="A53">
        <v>2.504</v>
      </c>
      <c r="B53" s="8" t="s">
        <v>496</v>
      </c>
      <c r="C53">
        <v>86.1</v>
      </c>
      <c r="E53" s="3">
        <f t="shared" si="0"/>
        <v>2.5</v>
      </c>
      <c r="F53">
        <f t="shared" si="1"/>
        <v>2.694</v>
      </c>
      <c r="G53">
        <f t="shared" si="2"/>
        <v>0</v>
      </c>
    </row>
    <row r="54" spans="1:7">
      <c r="A54">
        <v>2.554</v>
      </c>
      <c r="B54" s="8" t="s">
        <v>497</v>
      </c>
      <c r="C54">
        <v>82.9</v>
      </c>
      <c r="E54" s="3">
        <f t="shared" si="0"/>
        <v>2.55</v>
      </c>
      <c r="F54">
        <f t="shared" si="1"/>
        <v>2.777</v>
      </c>
      <c r="G54">
        <f t="shared" si="2"/>
        <v>0</v>
      </c>
    </row>
    <row r="55" spans="1:7">
      <c r="A55">
        <v>2.604</v>
      </c>
      <c r="B55" s="8" t="s">
        <v>498</v>
      </c>
      <c r="C55">
        <v>80.1</v>
      </c>
      <c r="E55" s="3">
        <f t="shared" si="0"/>
        <v>2.6</v>
      </c>
      <c r="F55">
        <f t="shared" si="1"/>
        <v>2.634</v>
      </c>
      <c r="G55">
        <f t="shared" si="2"/>
        <v>0</v>
      </c>
    </row>
    <row r="56" spans="1:7">
      <c r="A56">
        <v>2.654</v>
      </c>
      <c r="B56" s="8" t="s">
        <v>499</v>
      </c>
      <c r="C56">
        <v>75.5</v>
      </c>
      <c r="E56" s="3">
        <f t="shared" si="0"/>
        <v>2.65</v>
      </c>
      <c r="F56">
        <f t="shared" si="1"/>
        <v>2.083</v>
      </c>
      <c r="G56">
        <f t="shared" si="2"/>
        <v>0</v>
      </c>
    </row>
    <row r="57" spans="1:7">
      <c r="A57">
        <v>2.704</v>
      </c>
      <c r="B57" s="8" t="s">
        <v>500</v>
      </c>
      <c r="C57">
        <v>253.5</v>
      </c>
      <c r="E57" s="3">
        <f t="shared" si="0"/>
        <v>2.7</v>
      </c>
      <c r="F57">
        <f t="shared" si="1"/>
        <v>1.339</v>
      </c>
      <c r="G57">
        <f t="shared" si="2"/>
        <v>1</v>
      </c>
    </row>
    <row r="58" spans="1:7">
      <c r="A58">
        <v>2.754</v>
      </c>
      <c r="B58" s="8" t="s">
        <v>501</v>
      </c>
      <c r="C58">
        <v>253.8</v>
      </c>
      <c r="E58" s="3">
        <f t="shared" si="0"/>
        <v>2.75</v>
      </c>
      <c r="F58">
        <f t="shared" si="1"/>
        <v>0.8272</v>
      </c>
      <c r="G58">
        <f t="shared" si="2"/>
        <v>1</v>
      </c>
    </row>
    <row r="59" spans="1:7">
      <c r="A59">
        <v>2.804</v>
      </c>
      <c r="B59" s="8" t="s">
        <v>502</v>
      </c>
      <c r="C59">
        <v>253.8</v>
      </c>
      <c r="E59" s="3">
        <f t="shared" si="0"/>
        <v>2.8</v>
      </c>
      <c r="F59">
        <f t="shared" si="1"/>
        <v>0.1249</v>
      </c>
      <c r="G59">
        <f t="shared" si="2"/>
        <v>1</v>
      </c>
    </row>
    <row r="60" spans="1:7">
      <c r="A60">
        <v>2.855</v>
      </c>
      <c r="B60" s="2">
        <v>-0.000375</v>
      </c>
      <c r="C60">
        <v>253.8</v>
      </c>
      <c r="E60" s="3">
        <f t="shared" si="0"/>
        <v>2.85</v>
      </c>
      <c r="F60">
        <f t="shared" si="1"/>
        <v>-0.375</v>
      </c>
      <c r="G60">
        <f t="shared" si="2"/>
        <v>1</v>
      </c>
    </row>
    <row r="61" spans="1:7">
      <c r="A61">
        <v>2.905</v>
      </c>
      <c r="B61" s="2">
        <v>-0.0006163</v>
      </c>
      <c r="C61">
        <v>253.8</v>
      </c>
      <c r="E61" s="3">
        <f t="shared" si="0"/>
        <v>2.9</v>
      </c>
      <c r="F61">
        <f t="shared" si="1"/>
        <v>-0.6163</v>
      </c>
      <c r="G61">
        <f t="shared" si="2"/>
        <v>1</v>
      </c>
    </row>
    <row r="62" spans="1:7">
      <c r="A62">
        <v>2.955</v>
      </c>
      <c r="B62" s="2">
        <v>-0.0005746</v>
      </c>
      <c r="C62">
        <v>253.8</v>
      </c>
      <c r="E62" s="3">
        <f t="shared" si="0"/>
        <v>2.95</v>
      </c>
      <c r="F62">
        <f t="shared" si="1"/>
        <v>-0.5746</v>
      </c>
      <c r="G62">
        <f t="shared" si="2"/>
        <v>1</v>
      </c>
    </row>
    <row r="63" spans="1:7">
      <c r="A63">
        <v>3.005</v>
      </c>
      <c r="B63" s="2">
        <v>-0.0002911</v>
      </c>
      <c r="C63">
        <v>253.9</v>
      </c>
      <c r="E63" s="3">
        <f t="shared" si="0"/>
        <v>3</v>
      </c>
      <c r="F63">
        <f t="shared" si="1"/>
        <v>-0.2911</v>
      </c>
      <c r="G63">
        <f t="shared" si="2"/>
        <v>1</v>
      </c>
    </row>
    <row r="64" spans="1:7">
      <c r="A64">
        <v>3.055</v>
      </c>
      <c r="B64" s="8" t="s">
        <v>503</v>
      </c>
      <c r="C64">
        <v>253.9</v>
      </c>
      <c r="E64" s="3">
        <f t="shared" si="0"/>
        <v>3.05</v>
      </c>
      <c r="F64">
        <f t="shared" si="1"/>
        <v>0.3083</v>
      </c>
      <c r="G64">
        <f t="shared" si="2"/>
        <v>1</v>
      </c>
    </row>
    <row r="65" spans="1:7">
      <c r="A65">
        <v>3.105</v>
      </c>
      <c r="B65" s="8" t="s">
        <v>504</v>
      </c>
      <c r="C65">
        <v>253.8</v>
      </c>
      <c r="E65" s="3">
        <f t="shared" si="0"/>
        <v>3.1</v>
      </c>
      <c r="F65">
        <f t="shared" si="1"/>
        <v>1.023</v>
      </c>
      <c r="G65">
        <f t="shared" si="2"/>
        <v>1</v>
      </c>
    </row>
    <row r="66" spans="1:7">
      <c r="A66">
        <v>3.155</v>
      </c>
      <c r="B66" s="8" t="s">
        <v>505</v>
      </c>
      <c r="C66">
        <v>110.4</v>
      </c>
      <c r="E66" s="3">
        <f t="shared" si="0"/>
        <v>3.15</v>
      </c>
      <c r="F66">
        <f t="shared" si="1"/>
        <v>1.553</v>
      </c>
      <c r="G66">
        <f t="shared" si="2"/>
        <v>0</v>
      </c>
    </row>
    <row r="67" spans="1:7">
      <c r="A67">
        <v>3.205</v>
      </c>
      <c r="B67" s="8" t="s">
        <v>506</v>
      </c>
      <c r="C67">
        <v>101.8</v>
      </c>
      <c r="E67" s="3">
        <f t="shared" ref="E67:E130" si="3">FLOOR(A67,0.05)</f>
        <v>3.2</v>
      </c>
      <c r="F67">
        <f t="shared" ref="F67:F130" si="4">B67*1000</f>
        <v>2.113</v>
      </c>
      <c r="G67">
        <f t="shared" si="2"/>
        <v>0</v>
      </c>
    </row>
    <row r="68" spans="1:7">
      <c r="A68">
        <v>3.255</v>
      </c>
      <c r="B68" s="8" t="s">
        <v>507</v>
      </c>
      <c r="C68">
        <v>94.8</v>
      </c>
      <c r="E68" s="3">
        <f t="shared" si="3"/>
        <v>3.25</v>
      </c>
      <c r="F68">
        <f t="shared" si="4"/>
        <v>2.614</v>
      </c>
      <c r="G68">
        <f t="shared" ref="G68:G131" si="5">IF(C68&lt;230,0,1)</f>
        <v>0</v>
      </c>
    </row>
    <row r="69" spans="1:7">
      <c r="A69">
        <v>3.305</v>
      </c>
      <c r="B69" s="8" t="s">
        <v>508</v>
      </c>
      <c r="C69">
        <v>92.9</v>
      </c>
      <c r="E69" s="3">
        <f t="shared" si="3"/>
        <v>3.3</v>
      </c>
      <c r="F69">
        <f t="shared" si="4"/>
        <v>2.835</v>
      </c>
      <c r="G69">
        <f t="shared" si="5"/>
        <v>0</v>
      </c>
    </row>
    <row r="70" spans="1:7">
      <c r="A70">
        <v>3.355</v>
      </c>
      <c r="B70" s="8" t="s">
        <v>509</v>
      </c>
      <c r="C70">
        <v>92.4</v>
      </c>
      <c r="E70" s="3">
        <f t="shared" si="3"/>
        <v>3.35</v>
      </c>
      <c r="F70">
        <f t="shared" si="4"/>
        <v>2.756</v>
      </c>
      <c r="G70">
        <f t="shared" si="5"/>
        <v>0</v>
      </c>
    </row>
    <row r="71" spans="1:7">
      <c r="A71">
        <v>3.405</v>
      </c>
      <c r="B71" s="8" t="s">
        <v>510</v>
      </c>
      <c r="C71">
        <v>92.2</v>
      </c>
      <c r="E71" s="3">
        <f t="shared" si="3"/>
        <v>3.4</v>
      </c>
      <c r="F71">
        <f t="shared" si="4"/>
        <v>2.391</v>
      </c>
      <c r="G71">
        <f t="shared" si="5"/>
        <v>0</v>
      </c>
    </row>
    <row r="72" spans="1:7">
      <c r="A72">
        <v>3.456</v>
      </c>
      <c r="B72" s="8" t="s">
        <v>511</v>
      </c>
      <c r="C72">
        <v>92.1</v>
      </c>
      <c r="E72" s="3">
        <f t="shared" si="3"/>
        <v>3.45</v>
      </c>
      <c r="F72">
        <f t="shared" si="4"/>
        <v>1.847</v>
      </c>
      <c r="G72">
        <f t="shared" si="5"/>
        <v>0</v>
      </c>
    </row>
    <row r="73" spans="1:7">
      <c r="A73">
        <v>3.506</v>
      </c>
      <c r="B73" s="8" t="s">
        <v>512</v>
      </c>
      <c r="C73">
        <v>246.8</v>
      </c>
      <c r="E73" s="3">
        <f t="shared" si="3"/>
        <v>3.5</v>
      </c>
      <c r="F73">
        <f t="shared" si="4"/>
        <v>1.276</v>
      </c>
      <c r="G73">
        <f t="shared" si="5"/>
        <v>1</v>
      </c>
    </row>
    <row r="74" spans="1:7">
      <c r="A74">
        <v>3.556</v>
      </c>
      <c r="B74" s="8" t="s">
        <v>513</v>
      </c>
      <c r="C74">
        <v>253.6</v>
      </c>
      <c r="E74" s="3">
        <f t="shared" si="3"/>
        <v>3.55</v>
      </c>
      <c r="F74">
        <f t="shared" si="4"/>
        <v>0.8347</v>
      </c>
      <c r="G74">
        <f t="shared" si="5"/>
        <v>1</v>
      </c>
    </row>
    <row r="75" spans="1:7">
      <c r="A75">
        <v>3.606</v>
      </c>
      <c r="B75" s="8" t="s">
        <v>514</v>
      </c>
      <c r="C75">
        <v>253.5</v>
      </c>
      <c r="E75" s="3">
        <f t="shared" si="3"/>
        <v>3.6</v>
      </c>
      <c r="F75">
        <f t="shared" si="4"/>
        <v>0.3537</v>
      </c>
      <c r="G75">
        <f t="shared" si="5"/>
        <v>1</v>
      </c>
    </row>
    <row r="76" spans="1:7">
      <c r="A76">
        <v>3.656</v>
      </c>
      <c r="B76" s="8" t="s">
        <v>515</v>
      </c>
      <c r="C76">
        <v>253.5</v>
      </c>
      <c r="E76" s="3">
        <f t="shared" si="3"/>
        <v>3.65</v>
      </c>
      <c r="F76">
        <f t="shared" si="4"/>
        <v>0.04835</v>
      </c>
      <c r="G76">
        <f t="shared" si="5"/>
        <v>1</v>
      </c>
    </row>
    <row r="77" spans="1:7">
      <c r="A77">
        <v>3.706</v>
      </c>
      <c r="B77" s="2">
        <v>-0.0001262</v>
      </c>
      <c r="C77">
        <v>253.7</v>
      </c>
      <c r="E77" s="3">
        <f t="shared" si="3"/>
        <v>3.7</v>
      </c>
      <c r="F77">
        <f t="shared" si="4"/>
        <v>-0.1262</v>
      </c>
      <c r="G77">
        <f t="shared" si="5"/>
        <v>1</v>
      </c>
    </row>
    <row r="78" spans="1:7">
      <c r="A78">
        <v>3.756</v>
      </c>
      <c r="B78" s="8" t="s">
        <v>516</v>
      </c>
      <c r="C78">
        <v>253.6</v>
      </c>
      <c r="E78" s="3">
        <f t="shared" si="3"/>
        <v>3.75</v>
      </c>
      <c r="F78">
        <f t="shared" si="4"/>
        <v>0.0197</v>
      </c>
      <c r="G78">
        <f t="shared" si="5"/>
        <v>1</v>
      </c>
    </row>
    <row r="79" spans="1:7">
      <c r="A79">
        <v>3.806</v>
      </c>
      <c r="B79" s="8" t="s">
        <v>517</v>
      </c>
      <c r="C79">
        <v>253.8</v>
      </c>
      <c r="E79" s="3">
        <f t="shared" si="3"/>
        <v>3.8</v>
      </c>
      <c r="F79">
        <f t="shared" si="4"/>
        <v>0.273</v>
      </c>
      <c r="G79">
        <f t="shared" si="5"/>
        <v>1</v>
      </c>
    </row>
    <row r="80" spans="1:7">
      <c r="A80">
        <v>3.856</v>
      </c>
      <c r="B80" s="8" t="s">
        <v>518</v>
      </c>
      <c r="C80">
        <v>253.7</v>
      </c>
      <c r="E80" s="3">
        <f t="shared" si="3"/>
        <v>3.85</v>
      </c>
      <c r="F80">
        <f t="shared" si="4"/>
        <v>0.7066</v>
      </c>
      <c r="G80">
        <f t="shared" si="5"/>
        <v>1</v>
      </c>
    </row>
    <row r="81" spans="1:7">
      <c r="A81">
        <v>3.906</v>
      </c>
      <c r="B81" s="8" t="s">
        <v>519</v>
      </c>
      <c r="C81">
        <v>253.6</v>
      </c>
      <c r="E81" s="3">
        <f t="shared" si="3"/>
        <v>3.9</v>
      </c>
      <c r="F81">
        <f t="shared" si="4"/>
        <v>1.242</v>
      </c>
      <c r="G81">
        <f t="shared" si="5"/>
        <v>1</v>
      </c>
    </row>
    <row r="82" spans="1:7">
      <c r="A82">
        <v>3.956</v>
      </c>
      <c r="B82" s="8" t="s">
        <v>520</v>
      </c>
      <c r="C82">
        <v>160.7</v>
      </c>
      <c r="E82" s="3">
        <f t="shared" si="3"/>
        <v>3.95</v>
      </c>
      <c r="F82">
        <f t="shared" si="4"/>
        <v>1.611</v>
      </c>
      <c r="G82">
        <f t="shared" si="5"/>
        <v>0</v>
      </c>
    </row>
    <row r="83" spans="1:7">
      <c r="A83">
        <v>4.006</v>
      </c>
      <c r="B83" s="8" t="s">
        <v>521</v>
      </c>
      <c r="C83">
        <v>159.9</v>
      </c>
      <c r="E83" s="3">
        <f t="shared" si="3"/>
        <v>4</v>
      </c>
      <c r="F83">
        <f t="shared" si="4"/>
        <v>1.98</v>
      </c>
      <c r="G83">
        <f t="shared" si="5"/>
        <v>0</v>
      </c>
    </row>
    <row r="84" spans="1:7">
      <c r="A84">
        <v>4.056</v>
      </c>
      <c r="B84" s="8" t="s">
        <v>522</v>
      </c>
      <c r="C84">
        <v>151</v>
      </c>
      <c r="E84" s="3">
        <f t="shared" si="3"/>
        <v>4.05</v>
      </c>
      <c r="F84">
        <f t="shared" si="4"/>
        <v>2.218</v>
      </c>
      <c r="G84">
        <f t="shared" si="5"/>
        <v>0</v>
      </c>
    </row>
    <row r="85" spans="1:7">
      <c r="A85">
        <v>4.107</v>
      </c>
      <c r="B85" s="8" t="s">
        <v>523</v>
      </c>
      <c r="C85">
        <v>140.2</v>
      </c>
      <c r="E85" s="3">
        <f t="shared" si="3"/>
        <v>4.1</v>
      </c>
      <c r="F85">
        <f t="shared" si="4"/>
        <v>2.438</v>
      </c>
      <c r="G85">
        <f t="shared" si="5"/>
        <v>0</v>
      </c>
    </row>
    <row r="86" spans="1:7">
      <c r="A86">
        <v>4.157</v>
      </c>
      <c r="B86" s="8" t="s">
        <v>524</v>
      </c>
      <c r="C86">
        <v>132.9</v>
      </c>
      <c r="E86" s="3">
        <f t="shared" si="3"/>
        <v>4.15</v>
      </c>
      <c r="F86">
        <f t="shared" si="4"/>
        <v>2.358</v>
      </c>
      <c r="G86">
        <f t="shared" si="5"/>
        <v>0</v>
      </c>
    </row>
    <row r="87" spans="1:7">
      <c r="A87">
        <v>4.207</v>
      </c>
      <c r="B87" s="8" t="s">
        <v>525</v>
      </c>
      <c r="C87">
        <v>121.2</v>
      </c>
      <c r="E87" s="3">
        <f t="shared" si="3"/>
        <v>4.2</v>
      </c>
      <c r="F87">
        <f t="shared" si="4"/>
        <v>2.171</v>
      </c>
      <c r="G87">
        <f t="shared" si="5"/>
        <v>0</v>
      </c>
    </row>
    <row r="88" spans="1:7">
      <c r="A88">
        <v>4.257</v>
      </c>
      <c r="B88" s="8" t="s">
        <v>526</v>
      </c>
      <c r="C88">
        <v>112.7</v>
      </c>
      <c r="E88" s="3">
        <f t="shared" si="3"/>
        <v>4.25</v>
      </c>
      <c r="F88">
        <f t="shared" si="4"/>
        <v>1.799</v>
      </c>
      <c r="G88">
        <f t="shared" si="5"/>
        <v>0</v>
      </c>
    </row>
    <row r="89" spans="1:7">
      <c r="A89">
        <v>4.307</v>
      </c>
      <c r="B89" s="8" t="s">
        <v>527</v>
      </c>
      <c r="C89">
        <v>104</v>
      </c>
      <c r="E89" s="3">
        <f t="shared" si="3"/>
        <v>4.3</v>
      </c>
      <c r="F89">
        <f t="shared" si="4"/>
        <v>1.45</v>
      </c>
      <c r="G89">
        <f t="shared" si="5"/>
        <v>0</v>
      </c>
    </row>
    <row r="90" spans="1:7">
      <c r="A90">
        <v>4.357</v>
      </c>
      <c r="B90" s="8" t="s">
        <v>528</v>
      </c>
      <c r="C90">
        <v>253.9</v>
      </c>
      <c r="E90" s="3">
        <f t="shared" si="3"/>
        <v>4.35</v>
      </c>
      <c r="F90">
        <f t="shared" si="4"/>
        <v>1.236</v>
      </c>
      <c r="G90">
        <f t="shared" si="5"/>
        <v>1</v>
      </c>
    </row>
    <row r="91" spans="1:7">
      <c r="A91">
        <v>4.407</v>
      </c>
      <c r="B91" s="8" t="s">
        <v>529</v>
      </c>
      <c r="C91">
        <v>253.9</v>
      </c>
      <c r="E91" s="3">
        <f t="shared" si="3"/>
        <v>4.4</v>
      </c>
      <c r="F91">
        <f t="shared" si="4"/>
        <v>0.9964</v>
      </c>
      <c r="G91">
        <f t="shared" si="5"/>
        <v>1</v>
      </c>
    </row>
    <row r="92" spans="1:7">
      <c r="A92">
        <v>4.457</v>
      </c>
      <c r="B92" s="8" t="s">
        <v>530</v>
      </c>
      <c r="C92">
        <v>253.8</v>
      </c>
      <c r="E92" s="3">
        <f t="shared" si="3"/>
        <v>4.45</v>
      </c>
      <c r="F92">
        <f t="shared" si="4"/>
        <v>0.8457</v>
      </c>
      <c r="G92">
        <f t="shared" si="5"/>
        <v>1</v>
      </c>
    </row>
    <row r="93" spans="1:7">
      <c r="A93">
        <v>4.507</v>
      </c>
      <c r="B93" s="8" t="s">
        <v>531</v>
      </c>
      <c r="C93">
        <v>253.8</v>
      </c>
      <c r="E93" s="3">
        <f t="shared" si="3"/>
        <v>4.5</v>
      </c>
      <c r="F93">
        <f t="shared" si="4"/>
        <v>0.5996</v>
      </c>
      <c r="G93">
        <f t="shared" si="5"/>
        <v>1</v>
      </c>
    </row>
    <row r="94" spans="1:7">
      <c r="A94">
        <v>4.557</v>
      </c>
      <c r="B94" s="8" t="s">
        <v>532</v>
      </c>
      <c r="C94">
        <v>253.8</v>
      </c>
      <c r="E94" s="3">
        <f t="shared" si="3"/>
        <v>4.55</v>
      </c>
      <c r="F94">
        <f t="shared" si="4"/>
        <v>0.5814</v>
      </c>
      <c r="G94">
        <f t="shared" si="5"/>
        <v>1</v>
      </c>
    </row>
    <row r="95" spans="1:7">
      <c r="A95">
        <v>4.607</v>
      </c>
      <c r="B95" s="8" t="s">
        <v>533</v>
      </c>
      <c r="C95">
        <v>253.8</v>
      </c>
      <c r="E95" s="3">
        <f t="shared" si="3"/>
        <v>4.6</v>
      </c>
      <c r="F95">
        <f t="shared" si="4"/>
        <v>0.673</v>
      </c>
      <c r="G95">
        <f t="shared" si="5"/>
        <v>1</v>
      </c>
    </row>
    <row r="96" spans="1:7">
      <c r="A96">
        <v>4.657</v>
      </c>
      <c r="B96" s="8" t="s">
        <v>534</v>
      </c>
      <c r="C96">
        <v>253.7</v>
      </c>
      <c r="E96" s="3">
        <f t="shared" si="3"/>
        <v>4.65</v>
      </c>
      <c r="F96">
        <f t="shared" si="4"/>
        <v>0.8432</v>
      </c>
      <c r="G96">
        <f t="shared" si="5"/>
        <v>1</v>
      </c>
    </row>
    <row r="97" spans="1:7">
      <c r="A97">
        <v>4.708</v>
      </c>
      <c r="B97" s="8" t="s">
        <v>535</v>
      </c>
      <c r="C97">
        <v>253.8</v>
      </c>
      <c r="E97" s="3">
        <f t="shared" si="3"/>
        <v>4.7</v>
      </c>
      <c r="F97">
        <f t="shared" si="4"/>
        <v>1.026</v>
      </c>
      <c r="G97">
        <f t="shared" si="5"/>
        <v>1</v>
      </c>
    </row>
    <row r="98" spans="1:7">
      <c r="A98">
        <v>4.758</v>
      </c>
      <c r="B98" s="8" t="s">
        <v>536</v>
      </c>
      <c r="C98">
        <v>240.7</v>
      </c>
      <c r="E98" s="3">
        <f t="shared" si="3"/>
        <v>4.75</v>
      </c>
      <c r="F98">
        <f t="shared" si="4"/>
        <v>1.289</v>
      </c>
      <c r="G98">
        <f t="shared" si="5"/>
        <v>1</v>
      </c>
    </row>
    <row r="99" spans="1:7">
      <c r="A99">
        <v>4.808</v>
      </c>
      <c r="B99" s="8" t="s">
        <v>537</v>
      </c>
      <c r="C99">
        <v>177.7</v>
      </c>
      <c r="E99" s="3">
        <f t="shared" si="3"/>
        <v>4.8</v>
      </c>
      <c r="F99">
        <f t="shared" si="4"/>
        <v>1.573</v>
      </c>
      <c r="G99">
        <f t="shared" si="5"/>
        <v>0</v>
      </c>
    </row>
    <row r="100" spans="1:7">
      <c r="A100">
        <v>4.858</v>
      </c>
      <c r="B100" s="8" t="s">
        <v>538</v>
      </c>
      <c r="C100">
        <v>176.5</v>
      </c>
      <c r="E100" s="3">
        <f t="shared" si="3"/>
        <v>4.85</v>
      </c>
      <c r="F100">
        <f t="shared" si="4"/>
        <v>1.95</v>
      </c>
      <c r="G100">
        <f t="shared" si="5"/>
        <v>0</v>
      </c>
    </row>
    <row r="101" spans="1:7">
      <c r="A101">
        <v>4.908</v>
      </c>
      <c r="B101" s="8" t="s">
        <v>539</v>
      </c>
      <c r="C101">
        <v>170.5</v>
      </c>
      <c r="E101" s="3">
        <f t="shared" si="3"/>
        <v>4.9</v>
      </c>
      <c r="F101">
        <f t="shared" si="4"/>
        <v>2.248</v>
      </c>
      <c r="G101">
        <f t="shared" si="5"/>
        <v>0</v>
      </c>
    </row>
    <row r="102" spans="1:7">
      <c r="A102">
        <v>4.958</v>
      </c>
      <c r="B102" s="8" t="s">
        <v>540</v>
      </c>
      <c r="C102">
        <v>162.2</v>
      </c>
      <c r="E102" s="3">
        <f t="shared" si="3"/>
        <v>4.95</v>
      </c>
      <c r="F102">
        <f t="shared" si="4"/>
        <v>2.502</v>
      </c>
      <c r="G102">
        <f t="shared" si="5"/>
        <v>0</v>
      </c>
    </row>
    <row r="103" spans="1:7">
      <c r="A103">
        <v>5.008</v>
      </c>
      <c r="B103" s="8" t="s">
        <v>541</v>
      </c>
      <c r="C103">
        <v>155.9</v>
      </c>
      <c r="E103" s="3">
        <f t="shared" si="3"/>
        <v>5</v>
      </c>
      <c r="F103">
        <f t="shared" si="4"/>
        <v>2.439</v>
      </c>
      <c r="G103">
        <f t="shared" si="5"/>
        <v>0</v>
      </c>
    </row>
    <row r="104" spans="1:7">
      <c r="A104">
        <v>5.058</v>
      </c>
      <c r="B104" s="8" t="s">
        <v>542</v>
      </c>
      <c r="C104">
        <v>147.3</v>
      </c>
      <c r="E104" s="3">
        <f t="shared" si="3"/>
        <v>5.05</v>
      </c>
      <c r="F104">
        <f t="shared" si="4"/>
        <v>2.314</v>
      </c>
      <c r="G104">
        <f t="shared" si="5"/>
        <v>0</v>
      </c>
    </row>
    <row r="105" spans="1:7">
      <c r="A105">
        <v>5.108</v>
      </c>
      <c r="B105" s="8" t="s">
        <v>543</v>
      </c>
      <c r="C105">
        <v>139.7</v>
      </c>
      <c r="E105" s="3">
        <f t="shared" si="3"/>
        <v>5.1</v>
      </c>
      <c r="F105">
        <f t="shared" si="4"/>
        <v>2.118</v>
      </c>
      <c r="G105">
        <f t="shared" si="5"/>
        <v>0</v>
      </c>
    </row>
    <row r="106" spans="1:7">
      <c r="A106">
        <v>5.158</v>
      </c>
      <c r="B106" s="8" t="s">
        <v>544</v>
      </c>
      <c r="C106">
        <v>253.9</v>
      </c>
      <c r="E106" s="3">
        <f t="shared" si="3"/>
        <v>5.15</v>
      </c>
      <c r="F106">
        <f t="shared" si="4"/>
        <v>1.691</v>
      </c>
      <c r="G106">
        <f t="shared" si="5"/>
        <v>1</v>
      </c>
    </row>
    <row r="107" spans="1:7">
      <c r="A107">
        <v>5.208</v>
      </c>
      <c r="B107" s="8" t="s">
        <v>545</v>
      </c>
      <c r="C107">
        <v>253.8</v>
      </c>
      <c r="E107" s="3">
        <f t="shared" si="3"/>
        <v>5.2</v>
      </c>
      <c r="F107">
        <f t="shared" si="4"/>
        <v>1.271</v>
      </c>
      <c r="G107">
        <f t="shared" si="5"/>
        <v>1</v>
      </c>
    </row>
    <row r="108" spans="1:7">
      <c r="A108">
        <v>5.258</v>
      </c>
      <c r="B108" s="8" t="s">
        <v>546</v>
      </c>
      <c r="C108">
        <v>253.8</v>
      </c>
      <c r="E108" s="3">
        <f t="shared" si="3"/>
        <v>5.25</v>
      </c>
      <c r="F108">
        <f t="shared" si="4"/>
        <v>0.912</v>
      </c>
      <c r="G108">
        <f t="shared" si="5"/>
        <v>1</v>
      </c>
    </row>
    <row r="109" spans="1:7">
      <c r="A109">
        <v>5.308</v>
      </c>
      <c r="B109" s="8" t="s">
        <v>547</v>
      </c>
      <c r="C109">
        <v>253.8</v>
      </c>
      <c r="E109" s="3">
        <f t="shared" si="3"/>
        <v>5.3</v>
      </c>
      <c r="F109">
        <f t="shared" si="4"/>
        <v>0.5852</v>
      </c>
      <c r="G109">
        <f t="shared" si="5"/>
        <v>1</v>
      </c>
    </row>
    <row r="110" spans="1:7">
      <c r="A110">
        <v>5.359</v>
      </c>
      <c r="B110" s="8" t="s">
        <v>548</v>
      </c>
      <c r="C110">
        <v>253.8</v>
      </c>
      <c r="E110" s="3">
        <f t="shared" si="3"/>
        <v>5.35</v>
      </c>
      <c r="F110">
        <f t="shared" si="4"/>
        <v>0.3591</v>
      </c>
      <c r="G110">
        <f t="shared" si="5"/>
        <v>1</v>
      </c>
    </row>
    <row r="111" spans="1:7">
      <c r="A111">
        <v>5.409</v>
      </c>
      <c r="B111" s="8" t="s">
        <v>549</v>
      </c>
      <c r="C111">
        <v>253.8</v>
      </c>
      <c r="E111" s="3">
        <f t="shared" si="3"/>
        <v>5.4</v>
      </c>
      <c r="F111">
        <f t="shared" si="4"/>
        <v>0.335</v>
      </c>
      <c r="G111">
        <f t="shared" si="5"/>
        <v>1</v>
      </c>
    </row>
    <row r="112" spans="1:7">
      <c r="A112">
        <v>5.459</v>
      </c>
      <c r="B112" s="8" t="s">
        <v>550</v>
      </c>
      <c r="C112">
        <v>253.8</v>
      </c>
      <c r="E112" s="3">
        <f t="shared" si="3"/>
        <v>5.45</v>
      </c>
      <c r="F112">
        <f t="shared" si="4"/>
        <v>0.4443</v>
      </c>
      <c r="G112">
        <f t="shared" si="5"/>
        <v>1</v>
      </c>
    </row>
    <row r="113" spans="1:7">
      <c r="A113">
        <v>5.509</v>
      </c>
      <c r="B113" s="8" t="s">
        <v>551</v>
      </c>
      <c r="C113">
        <v>253.8</v>
      </c>
      <c r="E113" s="3">
        <f t="shared" si="3"/>
        <v>5.5</v>
      </c>
      <c r="F113">
        <f t="shared" si="4"/>
        <v>0.7259</v>
      </c>
      <c r="G113">
        <f t="shared" si="5"/>
        <v>1</v>
      </c>
    </row>
    <row r="114" spans="1:7">
      <c r="A114">
        <v>5.559</v>
      </c>
      <c r="B114" s="8" t="s">
        <v>552</v>
      </c>
      <c r="C114">
        <v>250.1</v>
      </c>
      <c r="E114" s="3">
        <f t="shared" si="3"/>
        <v>5.55</v>
      </c>
      <c r="F114">
        <f t="shared" si="4"/>
        <v>1.093</v>
      </c>
      <c r="G114">
        <f t="shared" si="5"/>
        <v>1</v>
      </c>
    </row>
    <row r="115" spans="1:7">
      <c r="A115">
        <v>5.609</v>
      </c>
      <c r="B115" s="8" t="s">
        <v>553</v>
      </c>
      <c r="C115">
        <v>188.6</v>
      </c>
      <c r="E115" s="3">
        <f t="shared" si="3"/>
        <v>5.6</v>
      </c>
      <c r="F115">
        <f t="shared" si="4"/>
        <v>1.651</v>
      </c>
      <c r="G115">
        <f t="shared" si="5"/>
        <v>0</v>
      </c>
    </row>
    <row r="116" spans="1:7">
      <c r="A116">
        <v>5.659</v>
      </c>
      <c r="B116" s="8" t="s">
        <v>554</v>
      </c>
      <c r="C116">
        <v>191.1</v>
      </c>
      <c r="E116" s="3">
        <f t="shared" si="3"/>
        <v>5.65</v>
      </c>
      <c r="F116">
        <f t="shared" si="4"/>
        <v>2.116</v>
      </c>
      <c r="G116">
        <f t="shared" si="5"/>
        <v>0</v>
      </c>
    </row>
    <row r="117" spans="1:7">
      <c r="A117">
        <v>5.709</v>
      </c>
      <c r="B117" s="8" t="s">
        <v>555</v>
      </c>
      <c r="C117">
        <v>185.4</v>
      </c>
      <c r="E117" s="3">
        <f t="shared" si="3"/>
        <v>5.7</v>
      </c>
      <c r="F117">
        <f t="shared" si="4"/>
        <v>2.553</v>
      </c>
      <c r="G117">
        <f t="shared" si="5"/>
        <v>0</v>
      </c>
    </row>
    <row r="118" spans="1:7">
      <c r="A118">
        <v>5.759</v>
      </c>
      <c r="B118" s="8" t="s">
        <v>556</v>
      </c>
      <c r="C118">
        <v>179.7</v>
      </c>
      <c r="E118" s="3">
        <f t="shared" si="3"/>
        <v>5.75</v>
      </c>
      <c r="F118">
        <f t="shared" si="4"/>
        <v>2.678</v>
      </c>
      <c r="G118">
        <f t="shared" si="5"/>
        <v>0</v>
      </c>
    </row>
    <row r="119" spans="1:7">
      <c r="A119">
        <v>5.809</v>
      </c>
      <c r="B119" s="8" t="s">
        <v>557</v>
      </c>
      <c r="C119">
        <v>174.2</v>
      </c>
      <c r="E119" s="3">
        <f t="shared" si="3"/>
        <v>5.8</v>
      </c>
      <c r="F119">
        <f t="shared" si="4"/>
        <v>2.731</v>
      </c>
      <c r="G119">
        <f t="shared" si="5"/>
        <v>0</v>
      </c>
    </row>
    <row r="120" spans="1:7">
      <c r="A120">
        <v>5.859</v>
      </c>
      <c r="B120" s="8" t="s">
        <v>558</v>
      </c>
      <c r="C120">
        <v>168.3</v>
      </c>
      <c r="E120" s="3">
        <f t="shared" si="3"/>
        <v>5.85</v>
      </c>
      <c r="F120">
        <f t="shared" si="4"/>
        <v>2.623</v>
      </c>
      <c r="G120">
        <f t="shared" si="5"/>
        <v>0</v>
      </c>
    </row>
    <row r="121" spans="1:7">
      <c r="A121">
        <v>5.909</v>
      </c>
      <c r="B121" s="8" t="s">
        <v>559</v>
      </c>
      <c r="C121">
        <v>161.5</v>
      </c>
      <c r="E121" s="3">
        <f t="shared" si="3"/>
        <v>5.9</v>
      </c>
      <c r="F121">
        <f t="shared" si="4"/>
        <v>2.207</v>
      </c>
      <c r="G121">
        <f t="shared" si="5"/>
        <v>0</v>
      </c>
    </row>
    <row r="122" spans="1:7">
      <c r="A122">
        <v>5.96</v>
      </c>
      <c r="B122" s="8" t="s">
        <v>560</v>
      </c>
      <c r="C122">
        <v>253.7</v>
      </c>
      <c r="E122" s="3">
        <f t="shared" si="3"/>
        <v>5.95</v>
      </c>
      <c r="F122">
        <f t="shared" si="4"/>
        <v>1.793</v>
      </c>
      <c r="G122">
        <f t="shared" si="5"/>
        <v>1</v>
      </c>
    </row>
    <row r="123" spans="1:7">
      <c r="A123">
        <v>6.01</v>
      </c>
      <c r="B123" s="8" t="s">
        <v>561</v>
      </c>
      <c r="C123">
        <v>253.8</v>
      </c>
      <c r="E123" s="3">
        <f t="shared" si="3"/>
        <v>6</v>
      </c>
      <c r="F123">
        <f t="shared" si="4"/>
        <v>1.245</v>
      </c>
      <c r="G123">
        <f t="shared" si="5"/>
        <v>1</v>
      </c>
    </row>
    <row r="124" spans="1:7">
      <c r="A124">
        <v>6.06</v>
      </c>
      <c r="B124" s="8" t="s">
        <v>562</v>
      </c>
      <c r="C124">
        <v>253.8</v>
      </c>
      <c r="E124" s="3">
        <f t="shared" si="3"/>
        <v>6.05</v>
      </c>
      <c r="F124">
        <f t="shared" si="4"/>
        <v>0.7447</v>
      </c>
      <c r="G124">
        <f t="shared" si="5"/>
        <v>1</v>
      </c>
    </row>
    <row r="125" spans="1:7">
      <c r="A125">
        <v>6.11</v>
      </c>
      <c r="B125" s="8" t="s">
        <v>563</v>
      </c>
      <c r="C125">
        <v>253.8</v>
      </c>
      <c r="E125" s="3">
        <f t="shared" si="3"/>
        <v>6.1</v>
      </c>
      <c r="F125">
        <f t="shared" si="4"/>
        <v>0.4036</v>
      </c>
      <c r="G125">
        <f t="shared" si="5"/>
        <v>1</v>
      </c>
    </row>
    <row r="126" spans="1:7">
      <c r="A126">
        <v>6.16</v>
      </c>
      <c r="B126" s="8" t="s">
        <v>564</v>
      </c>
      <c r="C126">
        <v>253.8</v>
      </c>
      <c r="E126" s="3">
        <f t="shared" si="3"/>
        <v>6.15</v>
      </c>
      <c r="F126">
        <f t="shared" si="4"/>
        <v>0.2719</v>
      </c>
      <c r="G126">
        <f t="shared" si="5"/>
        <v>1</v>
      </c>
    </row>
    <row r="127" spans="1:7">
      <c r="A127">
        <v>6.21</v>
      </c>
      <c r="B127" s="8" t="s">
        <v>565</v>
      </c>
      <c r="C127">
        <v>253.8</v>
      </c>
      <c r="E127" s="3">
        <f t="shared" si="3"/>
        <v>6.2</v>
      </c>
      <c r="F127">
        <f t="shared" si="4"/>
        <v>0.3066</v>
      </c>
      <c r="G127">
        <f t="shared" si="5"/>
        <v>1</v>
      </c>
    </row>
    <row r="128" spans="1:7">
      <c r="A128">
        <v>6.26</v>
      </c>
      <c r="B128" s="8" t="s">
        <v>566</v>
      </c>
      <c r="C128">
        <v>253.8</v>
      </c>
      <c r="E128" s="3">
        <f t="shared" si="3"/>
        <v>6.25</v>
      </c>
      <c r="F128">
        <f t="shared" si="4"/>
        <v>0.495</v>
      </c>
      <c r="G128">
        <f t="shared" si="5"/>
        <v>1</v>
      </c>
    </row>
    <row r="129" spans="1:7">
      <c r="A129">
        <v>6.31</v>
      </c>
      <c r="B129" s="8" t="s">
        <v>567</v>
      </c>
      <c r="C129">
        <v>253.8</v>
      </c>
      <c r="E129" s="3">
        <f t="shared" si="3"/>
        <v>6.3</v>
      </c>
      <c r="F129">
        <f t="shared" si="4"/>
        <v>1.016</v>
      </c>
      <c r="G129">
        <f t="shared" si="5"/>
        <v>1</v>
      </c>
    </row>
    <row r="130" spans="1:7">
      <c r="A130">
        <v>6.36</v>
      </c>
      <c r="B130" s="8" t="s">
        <v>568</v>
      </c>
      <c r="C130">
        <v>253.5</v>
      </c>
      <c r="E130" s="3">
        <f t="shared" si="3"/>
        <v>6.35</v>
      </c>
      <c r="F130">
        <f t="shared" si="4"/>
        <v>1.584</v>
      </c>
      <c r="G130">
        <f t="shared" si="5"/>
        <v>1</v>
      </c>
    </row>
    <row r="131" spans="1:7">
      <c r="A131">
        <v>6.41</v>
      </c>
      <c r="B131" s="8" t="s">
        <v>569</v>
      </c>
      <c r="C131">
        <v>200.4</v>
      </c>
      <c r="E131" s="3">
        <f t="shared" ref="E131:E194" si="6">FLOOR(A131,0.05)</f>
        <v>6.4</v>
      </c>
      <c r="F131">
        <f t="shared" ref="F131:F194" si="7">B131*1000</f>
        <v>2.016</v>
      </c>
      <c r="G131">
        <f t="shared" si="5"/>
        <v>0</v>
      </c>
    </row>
    <row r="132" spans="1:7">
      <c r="A132">
        <v>6.46</v>
      </c>
      <c r="B132" s="8" t="s">
        <v>570</v>
      </c>
      <c r="C132">
        <v>203.4</v>
      </c>
      <c r="E132" s="3">
        <f t="shared" si="6"/>
        <v>6.45</v>
      </c>
      <c r="F132">
        <f t="shared" si="7"/>
        <v>2.427</v>
      </c>
      <c r="G132">
        <f t="shared" ref="G132:G195" si="8">IF(C132&lt;230,0,1)</f>
        <v>0</v>
      </c>
    </row>
    <row r="133" spans="1:7">
      <c r="A133">
        <v>6.51</v>
      </c>
      <c r="B133" s="8" t="s">
        <v>571</v>
      </c>
      <c r="C133">
        <v>197.9</v>
      </c>
      <c r="E133" s="3">
        <f t="shared" si="6"/>
        <v>6.5</v>
      </c>
      <c r="F133">
        <f t="shared" si="7"/>
        <v>2.696</v>
      </c>
      <c r="G133">
        <f t="shared" si="8"/>
        <v>0</v>
      </c>
    </row>
    <row r="134" spans="1:7">
      <c r="A134">
        <v>6.56</v>
      </c>
      <c r="B134" s="8" t="s">
        <v>572</v>
      </c>
      <c r="C134">
        <v>193.4</v>
      </c>
      <c r="E134" s="3">
        <f t="shared" si="6"/>
        <v>6.55</v>
      </c>
      <c r="F134">
        <f t="shared" si="7"/>
        <v>2.826</v>
      </c>
      <c r="G134">
        <f t="shared" si="8"/>
        <v>0</v>
      </c>
    </row>
    <row r="135" spans="1:7">
      <c r="A135">
        <v>6.611</v>
      </c>
      <c r="B135" s="8" t="s">
        <v>573</v>
      </c>
      <c r="C135">
        <v>187.8</v>
      </c>
      <c r="E135" s="3">
        <f t="shared" si="6"/>
        <v>6.6</v>
      </c>
      <c r="F135">
        <f t="shared" si="7"/>
        <v>2.768</v>
      </c>
      <c r="G135">
        <f t="shared" si="8"/>
        <v>0</v>
      </c>
    </row>
    <row r="136" spans="1:7">
      <c r="A136">
        <v>6.661</v>
      </c>
      <c r="B136" s="8" t="s">
        <v>574</v>
      </c>
      <c r="C136">
        <v>182.3</v>
      </c>
      <c r="E136" s="3">
        <f t="shared" si="6"/>
        <v>6.65</v>
      </c>
      <c r="F136">
        <f t="shared" si="7"/>
        <v>2.552</v>
      </c>
      <c r="G136">
        <f t="shared" si="8"/>
        <v>0</v>
      </c>
    </row>
    <row r="137" spans="1:7">
      <c r="A137">
        <v>6.711</v>
      </c>
      <c r="B137" s="8" t="s">
        <v>575</v>
      </c>
      <c r="C137">
        <v>176.7</v>
      </c>
      <c r="E137" s="3">
        <f t="shared" si="6"/>
        <v>6.7</v>
      </c>
      <c r="F137">
        <f t="shared" si="7"/>
        <v>2.053</v>
      </c>
      <c r="G137">
        <f t="shared" si="8"/>
        <v>0</v>
      </c>
    </row>
    <row r="138" spans="1:7">
      <c r="A138">
        <v>6.761</v>
      </c>
      <c r="B138" s="8" t="s">
        <v>576</v>
      </c>
      <c r="C138">
        <v>253.9</v>
      </c>
      <c r="E138" s="3">
        <f t="shared" si="6"/>
        <v>6.75</v>
      </c>
      <c r="F138">
        <f t="shared" si="7"/>
        <v>1.595</v>
      </c>
      <c r="G138">
        <f t="shared" si="8"/>
        <v>1</v>
      </c>
    </row>
    <row r="139" spans="1:7">
      <c r="A139">
        <v>6.811</v>
      </c>
      <c r="B139" s="8" t="s">
        <v>577</v>
      </c>
      <c r="C139">
        <v>253.7</v>
      </c>
      <c r="E139" s="3">
        <f t="shared" si="6"/>
        <v>6.8</v>
      </c>
      <c r="F139">
        <f t="shared" si="7"/>
        <v>1.215</v>
      </c>
      <c r="G139">
        <f t="shared" si="8"/>
        <v>1</v>
      </c>
    </row>
    <row r="140" spans="1:7">
      <c r="A140">
        <v>6.861</v>
      </c>
      <c r="B140" s="8" t="s">
        <v>578</v>
      </c>
      <c r="C140">
        <v>253.8</v>
      </c>
      <c r="E140" s="3">
        <f t="shared" si="6"/>
        <v>6.85</v>
      </c>
      <c r="F140">
        <f t="shared" si="7"/>
        <v>0.9327</v>
      </c>
      <c r="G140">
        <f t="shared" si="8"/>
        <v>1</v>
      </c>
    </row>
    <row r="141" spans="1:7">
      <c r="A141">
        <v>6.911</v>
      </c>
      <c r="B141" s="8" t="s">
        <v>579</v>
      </c>
      <c r="C141">
        <v>253.7</v>
      </c>
      <c r="E141" s="3">
        <f t="shared" si="6"/>
        <v>6.9</v>
      </c>
      <c r="F141">
        <f t="shared" si="7"/>
        <v>0.7893</v>
      </c>
      <c r="G141">
        <f t="shared" si="8"/>
        <v>1</v>
      </c>
    </row>
    <row r="142" spans="1:7">
      <c r="A142">
        <v>6.961</v>
      </c>
      <c r="B142" s="8" t="s">
        <v>580</v>
      </c>
      <c r="C142">
        <v>253.8</v>
      </c>
      <c r="E142" s="3">
        <f t="shared" si="6"/>
        <v>6.95</v>
      </c>
      <c r="F142">
        <f t="shared" si="7"/>
        <v>0.6635</v>
      </c>
      <c r="G142">
        <f t="shared" si="8"/>
        <v>1</v>
      </c>
    </row>
    <row r="143" spans="1:7">
      <c r="A143">
        <v>7.011</v>
      </c>
      <c r="B143" s="8" t="s">
        <v>581</v>
      </c>
      <c r="C143">
        <v>253.8</v>
      </c>
      <c r="E143" s="3">
        <f t="shared" si="6"/>
        <v>7</v>
      </c>
      <c r="F143">
        <f t="shared" si="7"/>
        <v>0.7704</v>
      </c>
      <c r="G143">
        <f t="shared" si="8"/>
        <v>1</v>
      </c>
    </row>
    <row r="144" spans="1:7">
      <c r="A144">
        <v>7.061</v>
      </c>
      <c r="B144" s="8" t="s">
        <v>582</v>
      </c>
      <c r="C144">
        <v>253.8</v>
      </c>
      <c r="E144" s="3">
        <f t="shared" si="6"/>
        <v>7.05</v>
      </c>
      <c r="F144">
        <f t="shared" si="7"/>
        <v>0.9466</v>
      </c>
      <c r="G144">
        <f t="shared" si="8"/>
        <v>1</v>
      </c>
    </row>
    <row r="145" spans="1:7">
      <c r="A145">
        <v>7.111</v>
      </c>
      <c r="B145" s="8" t="s">
        <v>583</v>
      </c>
      <c r="C145">
        <v>253.7</v>
      </c>
      <c r="E145" s="3">
        <f t="shared" si="6"/>
        <v>7.1</v>
      </c>
      <c r="F145">
        <f t="shared" si="7"/>
        <v>1.28</v>
      </c>
      <c r="G145">
        <f t="shared" si="8"/>
        <v>1</v>
      </c>
    </row>
    <row r="146" spans="1:7">
      <c r="A146">
        <v>7.161</v>
      </c>
      <c r="B146" s="8" t="s">
        <v>584</v>
      </c>
      <c r="C146">
        <v>253.7</v>
      </c>
      <c r="E146" s="3">
        <f t="shared" si="6"/>
        <v>7.15</v>
      </c>
      <c r="F146">
        <f t="shared" si="7"/>
        <v>1.636</v>
      </c>
      <c r="G146">
        <f t="shared" si="8"/>
        <v>1</v>
      </c>
    </row>
    <row r="147" spans="1:7">
      <c r="A147">
        <v>7.212</v>
      </c>
      <c r="B147" s="8" t="s">
        <v>585</v>
      </c>
      <c r="C147">
        <v>209.2</v>
      </c>
      <c r="E147" s="3">
        <f t="shared" si="6"/>
        <v>7.2</v>
      </c>
      <c r="F147">
        <f t="shared" si="7"/>
        <v>1.972</v>
      </c>
      <c r="G147">
        <f t="shared" si="8"/>
        <v>0</v>
      </c>
    </row>
    <row r="148" spans="1:7">
      <c r="A148">
        <v>7.262</v>
      </c>
      <c r="B148" s="8" t="s">
        <v>586</v>
      </c>
      <c r="C148">
        <v>210.8</v>
      </c>
      <c r="E148" s="3">
        <f t="shared" si="6"/>
        <v>7.25</v>
      </c>
      <c r="F148">
        <f t="shared" si="7"/>
        <v>2.261</v>
      </c>
      <c r="G148">
        <f t="shared" si="8"/>
        <v>0</v>
      </c>
    </row>
    <row r="149" spans="1:7">
      <c r="A149">
        <v>7.312</v>
      </c>
      <c r="B149" s="8" t="s">
        <v>587</v>
      </c>
      <c r="C149">
        <v>205.3</v>
      </c>
      <c r="E149" s="3">
        <f t="shared" si="6"/>
        <v>7.3</v>
      </c>
      <c r="F149">
        <f t="shared" si="7"/>
        <v>2.522</v>
      </c>
      <c r="G149">
        <f t="shared" si="8"/>
        <v>0</v>
      </c>
    </row>
    <row r="150" spans="1:7">
      <c r="A150">
        <v>7.362</v>
      </c>
      <c r="B150" s="8" t="s">
        <v>555</v>
      </c>
      <c r="C150">
        <v>202.2</v>
      </c>
      <c r="E150" s="3">
        <f t="shared" si="6"/>
        <v>7.35</v>
      </c>
      <c r="F150">
        <f t="shared" si="7"/>
        <v>2.553</v>
      </c>
      <c r="G150">
        <f t="shared" si="8"/>
        <v>0</v>
      </c>
    </row>
    <row r="151" spans="1:7">
      <c r="A151">
        <v>7.412</v>
      </c>
      <c r="B151" s="8" t="s">
        <v>588</v>
      </c>
      <c r="C151">
        <v>196.7</v>
      </c>
      <c r="E151" s="3">
        <f t="shared" si="6"/>
        <v>7.4</v>
      </c>
      <c r="F151">
        <f t="shared" si="7"/>
        <v>2.49</v>
      </c>
      <c r="G151">
        <f t="shared" si="8"/>
        <v>0</v>
      </c>
    </row>
    <row r="152" spans="1:7">
      <c r="A152">
        <v>7.462</v>
      </c>
      <c r="B152" s="8" t="s">
        <v>589</v>
      </c>
      <c r="C152">
        <v>192.2</v>
      </c>
      <c r="E152" s="3">
        <f t="shared" si="6"/>
        <v>7.45</v>
      </c>
      <c r="F152">
        <f t="shared" si="7"/>
        <v>2.338</v>
      </c>
      <c r="G152">
        <f t="shared" si="8"/>
        <v>0</v>
      </c>
    </row>
    <row r="153" spans="1:7">
      <c r="A153">
        <v>7.512</v>
      </c>
      <c r="B153" s="8" t="s">
        <v>590</v>
      </c>
      <c r="C153">
        <v>186.8</v>
      </c>
      <c r="E153" s="3">
        <f t="shared" si="6"/>
        <v>7.5</v>
      </c>
      <c r="F153">
        <f t="shared" si="7"/>
        <v>2.105</v>
      </c>
      <c r="G153">
        <f t="shared" si="8"/>
        <v>0</v>
      </c>
    </row>
    <row r="154" spans="1:7">
      <c r="A154">
        <v>7.562</v>
      </c>
      <c r="B154" s="8" t="s">
        <v>591</v>
      </c>
      <c r="C154">
        <v>230.1</v>
      </c>
      <c r="E154" s="3">
        <f t="shared" si="6"/>
        <v>7.55</v>
      </c>
      <c r="F154">
        <f t="shared" si="7"/>
        <v>1.813</v>
      </c>
      <c r="G154">
        <f t="shared" si="8"/>
        <v>1</v>
      </c>
    </row>
    <row r="155" spans="1:7">
      <c r="A155">
        <v>7.612</v>
      </c>
      <c r="B155" s="8" t="s">
        <v>592</v>
      </c>
      <c r="C155">
        <v>253.8</v>
      </c>
      <c r="E155" s="3">
        <f t="shared" si="6"/>
        <v>7.6</v>
      </c>
      <c r="F155">
        <f t="shared" si="7"/>
        <v>1.596</v>
      </c>
      <c r="G155">
        <f t="shared" si="8"/>
        <v>1</v>
      </c>
    </row>
    <row r="156" spans="1:7">
      <c r="A156">
        <v>7.662</v>
      </c>
      <c r="B156" s="8" t="s">
        <v>593</v>
      </c>
      <c r="C156">
        <v>253.9</v>
      </c>
      <c r="E156" s="3">
        <f t="shared" si="6"/>
        <v>7.65</v>
      </c>
      <c r="F156">
        <f t="shared" si="7"/>
        <v>1.342</v>
      </c>
      <c r="G156">
        <f t="shared" si="8"/>
        <v>1</v>
      </c>
    </row>
    <row r="157" spans="1:7">
      <c r="A157">
        <v>7.712</v>
      </c>
      <c r="B157" s="8" t="s">
        <v>594</v>
      </c>
      <c r="C157">
        <v>253.8</v>
      </c>
      <c r="E157" s="3">
        <f t="shared" si="6"/>
        <v>7.7</v>
      </c>
      <c r="F157">
        <f t="shared" si="7"/>
        <v>1.177</v>
      </c>
      <c r="G157">
        <f t="shared" si="8"/>
        <v>1</v>
      </c>
    </row>
    <row r="158" spans="1:7">
      <c r="A158">
        <v>7.762</v>
      </c>
      <c r="B158" s="8" t="s">
        <v>595</v>
      </c>
      <c r="C158">
        <v>253.9</v>
      </c>
      <c r="E158" s="3">
        <f t="shared" si="6"/>
        <v>7.75</v>
      </c>
      <c r="F158">
        <f t="shared" si="7"/>
        <v>1.025</v>
      </c>
      <c r="G158">
        <f t="shared" si="8"/>
        <v>1</v>
      </c>
    </row>
    <row r="159" spans="1:7">
      <c r="A159">
        <v>7.812</v>
      </c>
      <c r="B159" s="8" t="s">
        <v>596</v>
      </c>
      <c r="C159">
        <v>253.8</v>
      </c>
      <c r="E159" s="3">
        <f t="shared" si="6"/>
        <v>7.8</v>
      </c>
      <c r="F159">
        <f t="shared" si="7"/>
        <v>1.05</v>
      </c>
      <c r="G159">
        <f t="shared" si="8"/>
        <v>1</v>
      </c>
    </row>
    <row r="160" spans="1:7">
      <c r="A160">
        <v>7.863</v>
      </c>
      <c r="B160" s="8" t="s">
        <v>552</v>
      </c>
      <c r="C160">
        <v>253.8</v>
      </c>
      <c r="E160" s="3">
        <f t="shared" si="6"/>
        <v>7.85</v>
      </c>
      <c r="F160">
        <f t="shared" si="7"/>
        <v>1.093</v>
      </c>
      <c r="G160">
        <f t="shared" si="8"/>
        <v>1</v>
      </c>
    </row>
    <row r="161" spans="1:7">
      <c r="A161">
        <v>7.913</v>
      </c>
      <c r="B161" s="8" t="s">
        <v>597</v>
      </c>
      <c r="C161">
        <v>253.8</v>
      </c>
      <c r="E161" s="3">
        <f t="shared" si="6"/>
        <v>7.9</v>
      </c>
      <c r="F161">
        <f t="shared" si="7"/>
        <v>1.189</v>
      </c>
      <c r="G161">
        <f t="shared" si="8"/>
        <v>1</v>
      </c>
    </row>
    <row r="162" spans="1:7">
      <c r="A162">
        <v>7.963</v>
      </c>
      <c r="B162" s="8" t="s">
        <v>598</v>
      </c>
      <c r="C162">
        <v>253.8</v>
      </c>
      <c r="E162" s="3">
        <f t="shared" si="6"/>
        <v>7.95</v>
      </c>
      <c r="F162">
        <f t="shared" si="7"/>
        <v>1.386</v>
      </c>
      <c r="G162">
        <f t="shared" si="8"/>
        <v>1</v>
      </c>
    </row>
    <row r="163" spans="1:7">
      <c r="A163">
        <v>8.013</v>
      </c>
      <c r="B163" s="8" t="s">
        <v>37</v>
      </c>
      <c r="C163">
        <v>212.3</v>
      </c>
      <c r="E163" s="3">
        <f t="shared" si="6"/>
        <v>8</v>
      </c>
      <c r="F163">
        <f t="shared" si="7"/>
        <v>1.683</v>
      </c>
      <c r="G163">
        <f t="shared" si="8"/>
        <v>0</v>
      </c>
    </row>
    <row r="164" spans="1:7">
      <c r="A164">
        <v>8.063</v>
      </c>
      <c r="B164" s="8" t="s">
        <v>599</v>
      </c>
      <c r="C164">
        <v>215.8</v>
      </c>
      <c r="E164" s="3">
        <f t="shared" si="6"/>
        <v>8.05</v>
      </c>
      <c r="F164">
        <f t="shared" si="7"/>
        <v>1.926</v>
      </c>
      <c r="G164">
        <f t="shared" si="8"/>
        <v>0</v>
      </c>
    </row>
    <row r="165" spans="1:7">
      <c r="A165">
        <v>8.113</v>
      </c>
      <c r="B165" s="8" t="s">
        <v>600</v>
      </c>
      <c r="C165">
        <v>210.2</v>
      </c>
      <c r="E165" s="3">
        <f t="shared" si="6"/>
        <v>8.1</v>
      </c>
      <c r="F165">
        <f t="shared" si="7"/>
        <v>2.263</v>
      </c>
      <c r="G165">
        <f t="shared" si="8"/>
        <v>0</v>
      </c>
    </row>
    <row r="166" spans="1:7">
      <c r="A166">
        <v>8.163</v>
      </c>
      <c r="B166" s="8" t="s">
        <v>601</v>
      </c>
      <c r="C166">
        <v>205.6</v>
      </c>
      <c r="E166" s="3">
        <f t="shared" si="6"/>
        <v>8.15</v>
      </c>
      <c r="F166">
        <f t="shared" si="7"/>
        <v>2.619</v>
      </c>
      <c r="G166">
        <f t="shared" si="8"/>
        <v>0</v>
      </c>
    </row>
    <row r="167" spans="1:7">
      <c r="A167">
        <v>8.213</v>
      </c>
      <c r="B167" s="8" t="s">
        <v>602</v>
      </c>
      <c r="C167">
        <v>200.8</v>
      </c>
      <c r="E167" s="3">
        <f t="shared" si="6"/>
        <v>8.2</v>
      </c>
      <c r="F167">
        <f t="shared" si="7"/>
        <v>2.772</v>
      </c>
      <c r="G167">
        <f t="shared" si="8"/>
        <v>0</v>
      </c>
    </row>
    <row r="168" spans="1:7">
      <c r="A168">
        <v>8.263</v>
      </c>
      <c r="B168" s="8" t="s">
        <v>603</v>
      </c>
      <c r="C168">
        <v>196.3</v>
      </c>
      <c r="E168" s="3">
        <f t="shared" si="6"/>
        <v>8.25</v>
      </c>
      <c r="F168">
        <f t="shared" si="7"/>
        <v>2.792</v>
      </c>
      <c r="G168">
        <f t="shared" si="8"/>
        <v>0</v>
      </c>
    </row>
    <row r="169" spans="1:7">
      <c r="A169">
        <v>8.313</v>
      </c>
      <c r="B169" s="8" t="s">
        <v>604</v>
      </c>
      <c r="C169">
        <v>191.7</v>
      </c>
      <c r="E169" s="3">
        <f t="shared" si="6"/>
        <v>8.3</v>
      </c>
      <c r="F169">
        <f t="shared" si="7"/>
        <v>2.64</v>
      </c>
      <c r="G169">
        <f t="shared" si="8"/>
        <v>0</v>
      </c>
    </row>
    <row r="170" spans="1:7">
      <c r="A170">
        <v>8.363</v>
      </c>
      <c r="B170" s="8" t="s">
        <v>605</v>
      </c>
      <c r="C170">
        <v>187.7</v>
      </c>
      <c r="E170" s="3">
        <f t="shared" si="6"/>
        <v>8.35</v>
      </c>
      <c r="F170">
        <f t="shared" si="7"/>
        <v>2.425</v>
      </c>
      <c r="G170">
        <f t="shared" si="8"/>
        <v>0</v>
      </c>
    </row>
    <row r="171" spans="1:7">
      <c r="A171">
        <v>8.413</v>
      </c>
      <c r="B171" s="8" t="s">
        <v>606</v>
      </c>
      <c r="C171">
        <v>254.1</v>
      </c>
      <c r="E171" s="3">
        <f t="shared" si="6"/>
        <v>8.4</v>
      </c>
      <c r="F171">
        <f t="shared" si="7"/>
        <v>2.076</v>
      </c>
      <c r="G171">
        <f t="shared" si="8"/>
        <v>1</v>
      </c>
    </row>
    <row r="172" spans="1:7">
      <c r="A172">
        <v>8.464</v>
      </c>
      <c r="B172" s="8" t="s">
        <v>607</v>
      </c>
      <c r="C172">
        <v>254</v>
      </c>
      <c r="E172" s="3">
        <f t="shared" si="6"/>
        <v>8.45</v>
      </c>
      <c r="F172">
        <f t="shared" si="7"/>
        <v>1.647</v>
      </c>
      <c r="G172">
        <f t="shared" si="8"/>
        <v>1</v>
      </c>
    </row>
    <row r="173" spans="1:7">
      <c r="A173">
        <v>8.514</v>
      </c>
      <c r="B173" s="8" t="s">
        <v>608</v>
      </c>
      <c r="C173">
        <v>254</v>
      </c>
      <c r="E173" s="3">
        <f t="shared" si="6"/>
        <v>8.5</v>
      </c>
      <c r="F173">
        <f t="shared" si="7"/>
        <v>1.323</v>
      </c>
      <c r="G173">
        <f t="shared" si="8"/>
        <v>1</v>
      </c>
    </row>
    <row r="174" spans="1:7">
      <c r="A174">
        <v>8.564</v>
      </c>
      <c r="B174" s="8" t="s">
        <v>609</v>
      </c>
      <c r="C174">
        <v>253.8</v>
      </c>
      <c r="E174" s="3">
        <f t="shared" si="6"/>
        <v>8.55</v>
      </c>
      <c r="F174">
        <f t="shared" si="7"/>
        <v>1.011</v>
      </c>
      <c r="G174">
        <f t="shared" si="8"/>
        <v>1</v>
      </c>
    </row>
    <row r="175" spans="1:7">
      <c r="A175">
        <v>8.614</v>
      </c>
      <c r="B175" s="8" t="s">
        <v>610</v>
      </c>
      <c r="C175">
        <v>253.7</v>
      </c>
      <c r="E175" s="3">
        <f t="shared" si="6"/>
        <v>8.6</v>
      </c>
      <c r="F175">
        <f t="shared" si="7"/>
        <v>0.8655</v>
      </c>
      <c r="G175">
        <f t="shared" si="8"/>
        <v>1</v>
      </c>
    </row>
    <row r="176" spans="1:7">
      <c r="A176">
        <v>8.664</v>
      </c>
      <c r="B176" s="8" t="s">
        <v>611</v>
      </c>
      <c r="C176">
        <v>253.7</v>
      </c>
      <c r="E176" s="3">
        <f t="shared" si="6"/>
        <v>8.65</v>
      </c>
      <c r="F176">
        <f t="shared" si="7"/>
        <v>0.7879</v>
      </c>
      <c r="G176">
        <f t="shared" si="8"/>
        <v>1</v>
      </c>
    </row>
    <row r="177" spans="1:7">
      <c r="A177">
        <v>8.714</v>
      </c>
      <c r="B177" s="8" t="s">
        <v>612</v>
      </c>
      <c r="C177">
        <v>253.7</v>
      </c>
      <c r="E177" s="3">
        <f t="shared" si="6"/>
        <v>8.7</v>
      </c>
      <c r="F177">
        <f t="shared" si="7"/>
        <v>0.9764</v>
      </c>
      <c r="G177">
        <f t="shared" si="8"/>
        <v>1</v>
      </c>
    </row>
    <row r="178" spans="1:7">
      <c r="A178">
        <v>8.764</v>
      </c>
      <c r="B178" s="8" t="s">
        <v>43</v>
      </c>
      <c r="C178">
        <v>253.7</v>
      </c>
      <c r="E178" s="3">
        <f t="shared" si="6"/>
        <v>8.75</v>
      </c>
      <c r="F178">
        <f t="shared" si="7"/>
        <v>1.296</v>
      </c>
      <c r="G178">
        <f t="shared" si="8"/>
        <v>1</v>
      </c>
    </row>
    <row r="179" spans="1:7">
      <c r="A179">
        <v>8.814</v>
      </c>
      <c r="B179" s="8" t="s">
        <v>613</v>
      </c>
      <c r="C179">
        <v>240.6</v>
      </c>
      <c r="E179" s="3">
        <f t="shared" si="6"/>
        <v>8.8</v>
      </c>
      <c r="F179">
        <f t="shared" si="7"/>
        <v>1.645</v>
      </c>
      <c r="G179">
        <f t="shared" si="8"/>
        <v>1</v>
      </c>
    </row>
    <row r="180" spans="1:7">
      <c r="A180">
        <v>8.864</v>
      </c>
      <c r="B180" s="8" t="s">
        <v>614</v>
      </c>
      <c r="C180">
        <v>214.5</v>
      </c>
      <c r="E180" s="3">
        <f t="shared" si="6"/>
        <v>8.85</v>
      </c>
      <c r="F180">
        <f t="shared" si="7"/>
        <v>2.131</v>
      </c>
      <c r="G180">
        <f t="shared" si="8"/>
        <v>0</v>
      </c>
    </row>
    <row r="181" spans="1:7">
      <c r="A181">
        <v>8.914</v>
      </c>
      <c r="B181" s="8" t="s">
        <v>615</v>
      </c>
      <c r="C181">
        <v>212.6</v>
      </c>
      <c r="E181" s="3">
        <f t="shared" si="6"/>
        <v>8.9</v>
      </c>
      <c r="F181">
        <f t="shared" si="7"/>
        <v>2.542</v>
      </c>
      <c r="G181">
        <f t="shared" si="8"/>
        <v>0</v>
      </c>
    </row>
    <row r="182" spans="1:7">
      <c r="A182">
        <v>8.964</v>
      </c>
      <c r="B182" s="8" t="s">
        <v>616</v>
      </c>
      <c r="C182">
        <v>209.2</v>
      </c>
      <c r="E182" s="3">
        <f t="shared" si="6"/>
        <v>8.95</v>
      </c>
      <c r="F182">
        <f t="shared" si="7"/>
        <v>2.79</v>
      </c>
      <c r="G182">
        <f t="shared" si="8"/>
        <v>0</v>
      </c>
    </row>
    <row r="183" spans="1:7">
      <c r="A183">
        <v>9.014</v>
      </c>
      <c r="B183" s="8" t="s">
        <v>617</v>
      </c>
      <c r="C183">
        <v>204.7</v>
      </c>
      <c r="E183" s="3">
        <f t="shared" si="6"/>
        <v>9</v>
      </c>
      <c r="F183">
        <f t="shared" si="7"/>
        <v>2.906</v>
      </c>
      <c r="G183">
        <f t="shared" si="8"/>
        <v>0</v>
      </c>
    </row>
    <row r="184" spans="1:7">
      <c r="A184">
        <v>9.064</v>
      </c>
      <c r="B184" s="8" t="s">
        <v>618</v>
      </c>
      <c r="C184">
        <v>200.9</v>
      </c>
      <c r="E184" s="3">
        <f t="shared" si="6"/>
        <v>9.05</v>
      </c>
      <c r="F184">
        <f t="shared" si="7"/>
        <v>2.799</v>
      </c>
      <c r="G184">
        <f t="shared" si="8"/>
        <v>0</v>
      </c>
    </row>
    <row r="185" spans="1:7">
      <c r="A185">
        <v>9.115</v>
      </c>
      <c r="B185" s="8" t="s">
        <v>619</v>
      </c>
      <c r="C185">
        <v>195.8</v>
      </c>
      <c r="E185" s="3">
        <f t="shared" si="6"/>
        <v>9.1</v>
      </c>
      <c r="F185">
        <f t="shared" si="7"/>
        <v>2.601</v>
      </c>
      <c r="G185">
        <f t="shared" si="8"/>
        <v>0</v>
      </c>
    </row>
    <row r="186" spans="1:7">
      <c r="A186">
        <v>9.165</v>
      </c>
      <c r="B186" s="8" t="s">
        <v>525</v>
      </c>
      <c r="C186">
        <v>191.7</v>
      </c>
      <c r="E186" s="3">
        <f t="shared" si="6"/>
        <v>9.15</v>
      </c>
      <c r="F186">
        <f t="shared" si="7"/>
        <v>2.171</v>
      </c>
      <c r="G186">
        <f t="shared" si="8"/>
        <v>0</v>
      </c>
    </row>
    <row r="187" spans="1:7">
      <c r="A187">
        <v>9.215</v>
      </c>
      <c r="B187" s="8" t="s">
        <v>620</v>
      </c>
      <c r="C187">
        <v>186.4</v>
      </c>
      <c r="E187" s="3">
        <f t="shared" si="6"/>
        <v>9.2</v>
      </c>
      <c r="F187">
        <f t="shared" si="7"/>
        <v>1.777</v>
      </c>
      <c r="G187">
        <f t="shared" si="8"/>
        <v>0</v>
      </c>
    </row>
    <row r="188" spans="1:7">
      <c r="A188">
        <v>9.265</v>
      </c>
      <c r="B188" s="8" t="s">
        <v>621</v>
      </c>
      <c r="C188">
        <v>182</v>
      </c>
      <c r="E188" s="3">
        <f t="shared" si="6"/>
        <v>9.25</v>
      </c>
      <c r="F188">
        <f t="shared" si="7"/>
        <v>1.436</v>
      </c>
      <c r="G188">
        <f t="shared" si="8"/>
        <v>0</v>
      </c>
    </row>
    <row r="189" spans="1:7">
      <c r="A189">
        <v>9.315</v>
      </c>
      <c r="B189" s="8" t="s">
        <v>622</v>
      </c>
      <c r="C189">
        <v>176.4</v>
      </c>
      <c r="E189" s="3">
        <f t="shared" si="6"/>
        <v>9.3</v>
      </c>
      <c r="F189">
        <f t="shared" si="7"/>
        <v>1.269</v>
      </c>
      <c r="G189">
        <f t="shared" si="8"/>
        <v>0</v>
      </c>
    </row>
    <row r="190" spans="1:7">
      <c r="A190">
        <v>9.365</v>
      </c>
      <c r="B190" s="8" t="s">
        <v>623</v>
      </c>
      <c r="C190">
        <v>171.1</v>
      </c>
      <c r="E190" s="3">
        <f t="shared" si="6"/>
        <v>9.35</v>
      </c>
      <c r="F190">
        <f t="shared" si="7"/>
        <v>1.227</v>
      </c>
      <c r="G190">
        <f t="shared" si="8"/>
        <v>0</v>
      </c>
    </row>
    <row r="191" spans="1:7">
      <c r="A191">
        <v>9.415</v>
      </c>
      <c r="B191" s="8" t="s">
        <v>624</v>
      </c>
      <c r="C191">
        <v>164.5</v>
      </c>
      <c r="E191" s="3">
        <f t="shared" si="6"/>
        <v>9.4</v>
      </c>
      <c r="F191">
        <f t="shared" si="7"/>
        <v>1.44</v>
      </c>
      <c r="G191">
        <f t="shared" si="8"/>
        <v>0</v>
      </c>
    </row>
    <row r="192" spans="1:7">
      <c r="A192">
        <v>9.465</v>
      </c>
      <c r="B192" s="8" t="s">
        <v>625</v>
      </c>
      <c r="C192">
        <v>158.2</v>
      </c>
      <c r="E192" s="3">
        <f t="shared" si="6"/>
        <v>9.45</v>
      </c>
      <c r="F192">
        <f t="shared" si="7"/>
        <v>1.822</v>
      </c>
      <c r="G192">
        <f t="shared" si="8"/>
        <v>0</v>
      </c>
    </row>
    <row r="193" spans="1:7">
      <c r="A193">
        <v>9.515</v>
      </c>
      <c r="B193" s="8" t="s">
        <v>626</v>
      </c>
      <c r="C193">
        <v>150.6</v>
      </c>
      <c r="E193" s="3">
        <f t="shared" si="6"/>
        <v>9.5</v>
      </c>
      <c r="F193">
        <f t="shared" si="7"/>
        <v>2.184</v>
      </c>
      <c r="G193">
        <f t="shared" si="8"/>
        <v>0</v>
      </c>
    </row>
    <row r="194" spans="1:7">
      <c r="A194">
        <v>9.565</v>
      </c>
      <c r="B194" s="8" t="s">
        <v>627</v>
      </c>
      <c r="C194">
        <v>144</v>
      </c>
      <c r="E194" s="3">
        <f t="shared" si="6"/>
        <v>9.55</v>
      </c>
      <c r="F194">
        <f t="shared" si="7"/>
        <v>2.637</v>
      </c>
      <c r="G194">
        <f t="shared" si="8"/>
        <v>0</v>
      </c>
    </row>
    <row r="195" spans="1:7">
      <c r="A195">
        <v>9.615</v>
      </c>
      <c r="B195" s="8" t="s">
        <v>628</v>
      </c>
      <c r="C195">
        <v>137.4</v>
      </c>
      <c r="E195" s="3">
        <f t="shared" ref="E195:E258" si="9">FLOOR(A195,0.05)</f>
        <v>9.6</v>
      </c>
      <c r="F195">
        <f t="shared" ref="F195:F258" si="10">B195*1000</f>
        <v>2.875</v>
      </c>
      <c r="G195">
        <f t="shared" si="8"/>
        <v>0</v>
      </c>
    </row>
    <row r="196" spans="1:7">
      <c r="A196">
        <v>9.665</v>
      </c>
      <c r="B196" s="8" t="s">
        <v>629</v>
      </c>
      <c r="C196">
        <v>128.5</v>
      </c>
      <c r="E196" s="3">
        <f t="shared" si="9"/>
        <v>9.65</v>
      </c>
      <c r="F196">
        <f t="shared" si="10"/>
        <v>2.845</v>
      </c>
      <c r="G196">
        <f t="shared" ref="G196:G259" si="11">IF(C196&lt;230,0,1)</f>
        <v>0</v>
      </c>
    </row>
    <row r="197" spans="1:7">
      <c r="A197">
        <v>9.716</v>
      </c>
      <c r="B197" s="8" t="s">
        <v>630</v>
      </c>
      <c r="C197">
        <v>120.2</v>
      </c>
      <c r="E197" s="3">
        <f t="shared" si="9"/>
        <v>9.7</v>
      </c>
      <c r="F197">
        <f t="shared" si="10"/>
        <v>2.712</v>
      </c>
      <c r="G197">
        <f t="shared" si="11"/>
        <v>0</v>
      </c>
    </row>
    <row r="198" spans="1:7">
      <c r="A198">
        <v>9.766</v>
      </c>
      <c r="B198" s="8" t="s">
        <v>631</v>
      </c>
      <c r="C198">
        <v>112.8</v>
      </c>
      <c r="E198" s="3">
        <f t="shared" si="9"/>
        <v>9.75</v>
      </c>
      <c r="F198">
        <f t="shared" si="10"/>
        <v>2.443</v>
      </c>
      <c r="G198">
        <f t="shared" si="11"/>
        <v>0</v>
      </c>
    </row>
    <row r="199" spans="1:7">
      <c r="A199">
        <v>9.816</v>
      </c>
      <c r="B199" s="8" t="s">
        <v>632</v>
      </c>
      <c r="C199">
        <v>104.9</v>
      </c>
      <c r="E199" s="3">
        <f t="shared" si="9"/>
        <v>9.8</v>
      </c>
      <c r="F199">
        <f t="shared" si="10"/>
        <v>2.046</v>
      </c>
      <c r="G199">
        <f t="shared" si="11"/>
        <v>0</v>
      </c>
    </row>
    <row r="200" spans="1:7">
      <c r="A200">
        <v>9.866</v>
      </c>
      <c r="B200" s="8" t="s">
        <v>37</v>
      </c>
      <c r="C200">
        <v>98</v>
      </c>
      <c r="E200" s="3">
        <f t="shared" si="9"/>
        <v>9.85</v>
      </c>
      <c r="F200">
        <f t="shared" si="10"/>
        <v>1.683</v>
      </c>
      <c r="G200">
        <f t="shared" si="11"/>
        <v>0</v>
      </c>
    </row>
    <row r="201" spans="1:7">
      <c r="A201">
        <v>9.916</v>
      </c>
      <c r="B201" s="8" t="s">
        <v>633</v>
      </c>
      <c r="C201">
        <v>95.1</v>
      </c>
      <c r="E201" s="3">
        <f t="shared" si="9"/>
        <v>9.9</v>
      </c>
      <c r="F201">
        <f t="shared" si="10"/>
        <v>1.394</v>
      </c>
      <c r="G201">
        <f t="shared" si="11"/>
        <v>0</v>
      </c>
    </row>
    <row r="202" spans="1:7">
      <c r="A202">
        <v>9.966</v>
      </c>
      <c r="B202" s="8" t="s">
        <v>634</v>
      </c>
      <c r="C202">
        <v>92.6</v>
      </c>
      <c r="E202" s="3">
        <f t="shared" si="9"/>
        <v>9.95</v>
      </c>
      <c r="F202">
        <f t="shared" si="10"/>
        <v>1.38</v>
      </c>
      <c r="G202">
        <f t="shared" si="11"/>
        <v>0</v>
      </c>
    </row>
    <row r="203" spans="1:7">
      <c r="A203">
        <v>10.016</v>
      </c>
      <c r="B203" s="8" t="s">
        <v>635</v>
      </c>
      <c r="C203">
        <v>92.9</v>
      </c>
      <c r="E203" s="3">
        <f t="shared" si="9"/>
        <v>10</v>
      </c>
      <c r="F203">
        <f t="shared" si="10"/>
        <v>1.5</v>
      </c>
      <c r="G203">
        <f t="shared" si="11"/>
        <v>0</v>
      </c>
    </row>
    <row r="204" spans="1:7">
      <c r="A204">
        <v>10.066</v>
      </c>
      <c r="B204" s="8" t="s">
        <v>636</v>
      </c>
      <c r="C204">
        <v>92.5</v>
      </c>
      <c r="E204" s="3">
        <f t="shared" si="9"/>
        <v>10.05</v>
      </c>
      <c r="F204">
        <f t="shared" si="10"/>
        <v>1.737</v>
      </c>
      <c r="G204">
        <f t="shared" si="11"/>
        <v>0</v>
      </c>
    </row>
    <row r="205" spans="1:7">
      <c r="A205">
        <v>10.116</v>
      </c>
      <c r="B205" s="8" t="s">
        <v>637</v>
      </c>
      <c r="C205">
        <v>92.2</v>
      </c>
      <c r="E205" s="3">
        <f t="shared" si="9"/>
        <v>10.1</v>
      </c>
      <c r="F205">
        <f t="shared" si="10"/>
        <v>2.092</v>
      </c>
      <c r="G205">
        <f t="shared" si="11"/>
        <v>0</v>
      </c>
    </row>
    <row r="206" spans="1:7">
      <c r="A206">
        <v>10.166</v>
      </c>
      <c r="B206" s="8" t="s">
        <v>638</v>
      </c>
      <c r="C206">
        <v>92</v>
      </c>
      <c r="E206" s="3">
        <f t="shared" si="9"/>
        <v>10.15</v>
      </c>
      <c r="F206">
        <f t="shared" si="10"/>
        <v>2.409</v>
      </c>
      <c r="G206">
        <f t="shared" si="11"/>
        <v>0</v>
      </c>
    </row>
    <row r="207" spans="1:7">
      <c r="A207">
        <v>10.216</v>
      </c>
      <c r="B207" s="8" t="s">
        <v>639</v>
      </c>
      <c r="C207">
        <v>91.7</v>
      </c>
      <c r="E207" s="3">
        <f t="shared" si="9"/>
        <v>10.2</v>
      </c>
      <c r="F207">
        <f t="shared" si="10"/>
        <v>2.602</v>
      </c>
      <c r="G207">
        <f t="shared" si="11"/>
        <v>0</v>
      </c>
    </row>
    <row r="208" spans="1:7">
      <c r="A208">
        <v>10.266</v>
      </c>
      <c r="B208" s="8" t="s">
        <v>640</v>
      </c>
      <c r="C208">
        <v>91.8</v>
      </c>
      <c r="E208" s="3">
        <f t="shared" si="9"/>
        <v>10.25</v>
      </c>
      <c r="F208">
        <f t="shared" si="10"/>
        <v>2.605</v>
      </c>
      <c r="G208">
        <f t="shared" si="11"/>
        <v>0</v>
      </c>
    </row>
    <row r="209" spans="1:7">
      <c r="A209">
        <v>10.316</v>
      </c>
      <c r="B209" s="8" t="s">
        <v>641</v>
      </c>
      <c r="C209">
        <v>92.3</v>
      </c>
      <c r="E209" s="3">
        <f t="shared" si="9"/>
        <v>10.3</v>
      </c>
      <c r="F209">
        <f t="shared" si="10"/>
        <v>2.632</v>
      </c>
      <c r="G209">
        <f t="shared" si="11"/>
        <v>0</v>
      </c>
    </row>
    <row r="210" spans="1:7">
      <c r="A210">
        <v>10.367</v>
      </c>
      <c r="B210" s="8" t="s">
        <v>642</v>
      </c>
      <c r="C210">
        <v>91.6</v>
      </c>
      <c r="E210" s="3">
        <f t="shared" si="9"/>
        <v>10.35</v>
      </c>
      <c r="F210">
        <f t="shared" si="10"/>
        <v>2.466</v>
      </c>
      <c r="G210">
        <f t="shared" si="11"/>
        <v>0</v>
      </c>
    </row>
    <row r="211" spans="1:7">
      <c r="A211">
        <v>10.417</v>
      </c>
      <c r="B211" s="8" t="s">
        <v>554</v>
      </c>
      <c r="C211">
        <v>91.7</v>
      </c>
      <c r="E211" s="3">
        <f t="shared" si="9"/>
        <v>10.4</v>
      </c>
      <c r="F211">
        <f t="shared" si="10"/>
        <v>2.116</v>
      </c>
      <c r="G211">
        <f t="shared" si="11"/>
        <v>0</v>
      </c>
    </row>
    <row r="212" spans="1:7">
      <c r="A212">
        <v>10.467</v>
      </c>
      <c r="B212" s="8" t="s">
        <v>643</v>
      </c>
      <c r="C212">
        <v>92</v>
      </c>
      <c r="E212" s="3">
        <f t="shared" si="9"/>
        <v>10.45</v>
      </c>
      <c r="F212">
        <f t="shared" si="10"/>
        <v>1.728</v>
      </c>
      <c r="G212">
        <f t="shared" si="11"/>
        <v>0</v>
      </c>
    </row>
    <row r="213" spans="1:7">
      <c r="A213">
        <v>10.517</v>
      </c>
      <c r="B213" s="8" t="s">
        <v>644</v>
      </c>
      <c r="C213">
        <v>91.3</v>
      </c>
      <c r="E213" s="3">
        <f t="shared" si="9"/>
        <v>10.5</v>
      </c>
      <c r="F213">
        <f t="shared" si="10"/>
        <v>1.363</v>
      </c>
      <c r="G213">
        <f t="shared" si="11"/>
        <v>0</v>
      </c>
    </row>
    <row r="214" spans="1:7">
      <c r="A214">
        <v>10.567</v>
      </c>
      <c r="B214" s="8" t="s">
        <v>645</v>
      </c>
      <c r="C214">
        <v>90.5</v>
      </c>
      <c r="E214" s="3">
        <f t="shared" si="9"/>
        <v>10.55</v>
      </c>
      <c r="F214">
        <f t="shared" si="10"/>
        <v>1.313</v>
      </c>
      <c r="G214">
        <f t="shared" si="11"/>
        <v>0</v>
      </c>
    </row>
    <row r="215" spans="1:7">
      <c r="A215">
        <v>10.617</v>
      </c>
      <c r="B215" s="8" t="s">
        <v>646</v>
      </c>
      <c r="C215">
        <v>88</v>
      </c>
      <c r="E215" s="3">
        <f t="shared" si="9"/>
        <v>10.6</v>
      </c>
      <c r="F215">
        <f t="shared" si="10"/>
        <v>1.254</v>
      </c>
      <c r="G215">
        <f t="shared" si="11"/>
        <v>0</v>
      </c>
    </row>
    <row r="216" spans="1:7">
      <c r="A216">
        <v>10.667</v>
      </c>
      <c r="B216" s="8" t="s">
        <v>647</v>
      </c>
      <c r="C216">
        <v>85.5</v>
      </c>
      <c r="E216" s="3">
        <f t="shared" si="9"/>
        <v>10.65</v>
      </c>
      <c r="F216">
        <f t="shared" si="10"/>
        <v>1.36</v>
      </c>
      <c r="G216">
        <f t="shared" si="11"/>
        <v>0</v>
      </c>
    </row>
    <row r="217" spans="1:7">
      <c r="A217">
        <v>10.717</v>
      </c>
      <c r="B217" s="8" t="s">
        <v>648</v>
      </c>
      <c r="C217">
        <v>83.2</v>
      </c>
      <c r="E217" s="3">
        <f t="shared" si="9"/>
        <v>10.7</v>
      </c>
      <c r="F217">
        <f t="shared" si="10"/>
        <v>1.689</v>
      </c>
      <c r="G217">
        <f t="shared" si="11"/>
        <v>0</v>
      </c>
    </row>
    <row r="218" spans="1:7">
      <c r="A218">
        <v>10.767</v>
      </c>
      <c r="B218" s="8" t="s">
        <v>649</v>
      </c>
      <c r="C218">
        <v>81</v>
      </c>
      <c r="E218" s="3">
        <f t="shared" si="9"/>
        <v>10.75</v>
      </c>
      <c r="F218">
        <f t="shared" si="10"/>
        <v>1.953</v>
      </c>
      <c r="G218">
        <f t="shared" si="11"/>
        <v>0</v>
      </c>
    </row>
    <row r="219" spans="1:7">
      <c r="A219">
        <v>10.817</v>
      </c>
      <c r="B219" s="8" t="s">
        <v>650</v>
      </c>
      <c r="C219">
        <v>77.9</v>
      </c>
      <c r="E219" s="3">
        <f t="shared" si="9"/>
        <v>10.8</v>
      </c>
      <c r="F219">
        <f t="shared" si="10"/>
        <v>2.211</v>
      </c>
      <c r="G219">
        <f t="shared" si="11"/>
        <v>0</v>
      </c>
    </row>
    <row r="220" spans="1:7">
      <c r="A220">
        <v>10.867</v>
      </c>
      <c r="B220" s="8" t="s">
        <v>651</v>
      </c>
      <c r="C220">
        <v>75.1</v>
      </c>
      <c r="E220" s="3">
        <f t="shared" si="9"/>
        <v>10.85</v>
      </c>
      <c r="F220">
        <f t="shared" si="10"/>
        <v>2.383</v>
      </c>
      <c r="G220">
        <f t="shared" si="11"/>
        <v>0</v>
      </c>
    </row>
    <row r="221" spans="1:7">
      <c r="A221">
        <v>10.917</v>
      </c>
      <c r="B221" s="8" t="s">
        <v>652</v>
      </c>
      <c r="C221">
        <v>74.6</v>
      </c>
      <c r="E221" s="3">
        <f t="shared" si="9"/>
        <v>10.9</v>
      </c>
      <c r="F221">
        <f t="shared" si="10"/>
        <v>2.394</v>
      </c>
      <c r="G221">
        <f t="shared" si="11"/>
        <v>0</v>
      </c>
    </row>
    <row r="222" spans="1:7">
      <c r="A222">
        <v>10.968</v>
      </c>
      <c r="B222" s="8" t="s">
        <v>653</v>
      </c>
      <c r="C222">
        <v>73.7</v>
      </c>
      <c r="E222" s="3">
        <f t="shared" si="9"/>
        <v>10.95</v>
      </c>
      <c r="F222">
        <f t="shared" si="10"/>
        <v>2.216</v>
      </c>
      <c r="G222">
        <f t="shared" si="11"/>
        <v>0</v>
      </c>
    </row>
    <row r="223" spans="1:7">
      <c r="A223">
        <v>11.018</v>
      </c>
      <c r="B223" s="8" t="s">
        <v>654</v>
      </c>
      <c r="C223">
        <v>73</v>
      </c>
      <c r="E223" s="3">
        <f t="shared" si="9"/>
        <v>11</v>
      </c>
      <c r="F223">
        <f t="shared" si="10"/>
        <v>1.977</v>
      </c>
      <c r="G223">
        <f t="shared" si="11"/>
        <v>0</v>
      </c>
    </row>
    <row r="224" spans="1:7">
      <c r="A224">
        <v>11.068</v>
      </c>
      <c r="B224" s="8" t="s">
        <v>655</v>
      </c>
      <c r="C224">
        <v>72.2</v>
      </c>
      <c r="E224" s="3">
        <f t="shared" si="9"/>
        <v>11.05</v>
      </c>
      <c r="F224">
        <f t="shared" si="10"/>
        <v>1.629</v>
      </c>
      <c r="G224">
        <f t="shared" si="11"/>
        <v>0</v>
      </c>
    </row>
    <row r="225" spans="1:7">
      <c r="A225">
        <v>11.118</v>
      </c>
      <c r="B225" s="8" t="s">
        <v>656</v>
      </c>
      <c r="C225">
        <v>71.4</v>
      </c>
      <c r="E225" s="3">
        <f t="shared" si="9"/>
        <v>11.1</v>
      </c>
      <c r="F225">
        <f t="shared" si="10"/>
        <v>1.344</v>
      </c>
      <c r="G225">
        <f t="shared" si="11"/>
        <v>0</v>
      </c>
    </row>
    <row r="226" spans="1:7">
      <c r="A226">
        <v>11.168</v>
      </c>
      <c r="B226" s="8" t="s">
        <v>657</v>
      </c>
      <c r="C226">
        <v>71.2</v>
      </c>
      <c r="E226" s="3">
        <f t="shared" si="9"/>
        <v>11.15</v>
      </c>
      <c r="F226">
        <f t="shared" si="10"/>
        <v>1.247</v>
      </c>
      <c r="G226">
        <f t="shared" si="11"/>
        <v>0</v>
      </c>
    </row>
    <row r="227" spans="1:7">
      <c r="A227">
        <v>11.218</v>
      </c>
      <c r="B227" s="8" t="s">
        <v>658</v>
      </c>
      <c r="C227">
        <v>70.7</v>
      </c>
      <c r="E227" s="3">
        <f t="shared" si="9"/>
        <v>11.2</v>
      </c>
      <c r="F227">
        <f t="shared" si="10"/>
        <v>1.173</v>
      </c>
      <c r="G227">
        <f t="shared" si="11"/>
        <v>0</v>
      </c>
    </row>
    <row r="228" spans="1:7">
      <c r="A228">
        <v>11.268</v>
      </c>
      <c r="B228" s="8" t="s">
        <v>659</v>
      </c>
      <c r="C228">
        <v>69.5</v>
      </c>
      <c r="E228" s="3">
        <f t="shared" si="9"/>
        <v>11.25</v>
      </c>
      <c r="F228">
        <f t="shared" si="10"/>
        <v>1.266</v>
      </c>
      <c r="G228">
        <f t="shared" si="11"/>
        <v>0</v>
      </c>
    </row>
    <row r="229" spans="1:7">
      <c r="A229">
        <v>11.318</v>
      </c>
      <c r="B229" s="8" t="s">
        <v>660</v>
      </c>
      <c r="C229">
        <v>70.2</v>
      </c>
      <c r="E229" s="3">
        <f t="shared" si="9"/>
        <v>11.3</v>
      </c>
      <c r="F229">
        <f t="shared" si="10"/>
        <v>1.406</v>
      </c>
      <c r="G229">
        <f t="shared" si="11"/>
        <v>0</v>
      </c>
    </row>
    <row r="230" spans="1:7">
      <c r="A230">
        <v>11.368</v>
      </c>
      <c r="B230" s="8" t="s">
        <v>661</v>
      </c>
      <c r="C230">
        <v>69.3</v>
      </c>
      <c r="E230" s="3">
        <f t="shared" si="9"/>
        <v>11.35</v>
      </c>
      <c r="F230">
        <f t="shared" si="10"/>
        <v>1.746</v>
      </c>
      <c r="G230">
        <f t="shared" si="11"/>
        <v>0</v>
      </c>
    </row>
    <row r="231" spans="1:7">
      <c r="A231">
        <v>11.418</v>
      </c>
      <c r="B231" s="8" t="s">
        <v>662</v>
      </c>
      <c r="C231">
        <v>68.5</v>
      </c>
      <c r="E231" s="3">
        <f t="shared" si="9"/>
        <v>11.4</v>
      </c>
      <c r="F231">
        <f t="shared" si="10"/>
        <v>1.957</v>
      </c>
      <c r="G231">
        <f t="shared" si="11"/>
        <v>0</v>
      </c>
    </row>
    <row r="232" spans="1:7">
      <c r="A232">
        <v>11.468</v>
      </c>
      <c r="B232" s="8" t="s">
        <v>637</v>
      </c>
      <c r="C232">
        <v>68.4</v>
      </c>
      <c r="E232" s="3">
        <f t="shared" si="9"/>
        <v>11.45</v>
      </c>
      <c r="F232">
        <f t="shared" si="10"/>
        <v>2.092</v>
      </c>
      <c r="G232">
        <f t="shared" si="11"/>
        <v>0</v>
      </c>
    </row>
    <row r="233" spans="1:7">
      <c r="A233">
        <v>11.518</v>
      </c>
      <c r="B233" s="8" t="s">
        <v>663</v>
      </c>
      <c r="C233">
        <v>68.9</v>
      </c>
      <c r="E233" s="3">
        <f t="shared" si="9"/>
        <v>11.5</v>
      </c>
      <c r="F233">
        <f t="shared" si="10"/>
        <v>2.063</v>
      </c>
      <c r="G233">
        <f t="shared" si="11"/>
        <v>0</v>
      </c>
    </row>
    <row r="234" spans="1:7">
      <c r="A234">
        <v>11.568</v>
      </c>
      <c r="B234" s="8" t="s">
        <v>664</v>
      </c>
      <c r="C234">
        <v>69</v>
      </c>
      <c r="E234" s="3">
        <f t="shared" si="9"/>
        <v>11.55</v>
      </c>
      <c r="F234">
        <f t="shared" si="10"/>
        <v>1.921</v>
      </c>
      <c r="G234">
        <f t="shared" si="11"/>
        <v>0</v>
      </c>
    </row>
    <row r="235" spans="1:7">
      <c r="A235">
        <v>11.619</v>
      </c>
      <c r="B235" s="8" t="s">
        <v>665</v>
      </c>
      <c r="C235">
        <v>68.7</v>
      </c>
      <c r="E235" s="3">
        <f t="shared" si="9"/>
        <v>11.6</v>
      </c>
      <c r="F235">
        <f t="shared" si="10"/>
        <v>1.741</v>
      </c>
      <c r="G235">
        <f t="shared" si="11"/>
        <v>0</v>
      </c>
    </row>
    <row r="236" spans="1:7">
      <c r="A236">
        <v>11.669</v>
      </c>
      <c r="B236" s="8" t="s">
        <v>666</v>
      </c>
      <c r="C236">
        <v>68.7</v>
      </c>
      <c r="E236" s="3">
        <f t="shared" si="9"/>
        <v>11.65</v>
      </c>
      <c r="F236">
        <f t="shared" si="10"/>
        <v>1.388</v>
      </c>
      <c r="G236">
        <f t="shared" si="11"/>
        <v>0</v>
      </c>
    </row>
    <row r="237" spans="1:7">
      <c r="A237">
        <v>11.719</v>
      </c>
      <c r="B237" s="8" t="s">
        <v>667</v>
      </c>
      <c r="C237">
        <v>68.3</v>
      </c>
      <c r="E237" s="3">
        <f t="shared" si="9"/>
        <v>11.7</v>
      </c>
      <c r="F237">
        <f t="shared" si="10"/>
        <v>1.167</v>
      </c>
      <c r="G237">
        <f t="shared" si="11"/>
        <v>0</v>
      </c>
    </row>
    <row r="238" spans="1:7">
      <c r="A238">
        <v>11.769</v>
      </c>
      <c r="B238" s="8" t="s">
        <v>668</v>
      </c>
      <c r="C238">
        <v>68.8</v>
      </c>
      <c r="E238" s="3">
        <f t="shared" si="9"/>
        <v>11.75</v>
      </c>
      <c r="F238">
        <f t="shared" si="10"/>
        <v>0.9967</v>
      </c>
      <c r="G238">
        <f t="shared" si="11"/>
        <v>0</v>
      </c>
    </row>
    <row r="239" spans="1:7">
      <c r="A239">
        <v>11.819</v>
      </c>
      <c r="B239" s="8" t="s">
        <v>669</v>
      </c>
      <c r="C239">
        <v>68.8</v>
      </c>
      <c r="E239" s="3">
        <f t="shared" si="9"/>
        <v>11.8</v>
      </c>
      <c r="F239">
        <f t="shared" si="10"/>
        <v>0.9649</v>
      </c>
      <c r="G239">
        <f t="shared" si="11"/>
        <v>0</v>
      </c>
    </row>
    <row r="240" spans="1:7">
      <c r="A240">
        <v>11.869</v>
      </c>
      <c r="B240" s="8" t="s">
        <v>670</v>
      </c>
      <c r="C240">
        <v>69.3</v>
      </c>
      <c r="E240" s="3">
        <f t="shared" si="9"/>
        <v>11.85</v>
      </c>
      <c r="F240">
        <f t="shared" si="10"/>
        <v>1.131</v>
      </c>
      <c r="G240">
        <f t="shared" si="11"/>
        <v>0</v>
      </c>
    </row>
    <row r="241" spans="1:7">
      <c r="A241">
        <v>11.919</v>
      </c>
      <c r="B241" s="8" t="s">
        <v>671</v>
      </c>
      <c r="C241">
        <v>69.1</v>
      </c>
      <c r="E241" s="3">
        <f t="shared" si="9"/>
        <v>11.9</v>
      </c>
      <c r="F241">
        <f t="shared" si="10"/>
        <v>1.295</v>
      </c>
      <c r="G241">
        <f t="shared" si="11"/>
        <v>0</v>
      </c>
    </row>
    <row r="242" spans="1:7">
      <c r="A242">
        <v>11.969</v>
      </c>
      <c r="B242" s="8" t="s">
        <v>672</v>
      </c>
      <c r="C242">
        <v>69</v>
      </c>
      <c r="E242" s="3">
        <f t="shared" si="9"/>
        <v>11.95</v>
      </c>
      <c r="F242">
        <f t="shared" si="10"/>
        <v>1.478</v>
      </c>
      <c r="G242">
        <f t="shared" si="11"/>
        <v>0</v>
      </c>
    </row>
    <row r="243" spans="1:7">
      <c r="A243">
        <v>12.019</v>
      </c>
      <c r="B243" s="8" t="s">
        <v>673</v>
      </c>
      <c r="C243">
        <v>68.5</v>
      </c>
      <c r="E243" s="3">
        <f t="shared" si="9"/>
        <v>12</v>
      </c>
      <c r="F243">
        <f t="shared" si="10"/>
        <v>1.736</v>
      </c>
      <c r="G243">
        <f t="shared" si="11"/>
        <v>0</v>
      </c>
    </row>
    <row r="244" spans="1:7">
      <c r="A244">
        <v>12.069</v>
      </c>
      <c r="B244" s="8" t="s">
        <v>674</v>
      </c>
      <c r="C244">
        <v>68.7</v>
      </c>
      <c r="E244" s="3">
        <f t="shared" si="9"/>
        <v>12.05</v>
      </c>
      <c r="F244">
        <f t="shared" si="10"/>
        <v>1.787</v>
      </c>
      <c r="G244">
        <f t="shared" si="11"/>
        <v>0</v>
      </c>
    </row>
    <row r="245" spans="1:7">
      <c r="A245">
        <v>12.119</v>
      </c>
      <c r="B245" s="8" t="s">
        <v>675</v>
      </c>
      <c r="C245">
        <v>68.7</v>
      </c>
      <c r="E245" s="3">
        <f t="shared" si="9"/>
        <v>12.1</v>
      </c>
      <c r="F245">
        <f t="shared" si="10"/>
        <v>1.871</v>
      </c>
      <c r="G245">
        <f t="shared" si="11"/>
        <v>0</v>
      </c>
    </row>
    <row r="246" spans="1:7">
      <c r="A246">
        <v>12.169</v>
      </c>
      <c r="B246" s="8" t="s">
        <v>676</v>
      </c>
      <c r="C246">
        <v>69.5</v>
      </c>
      <c r="E246" s="3">
        <f t="shared" si="9"/>
        <v>12.15</v>
      </c>
      <c r="F246">
        <f t="shared" si="10"/>
        <v>1.816</v>
      </c>
      <c r="G246">
        <f t="shared" si="11"/>
        <v>0</v>
      </c>
    </row>
    <row r="247" spans="1:7">
      <c r="A247">
        <v>12.22</v>
      </c>
      <c r="B247" s="8" t="s">
        <v>677</v>
      </c>
      <c r="C247">
        <v>68.9</v>
      </c>
      <c r="E247" s="3">
        <f t="shared" si="9"/>
        <v>12.2</v>
      </c>
      <c r="F247">
        <f t="shared" si="10"/>
        <v>1.627</v>
      </c>
      <c r="G247">
        <f t="shared" si="11"/>
        <v>0</v>
      </c>
    </row>
    <row r="248" spans="1:7">
      <c r="A248">
        <v>12.27</v>
      </c>
      <c r="B248" s="8" t="s">
        <v>678</v>
      </c>
      <c r="C248">
        <v>68.7</v>
      </c>
      <c r="E248" s="3">
        <f t="shared" si="9"/>
        <v>12.25</v>
      </c>
      <c r="F248">
        <f t="shared" si="10"/>
        <v>1.358</v>
      </c>
      <c r="G248">
        <f t="shared" si="11"/>
        <v>0</v>
      </c>
    </row>
    <row r="249" spans="1:7">
      <c r="A249">
        <v>12.32</v>
      </c>
      <c r="B249" s="8" t="s">
        <v>679</v>
      </c>
      <c r="C249">
        <v>68.7</v>
      </c>
      <c r="E249" s="3">
        <f t="shared" si="9"/>
        <v>12.3</v>
      </c>
      <c r="F249">
        <f t="shared" si="10"/>
        <v>1.144</v>
      </c>
      <c r="G249">
        <f t="shared" si="11"/>
        <v>0</v>
      </c>
    </row>
    <row r="250" spans="1:7">
      <c r="A250">
        <v>12.37</v>
      </c>
      <c r="B250" s="8" t="s">
        <v>680</v>
      </c>
      <c r="C250">
        <v>69</v>
      </c>
      <c r="E250" s="3">
        <f t="shared" si="9"/>
        <v>12.35</v>
      </c>
      <c r="F250">
        <f t="shared" si="10"/>
        <v>0.9601</v>
      </c>
      <c r="G250">
        <f t="shared" si="11"/>
        <v>0</v>
      </c>
    </row>
    <row r="251" spans="1:7">
      <c r="A251">
        <v>12.42</v>
      </c>
      <c r="B251" s="8" t="s">
        <v>681</v>
      </c>
      <c r="C251">
        <v>68.7</v>
      </c>
      <c r="E251" s="3">
        <f t="shared" si="9"/>
        <v>12.4</v>
      </c>
      <c r="F251">
        <f t="shared" si="10"/>
        <v>0.9685</v>
      </c>
      <c r="G251">
        <f t="shared" si="11"/>
        <v>0</v>
      </c>
    </row>
    <row r="252" spans="1:7">
      <c r="A252">
        <v>12.47</v>
      </c>
      <c r="B252" s="8" t="s">
        <v>682</v>
      </c>
      <c r="C252">
        <v>68.1</v>
      </c>
      <c r="E252" s="3">
        <f t="shared" si="9"/>
        <v>12.45</v>
      </c>
      <c r="F252">
        <f t="shared" si="10"/>
        <v>1.095</v>
      </c>
      <c r="G252">
        <f t="shared" si="11"/>
        <v>0</v>
      </c>
    </row>
    <row r="253" spans="1:7">
      <c r="A253">
        <v>12.52</v>
      </c>
      <c r="B253" s="8" t="s">
        <v>683</v>
      </c>
      <c r="C253">
        <v>68.3</v>
      </c>
      <c r="E253" s="3">
        <f t="shared" si="9"/>
        <v>12.5</v>
      </c>
      <c r="F253">
        <f t="shared" si="10"/>
        <v>1.22</v>
      </c>
      <c r="G253">
        <f t="shared" si="11"/>
        <v>0</v>
      </c>
    </row>
    <row r="254" spans="1:7">
      <c r="A254">
        <v>12.57</v>
      </c>
      <c r="B254" s="8" t="s">
        <v>684</v>
      </c>
      <c r="C254">
        <v>68.7</v>
      </c>
      <c r="E254" s="3">
        <f t="shared" si="9"/>
        <v>12.55</v>
      </c>
      <c r="F254">
        <f t="shared" si="10"/>
        <v>1.443</v>
      </c>
      <c r="G254">
        <f t="shared" si="11"/>
        <v>0</v>
      </c>
    </row>
    <row r="255" spans="1:7">
      <c r="A255">
        <v>12.62</v>
      </c>
      <c r="B255" s="8" t="s">
        <v>685</v>
      </c>
      <c r="C255">
        <v>69.1</v>
      </c>
      <c r="E255" s="3">
        <f t="shared" si="9"/>
        <v>12.6</v>
      </c>
      <c r="F255">
        <f t="shared" si="10"/>
        <v>1.65</v>
      </c>
      <c r="G255">
        <f t="shared" si="11"/>
        <v>0</v>
      </c>
    </row>
    <row r="256" spans="1:7">
      <c r="A256">
        <v>12.67</v>
      </c>
      <c r="B256" s="8" t="s">
        <v>686</v>
      </c>
      <c r="C256">
        <v>69</v>
      </c>
      <c r="E256" s="3">
        <f t="shared" si="9"/>
        <v>12.65</v>
      </c>
      <c r="F256">
        <f t="shared" si="10"/>
        <v>1.763</v>
      </c>
      <c r="G256">
        <f t="shared" si="11"/>
        <v>0</v>
      </c>
    </row>
    <row r="257" spans="1:7">
      <c r="A257">
        <v>12.72</v>
      </c>
      <c r="B257" s="8" t="s">
        <v>687</v>
      </c>
      <c r="C257">
        <v>68.6</v>
      </c>
      <c r="E257" s="3">
        <f t="shared" si="9"/>
        <v>12.7</v>
      </c>
      <c r="F257">
        <f t="shared" si="10"/>
        <v>1.829</v>
      </c>
      <c r="G257">
        <f t="shared" si="11"/>
        <v>0</v>
      </c>
    </row>
    <row r="258" spans="1:7">
      <c r="A258">
        <v>12.77</v>
      </c>
      <c r="B258" s="8" t="s">
        <v>688</v>
      </c>
      <c r="C258">
        <v>68.8</v>
      </c>
      <c r="E258" s="3">
        <f t="shared" si="9"/>
        <v>12.75</v>
      </c>
      <c r="F258">
        <f t="shared" si="10"/>
        <v>1.795</v>
      </c>
      <c r="G258">
        <f t="shared" si="11"/>
        <v>0</v>
      </c>
    </row>
    <row r="259" spans="1:7">
      <c r="A259">
        <v>12.82</v>
      </c>
      <c r="B259" s="8" t="s">
        <v>689</v>
      </c>
      <c r="C259">
        <v>69.1</v>
      </c>
      <c r="E259" s="3">
        <f t="shared" ref="E259:E322" si="12">FLOOR(A259,0.05)</f>
        <v>12.8</v>
      </c>
      <c r="F259">
        <f t="shared" ref="F259:F322" si="13">B259*1000</f>
        <v>1.656</v>
      </c>
      <c r="G259">
        <f t="shared" si="11"/>
        <v>0</v>
      </c>
    </row>
    <row r="260" spans="1:7">
      <c r="A260">
        <v>12.871</v>
      </c>
      <c r="B260" s="8" t="s">
        <v>690</v>
      </c>
      <c r="C260">
        <v>68.5</v>
      </c>
      <c r="E260" s="3">
        <f t="shared" si="12"/>
        <v>12.85</v>
      </c>
      <c r="F260">
        <f t="shared" si="13"/>
        <v>1.391</v>
      </c>
      <c r="G260">
        <f t="shared" ref="G260:G303" si="14">IF(C260&lt;230,0,1)</f>
        <v>0</v>
      </c>
    </row>
    <row r="261" spans="1:7">
      <c r="A261">
        <v>12.921</v>
      </c>
      <c r="B261" s="8" t="s">
        <v>691</v>
      </c>
      <c r="C261">
        <v>68.9</v>
      </c>
      <c r="E261" s="3">
        <f t="shared" si="12"/>
        <v>12.9</v>
      </c>
      <c r="F261">
        <f t="shared" si="13"/>
        <v>1.157</v>
      </c>
      <c r="G261">
        <f t="shared" si="14"/>
        <v>0</v>
      </c>
    </row>
    <row r="262" spans="1:7">
      <c r="A262">
        <v>12.971</v>
      </c>
      <c r="B262" s="8" t="s">
        <v>692</v>
      </c>
      <c r="C262">
        <v>68.9</v>
      </c>
      <c r="E262" s="3">
        <f t="shared" si="12"/>
        <v>12.95</v>
      </c>
      <c r="F262">
        <f t="shared" si="13"/>
        <v>1.004</v>
      </c>
      <c r="G262">
        <f t="shared" si="14"/>
        <v>0</v>
      </c>
    </row>
    <row r="263" spans="1:7">
      <c r="A263">
        <v>13.021</v>
      </c>
      <c r="B263" s="8" t="s">
        <v>693</v>
      </c>
      <c r="C263">
        <v>68.9</v>
      </c>
      <c r="E263" s="3">
        <f t="shared" si="12"/>
        <v>13</v>
      </c>
      <c r="F263">
        <f t="shared" si="13"/>
        <v>0.976</v>
      </c>
      <c r="G263">
        <f t="shared" si="14"/>
        <v>0</v>
      </c>
    </row>
    <row r="264" spans="1:7">
      <c r="A264">
        <v>13.071</v>
      </c>
      <c r="B264" s="8" t="s">
        <v>694</v>
      </c>
      <c r="C264">
        <v>68.6</v>
      </c>
      <c r="E264" s="3">
        <f t="shared" si="12"/>
        <v>13.05</v>
      </c>
      <c r="F264">
        <f t="shared" si="13"/>
        <v>1.085</v>
      </c>
      <c r="G264">
        <f t="shared" si="14"/>
        <v>0</v>
      </c>
    </row>
    <row r="265" spans="1:7">
      <c r="A265">
        <v>13.121</v>
      </c>
      <c r="B265" s="8" t="s">
        <v>695</v>
      </c>
      <c r="C265">
        <v>68.5</v>
      </c>
      <c r="E265" s="3">
        <f t="shared" si="12"/>
        <v>13.1</v>
      </c>
      <c r="F265">
        <f t="shared" si="13"/>
        <v>1.201</v>
      </c>
      <c r="G265">
        <f t="shared" si="14"/>
        <v>0</v>
      </c>
    </row>
    <row r="266" spans="1:7">
      <c r="A266">
        <v>13.171</v>
      </c>
      <c r="B266" s="8" t="s">
        <v>696</v>
      </c>
      <c r="C266">
        <v>68.9</v>
      </c>
      <c r="E266" s="3">
        <f t="shared" si="12"/>
        <v>13.15</v>
      </c>
      <c r="F266">
        <f t="shared" si="13"/>
        <v>1.378</v>
      </c>
      <c r="G266">
        <f t="shared" si="14"/>
        <v>0</v>
      </c>
    </row>
    <row r="267" spans="1:7">
      <c r="A267">
        <v>13.221</v>
      </c>
      <c r="B267" s="8" t="s">
        <v>697</v>
      </c>
      <c r="C267">
        <v>68.4</v>
      </c>
      <c r="E267" s="3">
        <f t="shared" si="12"/>
        <v>13.2</v>
      </c>
      <c r="F267">
        <f t="shared" si="13"/>
        <v>1.581</v>
      </c>
      <c r="G267">
        <f t="shared" si="14"/>
        <v>0</v>
      </c>
    </row>
    <row r="268" spans="1:7">
      <c r="A268">
        <v>13.271</v>
      </c>
      <c r="B268" s="8" t="s">
        <v>698</v>
      </c>
      <c r="C268">
        <v>68.7</v>
      </c>
      <c r="E268" s="3">
        <f t="shared" si="12"/>
        <v>13.25</v>
      </c>
      <c r="F268">
        <f t="shared" si="13"/>
        <v>1.662</v>
      </c>
      <c r="G268">
        <f t="shared" si="14"/>
        <v>0</v>
      </c>
    </row>
    <row r="269" spans="1:7">
      <c r="A269">
        <v>13.321</v>
      </c>
      <c r="B269" s="8" t="s">
        <v>607</v>
      </c>
      <c r="C269">
        <v>68.6</v>
      </c>
      <c r="E269" s="3">
        <f t="shared" si="12"/>
        <v>13.3</v>
      </c>
      <c r="F269">
        <f t="shared" si="13"/>
        <v>1.647</v>
      </c>
      <c r="G269">
        <f t="shared" si="14"/>
        <v>0</v>
      </c>
    </row>
    <row r="270" spans="1:7">
      <c r="A270">
        <v>13.371</v>
      </c>
      <c r="B270" s="8" t="s">
        <v>699</v>
      </c>
      <c r="C270">
        <v>69.4</v>
      </c>
      <c r="E270" s="3">
        <f t="shared" si="12"/>
        <v>13.35</v>
      </c>
      <c r="F270">
        <f t="shared" si="13"/>
        <v>1.558</v>
      </c>
      <c r="G270">
        <f t="shared" si="14"/>
        <v>0</v>
      </c>
    </row>
    <row r="271" spans="1:7">
      <c r="A271">
        <v>13.421</v>
      </c>
      <c r="B271" s="8" t="s">
        <v>700</v>
      </c>
      <c r="C271">
        <v>68.5</v>
      </c>
      <c r="E271" s="3">
        <f t="shared" si="12"/>
        <v>13.4</v>
      </c>
      <c r="F271">
        <f t="shared" si="13"/>
        <v>1.468</v>
      </c>
      <c r="G271">
        <f t="shared" si="14"/>
        <v>0</v>
      </c>
    </row>
    <row r="272" spans="1:7">
      <c r="A272">
        <v>13.472</v>
      </c>
      <c r="B272" s="8" t="s">
        <v>701</v>
      </c>
      <c r="C272">
        <v>68.9</v>
      </c>
      <c r="E272" s="3">
        <f t="shared" si="12"/>
        <v>13.45</v>
      </c>
      <c r="F272">
        <f t="shared" si="13"/>
        <v>1.293</v>
      </c>
      <c r="G272">
        <f t="shared" si="14"/>
        <v>0</v>
      </c>
    </row>
    <row r="273" spans="1:7">
      <c r="A273">
        <v>13.522</v>
      </c>
      <c r="B273" s="8" t="s">
        <v>702</v>
      </c>
      <c r="C273">
        <v>69.1</v>
      </c>
      <c r="E273" s="3">
        <f t="shared" si="12"/>
        <v>13.5</v>
      </c>
      <c r="F273">
        <f t="shared" si="13"/>
        <v>1.075</v>
      </c>
      <c r="G273">
        <f t="shared" si="14"/>
        <v>0</v>
      </c>
    </row>
    <row r="274" spans="1:7">
      <c r="A274">
        <v>13.572</v>
      </c>
      <c r="B274" s="8" t="s">
        <v>703</v>
      </c>
      <c r="C274">
        <v>68.9</v>
      </c>
      <c r="E274" s="3">
        <f t="shared" si="12"/>
        <v>13.55</v>
      </c>
      <c r="F274">
        <f t="shared" si="13"/>
        <v>0.9011</v>
      </c>
      <c r="G274">
        <f t="shared" si="14"/>
        <v>0</v>
      </c>
    </row>
    <row r="275" spans="1:7">
      <c r="A275">
        <v>13.622</v>
      </c>
      <c r="B275" s="8" t="s">
        <v>704</v>
      </c>
      <c r="C275">
        <v>69.4</v>
      </c>
      <c r="E275" s="3">
        <f t="shared" si="12"/>
        <v>13.6</v>
      </c>
      <c r="F275">
        <f t="shared" si="13"/>
        <v>0.7953</v>
      </c>
      <c r="G275">
        <f t="shared" si="14"/>
        <v>0</v>
      </c>
    </row>
    <row r="276" spans="1:7">
      <c r="A276">
        <v>13.672</v>
      </c>
      <c r="B276" s="8" t="s">
        <v>705</v>
      </c>
      <c r="C276">
        <v>69</v>
      </c>
      <c r="E276" s="3">
        <f t="shared" si="12"/>
        <v>13.65</v>
      </c>
      <c r="F276">
        <f t="shared" si="13"/>
        <v>0.8054</v>
      </c>
      <c r="G276">
        <f t="shared" si="14"/>
        <v>0</v>
      </c>
    </row>
    <row r="277" spans="1:7">
      <c r="A277">
        <v>13.722</v>
      </c>
      <c r="B277" s="8" t="s">
        <v>706</v>
      </c>
      <c r="C277">
        <v>69.5</v>
      </c>
      <c r="E277" s="3">
        <f t="shared" si="12"/>
        <v>13.7</v>
      </c>
      <c r="F277">
        <f t="shared" si="13"/>
        <v>0.8729</v>
      </c>
      <c r="G277">
        <f t="shared" si="14"/>
        <v>0</v>
      </c>
    </row>
    <row r="278" spans="1:7">
      <c r="A278">
        <v>13.772</v>
      </c>
      <c r="B278" s="8" t="s">
        <v>595</v>
      </c>
      <c r="C278">
        <v>68.6</v>
      </c>
      <c r="E278" s="3">
        <f t="shared" si="12"/>
        <v>13.75</v>
      </c>
      <c r="F278">
        <f t="shared" si="13"/>
        <v>1.025</v>
      </c>
      <c r="G278">
        <f t="shared" si="14"/>
        <v>0</v>
      </c>
    </row>
    <row r="279" spans="1:7">
      <c r="A279">
        <v>13.822</v>
      </c>
      <c r="B279" s="8" t="s">
        <v>707</v>
      </c>
      <c r="C279">
        <v>68.3</v>
      </c>
      <c r="E279" s="3">
        <f t="shared" si="12"/>
        <v>13.8</v>
      </c>
      <c r="F279">
        <f t="shared" si="13"/>
        <v>1.255</v>
      </c>
      <c r="G279">
        <f t="shared" si="14"/>
        <v>0</v>
      </c>
    </row>
    <row r="280" spans="1:7">
      <c r="A280">
        <v>13.872</v>
      </c>
      <c r="B280" s="8" t="s">
        <v>536</v>
      </c>
      <c r="C280">
        <v>69.7</v>
      </c>
      <c r="E280" s="3">
        <f t="shared" si="12"/>
        <v>13.85</v>
      </c>
      <c r="F280">
        <f t="shared" si="13"/>
        <v>1.289</v>
      </c>
      <c r="G280">
        <f t="shared" si="14"/>
        <v>0</v>
      </c>
    </row>
    <row r="281" spans="1:7">
      <c r="A281">
        <v>13.922</v>
      </c>
      <c r="B281" s="8" t="s">
        <v>512</v>
      </c>
      <c r="C281">
        <v>69.6</v>
      </c>
      <c r="E281" s="3">
        <f t="shared" si="12"/>
        <v>13.9</v>
      </c>
      <c r="F281">
        <f t="shared" si="13"/>
        <v>1.276</v>
      </c>
      <c r="G281">
        <f t="shared" si="14"/>
        <v>0</v>
      </c>
    </row>
    <row r="282" spans="1:7">
      <c r="A282">
        <v>13.972</v>
      </c>
      <c r="B282" s="8" t="s">
        <v>708</v>
      </c>
      <c r="C282">
        <v>68.7</v>
      </c>
      <c r="E282" s="3">
        <f t="shared" si="12"/>
        <v>13.95</v>
      </c>
      <c r="F282">
        <f t="shared" si="13"/>
        <v>1.195</v>
      </c>
      <c r="G282">
        <f t="shared" si="14"/>
        <v>0</v>
      </c>
    </row>
    <row r="283" spans="1:7">
      <c r="A283">
        <v>14.022</v>
      </c>
      <c r="B283" s="8" t="s">
        <v>709</v>
      </c>
      <c r="C283">
        <v>68.5</v>
      </c>
      <c r="E283" s="3">
        <f t="shared" si="12"/>
        <v>14</v>
      </c>
      <c r="F283">
        <f t="shared" si="13"/>
        <v>1.083</v>
      </c>
      <c r="G283">
        <f t="shared" si="14"/>
        <v>0</v>
      </c>
    </row>
    <row r="284" spans="1:7">
      <c r="A284">
        <v>14.072</v>
      </c>
      <c r="B284" s="8" t="s">
        <v>710</v>
      </c>
      <c r="C284">
        <v>68.2</v>
      </c>
      <c r="E284" s="3">
        <f t="shared" si="12"/>
        <v>14.05</v>
      </c>
      <c r="F284">
        <f t="shared" si="13"/>
        <v>0.9366</v>
      </c>
      <c r="G284">
        <f t="shared" si="14"/>
        <v>0</v>
      </c>
    </row>
    <row r="285" spans="1:7">
      <c r="A285">
        <v>14.123</v>
      </c>
      <c r="B285" s="8" t="s">
        <v>711</v>
      </c>
      <c r="C285">
        <v>68.7</v>
      </c>
      <c r="E285" s="3">
        <f t="shared" si="12"/>
        <v>14.1</v>
      </c>
      <c r="F285">
        <f t="shared" si="13"/>
        <v>0.8138</v>
      </c>
      <c r="G285">
        <f t="shared" si="14"/>
        <v>0</v>
      </c>
    </row>
    <row r="286" spans="1:7">
      <c r="A286">
        <v>14.173</v>
      </c>
      <c r="B286" s="8" t="s">
        <v>712</v>
      </c>
      <c r="C286">
        <v>69.3</v>
      </c>
      <c r="E286" s="3">
        <f t="shared" si="12"/>
        <v>14.15</v>
      </c>
      <c r="F286">
        <f t="shared" si="13"/>
        <v>0.6441</v>
      </c>
      <c r="G286">
        <f t="shared" si="14"/>
        <v>0</v>
      </c>
    </row>
    <row r="287" spans="1:7">
      <c r="A287">
        <v>14.223</v>
      </c>
      <c r="B287" s="8" t="s">
        <v>713</v>
      </c>
      <c r="C287">
        <v>68.5</v>
      </c>
      <c r="E287" s="3">
        <f t="shared" si="12"/>
        <v>14.2</v>
      </c>
      <c r="F287">
        <f t="shared" si="13"/>
        <v>0.6079</v>
      </c>
      <c r="G287">
        <f t="shared" si="14"/>
        <v>0</v>
      </c>
    </row>
    <row r="288" spans="1:7">
      <c r="A288">
        <v>14.273</v>
      </c>
      <c r="B288" s="8" t="s">
        <v>714</v>
      </c>
      <c r="C288">
        <v>68.4</v>
      </c>
      <c r="E288" s="3">
        <f t="shared" si="12"/>
        <v>14.25</v>
      </c>
      <c r="F288">
        <f t="shared" si="13"/>
        <v>0.643</v>
      </c>
      <c r="G288">
        <f t="shared" si="14"/>
        <v>0</v>
      </c>
    </row>
    <row r="289" spans="1:7">
      <c r="A289">
        <v>14.323</v>
      </c>
      <c r="B289" s="8" t="s">
        <v>715</v>
      </c>
      <c r="C289">
        <v>68.9</v>
      </c>
      <c r="E289" s="3">
        <f t="shared" si="12"/>
        <v>14.3</v>
      </c>
      <c r="F289">
        <f t="shared" si="13"/>
        <v>0.7744</v>
      </c>
      <c r="G289">
        <f t="shared" si="14"/>
        <v>0</v>
      </c>
    </row>
    <row r="290" spans="1:7">
      <c r="A290">
        <v>14.373</v>
      </c>
      <c r="B290" s="8" t="s">
        <v>716</v>
      </c>
      <c r="C290">
        <v>69</v>
      </c>
      <c r="E290" s="3">
        <f t="shared" si="12"/>
        <v>14.35</v>
      </c>
      <c r="F290">
        <f t="shared" si="13"/>
        <v>0.8643</v>
      </c>
      <c r="G290">
        <f t="shared" si="14"/>
        <v>0</v>
      </c>
    </row>
    <row r="291" spans="1:7">
      <c r="A291">
        <v>14.423</v>
      </c>
      <c r="B291" s="8" t="s">
        <v>717</v>
      </c>
      <c r="C291">
        <v>68</v>
      </c>
      <c r="E291" s="3">
        <f t="shared" si="12"/>
        <v>14.4</v>
      </c>
      <c r="F291">
        <f t="shared" si="13"/>
        <v>1.015</v>
      </c>
      <c r="G291">
        <f t="shared" si="14"/>
        <v>0</v>
      </c>
    </row>
    <row r="292" spans="1:7">
      <c r="A292">
        <v>14.473</v>
      </c>
      <c r="B292" s="8" t="s">
        <v>718</v>
      </c>
      <c r="C292">
        <v>69.1</v>
      </c>
      <c r="E292" s="3">
        <f t="shared" si="12"/>
        <v>14.45</v>
      </c>
      <c r="F292">
        <f t="shared" si="13"/>
        <v>1.151</v>
      </c>
      <c r="G292">
        <f t="shared" si="14"/>
        <v>0</v>
      </c>
    </row>
    <row r="293" spans="1:7">
      <c r="A293">
        <v>14.523</v>
      </c>
      <c r="B293" s="8" t="s">
        <v>719</v>
      </c>
      <c r="C293">
        <v>69.1</v>
      </c>
      <c r="E293" s="3">
        <f t="shared" si="12"/>
        <v>14.5</v>
      </c>
      <c r="F293">
        <f t="shared" si="13"/>
        <v>1.152</v>
      </c>
      <c r="G293">
        <f t="shared" si="14"/>
        <v>0</v>
      </c>
    </row>
    <row r="294" spans="1:7">
      <c r="A294">
        <v>14.573</v>
      </c>
      <c r="B294" s="8" t="s">
        <v>720</v>
      </c>
      <c r="C294">
        <v>68.2</v>
      </c>
      <c r="E294" s="3">
        <f t="shared" si="12"/>
        <v>14.55</v>
      </c>
      <c r="F294">
        <f t="shared" si="13"/>
        <v>1.123</v>
      </c>
      <c r="G294">
        <f t="shared" si="14"/>
        <v>0</v>
      </c>
    </row>
    <row r="295" spans="1:7">
      <c r="A295">
        <v>14.623</v>
      </c>
      <c r="B295" s="8" t="s">
        <v>595</v>
      </c>
      <c r="C295">
        <v>68.7</v>
      </c>
      <c r="E295" s="3">
        <f t="shared" si="12"/>
        <v>14.6</v>
      </c>
      <c r="F295">
        <f t="shared" si="13"/>
        <v>1.025</v>
      </c>
      <c r="G295">
        <f t="shared" si="14"/>
        <v>0</v>
      </c>
    </row>
    <row r="296" spans="1:7">
      <c r="A296">
        <v>14.673</v>
      </c>
      <c r="B296" s="8" t="s">
        <v>721</v>
      </c>
      <c r="C296">
        <v>68.9</v>
      </c>
      <c r="E296" s="3">
        <f t="shared" si="12"/>
        <v>14.65</v>
      </c>
      <c r="F296">
        <f t="shared" si="13"/>
        <v>0.9096</v>
      </c>
      <c r="G296">
        <f t="shared" si="14"/>
        <v>0</v>
      </c>
    </row>
    <row r="297" spans="1:7">
      <c r="A297">
        <v>14.724</v>
      </c>
      <c r="B297" s="8" t="s">
        <v>722</v>
      </c>
      <c r="C297">
        <v>68.5</v>
      </c>
      <c r="E297" s="3">
        <f t="shared" si="12"/>
        <v>14.7</v>
      </c>
      <c r="F297">
        <f t="shared" si="13"/>
        <v>0.8008</v>
      </c>
      <c r="G297">
        <f t="shared" si="14"/>
        <v>0</v>
      </c>
    </row>
    <row r="298" spans="1:7">
      <c r="A298">
        <v>14.774</v>
      </c>
      <c r="B298" s="8" t="s">
        <v>723</v>
      </c>
      <c r="C298">
        <v>69.7</v>
      </c>
      <c r="E298" s="3">
        <f t="shared" si="12"/>
        <v>14.75</v>
      </c>
      <c r="F298">
        <f t="shared" si="13"/>
        <v>0.6325</v>
      </c>
      <c r="G298">
        <f t="shared" si="14"/>
        <v>0</v>
      </c>
    </row>
    <row r="299" spans="1:7">
      <c r="A299">
        <v>14.824</v>
      </c>
      <c r="B299" s="8" t="s">
        <v>724</v>
      </c>
      <c r="C299">
        <v>69.2</v>
      </c>
      <c r="E299" s="3">
        <f t="shared" si="12"/>
        <v>14.8</v>
      </c>
      <c r="F299">
        <f t="shared" si="13"/>
        <v>0.6168</v>
      </c>
      <c r="G299">
        <f t="shared" si="14"/>
        <v>0</v>
      </c>
    </row>
    <row r="300" spans="1:7">
      <c r="A300">
        <v>14.874</v>
      </c>
      <c r="B300" s="8" t="s">
        <v>725</v>
      </c>
      <c r="C300">
        <v>68.8</v>
      </c>
      <c r="E300" s="3">
        <f t="shared" si="12"/>
        <v>14.85</v>
      </c>
      <c r="F300">
        <f t="shared" si="13"/>
        <v>0.6769</v>
      </c>
      <c r="G300">
        <f t="shared" si="14"/>
        <v>0</v>
      </c>
    </row>
    <row r="301" spans="1:7">
      <c r="A301">
        <v>14.924</v>
      </c>
      <c r="B301" s="8" t="s">
        <v>726</v>
      </c>
      <c r="C301">
        <v>68.5</v>
      </c>
      <c r="E301" s="3">
        <f t="shared" si="12"/>
        <v>14.9</v>
      </c>
      <c r="F301">
        <f t="shared" si="13"/>
        <v>0.7695</v>
      </c>
      <c r="G301">
        <f t="shared" si="14"/>
        <v>0</v>
      </c>
    </row>
    <row r="302" spans="1:7">
      <c r="A302">
        <v>14.974</v>
      </c>
      <c r="B302" s="8" t="s">
        <v>727</v>
      </c>
      <c r="C302">
        <v>68.7</v>
      </c>
      <c r="E302" s="3">
        <f t="shared" si="12"/>
        <v>14.95</v>
      </c>
      <c r="F302">
        <f t="shared" si="13"/>
        <v>0.8463</v>
      </c>
      <c r="G302">
        <f t="shared" si="14"/>
        <v>0</v>
      </c>
    </row>
    <row r="303" spans="1:7">
      <c r="A303">
        <v>15.024</v>
      </c>
      <c r="B303" s="8" t="s">
        <v>728</v>
      </c>
      <c r="C303">
        <v>68.3</v>
      </c>
      <c r="E303" s="3">
        <f t="shared" si="12"/>
        <v>15</v>
      </c>
      <c r="F303">
        <f t="shared" si="13"/>
        <v>0.9888</v>
      </c>
      <c r="G303">
        <f t="shared" si="14"/>
        <v>0</v>
      </c>
    </row>
  </sheetData>
  <mergeCells count="1">
    <mergeCell ref="A1:C1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6"/>
  <sheetViews>
    <sheetView topLeftCell="A4" workbookViewId="0">
      <selection activeCell="K4" sqref="K4:K1144"/>
    </sheetView>
  </sheetViews>
  <sheetFormatPr defaultColWidth="8.88888888888889" defaultRowHeight="14.4" outlineLevelCol="6"/>
  <cols>
    <col min="1" max="1" width="7.66666666666667" customWidth="1"/>
    <col min="2" max="2" width="9.66666666666667" customWidth="1"/>
    <col min="3" max="3" width="7.66666666666667" customWidth="1"/>
    <col min="4" max="4" width="3.88888888888889" customWidth="1"/>
    <col min="5" max="5" width="7.66666666666667" customWidth="1"/>
    <col min="6" max="6" width="9.66666666666667" customWidth="1"/>
    <col min="7" max="7" width="8.77777777777778" customWidth="1"/>
  </cols>
  <sheetData>
    <row r="1" spans="1:7">
      <c r="A1" s="1" t="s">
        <v>8</v>
      </c>
      <c r="B1" s="1"/>
      <c r="C1" s="1"/>
      <c r="E1" s="1" t="s">
        <v>729</v>
      </c>
      <c r="F1" s="1"/>
      <c r="G1" s="1"/>
    </row>
    <row r="2" spans="1:7">
      <c r="B2" t="s">
        <v>0</v>
      </c>
      <c r="C2" t="s">
        <v>1</v>
      </c>
      <c r="F2" t="s">
        <v>730</v>
      </c>
      <c r="G2" t="s">
        <v>731</v>
      </c>
    </row>
    <row r="3" spans="1:7">
      <c r="A3" t="s">
        <v>5</v>
      </c>
      <c r="B3" t="s">
        <v>6</v>
      </c>
      <c r="C3" t="s">
        <v>7</v>
      </c>
      <c r="E3" t="s">
        <v>5</v>
      </c>
      <c r="F3" t="s">
        <v>6</v>
      </c>
      <c r="G3" t="s">
        <v>7</v>
      </c>
    </row>
    <row r="4" spans="1:7">
      <c r="A4">
        <v>0</v>
      </c>
      <c r="B4" s="8" t="s">
        <v>732</v>
      </c>
      <c r="C4">
        <v>67.4</v>
      </c>
      <c r="E4">
        <f>FLOOR(A4,0.05)</f>
        <v>0</v>
      </c>
      <c r="F4">
        <f>B4*1000-8</f>
        <v>-7.78</v>
      </c>
      <c r="G4">
        <f>IF(C4&lt;230,-8,5)</f>
        <v>-8</v>
      </c>
    </row>
    <row r="5" spans="1:7">
      <c r="A5">
        <v>0.05</v>
      </c>
      <c r="B5" s="8" t="s">
        <v>733</v>
      </c>
      <c r="C5">
        <v>67</v>
      </c>
      <c r="E5">
        <f t="shared" ref="E5:E68" si="0">FLOOR(A5,0.05)</f>
        <v>0.05</v>
      </c>
      <c r="F5">
        <f t="shared" ref="F5:F68" si="1">B5*1000-8</f>
        <v>-7.5461</v>
      </c>
      <c r="G5">
        <f t="shared" ref="G5:G68" si="2">IF(C5&lt;230,-8,5)</f>
        <v>-8</v>
      </c>
    </row>
    <row r="6" spans="1:7">
      <c r="A6">
        <v>0.1</v>
      </c>
      <c r="B6" s="8" t="s">
        <v>734</v>
      </c>
      <c r="C6">
        <v>66.4</v>
      </c>
      <c r="E6">
        <f t="shared" si="0"/>
        <v>0.1</v>
      </c>
      <c r="F6">
        <f t="shared" si="1"/>
        <v>-6.146</v>
      </c>
      <c r="G6">
        <f t="shared" si="2"/>
        <v>-8</v>
      </c>
    </row>
    <row r="7" spans="1:7">
      <c r="A7">
        <v>0.15</v>
      </c>
      <c r="B7" s="8" t="s">
        <v>735</v>
      </c>
      <c r="C7">
        <v>66.5</v>
      </c>
      <c r="E7">
        <f t="shared" si="0"/>
        <v>0.15</v>
      </c>
      <c r="F7">
        <f t="shared" si="1"/>
        <v>-4.428</v>
      </c>
      <c r="G7">
        <f t="shared" si="2"/>
        <v>-8</v>
      </c>
    </row>
    <row r="8" spans="1:7">
      <c r="A8">
        <v>0.201</v>
      </c>
      <c r="B8" s="8" t="s">
        <v>736</v>
      </c>
      <c r="C8">
        <v>66.4</v>
      </c>
      <c r="E8">
        <f t="shared" si="0"/>
        <v>0.2</v>
      </c>
      <c r="F8">
        <f t="shared" si="1"/>
        <v>-2.364</v>
      </c>
      <c r="G8">
        <f t="shared" si="2"/>
        <v>-8</v>
      </c>
    </row>
    <row r="9" spans="1:7">
      <c r="A9">
        <v>0.251</v>
      </c>
      <c r="B9" s="8" t="s">
        <v>737</v>
      </c>
      <c r="C9">
        <v>66.9</v>
      </c>
      <c r="E9">
        <f t="shared" si="0"/>
        <v>0.25</v>
      </c>
      <c r="F9">
        <f t="shared" si="1"/>
        <v>-0.125999999999999</v>
      </c>
      <c r="G9">
        <f t="shared" si="2"/>
        <v>-8</v>
      </c>
    </row>
    <row r="10" spans="1:7">
      <c r="A10">
        <v>0.301</v>
      </c>
      <c r="B10" s="8" t="s">
        <v>133</v>
      </c>
      <c r="C10">
        <v>67.2</v>
      </c>
      <c r="E10">
        <f t="shared" si="0"/>
        <v>0.3</v>
      </c>
      <c r="F10">
        <f t="shared" si="1"/>
        <v>2.2</v>
      </c>
      <c r="G10">
        <f t="shared" si="2"/>
        <v>-8</v>
      </c>
    </row>
    <row r="11" spans="1:7">
      <c r="A11">
        <v>0.351</v>
      </c>
      <c r="B11" s="8" t="s">
        <v>323</v>
      </c>
      <c r="C11">
        <v>66.3</v>
      </c>
      <c r="E11">
        <f t="shared" si="0"/>
        <v>0.35</v>
      </c>
      <c r="F11">
        <f t="shared" si="1"/>
        <v>4.22</v>
      </c>
      <c r="G11">
        <f t="shared" si="2"/>
        <v>-8</v>
      </c>
    </row>
    <row r="12" spans="1:7">
      <c r="A12">
        <v>0.401</v>
      </c>
      <c r="B12" s="8" t="s">
        <v>21</v>
      </c>
      <c r="C12">
        <v>67</v>
      </c>
      <c r="E12">
        <f t="shared" si="0"/>
        <v>0.4</v>
      </c>
      <c r="F12">
        <f t="shared" si="1"/>
        <v>5.92</v>
      </c>
      <c r="G12">
        <f t="shared" si="2"/>
        <v>-8</v>
      </c>
    </row>
    <row r="13" spans="1:7">
      <c r="A13">
        <v>0.451</v>
      </c>
      <c r="B13" s="8" t="s">
        <v>738</v>
      </c>
      <c r="C13">
        <v>67.1</v>
      </c>
      <c r="E13">
        <f t="shared" si="0"/>
        <v>0.45</v>
      </c>
      <c r="F13">
        <f t="shared" si="1"/>
        <v>6.96</v>
      </c>
      <c r="G13">
        <f t="shared" si="2"/>
        <v>-8</v>
      </c>
    </row>
    <row r="14" spans="1:7">
      <c r="A14">
        <v>0.501</v>
      </c>
      <c r="B14" s="8" t="s">
        <v>739</v>
      </c>
      <c r="C14">
        <v>66.6</v>
      </c>
      <c r="E14">
        <f t="shared" si="0"/>
        <v>0.5</v>
      </c>
      <c r="F14">
        <f t="shared" si="1"/>
        <v>7.51</v>
      </c>
      <c r="G14">
        <f t="shared" si="2"/>
        <v>-8</v>
      </c>
    </row>
    <row r="15" spans="1:7">
      <c r="A15">
        <v>0.552</v>
      </c>
      <c r="B15" s="8" t="s">
        <v>80</v>
      </c>
      <c r="C15">
        <v>67.4</v>
      </c>
      <c r="E15">
        <f t="shared" si="0"/>
        <v>0.55</v>
      </c>
      <c r="F15">
        <f t="shared" si="1"/>
        <v>7.38</v>
      </c>
      <c r="G15">
        <f t="shared" si="2"/>
        <v>-8</v>
      </c>
    </row>
    <row r="16" spans="1:7">
      <c r="A16">
        <v>0.602</v>
      </c>
      <c r="B16" s="8" t="s">
        <v>740</v>
      </c>
      <c r="C16">
        <v>66</v>
      </c>
      <c r="E16">
        <f t="shared" si="0"/>
        <v>0.6</v>
      </c>
      <c r="F16">
        <f t="shared" si="1"/>
        <v>6.39</v>
      </c>
      <c r="G16">
        <f t="shared" si="2"/>
        <v>-8</v>
      </c>
    </row>
    <row r="17" spans="1:7">
      <c r="A17">
        <v>0.652</v>
      </c>
      <c r="B17" s="8" t="s">
        <v>741</v>
      </c>
      <c r="C17">
        <v>67</v>
      </c>
      <c r="E17">
        <f t="shared" si="0"/>
        <v>0.65</v>
      </c>
      <c r="F17">
        <f t="shared" si="1"/>
        <v>5.03</v>
      </c>
      <c r="G17">
        <f t="shared" si="2"/>
        <v>-8</v>
      </c>
    </row>
    <row r="18" spans="1:7">
      <c r="A18">
        <v>0.702</v>
      </c>
      <c r="B18" s="8" t="s">
        <v>267</v>
      </c>
      <c r="C18">
        <v>67</v>
      </c>
      <c r="E18">
        <f t="shared" si="0"/>
        <v>0.7</v>
      </c>
      <c r="F18">
        <f t="shared" si="1"/>
        <v>3.16</v>
      </c>
      <c r="G18">
        <f t="shared" si="2"/>
        <v>-8</v>
      </c>
    </row>
    <row r="19" spans="1:7">
      <c r="A19">
        <v>0.752</v>
      </c>
      <c r="B19" s="8" t="s">
        <v>742</v>
      </c>
      <c r="C19">
        <v>66.4</v>
      </c>
      <c r="E19">
        <f t="shared" si="0"/>
        <v>0.75</v>
      </c>
      <c r="F19">
        <f t="shared" si="1"/>
        <v>0.971</v>
      </c>
      <c r="G19">
        <f t="shared" si="2"/>
        <v>-8</v>
      </c>
    </row>
    <row r="20" spans="1:7">
      <c r="A20">
        <v>0.802</v>
      </c>
      <c r="B20" s="8" t="s">
        <v>743</v>
      </c>
      <c r="C20">
        <v>66.8</v>
      </c>
      <c r="E20">
        <f t="shared" si="0"/>
        <v>0.8</v>
      </c>
      <c r="F20">
        <f t="shared" si="1"/>
        <v>-1.139</v>
      </c>
      <c r="G20">
        <f t="shared" si="2"/>
        <v>-8</v>
      </c>
    </row>
    <row r="21" spans="1:7">
      <c r="A21">
        <v>0.852</v>
      </c>
      <c r="B21" s="8" t="s">
        <v>744</v>
      </c>
      <c r="C21">
        <v>66.9</v>
      </c>
      <c r="E21">
        <f t="shared" si="0"/>
        <v>0.85</v>
      </c>
      <c r="F21">
        <f t="shared" si="1"/>
        <v>-3.007</v>
      </c>
      <c r="G21">
        <f t="shared" si="2"/>
        <v>-8</v>
      </c>
    </row>
    <row r="22" spans="1:7">
      <c r="A22">
        <v>0.903</v>
      </c>
      <c r="B22" s="8" t="s">
        <v>745</v>
      </c>
      <c r="C22">
        <v>66.7</v>
      </c>
      <c r="E22">
        <f t="shared" si="0"/>
        <v>0.9</v>
      </c>
      <c r="F22">
        <f t="shared" si="1"/>
        <v>-4.726</v>
      </c>
      <c r="G22">
        <f t="shared" si="2"/>
        <v>-8</v>
      </c>
    </row>
    <row r="23" spans="1:7">
      <c r="A23">
        <v>0.953</v>
      </c>
      <c r="B23" s="8" t="s">
        <v>746</v>
      </c>
      <c r="C23">
        <v>67.4</v>
      </c>
      <c r="E23">
        <f t="shared" si="0"/>
        <v>0.95</v>
      </c>
      <c r="F23">
        <f t="shared" si="1"/>
        <v>-5.877</v>
      </c>
      <c r="G23">
        <f t="shared" si="2"/>
        <v>-8</v>
      </c>
    </row>
    <row r="24" spans="1:7">
      <c r="A24">
        <v>1.003</v>
      </c>
      <c r="B24" s="8" t="s">
        <v>747</v>
      </c>
      <c r="C24">
        <v>67.2</v>
      </c>
      <c r="E24">
        <f t="shared" si="0"/>
        <v>1</v>
      </c>
      <c r="F24">
        <f t="shared" si="1"/>
        <v>-6.473</v>
      </c>
      <c r="G24">
        <f t="shared" si="2"/>
        <v>-8</v>
      </c>
    </row>
    <row r="25" spans="1:7">
      <c r="A25">
        <v>1.053</v>
      </c>
      <c r="B25" s="8" t="s">
        <v>748</v>
      </c>
      <c r="C25">
        <v>66.4</v>
      </c>
      <c r="E25">
        <f t="shared" si="0"/>
        <v>1.05</v>
      </c>
      <c r="F25">
        <f t="shared" si="1"/>
        <v>-6.429</v>
      </c>
      <c r="G25">
        <f t="shared" si="2"/>
        <v>-8</v>
      </c>
    </row>
    <row r="26" spans="1:7">
      <c r="A26">
        <v>1.103</v>
      </c>
      <c r="B26" s="8" t="s">
        <v>749</v>
      </c>
      <c r="C26">
        <v>66.3</v>
      </c>
      <c r="E26">
        <f t="shared" si="0"/>
        <v>1.1</v>
      </c>
      <c r="F26">
        <f t="shared" si="1"/>
        <v>-5.75</v>
      </c>
      <c r="G26">
        <f t="shared" si="2"/>
        <v>-8</v>
      </c>
    </row>
    <row r="27" spans="1:7">
      <c r="A27">
        <v>1.153</v>
      </c>
      <c r="B27" s="8" t="s">
        <v>750</v>
      </c>
      <c r="C27">
        <v>66.3</v>
      </c>
      <c r="E27">
        <f t="shared" si="0"/>
        <v>1.15</v>
      </c>
      <c r="F27">
        <f t="shared" si="1"/>
        <v>-4.435</v>
      </c>
      <c r="G27">
        <f t="shared" si="2"/>
        <v>-8</v>
      </c>
    </row>
    <row r="28" spans="1:7">
      <c r="A28">
        <v>1.203</v>
      </c>
      <c r="B28" s="8" t="s">
        <v>751</v>
      </c>
      <c r="C28">
        <v>66.6</v>
      </c>
      <c r="E28">
        <f t="shared" si="0"/>
        <v>1.2</v>
      </c>
      <c r="F28">
        <f t="shared" si="1"/>
        <v>-2.7</v>
      </c>
      <c r="G28">
        <f t="shared" si="2"/>
        <v>-8</v>
      </c>
    </row>
    <row r="29" spans="1:7">
      <c r="A29">
        <v>1.253</v>
      </c>
      <c r="B29" s="8" t="s">
        <v>752</v>
      </c>
      <c r="C29">
        <v>67.2</v>
      </c>
      <c r="E29">
        <f t="shared" si="0"/>
        <v>1.25</v>
      </c>
      <c r="F29">
        <f t="shared" si="1"/>
        <v>-0.781000000000001</v>
      </c>
      <c r="G29">
        <f t="shared" si="2"/>
        <v>-8</v>
      </c>
    </row>
    <row r="30" spans="1:7">
      <c r="A30">
        <v>1.304</v>
      </c>
      <c r="B30" s="8" t="s">
        <v>753</v>
      </c>
      <c r="C30">
        <v>66.7</v>
      </c>
      <c r="E30">
        <f t="shared" si="0"/>
        <v>1.3</v>
      </c>
      <c r="F30">
        <f t="shared" si="1"/>
        <v>1.292</v>
      </c>
      <c r="G30">
        <f t="shared" si="2"/>
        <v>-8</v>
      </c>
    </row>
    <row r="31" spans="1:7">
      <c r="A31">
        <v>1.354</v>
      </c>
      <c r="B31" s="8" t="s">
        <v>267</v>
      </c>
      <c r="C31">
        <v>66.6</v>
      </c>
      <c r="E31">
        <f t="shared" si="0"/>
        <v>1.35</v>
      </c>
      <c r="F31">
        <f t="shared" si="1"/>
        <v>3.16</v>
      </c>
      <c r="G31">
        <f t="shared" si="2"/>
        <v>-8</v>
      </c>
    </row>
    <row r="32" spans="1:7">
      <c r="A32">
        <v>1.404</v>
      </c>
      <c r="B32" s="8" t="s">
        <v>424</v>
      </c>
      <c r="C32">
        <v>66.5</v>
      </c>
      <c r="E32">
        <f t="shared" si="0"/>
        <v>1.4</v>
      </c>
      <c r="F32">
        <f t="shared" si="1"/>
        <v>4.76</v>
      </c>
      <c r="G32">
        <f t="shared" si="2"/>
        <v>-8</v>
      </c>
    </row>
    <row r="33" spans="1:7">
      <c r="A33">
        <v>1.454</v>
      </c>
      <c r="B33" s="8" t="s">
        <v>754</v>
      </c>
      <c r="C33">
        <v>66.2</v>
      </c>
      <c r="E33">
        <f t="shared" si="0"/>
        <v>1.45</v>
      </c>
      <c r="F33">
        <f t="shared" si="1"/>
        <v>5.75</v>
      </c>
      <c r="G33">
        <f t="shared" si="2"/>
        <v>-8</v>
      </c>
    </row>
    <row r="34" spans="1:7">
      <c r="A34">
        <v>1.504</v>
      </c>
      <c r="B34" s="8" t="s">
        <v>755</v>
      </c>
      <c r="C34">
        <v>67.4</v>
      </c>
      <c r="E34">
        <f t="shared" si="0"/>
        <v>1.5</v>
      </c>
      <c r="F34">
        <f t="shared" si="1"/>
        <v>6.27</v>
      </c>
      <c r="G34">
        <f t="shared" si="2"/>
        <v>-8</v>
      </c>
    </row>
    <row r="35" spans="1:7">
      <c r="A35">
        <v>1.554</v>
      </c>
      <c r="B35" s="8" t="s">
        <v>756</v>
      </c>
      <c r="C35">
        <v>66.9</v>
      </c>
      <c r="E35">
        <f t="shared" si="0"/>
        <v>1.55</v>
      </c>
      <c r="F35">
        <f t="shared" si="1"/>
        <v>6.22</v>
      </c>
      <c r="G35">
        <f t="shared" si="2"/>
        <v>-8</v>
      </c>
    </row>
    <row r="36" spans="1:7">
      <c r="A36">
        <v>1.604</v>
      </c>
      <c r="B36" s="8" t="s">
        <v>137</v>
      </c>
      <c r="C36">
        <v>66.7</v>
      </c>
      <c r="E36">
        <f t="shared" si="0"/>
        <v>1.6</v>
      </c>
      <c r="F36">
        <f t="shared" si="1"/>
        <v>5.59</v>
      </c>
      <c r="G36">
        <f t="shared" si="2"/>
        <v>-8</v>
      </c>
    </row>
    <row r="37" spans="1:7">
      <c r="A37">
        <v>1.655</v>
      </c>
      <c r="B37" s="8" t="s">
        <v>757</v>
      </c>
      <c r="C37">
        <v>67.2</v>
      </c>
      <c r="E37">
        <f t="shared" si="0"/>
        <v>1.65</v>
      </c>
      <c r="F37">
        <f t="shared" si="1"/>
        <v>4.34</v>
      </c>
      <c r="G37">
        <f t="shared" si="2"/>
        <v>-8</v>
      </c>
    </row>
    <row r="38" spans="1:7">
      <c r="A38">
        <v>1.705</v>
      </c>
      <c r="B38" s="8" t="s">
        <v>306</v>
      </c>
      <c r="C38">
        <v>66.8</v>
      </c>
      <c r="E38">
        <f t="shared" si="0"/>
        <v>1.7</v>
      </c>
      <c r="F38">
        <f t="shared" si="1"/>
        <v>2.63</v>
      </c>
      <c r="G38">
        <f t="shared" si="2"/>
        <v>-8</v>
      </c>
    </row>
    <row r="39" spans="1:7">
      <c r="A39">
        <v>1.755</v>
      </c>
      <c r="B39" s="8" t="s">
        <v>758</v>
      </c>
      <c r="C39">
        <v>67.4</v>
      </c>
      <c r="E39">
        <f t="shared" si="0"/>
        <v>1.75</v>
      </c>
      <c r="F39">
        <f t="shared" si="1"/>
        <v>0.711</v>
      </c>
      <c r="G39">
        <f t="shared" si="2"/>
        <v>-8</v>
      </c>
    </row>
    <row r="40" spans="1:7">
      <c r="A40">
        <v>1.805</v>
      </c>
      <c r="B40" s="8" t="s">
        <v>759</v>
      </c>
      <c r="C40">
        <v>66.6</v>
      </c>
      <c r="E40">
        <f t="shared" si="0"/>
        <v>1.8</v>
      </c>
      <c r="F40">
        <f t="shared" si="1"/>
        <v>-1.185</v>
      </c>
      <c r="G40">
        <f t="shared" si="2"/>
        <v>-8</v>
      </c>
    </row>
    <row r="41" spans="1:7">
      <c r="A41">
        <v>1.855</v>
      </c>
      <c r="B41" s="8" t="s">
        <v>760</v>
      </c>
      <c r="C41">
        <v>67.1</v>
      </c>
      <c r="E41">
        <f t="shared" si="0"/>
        <v>1.85</v>
      </c>
      <c r="F41">
        <f t="shared" si="1"/>
        <v>-2.986</v>
      </c>
      <c r="G41">
        <f t="shared" si="2"/>
        <v>-8</v>
      </c>
    </row>
    <row r="42" spans="1:7">
      <c r="A42">
        <v>1.905</v>
      </c>
      <c r="B42" s="8" t="s">
        <v>761</v>
      </c>
      <c r="C42">
        <v>67.3</v>
      </c>
      <c r="E42">
        <f t="shared" si="0"/>
        <v>1.9</v>
      </c>
      <c r="F42">
        <f t="shared" si="1"/>
        <v>-4.335</v>
      </c>
      <c r="G42">
        <f t="shared" si="2"/>
        <v>-8</v>
      </c>
    </row>
    <row r="43" spans="1:7">
      <c r="A43">
        <v>1.955</v>
      </c>
      <c r="B43" s="8" t="s">
        <v>762</v>
      </c>
      <c r="C43">
        <v>66.3</v>
      </c>
      <c r="E43">
        <f t="shared" si="0"/>
        <v>1.95</v>
      </c>
      <c r="F43">
        <f t="shared" si="1"/>
        <v>-5.284</v>
      </c>
      <c r="G43">
        <f t="shared" si="2"/>
        <v>-8</v>
      </c>
    </row>
    <row r="44" spans="1:7">
      <c r="A44">
        <v>2.006</v>
      </c>
      <c r="B44" s="8" t="s">
        <v>763</v>
      </c>
      <c r="C44">
        <v>67</v>
      </c>
      <c r="E44">
        <f t="shared" si="0"/>
        <v>2</v>
      </c>
      <c r="F44">
        <f t="shared" si="1"/>
        <v>-5.689</v>
      </c>
      <c r="G44">
        <f t="shared" si="2"/>
        <v>-8</v>
      </c>
    </row>
    <row r="45" spans="1:7">
      <c r="A45">
        <v>2.056</v>
      </c>
      <c r="B45" s="8" t="s">
        <v>764</v>
      </c>
      <c r="C45">
        <v>253.5</v>
      </c>
      <c r="E45">
        <f t="shared" si="0"/>
        <v>2.05</v>
      </c>
      <c r="F45">
        <f t="shared" si="1"/>
        <v>-5.607</v>
      </c>
      <c r="G45">
        <f t="shared" si="2"/>
        <v>5</v>
      </c>
    </row>
    <row r="46" spans="1:7">
      <c r="A46">
        <v>2.106</v>
      </c>
      <c r="B46" s="8" t="s">
        <v>765</v>
      </c>
      <c r="C46">
        <v>253.6</v>
      </c>
      <c r="E46">
        <f t="shared" si="0"/>
        <v>2.1</v>
      </c>
      <c r="F46">
        <f t="shared" si="1"/>
        <v>-5.195</v>
      </c>
      <c r="G46">
        <f t="shared" si="2"/>
        <v>5</v>
      </c>
    </row>
    <row r="47" spans="1:7">
      <c r="A47">
        <v>2.156</v>
      </c>
      <c r="B47" s="8" t="s">
        <v>766</v>
      </c>
      <c r="C47">
        <v>253.8</v>
      </c>
      <c r="E47">
        <f t="shared" si="0"/>
        <v>2.15</v>
      </c>
      <c r="F47">
        <f t="shared" si="1"/>
        <v>-4.55</v>
      </c>
      <c r="G47">
        <f t="shared" si="2"/>
        <v>5</v>
      </c>
    </row>
    <row r="48" spans="1:7">
      <c r="A48">
        <v>2.206</v>
      </c>
      <c r="B48" s="8" t="s">
        <v>767</v>
      </c>
      <c r="C48">
        <v>253.8</v>
      </c>
      <c r="E48">
        <f t="shared" si="0"/>
        <v>2.2</v>
      </c>
      <c r="F48">
        <f t="shared" si="1"/>
        <v>-3.732</v>
      </c>
      <c r="G48">
        <f t="shared" si="2"/>
        <v>5</v>
      </c>
    </row>
    <row r="49" spans="1:7">
      <c r="A49">
        <v>2.256</v>
      </c>
      <c r="B49" s="8" t="s">
        <v>768</v>
      </c>
      <c r="C49">
        <v>253.7</v>
      </c>
      <c r="E49">
        <f t="shared" si="0"/>
        <v>2.25</v>
      </c>
      <c r="F49">
        <f t="shared" si="1"/>
        <v>-3.148</v>
      </c>
      <c r="G49">
        <f t="shared" si="2"/>
        <v>5</v>
      </c>
    </row>
    <row r="50" spans="1:7">
      <c r="A50">
        <v>2.306</v>
      </c>
      <c r="B50" s="8" t="s">
        <v>769</v>
      </c>
      <c r="C50">
        <v>253.8</v>
      </c>
      <c r="E50">
        <f t="shared" si="0"/>
        <v>2.3</v>
      </c>
      <c r="F50">
        <f t="shared" si="1"/>
        <v>-2.816</v>
      </c>
      <c r="G50">
        <f t="shared" si="2"/>
        <v>5</v>
      </c>
    </row>
    <row r="51" spans="1:7">
      <c r="A51">
        <v>2.357</v>
      </c>
      <c r="B51" s="8" t="s">
        <v>770</v>
      </c>
      <c r="C51">
        <v>253.7</v>
      </c>
      <c r="E51">
        <f t="shared" si="0"/>
        <v>2.35</v>
      </c>
      <c r="F51">
        <f t="shared" si="1"/>
        <v>-2.487</v>
      </c>
      <c r="G51">
        <f t="shared" si="2"/>
        <v>5</v>
      </c>
    </row>
    <row r="52" spans="1:7">
      <c r="A52">
        <v>2.407</v>
      </c>
      <c r="B52" s="8" t="s">
        <v>771</v>
      </c>
      <c r="C52">
        <v>253.7</v>
      </c>
      <c r="E52">
        <f t="shared" si="0"/>
        <v>2.4</v>
      </c>
      <c r="F52">
        <f t="shared" si="1"/>
        <v>-2.447</v>
      </c>
      <c r="G52">
        <f t="shared" si="2"/>
        <v>5</v>
      </c>
    </row>
    <row r="53" spans="1:7">
      <c r="A53">
        <v>2.457</v>
      </c>
      <c r="B53" s="8" t="s">
        <v>772</v>
      </c>
      <c r="C53">
        <v>240.7</v>
      </c>
      <c r="E53">
        <f t="shared" si="0"/>
        <v>2.45</v>
      </c>
      <c r="F53">
        <f t="shared" si="1"/>
        <v>-2.494</v>
      </c>
      <c r="G53">
        <f t="shared" si="2"/>
        <v>5</v>
      </c>
    </row>
    <row r="54" spans="1:7">
      <c r="A54">
        <v>2.507</v>
      </c>
      <c r="B54" s="8" t="s">
        <v>47</v>
      </c>
      <c r="C54">
        <v>66.9</v>
      </c>
      <c r="E54">
        <f t="shared" si="0"/>
        <v>2.5</v>
      </c>
      <c r="F54">
        <f t="shared" si="1"/>
        <v>-2.949</v>
      </c>
      <c r="G54">
        <f t="shared" si="2"/>
        <v>-8</v>
      </c>
    </row>
    <row r="55" spans="1:7">
      <c r="A55">
        <v>2.557</v>
      </c>
      <c r="B55" s="8" t="s">
        <v>773</v>
      </c>
      <c r="C55">
        <v>66.8</v>
      </c>
      <c r="E55">
        <f t="shared" si="0"/>
        <v>2.55</v>
      </c>
      <c r="F55">
        <f t="shared" si="1"/>
        <v>-3.955</v>
      </c>
      <c r="G55">
        <f t="shared" si="2"/>
        <v>-8</v>
      </c>
    </row>
    <row r="56" spans="1:7">
      <c r="A56">
        <v>2.607</v>
      </c>
      <c r="B56" s="8" t="s">
        <v>774</v>
      </c>
      <c r="C56">
        <v>67.2</v>
      </c>
      <c r="E56">
        <f t="shared" si="0"/>
        <v>2.6</v>
      </c>
      <c r="F56">
        <f t="shared" si="1"/>
        <v>-5.141</v>
      </c>
      <c r="G56">
        <f t="shared" si="2"/>
        <v>-8</v>
      </c>
    </row>
    <row r="57" spans="1:7">
      <c r="A57">
        <v>2.657</v>
      </c>
      <c r="B57" s="8" t="s">
        <v>686</v>
      </c>
      <c r="C57">
        <v>67</v>
      </c>
      <c r="E57">
        <f t="shared" si="0"/>
        <v>2.65</v>
      </c>
      <c r="F57">
        <f t="shared" si="1"/>
        <v>-6.237</v>
      </c>
      <c r="G57">
        <f t="shared" si="2"/>
        <v>-8</v>
      </c>
    </row>
    <row r="58" spans="1:7">
      <c r="A58">
        <v>2.708</v>
      </c>
      <c r="B58" s="8" t="s">
        <v>775</v>
      </c>
      <c r="C58">
        <v>67.6</v>
      </c>
      <c r="E58">
        <f t="shared" si="0"/>
        <v>2.7</v>
      </c>
      <c r="F58">
        <f t="shared" si="1"/>
        <v>-7.2775</v>
      </c>
      <c r="G58">
        <f t="shared" si="2"/>
        <v>-8</v>
      </c>
    </row>
    <row r="59" spans="1:7">
      <c r="A59">
        <v>2.758</v>
      </c>
      <c r="B59" s="8" t="s">
        <v>776</v>
      </c>
      <c r="C59">
        <v>67.1</v>
      </c>
      <c r="E59">
        <f t="shared" si="0"/>
        <v>2.75</v>
      </c>
      <c r="F59">
        <f t="shared" si="1"/>
        <v>-7.7346</v>
      </c>
      <c r="G59">
        <f t="shared" si="2"/>
        <v>-8</v>
      </c>
    </row>
    <row r="60" spans="1:7">
      <c r="A60">
        <v>2.808</v>
      </c>
      <c r="B60" s="8" t="s">
        <v>777</v>
      </c>
      <c r="C60">
        <v>67.5</v>
      </c>
      <c r="E60">
        <f t="shared" si="0"/>
        <v>2.8</v>
      </c>
      <c r="F60">
        <f t="shared" si="1"/>
        <v>-7.7485</v>
      </c>
      <c r="G60">
        <f t="shared" si="2"/>
        <v>-8</v>
      </c>
    </row>
    <row r="61" spans="1:7">
      <c r="A61">
        <v>2.858</v>
      </c>
      <c r="B61" s="8" t="s">
        <v>778</v>
      </c>
      <c r="C61">
        <v>67</v>
      </c>
      <c r="E61">
        <f t="shared" si="0"/>
        <v>2.85</v>
      </c>
      <c r="F61">
        <f t="shared" si="1"/>
        <v>-7.3443</v>
      </c>
      <c r="G61">
        <f t="shared" si="2"/>
        <v>-8</v>
      </c>
    </row>
    <row r="62" spans="1:7">
      <c r="A62">
        <v>2.908</v>
      </c>
      <c r="B62" s="8" t="s">
        <v>779</v>
      </c>
      <c r="C62">
        <v>67.1</v>
      </c>
      <c r="E62">
        <f t="shared" si="0"/>
        <v>2.9</v>
      </c>
      <c r="F62">
        <f t="shared" si="1"/>
        <v>-6.195</v>
      </c>
      <c r="G62">
        <f t="shared" si="2"/>
        <v>-8</v>
      </c>
    </row>
    <row r="63" spans="1:7">
      <c r="A63">
        <v>2.958</v>
      </c>
      <c r="B63" s="8" t="s">
        <v>780</v>
      </c>
      <c r="C63">
        <v>66.4</v>
      </c>
      <c r="E63">
        <f t="shared" si="0"/>
        <v>2.95</v>
      </c>
      <c r="F63">
        <f t="shared" si="1"/>
        <v>-5.233</v>
      </c>
      <c r="G63">
        <f t="shared" si="2"/>
        <v>-8</v>
      </c>
    </row>
    <row r="64" spans="1:7">
      <c r="A64">
        <v>3.008</v>
      </c>
      <c r="B64" s="8" t="s">
        <v>781</v>
      </c>
      <c r="C64">
        <v>67.2</v>
      </c>
      <c r="E64">
        <f t="shared" si="0"/>
        <v>3</v>
      </c>
      <c r="F64">
        <f t="shared" si="1"/>
        <v>-4.093</v>
      </c>
      <c r="G64">
        <f t="shared" si="2"/>
        <v>-8</v>
      </c>
    </row>
    <row r="65" spans="1:7">
      <c r="A65">
        <v>3.059</v>
      </c>
      <c r="B65" s="8" t="s">
        <v>782</v>
      </c>
      <c r="C65">
        <v>67.1</v>
      </c>
      <c r="E65">
        <f t="shared" si="0"/>
        <v>3.05</v>
      </c>
      <c r="F65">
        <f t="shared" si="1"/>
        <v>-3.281</v>
      </c>
      <c r="G65">
        <f t="shared" si="2"/>
        <v>-8</v>
      </c>
    </row>
    <row r="66" spans="1:7">
      <c r="A66">
        <v>3.109</v>
      </c>
      <c r="B66" s="8" t="s">
        <v>783</v>
      </c>
      <c r="C66">
        <v>67.1</v>
      </c>
      <c r="E66">
        <f t="shared" si="0"/>
        <v>3.1</v>
      </c>
      <c r="F66">
        <f t="shared" si="1"/>
        <v>-2.796</v>
      </c>
      <c r="G66">
        <f t="shared" si="2"/>
        <v>-8</v>
      </c>
    </row>
    <row r="67" spans="1:7">
      <c r="A67">
        <v>3.159</v>
      </c>
      <c r="B67" s="8" t="s">
        <v>784</v>
      </c>
      <c r="C67">
        <v>67.3</v>
      </c>
      <c r="E67">
        <f t="shared" si="0"/>
        <v>3.15</v>
      </c>
      <c r="F67">
        <f t="shared" si="1"/>
        <v>-2.703</v>
      </c>
      <c r="G67">
        <f t="shared" si="2"/>
        <v>-8</v>
      </c>
    </row>
    <row r="68" spans="1:7">
      <c r="A68">
        <v>3.209</v>
      </c>
      <c r="B68" s="8" t="s">
        <v>785</v>
      </c>
      <c r="C68">
        <v>67.2</v>
      </c>
      <c r="E68">
        <f t="shared" si="0"/>
        <v>3.2</v>
      </c>
      <c r="F68">
        <f t="shared" si="1"/>
        <v>-3.02</v>
      </c>
      <c r="G68">
        <f t="shared" si="2"/>
        <v>-8</v>
      </c>
    </row>
    <row r="69" spans="1:7">
      <c r="A69">
        <v>3.259</v>
      </c>
      <c r="B69" s="8" t="s">
        <v>786</v>
      </c>
      <c r="C69">
        <v>67</v>
      </c>
      <c r="E69">
        <f t="shared" ref="E69:E132" si="3">FLOOR(A69,0.05)</f>
        <v>3.25</v>
      </c>
      <c r="F69">
        <f t="shared" ref="F69:F132" si="4">B69*1000-8</f>
        <v>-3.665</v>
      </c>
      <c r="G69">
        <f t="shared" ref="G69:G132" si="5">IF(C69&lt;230,-8,5)</f>
        <v>-8</v>
      </c>
    </row>
    <row r="70" spans="1:7">
      <c r="A70">
        <v>3.309</v>
      </c>
      <c r="B70" s="8" t="s">
        <v>787</v>
      </c>
      <c r="C70">
        <v>67.5</v>
      </c>
      <c r="E70">
        <f t="shared" si="3"/>
        <v>3.3</v>
      </c>
      <c r="F70">
        <f t="shared" si="4"/>
        <v>-4.617</v>
      </c>
      <c r="G70">
        <f t="shared" si="5"/>
        <v>-8</v>
      </c>
    </row>
    <row r="71" spans="1:7">
      <c r="A71">
        <v>3.359</v>
      </c>
      <c r="B71" s="8" t="s">
        <v>788</v>
      </c>
      <c r="C71">
        <v>66.8</v>
      </c>
      <c r="E71">
        <f t="shared" si="3"/>
        <v>3.35</v>
      </c>
      <c r="F71">
        <f t="shared" si="4"/>
        <v>-5.571</v>
      </c>
      <c r="G71">
        <f t="shared" si="5"/>
        <v>-8</v>
      </c>
    </row>
    <row r="72" spans="1:7">
      <c r="A72">
        <v>3.41</v>
      </c>
      <c r="B72" s="8" t="s">
        <v>677</v>
      </c>
      <c r="C72">
        <v>66.8</v>
      </c>
      <c r="E72">
        <f t="shared" si="3"/>
        <v>3.4</v>
      </c>
      <c r="F72">
        <f t="shared" si="4"/>
        <v>-6.373</v>
      </c>
      <c r="G72">
        <f t="shared" si="5"/>
        <v>-8</v>
      </c>
    </row>
    <row r="73" spans="1:7">
      <c r="A73">
        <v>3.46</v>
      </c>
      <c r="B73" s="8" t="s">
        <v>789</v>
      </c>
      <c r="C73">
        <v>66.7</v>
      </c>
      <c r="E73">
        <f t="shared" si="3"/>
        <v>3.45</v>
      </c>
      <c r="F73">
        <f t="shared" si="4"/>
        <v>-6.864</v>
      </c>
      <c r="G73">
        <f t="shared" si="5"/>
        <v>-8</v>
      </c>
    </row>
    <row r="74" spans="1:7">
      <c r="A74">
        <v>3.51</v>
      </c>
      <c r="B74" s="8" t="s">
        <v>790</v>
      </c>
      <c r="C74">
        <v>66.3</v>
      </c>
      <c r="E74">
        <f t="shared" si="3"/>
        <v>3.5</v>
      </c>
      <c r="F74">
        <f t="shared" si="4"/>
        <v>-6.914</v>
      </c>
      <c r="G74">
        <f t="shared" si="5"/>
        <v>-8</v>
      </c>
    </row>
    <row r="75" spans="1:7">
      <c r="A75">
        <v>3.56</v>
      </c>
      <c r="B75" s="8" t="s">
        <v>791</v>
      </c>
      <c r="C75">
        <v>67</v>
      </c>
      <c r="E75">
        <f t="shared" si="3"/>
        <v>3.55</v>
      </c>
      <c r="F75">
        <f t="shared" si="4"/>
        <v>-6.488</v>
      </c>
      <c r="G75">
        <f t="shared" si="5"/>
        <v>-8</v>
      </c>
    </row>
    <row r="76" spans="1:7">
      <c r="A76">
        <v>3.61</v>
      </c>
      <c r="B76" s="8" t="s">
        <v>792</v>
      </c>
      <c r="C76">
        <v>67.1</v>
      </c>
      <c r="E76">
        <f t="shared" si="3"/>
        <v>3.6</v>
      </c>
      <c r="F76">
        <f t="shared" si="4"/>
        <v>-5.663</v>
      </c>
      <c r="G76">
        <f t="shared" si="5"/>
        <v>-8</v>
      </c>
    </row>
    <row r="77" spans="1:7">
      <c r="A77">
        <v>3.66</v>
      </c>
      <c r="B77" s="8" t="s">
        <v>793</v>
      </c>
      <c r="C77">
        <v>66.7</v>
      </c>
      <c r="E77">
        <f t="shared" si="3"/>
        <v>3.65</v>
      </c>
      <c r="F77">
        <f t="shared" si="4"/>
        <v>-4.839</v>
      </c>
      <c r="G77">
        <f t="shared" si="5"/>
        <v>-8</v>
      </c>
    </row>
    <row r="78" spans="1:7">
      <c r="A78">
        <v>3.71</v>
      </c>
      <c r="B78" s="8" t="s">
        <v>794</v>
      </c>
      <c r="C78">
        <v>67.3</v>
      </c>
      <c r="E78">
        <f t="shared" si="3"/>
        <v>3.7</v>
      </c>
      <c r="F78">
        <f t="shared" si="4"/>
        <v>-3.976</v>
      </c>
      <c r="G78">
        <f t="shared" si="5"/>
        <v>-8</v>
      </c>
    </row>
    <row r="79" spans="1:7">
      <c r="A79">
        <v>3.76</v>
      </c>
      <c r="B79" s="8" t="s">
        <v>795</v>
      </c>
      <c r="C79">
        <v>66.9</v>
      </c>
      <c r="E79">
        <f t="shared" si="3"/>
        <v>3.75</v>
      </c>
      <c r="F79">
        <f t="shared" si="4"/>
        <v>-3.32</v>
      </c>
      <c r="G79">
        <f t="shared" si="5"/>
        <v>-8</v>
      </c>
    </row>
    <row r="80" spans="1:7">
      <c r="A80">
        <v>3.811</v>
      </c>
      <c r="B80" s="8" t="s">
        <v>796</v>
      </c>
      <c r="C80">
        <v>67</v>
      </c>
      <c r="E80">
        <f t="shared" si="3"/>
        <v>3.8</v>
      </c>
      <c r="F80">
        <f t="shared" si="4"/>
        <v>-3.071</v>
      </c>
      <c r="G80">
        <f t="shared" si="5"/>
        <v>-8</v>
      </c>
    </row>
    <row r="81" spans="1:7">
      <c r="A81">
        <v>3.861</v>
      </c>
      <c r="B81" s="8" t="s">
        <v>797</v>
      </c>
      <c r="C81">
        <v>67.1</v>
      </c>
      <c r="E81">
        <f t="shared" si="3"/>
        <v>3.85</v>
      </c>
      <c r="F81">
        <f t="shared" si="4"/>
        <v>-3.13</v>
      </c>
      <c r="G81">
        <f t="shared" si="5"/>
        <v>-8</v>
      </c>
    </row>
    <row r="82" spans="1:7">
      <c r="A82">
        <v>3.911</v>
      </c>
      <c r="B82" s="8" t="s">
        <v>798</v>
      </c>
      <c r="C82">
        <v>67.2</v>
      </c>
      <c r="E82">
        <f t="shared" si="3"/>
        <v>3.9</v>
      </c>
      <c r="F82">
        <f t="shared" si="4"/>
        <v>-3.459</v>
      </c>
      <c r="G82">
        <f t="shared" si="5"/>
        <v>-8</v>
      </c>
    </row>
    <row r="83" spans="1:7">
      <c r="A83">
        <v>3.961</v>
      </c>
      <c r="B83" s="8" t="s">
        <v>799</v>
      </c>
      <c r="C83">
        <v>67.2</v>
      </c>
      <c r="E83">
        <f t="shared" si="3"/>
        <v>3.95</v>
      </c>
      <c r="F83">
        <f t="shared" si="4"/>
        <v>-4.105</v>
      </c>
      <c r="G83">
        <f t="shared" si="5"/>
        <v>-8</v>
      </c>
    </row>
    <row r="84" spans="1:7">
      <c r="A84">
        <v>4.011</v>
      </c>
      <c r="B84" s="8" t="s">
        <v>800</v>
      </c>
      <c r="C84">
        <v>66.5</v>
      </c>
      <c r="E84">
        <f t="shared" si="3"/>
        <v>4</v>
      </c>
      <c r="F84">
        <f t="shared" si="4"/>
        <v>-4.959</v>
      </c>
      <c r="G84">
        <f t="shared" si="5"/>
        <v>-8</v>
      </c>
    </row>
    <row r="85" spans="1:7">
      <c r="A85">
        <v>4.061</v>
      </c>
      <c r="B85" s="8" t="s">
        <v>524</v>
      </c>
      <c r="C85">
        <v>67.2</v>
      </c>
      <c r="E85">
        <f t="shared" si="3"/>
        <v>4.05</v>
      </c>
      <c r="F85">
        <f t="shared" si="4"/>
        <v>-5.642</v>
      </c>
      <c r="G85">
        <f t="shared" si="5"/>
        <v>-8</v>
      </c>
    </row>
    <row r="86" spans="1:7">
      <c r="A86">
        <v>4.111</v>
      </c>
      <c r="B86" s="8" t="s">
        <v>801</v>
      </c>
      <c r="C86">
        <v>67.3</v>
      </c>
      <c r="E86">
        <f t="shared" si="3"/>
        <v>4.1</v>
      </c>
      <c r="F86">
        <f t="shared" si="4"/>
        <v>-6.221</v>
      </c>
      <c r="G86">
        <f t="shared" si="5"/>
        <v>-8</v>
      </c>
    </row>
    <row r="87" spans="1:7">
      <c r="A87">
        <v>4.162</v>
      </c>
      <c r="B87" s="8" t="s">
        <v>802</v>
      </c>
      <c r="C87">
        <v>66.3</v>
      </c>
      <c r="E87">
        <f t="shared" si="3"/>
        <v>4.15</v>
      </c>
      <c r="F87">
        <f t="shared" si="4"/>
        <v>-6.435</v>
      </c>
      <c r="G87">
        <f t="shared" si="5"/>
        <v>-8</v>
      </c>
    </row>
    <row r="88" spans="1:7">
      <c r="A88">
        <v>4.212</v>
      </c>
      <c r="B88" s="8" t="s">
        <v>803</v>
      </c>
      <c r="C88">
        <v>66.7</v>
      </c>
      <c r="E88">
        <f t="shared" si="3"/>
        <v>4.2</v>
      </c>
      <c r="F88">
        <f t="shared" si="4"/>
        <v>-6.367</v>
      </c>
      <c r="G88">
        <f t="shared" si="5"/>
        <v>-8</v>
      </c>
    </row>
    <row r="89" spans="1:7">
      <c r="A89">
        <v>4.262</v>
      </c>
      <c r="B89" s="8" t="s">
        <v>804</v>
      </c>
      <c r="C89">
        <v>66.3</v>
      </c>
      <c r="E89">
        <f t="shared" si="3"/>
        <v>4.25</v>
      </c>
      <c r="F89">
        <f t="shared" si="4"/>
        <v>-5.974</v>
      </c>
      <c r="G89">
        <f t="shared" si="5"/>
        <v>-8</v>
      </c>
    </row>
    <row r="90" spans="1:7">
      <c r="A90">
        <v>4.312</v>
      </c>
      <c r="B90" s="8" t="s">
        <v>805</v>
      </c>
      <c r="C90">
        <v>67.4</v>
      </c>
      <c r="E90">
        <f t="shared" si="3"/>
        <v>4.3</v>
      </c>
      <c r="F90">
        <f t="shared" si="4"/>
        <v>-5.325</v>
      </c>
      <c r="G90">
        <f t="shared" si="5"/>
        <v>-8</v>
      </c>
    </row>
    <row r="91" spans="1:7">
      <c r="A91">
        <v>4.362</v>
      </c>
      <c r="B91" s="8" t="s">
        <v>806</v>
      </c>
      <c r="C91">
        <v>67.1</v>
      </c>
      <c r="E91">
        <f t="shared" si="3"/>
        <v>4.35</v>
      </c>
      <c r="F91">
        <f t="shared" si="4"/>
        <v>-4.494</v>
      </c>
      <c r="G91">
        <f t="shared" si="5"/>
        <v>-8</v>
      </c>
    </row>
    <row r="92" spans="1:7">
      <c r="A92">
        <v>4.412</v>
      </c>
      <c r="B92" s="8" t="s">
        <v>807</v>
      </c>
      <c r="C92">
        <v>66.8</v>
      </c>
      <c r="E92">
        <f t="shared" si="3"/>
        <v>4.4</v>
      </c>
      <c r="F92">
        <f t="shared" si="4"/>
        <v>-3.825</v>
      </c>
      <c r="G92">
        <f t="shared" si="5"/>
        <v>-8</v>
      </c>
    </row>
    <row r="93" spans="1:7">
      <c r="A93">
        <v>4.462</v>
      </c>
      <c r="B93" s="8" t="s">
        <v>808</v>
      </c>
      <c r="C93">
        <v>66.9</v>
      </c>
      <c r="E93">
        <f t="shared" si="3"/>
        <v>4.45</v>
      </c>
      <c r="F93">
        <f t="shared" si="4"/>
        <v>-3.414</v>
      </c>
      <c r="G93">
        <f t="shared" si="5"/>
        <v>-8</v>
      </c>
    </row>
    <row r="94" spans="1:7">
      <c r="A94">
        <v>4.513</v>
      </c>
      <c r="B94" s="8" t="s">
        <v>809</v>
      </c>
      <c r="C94">
        <v>66.7</v>
      </c>
      <c r="E94">
        <f t="shared" si="3"/>
        <v>4.5</v>
      </c>
      <c r="F94">
        <f t="shared" si="4"/>
        <v>-3.317</v>
      </c>
      <c r="G94">
        <f t="shared" si="5"/>
        <v>-8</v>
      </c>
    </row>
    <row r="95" spans="1:7">
      <c r="A95">
        <v>4.563</v>
      </c>
      <c r="B95" s="8" t="s">
        <v>810</v>
      </c>
      <c r="C95">
        <v>66.8</v>
      </c>
      <c r="E95">
        <f t="shared" si="3"/>
        <v>4.55</v>
      </c>
      <c r="F95">
        <f t="shared" si="4"/>
        <v>-3.484</v>
      </c>
      <c r="G95">
        <f t="shared" si="5"/>
        <v>-8</v>
      </c>
    </row>
    <row r="96" spans="1:7">
      <c r="A96">
        <v>4.613</v>
      </c>
      <c r="B96" s="8" t="s">
        <v>811</v>
      </c>
      <c r="C96">
        <v>66.5</v>
      </c>
      <c r="E96">
        <f t="shared" si="3"/>
        <v>4.6</v>
      </c>
      <c r="F96">
        <f t="shared" si="4"/>
        <v>-3.823</v>
      </c>
      <c r="G96">
        <f t="shared" si="5"/>
        <v>-8</v>
      </c>
    </row>
    <row r="97" spans="1:7">
      <c r="A97">
        <v>4.663</v>
      </c>
      <c r="B97" s="8" t="s">
        <v>812</v>
      </c>
      <c r="C97">
        <v>66.4</v>
      </c>
      <c r="E97">
        <f t="shared" si="3"/>
        <v>4.65</v>
      </c>
      <c r="F97">
        <f t="shared" si="4"/>
        <v>-4.553</v>
      </c>
      <c r="G97">
        <f t="shared" si="5"/>
        <v>-8</v>
      </c>
    </row>
    <row r="98" spans="1:7">
      <c r="A98">
        <v>4.713</v>
      </c>
      <c r="B98" s="8" t="s">
        <v>813</v>
      </c>
      <c r="C98">
        <v>66.7</v>
      </c>
      <c r="E98">
        <f t="shared" si="3"/>
        <v>4.7</v>
      </c>
      <c r="F98">
        <f t="shared" si="4"/>
        <v>-5.253</v>
      </c>
      <c r="G98">
        <f t="shared" si="5"/>
        <v>-8</v>
      </c>
    </row>
    <row r="99" spans="1:7">
      <c r="A99">
        <v>4.763</v>
      </c>
      <c r="B99" s="8" t="s">
        <v>814</v>
      </c>
      <c r="C99">
        <v>66.9</v>
      </c>
      <c r="E99">
        <f t="shared" si="3"/>
        <v>4.75</v>
      </c>
      <c r="F99">
        <f t="shared" si="4"/>
        <v>-5.85</v>
      </c>
      <c r="G99">
        <f t="shared" si="5"/>
        <v>-8</v>
      </c>
    </row>
    <row r="100" spans="1:7">
      <c r="A100">
        <v>4.813</v>
      </c>
      <c r="B100" s="8" t="s">
        <v>815</v>
      </c>
      <c r="C100">
        <v>66.9</v>
      </c>
      <c r="E100">
        <f t="shared" si="3"/>
        <v>4.8</v>
      </c>
      <c r="F100">
        <f t="shared" si="4"/>
        <v>-6.165</v>
      </c>
      <c r="G100">
        <f t="shared" si="5"/>
        <v>-8</v>
      </c>
    </row>
    <row r="101" spans="1:7">
      <c r="A101">
        <v>4.864</v>
      </c>
      <c r="B101" s="8" t="s">
        <v>816</v>
      </c>
      <c r="C101">
        <v>67.4</v>
      </c>
      <c r="E101">
        <f t="shared" si="3"/>
        <v>4.85</v>
      </c>
      <c r="F101">
        <f t="shared" si="4"/>
        <v>-6.21</v>
      </c>
      <c r="G101">
        <f t="shared" si="5"/>
        <v>-8</v>
      </c>
    </row>
    <row r="102" spans="1:7">
      <c r="A102">
        <v>4.914</v>
      </c>
      <c r="B102" s="8" t="s">
        <v>817</v>
      </c>
      <c r="C102">
        <v>66.9</v>
      </c>
      <c r="E102">
        <f t="shared" si="3"/>
        <v>4.9</v>
      </c>
      <c r="F102">
        <f t="shared" si="4"/>
        <v>-6.008</v>
      </c>
      <c r="G102">
        <f t="shared" si="5"/>
        <v>-8</v>
      </c>
    </row>
    <row r="103" spans="1:7">
      <c r="A103">
        <v>4.964</v>
      </c>
      <c r="B103" s="8" t="s">
        <v>818</v>
      </c>
      <c r="C103">
        <v>66.5</v>
      </c>
      <c r="E103">
        <f t="shared" si="3"/>
        <v>4.95</v>
      </c>
      <c r="F103">
        <f t="shared" si="4"/>
        <v>-5.647</v>
      </c>
      <c r="G103">
        <f t="shared" si="5"/>
        <v>-8</v>
      </c>
    </row>
    <row r="104" spans="1:7">
      <c r="A104">
        <v>5.014</v>
      </c>
      <c r="B104" s="8" t="s">
        <v>819</v>
      </c>
      <c r="C104">
        <v>66.2</v>
      </c>
      <c r="E104">
        <f t="shared" si="3"/>
        <v>5</v>
      </c>
      <c r="F104">
        <f t="shared" si="4"/>
        <v>-4.985</v>
      </c>
      <c r="G104">
        <f t="shared" si="5"/>
        <v>-8</v>
      </c>
    </row>
    <row r="105" spans="1:7">
      <c r="A105">
        <v>5.064</v>
      </c>
      <c r="B105" s="8" t="s">
        <v>820</v>
      </c>
      <c r="C105">
        <v>66.1</v>
      </c>
      <c r="E105">
        <f t="shared" si="3"/>
        <v>5.05</v>
      </c>
      <c r="F105">
        <f t="shared" si="4"/>
        <v>-4.243</v>
      </c>
      <c r="G105">
        <f t="shared" si="5"/>
        <v>-8</v>
      </c>
    </row>
    <row r="106" spans="1:7">
      <c r="A106">
        <v>5.114</v>
      </c>
      <c r="B106" s="8" t="s">
        <v>821</v>
      </c>
      <c r="C106">
        <v>65.9</v>
      </c>
      <c r="E106">
        <f t="shared" si="3"/>
        <v>5.1</v>
      </c>
      <c r="F106">
        <f t="shared" si="4"/>
        <v>-3.704</v>
      </c>
      <c r="G106">
        <f t="shared" si="5"/>
        <v>-8</v>
      </c>
    </row>
    <row r="107" spans="1:7">
      <c r="A107">
        <v>5.164</v>
      </c>
      <c r="B107" s="8" t="s">
        <v>822</v>
      </c>
      <c r="C107">
        <v>66.5</v>
      </c>
      <c r="E107">
        <f t="shared" si="3"/>
        <v>5.15</v>
      </c>
      <c r="F107">
        <f t="shared" si="4"/>
        <v>-3.412</v>
      </c>
      <c r="G107">
        <f t="shared" si="5"/>
        <v>-8</v>
      </c>
    </row>
    <row r="108" spans="1:7">
      <c r="A108">
        <v>5.215</v>
      </c>
      <c r="B108" s="8" t="s">
        <v>823</v>
      </c>
      <c r="C108">
        <v>67</v>
      </c>
      <c r="E108">
        <f t="shared" si="3"/>
        <v>5.2</v>
      </c>
      <c r="F108">
        <f t="shared" si="4"/>
        <v>-3.408</v>
      </c>
      <c r="G108">
        <f t="shared" si="5"/>
        <v>-8</v>
      </c>
    </row>
    <row r="109" spans="1:7">
      <c r="A109">
        <v>5.265</v>
      </c>
      <c r="B109" s="8" t="s">
        <v>824</v>
      </c>
      <c r="C109">
        <v>66.8</v>
      </c>
      <c r="E109">
        <f t="shared" si="3"/>
        <v>5.25</v>
      </c>
      <c r="F109">
        <f t="shared" si="4"/>
        <v>-3.645</v>
      </c>
      <c r="G109">
        <f t="shared" si="5"/>
        <v>-8</v>
      </c>
    </row>
    <row r="110" spans="1:7">
      <c r="A110">
        <v>5.315</v>
      </c>
      <c r="B110" s="8" t="s">
        <v>825</v>
      </c>
      <c r="C110">
        <v>66.6</v>
      </c>
      <c r="E110">
        <f t="shared" si="3"/>
        <v>5.3</v>
      </c>
      <c r="F110">
        <f t="shared" si="4"/>
        <v>-4.118</v>
      </c>
      <c r="G110">
        <f t="shared" si="5"/>
        <v>-8</v>
      </c>
    </row>
    <row r="111" spans="1:7">
      <c r="A111">
        <v>5.365</v>
      </c>
      <c r="B111" s="8" t="s">
        <v>826</v>
      </c>
      <c r="C111">
        <v>66.7</v>
      </c>
      <c r="E111">
        <f t="shared" si="3"/>
        <v>5.35</v>
      </c>
      <c r="F111">
        <f t="shared" si="4"/>
        <v>-4.737</v>
      </c>
      <c r="G111">
        <f t="shared" si="5"/>
        <v>-8</v>
      </c>
    </row>
    <row r="112" spans="1:7">
      <c r="A112">
        <v>5.415</v>
      </c>
      <c r="B112" s="8" t="s">
        <v>827</v>
      </c>
      <c r="C112">
        <v>66.7</v>
      </c>
      <c r="E112">
        <f t="shared" si="3"/>
        <v>5.4</v>
      </c>
      <c r="F112">
        <f t="shared" si="4"/>
        <v>-5.411</v>
      </c>
      <c r="G112">
        <f t="shared" si="5"/>
        <v>-8</v>
      </c>
    </row>
    <row r="113" spans="1:7">
      <c r="A113">
        <v>5.465</v>
      </c>
      <c r="B113" s="8" t="s">
        <v>828</v>
      </c>
      <c r="C113">
        <v>67.2</v>
      </c>
      <c r="E113">
        <f t="shared" si="3"/>
        <v>5.45</v>
      </c>
      <c r="F113">
        <f t="shared" si="4"/>
        <v>-5.807</v>
      </c>
      <c r="G113">
        <f t="shared" si="5"/>
        <v>-8</v>
      </c>
    </row>
    <row r="114" spans="1:7">
      <c r="A114">
        <v>5.515</v>
      </c>
      <c r="B114" s="8" t="s">
        <v>829</v>
      </c>
      <c r="C114">
        <v>67.2</v>
      </c>
      <c r="E114">
        <f t="shared" si="3"/>
        <v>5.5</v>
      </c>
      <c r="F114">
        <f t="shared" si="4"/>
        <v>-6.005</v>
      </c>
      <c r="G114">
        <f t="shared" si="5"/>
        <v>-8</v>
      </c>
    </row>
    <row r="115" spans="1:7">
      <c r="A115">
        <v>5.566</v>
      </c>
      <c r="B115" s="8" t="s">
        <v>830</v>
      </c>
      <c r="C115">
        <v>66.9</v>
      </c>
      <c r="E115">
        <f t="shared" si="3"/>
        <v>5.55</v>
      </c>
      <c r="F115">
        <f t="shared" si="4"/>
        <v>-5.977</v>
      </c>
      <c r="G115">
        <f t="shared" si="5"/>
        <v>-8</v>
      </c>
    </row>
    <row r="116" spans="1:7">
      <c r="A116">
        <v>5.616</v>
      </c>
      <c r="B116" s="8" t="s">
        <v>831</v>
      </c>
      <c r="C116">
        <v>67.1</v>
      </c>
      <c r="E116">
        <f t="shared" si="3"/>
        <v>5.6</v>
      </c>
      <c r="F116">
        <f t="shared" si="4"/>
        <v>-5.717</v>
      </c>
      <c r="G116">
        <f t="shared" si="5"/>
        <v>-8</v>
      </c>
    </row>
    <row r="117" spans="1:7">
      <c r="A117">
        <v>5.666</v>
      </c>
      <c r="B117" s="8" t="s">
        <v>832</v>
      </c>
      <c r="C117">
        <v>66.9</v>
      </c>
      <c r="E117">
        <f t="shared" si="3"/>
        <v>5.65</v>
      </c>
      <c r="F117">
        <f t="shared" si="4"/>
        <v>-5.238</v>
      </c>
      <c r="G117">
        <f t="shared" si="5"/>
        <v>-8</v>
      </c>
    </row>
    <row r="118" spans="1:7">
      <c r="A118">
        <v>5.716</v>
      </c>
      <c r="B118" s="8" t="s">
        <v>833</v>
      </c>
      <c r="C118">
        <v>67.1</v>
      </c>
      <c r="E118">
        <f t="shared" si="3"/>
        <v>5.7</v>
      </c>
      <c r="F118">
        <f t="shared" si="4"/>
        <v>-4.58</v>
      </c>
      <c r="G118">
        <f t="shared" si="5"/>
        <v>-8</v>
      </c>
    </row>
    <row r="119" spans="1:7">
      <c r="A119">
        <v>5.766</v>
      </c>
      <c r="B119" s="8" t="s">
        <v>834</v>
      </c>
      <c r="C119">
        <v>67.3</v>
      </c>
      <c r="E119">
        <f t="shared" si="3"/>
        <v>5.75</v>
      </c>
      <c r="F119">
        <f t="shared" si="4"/>
        <v>-3.98</v>
      </c>
      <c r="G119">
        <f t="shared" si="5"/>
        <v>-8</v>
      </c>
    </row>
    <row r="120" spans="1:7">
      <c r="A120">
        <v>5.816</v>
      </c>
      <c r="B120" s="8" t="s">
        <v>835</v>
      </c>
      <c r="C120">
        <v>66.6</v>
      </c>
      <c r="E120">
        <f t="shared" si="3"/>
        <v>5.8</v>
      </c>
      <c r="F120">
        <f t="shared" si="4"/>
        <v>-3.613</v>
      </c>
      <c r="G120">
        <f t="shared" si="5"/>
        <v>-8</v>
      </c>
    </row>
    <row r="121" spans="1:7">
      <c r="A121">
        <v>5.866</v>
      </c>
      <c r="B121" s="8" t="s">
        <v>836</v>
      </c>
      <c r="C121">
        <v>67</v>
      </c>
      <c r="E121">
        <f t="shared" si="3"/>
        <v>5.85</v>
      </c>
      <c r="F121">
        <f t="shared" si="4"/>
        <v>-3.502</v>
      </c>
      <c r="G121">
        <f t="shared" si="5"/>
        <v>-8</v>
      </c>
    </row>
    <row r="122" spans="1:7">
      <c r="A122">
        <v>5.916</v>
      </c>
      <c r="B122" s="8" t="s">
        <v>837</v>
      </c>
      <c r="C122">
        <v>67.4</v>
      </c>
      <c r="E122">
        <f t="shared" si="3"/>
        <v>5.9</v>
      </c>
      <c r="F122">
        <f t="shared" si="4"/>
        <v>-3.611</v>
      </c>
      <c r="G122">
        <f t="shared" si="5"/>
        <v>-8</v>
      </c>
    </row>
    <row r="123" spans="1:7">
      <c r="A123">
        <v>5.967</v>
      </c>
      <c r="B123" s="8" t="s">
        <v>838</v>
      </c>
      <c r="C123">
        <v>67.7</v>
      </c>
      <c r="E123">
        <f t="shared" si="3"/>
        <v>5.95</v>
      </c>
      <c r="F123">
        <f t="shared" si="4"/>
        <v>-3.872</v>
      </c>
      <c r="G123">
        <f t="shared" si="5"/>
        <v>-8</v>
      </c>
    </row>
    <row r="124" spans="1:7">
      <c r="A124">
        <v>6.017</v>
      </c>
      <c r="B124" s="8" t="s">
        <v>839</v>
      </c>
      <c r="C124">
        <v>67.2</v>
      </c>
      <c r="E124">
        <f t="shared" si="3"/>
        <v>6</v>
      </c>
      <c r="F124">
        <f t="shared" si="4"/>
        <v>-4.441</v>
      </c>
      <c r="G124">
        <f t="shared" si="5"/>
        <v>-8</v>
      </c>
    </row>
    <row r="125" spans="1:7">
      <c r="A125">
        <v>6.067</v>
      </c>
      <c r="B125" s="8" t="s">
        <v>840</v>
      </c>
      <c r="C125">
        <v>67.4</v>
      </c>
      <c r="E125">
        <f t="shared" si="3"/>
        <v>6.05</v>
      </c>
      <c r="F125">
        <f t="shared" si="4"/>
        <v>-5.076</v>
      </c>
      <c r="G125">
        <f t="shared" si="5"/>
        <v>-8</v>
      </c>
    </row>
    <row r="126" spans="1:7">
      <c r="A126">
        <v>6.117</v>
      </c>
      <c r="B126" s="8" t="s">
        <v>841</v>
      </c>
      <c r="C126">
        <v>67</v>
      </c>
      <c r="E126">
        <f t="shared" si="3"/>
        <v>6.1</v>
      </c>
      <c r="F126">
        <f t="shared" si="4"/>
        <v>-5.496</v>
      </c>
      <c r="G126">
        <f t="shared" si="5"/>
        <v>-8</v>
      </c>
    </row>
    <row r="127" spans="1:7">
      <c r="A127">
        <v>6.167</v>
      </c>
      <c r="B127" s="8" t="s">
        <v>842</v>
      </c>
      <c r="C127">
        <v>67</v>
      </c>
      <c r="E127">
        <f t="shared" si="3"/>
        <v>6.15</v>
      </c>
      <c r="F127">
        <f t="shared" si="4"/>
        <v>-5.844</v>
      </c>
      <c r="G127">
        <f t="shared" si="5"/>
        <v>-8</v>
      </c>
    </row>
    <row r="128" spans="1:7">
      <c r="A128">
        <v>6.217</v>
      </c>
      <c r="B128" s="8" t="s">
        <v>843</v>
      </c>
      <c r="C128">
        <v>66.7</v>
      </c>
      <c r="E128">
        <f t="shared" si="3"/>
        <v>6.2</v>
      </c>
      <c r="F128">
        <f t="shared" si="4"/>
        <v>-5.836</v>
      </c>
      <c r="G128">
        <f t="shared" si="5"/>
        <v>-8</v>
      </c>
    </row>
    <row r="129" spans="1:7">
      <c r="A129">
        <v>6.267</v>
      </c>
      <c r="B129" s="8" t="s">
        <v>844</v>
      </c>
      <c r="C129">
        <v>67.4</v>
      </c>
      <c r="E129">
        <f t="shared" si="3"/>
        <v>6.25</v>
      </c>
      <c r="F129">
        <f t="shared" si="4"/>
        <v>-5.675</v>
      </c>
      <c r="G129">
        <f t="shared" si="5"/>
        <v>-8</v>
      </c>
    </row>
    <row r="130" spans="1:7">
      <c r="A130">
        <v>6.318</v>
      </c>
      <c r="B130" s="8" t="s">
        <v>845</v>
      </c>
      <c r="C130">
        <v>66.9</v>
      </c>
      <c r="E130">
        <f t="shared" si="3"/>
        <v>6.3</v>
      </c>
      <c r="F130">
        <f t="shared" si="4"/>
        <v>-5.42</v>
      </c>
      <c r="G130">
        <f t="shared" si="5"/>
        <v>-8</v>
      </c>
    </row>
    <row r="131" spans="1:7">
      <c r="A131">
        <v>6.368</v>
      </c>
      <c r="B131" s="8" t="s">
        <v>846</v>
      </c>
      <c r="C131">
        <v>66.6</v>
      </c>
      <c r="E131">
        <f t="shared" si="3"/>
        <v>6.35</v>
      </c>
      <c r="F131">
        <f t="shared" si="4"/>
        <v>-4.917</v>
      </c>
      <c r="G131">
        <f t="shared" si="5"/>
        <v>-8</v>
      </c>
    </row>
    <row r="132" spans="1:7">
      <c r="A132">
        <v>6.418</v>
      </c>
      <c r="B132" s="8" t="s">
        <v>847</v>
      </c>
      <c r="C132">
        <v>67.3</v>
      </c>
      <c r="E132">
        <f t="shared" si="3"/>
        <v>6.4</v>
      </c>
      <c r="F132">
        <f t="shared" si="4"/>
        <v>-4.284</v>
      </c>
      <c r="G132">
        <f t="shared" si="5"/>
        <v>-8</v>
      </c>
    </row>
    <row r="133" spans="1:7">
      <c r="A133">
        <v>6.468</v>
      </c>
      <c r="B133" s="8" t="s">
        <v>848</v>
      </c>
      <c r="C133">
        <v>66.5</v>
      </c>
      <c r="E133">
        <f t="shared" ref="E133:E196" si="6">FLOOR(A133,0.05)</f>
        <v>6.45</v>
      </c>
      <c r="F133">
        <f t="shared" ref="F133:F196" si="7">B133*1000-8</f>
        <v>-3.903</v>
      </c>
      <c r="G133">
        <f t="shared" ref="G133:G196" si="8">IF(C133&lt;230,-8,5)</f>
        <v>-8</v>
      </c>
    </row>
    <row r="134" spans="1:7">
      <c r="A134">
        <v>6.518</v>
      </c>
      <c r="B134" s="8" t="s">
        <v>849</v>
      </c>
      <c r="C134">
        <v>67.7</v>
      </c>
      <c r="E134">
        <f t="shared" si="6"/>
        <v>6.5</v>
      </c>
      <c r="F134">
        <f t="shared" si="7"/>
        <v>-3.717</v>
      </c>
      <c r="G134">
        <f t="shared" si="8"/>
        <v>-8</v>
      </c>
    </row>
    <row r="135" spans="1:7">
      <c r="A135">
        <v>6.568</v>
      </c>
      <c r="B135" s="8" t="s">
        <v>850</v>
      </c>
      <c r="C135">
        <v>66.9</v>
      </c>
      <c r="E135">
        <f t="shared" si="6"/>
        <v>6.55</v>
      </c>
      <c r="F135">
        <f t="shared" si="7"/>
        <v>-3.669</v>
      </c>
      <c r="G135">
        <f t="shared" si="8"/>
        <v>-8</v>
      </c>
    </row>
    <row r="136" spans="1:7">
      <c r="A136">
        <v>6.618</v>
      </c>
      <c r="B136" s="8" t="s">
        <v>851</v>
      </c>
      <c r="C136">
        <v>67.5</v>
      </c>
      <c r="E136">
        <f t="shared" si="6"/>
        <v>6.6</v>
      </c>
      <c r="F136">
        <f t="shared" si="7"/>
        <v>-3.824</v>
      </c>
      <c r="G136">
        <f t="shared" si="8"/>
        <v>-8</v>
      </c>
    </row>
    <row r="137" spans="1:7">
      <c r="A137">
        <v>6.669</v>
      </c>
      <c r="B137" s="8" t="s">
        <v>852</v>
      </c>
      <c r="C137">
        <v>66.8</v>
      </c>
      <c r="E137">
        <f t="shared" si="6"/>
        <v>6.65</v>
      </c>
      <c r="F137">
        <f t="shared" si="7"/>
        <v>-4.279</v>
      </c>
      <c r="G137">
        <f t="shared" si="8"/>
        <v>-8</v>
      </c>
    </row>
    <row r="138" spans="1:7">
      <c r="A138">
        <v>6.719</v>
      </c>
      <c r="B138" s="8" t="s">
        <v>853</v>
      </c>
      <c r="C138">
        <v>67.4</v>
      </c>
      <c r="E138">
        <f t="shared" si="6"/>
        <v>6.7</v>
      </c>
      <c r="F138">
        <f t="shared" si="7"/>
        <v>-4.748</v>
      </c>
      <c r="G138">
        <f t="shared" si="8"/>
        <v>-8</v>
      </c>
    </row>
    <row r="139" spans="1:7">
      <c r="A139">
        <v>6.769</v>
      </c>
      <c r="B139" s="8" t="s">
        <v>854</v>
      </c>
      <c r="C139">
        <v>66.4</v>
      </c>
      <c r="E139">
        <f t="shared" si="6"/>
        <v>6.75</v>
      </c>
      <c r="F139">
        <f t="shared" si="7"/>
        <v>-5.281</v>
      </c>
      <c r="G139">
        <f t="shared" si="8"/>
        <v>-8</v>
      </c>
    </row>
    <row r="140" spans="1:7">
      <c r="A140">
        <v>6.819</v>
      </c>
      <c r="B140" s="8" t="s">
        <v>855</v>
      </c>
      <c r="C140">
        <v>67</v>
      </c>
      <c r="E140">
        <f t="shared" si="6"/>
        <v>6.8</v>
      </c>
      <c r="F140">
        <f t="shared" si="7"/>
        <v>-5.599</v>
      </c>
      <c r="G140">
        <f t="shared" si="8"/>
        <v>-8</v>
      </c>
    </row>
    <row r="141" spans="1:7">
      <c r="A141">
        <v>6.869</v>
      </c>
      <c r="B141" s="8" t="s">
        <v>856</v>
      </c>
      <c r="C141">
        <v>66.5</v>
      </c>
      <c r="E141">
        <f t="shared" si="6"/>
        <v>6.85</v>
      </c>
      <c r="F141">
        <f t="shared" si="7"/>
        <v>-5.801</v>
      </c>
      <c r="G141">
        <f t="shared" si="8"/>
        <v>-8</v>
      </c>
    </row>
    <row r="142" spans="1:7">
      <c r="A142">
        <v>6.919</v>
      </c>
      <c r="B142" s="8" t="s">
        <v>857</v>
      </c>
      <c r="C142">
        <v>67.4</v>
      </c>
      <c r="E142">
        <f t="shared" si="6"/>
        <v>6.9</v>
      </c>
      <c r="F142">
        <f t="shared" si="7"/>
        <v>-5.7</v>
      </c>
      <c r="G142">
        <f t="shared" si="8"/>
        <v>-8</v>
      </c>
    </row>
    <row r="143" spans="1:7">
      <c r="A143">
        <v>6.969</v>
      </c>
      <c r="B143" s="8" t="s">
        <v>858</v>
      </c>
      <c r="C143">
        <v>67.2</v>
      </c>
      <c r="E143">
        <f t="shared" si="6"/>
        <v>6.95</v>
      </c>
      <c r="F143">
        <f t="shared" si="7"/>
        <v>-5.468</v>
      </c>
      <c r="G143">
        <f t="shared" si="8"/>
        <v>-8</v>
      </c>
    </row>
    <row r="144" spans="1:7">
      <c r="A144">
        <v>7.02</v>
      </c>
      <c r="B144" s="8" t="s">
        <v>859</v>
      </c>
      <c r="C144">
        <v>66.4</v>
      </c>
      <c r="E144">
        <f t="shared" si="6"/>
        <v>7</v>
      </c>
      <c r="F144">
        <f t="shared" si="7"/>
        <v>-5.176</v>
      </c>
      <c r="G144">
        <f t="shared" si="8"/>
        <v>-8</v>
      </c>
    </row>
    <row r="145" spans="1:7">
      <c r="A145">
        <v>7.07</v>
      </c>
      <c r="B145" s="8" t="s">
        <v>860</v>
      </c>
      <c r="C145">
        <v>66.8</v>
      </c>
      <c r="E145">
        <f t="shared" si="6"/>
        <v>7.05</v>
      </c>
      <c r="F145">
        <f t="shared" si="7"/>
        <v>-4.722</v>
      </c>
      <c r="G145">
        <f t="shared" si="8"/>
        <v>-8</v>
      </c>
    </row>
    <row r="146" spans="1:7">
      <c r="A146">
        <v>7.12</v>
      </c>
      <c r="B146" s="8" t="s">
        <v>861</v>
      </c>
      <c r="C146">
        <v>66.7</v>
      </c>
      <c r="E146">
        <f t="shared" si="6"/>
        <v>7.1</v>
      </c>
      <c r="F146">
        <f t="shared" si="7"/>
        <v>-4.278</v>
      </c>
      <c r="G146">
        <f t="shared" si="8"/>
        <v>-8</v>
      </c>
    </row>
    <row r="147" spans="1:7">
      <c r="A147">
        <v>7.17</v>
      </c>
      <c r="B147" s="8" t="s">
        <v>862</v>
      </c>
      <c r="C147">
        <v>66.7</v>
      </c>
      <c r="E147">
        <f t="shared" si="6"/>
        <v>7.15</v>
      </c>
      <c r="F147">
        <f t="shared" si="7"/>
        <v>-3.984</v>
      </c>
      <c r="G147">
        <f t="shared" si="8"/>
        <v>-8</v>
      </c>
    </row>
    <row r="148" spans="1:7">
      <c r="A148">
        <v>7.22</v>
      </c>
      <c r="B148" s="8" t="s">
        <v>863</v>
      </c>
      <c r="C148">
        <v>66.4</v>
      </c>
      <c r="E148">
        <f t="shared" si="6"/>
        <v>7.2</v>
      </c>
      <c r="F148">
        <f t="shared" si="7"/>
        <v>-3.887</v>
      </c>
      <c r="G148">
        <f t="shared" si="8"/>
        <v>-8</v>
      </c>
    </row>
    <row r="149" spans="1:7">
      <c r="A149">
        <v>7.27</v>
      </c>
      <c r="B149" s="8" t="s">
        <v>864</v>
      </c>
      <c r="C149">
        <v>67.3</v>
      </c>
      <c r="E149">
        <f t="shared" si="6"/>
        <v>7.25</v>
      </c>
      <c r="F149">
        <f t="shared" si="7"/>
        <v>-4.025</v>
      </c>
      <c r="G149">
        <f t="shared" si="8"/>
        <v>-8</v>
      </c>
    </row>
    <row r="150" spans="1:7">
      <c r="A150">
        <v>7.32</v>
      </c>
      <c r="B150" s="8" t="s">
        <v>865</v>
      </c>
      <c r="C150">
        <v>66.8</v>
      </c>
      <c r="E150">
        <f t="shared" si="6"/>
        <v>7.3</v>
      </c>
      <c r="F150">
        <f t="shared" si="7"/>
        <v>-4.24</v>
      </c>
      <c r="G150">
        <f t="shared" si="8"/>
        <v>-8</v>
      </c>
    </row>
    <row r="151" spans="1:7">
      <c r="A151">
        <v>7.371</v>
      </c>
      <c r="B151" s="8" t="s">
        <v>866</v>
      </c>
      <c r="C151">
        <v>67.4</v>
      </c>
      <c r="E151">
        <f t="shared" si="6"/>
        <v>7.35</v>
      </c>
      <c r="F151">
        <f t="shared" si="7"/>
        <v>-4.676</v>
      </c>
      <c r="G151">
        <f t="shared" si="8"/>
        <v>-8</v>
      </c>
    </row>
    <row r="152" spans="1:7">
      <c r="A152">
        <v>7.421</v>
      </c>
      <c r="B152" s="8" t="s">
        <v>867</v>
      </c>
      <c r="C152">
        <v>66.9</v>
      </c>
      <c r="E152">
        <f t="shared" si="6"/>
        <v>7.4</v>
      </c>
      <c r="F152">
        <f t="shared" si="7"/>
        <v>-5.212</v>
      </c>
      <c r="G152">
        <f t="shared" si="8"/>
        <v>-8</v>
      </c>
    </row>
    <row r="153" spans="1:7">
      <c r="A153">
        <v>7.471</v>
      </c>
      <c r="B153" s="8" t="s">
        <v>868</v>
      </c>
      <c r="C153">
        <v>66.5</v>
      </c>
      <c r="E153">
        <f t="shared" si="6"/>
        <v>7.45</v>
      </c>
      <c r="F153">
        <f t="shared" si="7"/>
        <v>-5.556</v>
      </c>
      <c r="G153">
        <f t="shared" si="8"/>
        <v>-8</v>
      </c>
    </row>
    <row r="154" spans="1:7">
      <c r="A154">
        <v>7.521</v>
      </c>
      <c r="B154" s="8" t="s">
        <v>869</v>
      </c>
      <c r="C154">
        <v>66.6</v>
      </c>
      <c r="E154">
        <f t="shared" si="6"/>
        <v>7.5</v>
      </c>
      <c r="F154">
        <f t="shared" si="7"/>
        <v>-5.776</v>
      </c>
      <c r="G154">
        <f t="shared" si="8"/>
        <v>-8</v>
      </c>
    </row>
    <row r="155" spans="1:7">
      <c r="A155">
        <v>7.571</v>
      </c>
      <c r="B155" s="8" t="s">
        <v>870</v>
      </c>
      <c r="C155">
        <v>66.3</v>
      </c>
      <c r="E155">
        <f t="shared" si="6"/>
        <v>7.55</v>
      </c>
      <c r="F155">
        <f t="shared" si="7"/>
        <v>-5.749</v>
      </c>
      <c r="G155">
        <f t="shared" si="8"/>
        <v>-8</v>
      </c>
    </row>
    <row r="156" spans="1:7">
      <c r="A156">
        <v>7.621</v>
      </c>
      <c r="B156" s="8" t="s">
        <v>871</v>
      </c>
      <c r="C156">
        <v>66.7</v>
      </c>
      <c r="E156">
        <f t="shared" si="6"/>
        <v>7.6</v>
      </c>
      <c r="F156">
        <f t="shared" si="7"/>
        <v>-5.576</v>
      </c>
      <c r="G156">
        <f t="shared" si="8"/>
        <v>-8</v>
      </c>
    </row>
    <row r="157" spans="1:7">
      <c r="A157">
        <v>7.671</v>
      </c>
      <c r="B157" s="8" t="s">
        <v>872</v>
      </c>
      <c r="C157">
        <v>67.2</v>
      </c>
      <c r="E157">
        <f t="shared" si="6"/>
        <v>7.65</v>
      </c>
      <c r="F157">
        <f t="shared" si="7"/>
        <v>-5.316</v>
      </c>
      <c r="G157">
        <f t="shared" si="8"/>
        <v>-8</v>
      </c>
    </row>
    <row r="158" spans="1:7">
      <c r="A158">
        <v>7.722</v>
      </c>
      <c r="B158" s="8" t="s">
        <v>873</v>
      </c>
      <c r="C158">
        <v>66.6</v>
      </c>
      <c r="E158">
        <f t="shared" si="6"/>
        <v>7.7</v>
      </c>
      <c r="F158">
        <f t="shared" si="7"/>
        <v>-4.885</v>
      </c>
      <c r="G158">
        <f t="shared" si="8"/>
        <v>-8</v>
      </c>
    </row>
    <row r="159" spans="1:7">
      <c r="A159">
        <v>7.772</v>
      </c>
      <c r="B159" s="8" t="s">
        <v>874</v>
      </c>
      <c r="C159">
        <v>66.8</v>
      </c>
      <c r="E159">
        <f t="shared" si="6"/>
        <v>7.75</v>
      </c>
      <c r="F159">
        <f t="shared" si="7"/>
        <v>-4.457</v>
      </c>
      <c r="G159">
        <f t="shared" si="8"/>
        <v>-8</v>
      </c>
    </row>
    <row r="160" spans="1:7">
      <c r="A160">
        <v>7.822</v>
      </c>
      <c r="B160" s="8" t="s">
        <v>875</v>
      </c>
      <c r="C160">
        <v>67.1</v>
      </c>
      <c r="E160">
        <f t="shared" si="6"/>
        <v>7.8</v>
      </c>
      <c r="F160">
        <f t="shared" si="7"/>
        <v>-4.155</v>
      </c>
      <c r="G160">
        <f t="shared" si="8"/>
        <v>-8</v>
      </c>
    </row>
    <row r="161" spans="1:7">
      <c r="A161">
        <v>7.872</v>
      </c>
      <c r="B161" s="8" t="s">
        <v>876</v>
      </c>
      <c r="C161">
        <v>67</v>
      </c>
      <c r="E161">
        <f t="shared" si="6"/>
        <v>7.85</v>
      </c>
      <c r="F161">
        <f t="shared" si="7"/>
        <v>-3.968</v>
      </c>
      <c r="G161">
        <f t="shared" si="8"/>
        <v>-8</v>
      </c>
    </row>
    <row r="162" spans="1:7">
      <c r="A162">
        <v>7.922</v>
      </c>
      <c r="B162" s="8" t="s">
        <v>877</v>
      </c>
      <c r="C162">
        <v>66.5</v>
      </c>
      <c r="E162">
        <f t="shared" si="6"/>
        <v>7.9</v>
      </c>
      <c r="F162">
        <f t="shared" si="7"/>
        <v>-3.986</v>
      </c>
      <c r="G162">
        <f t="shared" si="8"/>
        <v>-8</v>
      </c>
    </row>
    <row r="163" spans="1:7">
      <c r="A163">
        <v>7.972</v>
      </c>
      <c r="B163" s="8" t="s">
        <v>878</v>
      </c>
      <c r="C163">
        <v>67.3</v>
      </c>
      <c r="E163">
        <f t="shared" si="6"/>
        <v>7.95</v>
      </c>
      <c r="F163">
        <f t="shared" si="7"/>
        <v>-4.193</v>
      </c>
      <c r="G163">
        <f t="shared" si="8"/>
        <v>-8</v>
      </c>
    </row>
    <row r="164" spans="1:7">
      <c r="A164">
        <v>8.022</v>
      </c>
      <c r="B164" s="8" t="s">
        <v>879</v>
      </c>
      <c r="C164">
        <v>66.7</v>
      </c>
      <c r="E164">
        <f t="shared" si="6"/>
        <v>8</v>
      </c>
      <c r="F164">
        <f t="shared" si="7"/>
        <v>-4.562</v>
      </c>
      <c r="G164">
        <f t="shared" si="8"/>
        <v>-8</v>
      </c>
    </row>
    <row r="165" spans="1:7">
      <c r="A165">
        <v>8.073</v>
      </c>
      <c r="B165" s="8" t="s">
        <v>880</v>
      </c>
      <c r="C165">
        <v>66.6</v>
      </c>
      <c r="E165">
        <f t="shared" si="6"/>
        <v>8.05</v>
      </c>
      <c r="F165">
        <f t="shared" si="7"/>
        <v>-4.925</v>
      </c>
      <c r="G165">
        <f t="shared" si="8"/>
        <v>-8</v>
      </c>
    </row>
    <row r="166" spans="1:7">
      <c r="A166">
        <v>8.123</v>
      </c>
      <c r="B166" s="8" t="s">
        <v>881</v>
      </c>
      <c r="C166">
        <v>66.2</v>
      </c>
      <c r="E166">
        <f t="shared" si="6"/>
        <v>8.1</v>
      </c>
      <c r="F166">
        <f t="shared" si="7"/>
        <v>-5.25</v>
      </c>
      <c r="G166">
        <f t="shared" si="8"/>
        <v>-8</v>
      </c>
    </row>
    <row r="167" spans="1:7">
      <c r="A167">
        <v>8.173</v>
      </c>
      <c r="B167" s="8" t="s">
        <v>615</v>
      </c>
      <c r="C167">
        <v>67.1</v>
      </c>
      <c r="E167">
        <f t="shared" si="6"/>
        <v>8.15</v>
      </c>
      <c r="F167">
        <f t="shared" si="7"/>
        <v>-5.458</v>
      </c>
      <c r="G167">
        <f t="shared" si="8"/>
        <v>-8</v>
      </c>
    </row>
    <row r="168" spans="1:7">
      <c r="A168">
        <v>8.223</v>
      </c>
      <c r="B168" s="8" t="s">
        <v>882</v>
      </c>
      <c r="C168">
        <v>67.1</v>
      </c>
      <c r="E168">
        <f t="shared" si="6"/>
        <v>8.2</v>
      </c>
      <c r="F168">
        <f t="shared" si="7"/>
        <v>-5.552</v>
      </c>
      <c r="G168">
        <f t="shared" si="8"/>
        <v>-8</v>
      </c>
    </row>
    <row r="169" spans="1:7">
      <c r="A169">
        <v>8.273</v>
      </c>
      <c r="B169" s="8" t="s">
        <v>883</v>
      </c>
      <c r="C169">
        <v>66.6</v>
      </c>
      <c r="E169">
        <f t="shared" si="6"/>
        <v>8.25</v>
      </c>
      <c r="F169">
        <f t="shared" si="7"/>
        <v>-5.517</v>
      </c>
      <c r="G169">
        <f t="shared" si="8"/>
        <v>-8</v>
      </c>
    </row>
    <row r="170" spans="1:7">
      <c r="A170">
        <v>8.323</v>
      </c>
      <c r="B170" s="8" t="s">
        <v>884</v>
      </c>
      <c r="C170">
        <v>66.3</v>
      </c>
      <c r="E170">
        <f t="shared" si="6"/>
        <v>8.3</v>
      </c>
      <c r="F170">
        <f t="shared" si="7"/>
        <v>-5.34</v>
      </c>
      <c r="G170">
        <f t="shared" si="8"/>
        <v>-8</v>
      </c>
    </row>
    <row r="171" spans="1:7">
      <c r="A171">
        <v>8.373</v>
      </c>
      <c r="B171" s="8" t="s">
        <v>35</v>
      </c>
      <c r="C171">
        <v>67.4</v>
      </c>
      <c r="E171">
        <f t="shared" si="6"/>
        <v>8.35</v>
      </c>
      <c r="F171">
        <f t="shared" si="7"/>
        <v>-5.004</v>
      </c>
      <c r="G171">
        <f t="shared" si="8"/>
        <v>-8</v>
      </c>
    </row>
    <row r="172" spans="1:7">
      <c r="A172">
        <v>8.423</v>
      </c>
      <c r="B172" s="8" t="s">
        <v>885</v>
      </c>
      <c r="C172">
        <v>66.8</v>
      </c>
      <c r="E172">
        <f t="shared" si="6"/>
        <v>8.4</v>
      </c>
      <c r="F172">
        <f t="shared" si="7"/>
        <v>-4.585</v>
      </c>
      <c r="G172">
        <f t="shared" si="8"/>
        <v>-8</v>
      </c>
    </row>
    <row r="173" spans="1:7">
      <c r="A173">
        <v>8.474</v>
      </c>
      <c r="B173" s="8" t="s">
        <v>886</v>
      </c>
      <c r="C173">
        <v>67</v>
      </c>
      <c r="E173">
        <f t="shared" si="6"/>
        <v>8.45</v>
      </c>
      <c r="F173">
        <f t="shared" si="7"/>
        <v>-4.25</v>
      </c>
      <c r="G173">
        <f t="shared" si="8"/>
        <v>-8</v>
      </c>
    </row>
    <row r="174" spans="1:7">
      <c r="A174">
        <v>8.524</v>
      </c>
      <c r="B174" s="8" t="s">
        <v>887</v>
      </c>
      <c r="C174">
        <v>67.3</v>
      </c>
      <c r="E174">
        <f t="shared" si="6"/>
        <v>8.5</v>
      </c>
      <c r="F174">
        <f t="shared" si="7"/>
        <v>-4.176</v>
      </c>
      <c r="G174">
        <f t="shared" si="8"/>
        <v>-8</v>
      </c>
    </row>
    <row r="175" spans="1:7">
      <c r="A175">
        <v>8.574</v>
      </c>
      <c r="B175" s="8" t="s">
        <v>888</v>
      </c>
      <c r="C175">
        <v>66.8</v>
      </c>
      <c r="E175">
        <f t="shared" si="6"/>
        <v>8.55</v>
      </c>
      <c r="F175">
        <f t="shared" si="7"/>
        <v>-4.258</v>
      </c>
      <c r="G175">
        <f t="shared" si="8"/>
        <v>-8</v>
      </c>
    </row>
    <row r="176" spans="1:7">
      <c r="A176">
        <v>8.624</v>
      </c>
      <c r="B176" s="8" t="s">
        <v>889</v>
      </c>
      <c r="C176">
        <v>66.6</v>
      </c>
      <c r="E176">
        <f t="shared" si="6"/>
        <v>8.6</v>
      </c>
      <c r="F176">
        <f t="shared" si="7"/>
        <v>-4.412</v>
      </c>
      <c r="G176">
        <f t="shared" si="8"/>
        <v>-8</v>
      </c>
    </row>
    <row r="177" spans="1:7">
      <c r="A177">
        <v>8.674</v>
      </c>
      <c r="B177" s="8" t="s">
        <v>890</v>
      </c>
      <c r="C177">
        <v>66.7</v>
      </c>
      <c r="E177">
        <f t="shared" si="6"/>
        <v>8.65</v>
      </c>
      <c r="F177">
        <f t="shared" si="7"/>
        <v>-4.597</v>
      </c>
      <c r="G177">
        <f t="shared" si="8"/>
        <v>-8</v>
      </c>
    </row>
    <row r="178" spans="1:7">
      <c r="A178">
        <v>8.724</v>
      </c>
      <c r="B178" s="8" t="s">
        <v>819</v>
      </c>
      <c r="C178">
        <v>66.9</v>
      </c>
      <c r="E178">
        <f t="shared" si="6"/>
        <v>8.7</v>
      </c>
      <c r="F178">
        <f t="shared" si="7"/>
        <v>-4.985</v>
      </c>
      <c r="G178">
        <f t="shared" si="8"/>
        <v>-8</v>
      </c>
    </row>
    <row r="179" spans="1:7">
      <c r="A179">
        <v>8.774</v>
      </c>
      <c r="B179" s="8" t="s">
        <v>891</v>
      </c>
      <c r="C179">
        <v>67.1</v>
      </c>
      <c r="E179">
        <f t="shared" si="6"/>
        <v>8.75</v>
      </c>
      <c r="F179">
        <f t="shared" si="7"/>
        <v>-5.278</v>
      </c>
      <c r="G179">
        <f t="shared" si="8"/>
        <v>-8</v>
      </c>
    </row>
    <row r="180" spans="1:7">
      <c r="A180">
        <v>8.825</v>
      </c>
      <c r="B180" s="8" t="s">
        <v>892</v>
      </c>
      <c r="C180">
        <v>67.1</v>
      </c>
      <c r="E180">
        <f t="shared" si="6"/>
        <v>8.8</v>
      </c>
      <c r="F180">
        <f t="shared" si="7"/>
        <v>-5.488</v>
      </c>
      <c r="G180">
        <f t="shared" si="8"/>
        <v>-8</v>
      </c>
    </row>
    <row r="181" spans="1:7">
      <c r="A181">
        <v>8.875</v>
      </c>
      <c r="B181" s="8" t="s">
        <v>510</v>
      </c>
      <c r="C181">
        <v>67</v>
      </c>
      <c r="E181">
        <f t="shared" si="6"/>
        <v>8.85</v>
      </c>
      <c r="F181">
        <f t="shared" si="7"/>
        <v>-5.609</v>
      </c>
      <c r="G181">
        <f t="shared" si="8"/>
        <v>-8</v>
      </c>
    </row>
    <row r="182" spans="1:7">
      <c r="A182">
        <v>8.925</v>
      </c>
      <c r="B182" s="8" t="s">
        <v>893</v>
      </c>
      <c r="C182">
        <v>67.1</v>
      </c>
      <c r="E182">
        <f t="shared" si="6"/>
        <v>8.9</v>
      </c>
      <c r="F182">
        <f t="shared" si="7"/>
        <v>-5.554</v>
      </c>
      <c r="G182">
        <f t="shared" si="8"/>
        <v>-8</v>
      </c>
    </row>
    <row r="183" spans="1:7">
      <c r="A183">
        <v>8.975</v>
      </c>
      <c r="B183" s="8" t="s">
        <v>894</v>
      </c>
      <c r="C183">
        <v>66.8</v>
      </c>
      <c r="E183">
        <f t="shared" si="6"/>
        <v>8.95</v>
      </c>
      <c r="F183">
        <f t="shared" si="7"/>
        <v>-5.443</v>
      </c>
      <c r="G183">
        <f t="shared" si="8"/>
        <v>-8</v>
      </c>
    </row>
    <row r="184" spans="1:7">
      <c r="A184">
        <v>9.025</v>
      </c>
      <c r="B184" s="8" t="s">
        <v>895</v>
      </c>
      <c r="C184">
        <v>66.9</v>
      </c>
      <c r="E184">
        <f t="shared" si="6"/>
        <v>9</v>
      </c>
      <c r="F184">
        <f t="shared" si="7"/>
        <v>-5.202</v>
      </c>
      <c r="G184">
        <f t="shared" si="8"/>
        <v>-8</v>
      </c>
    </row>
    <row r="185" spans="1:7">
      <c r="A185">
        <v>9.075</v>
      </c>
      <c r="B185" s="8" t="s">
        <v>896</v>
      </c>
      <c r="C185">
        <v>66.9</v>
      </c>
      <c r="E185">
        <f t="shared" si="6"/>
        <v>9.05</v>
      </c>
      <c r="F185">
        <f t="shared" si="7"/>
        <v>-4.879</v>
      </c>
      <c r="G185">
        <f t="shared" si="8"/>
        <v>-8</v>
      </c>
    </row>
    <row r="186" spans="1:7">
      <c r="A186">
        <v>9.125</v>
      </c>
      <c r="B186" s="8" t="s">
        <v>897</v>
      </c>
      <c r="C186">
        <v>66.7</v>
      </c>
      <c r="E186">
        <f t="shared" si="6"/>
        <v>9.1</v>
      </c>
      <c r="F186">
        <f t="shared" si="7"/>
        <v>-4.529</v>
      </c>
      <c r="G186">
        <f t="shared" si="8"/>
        <v>-8</v>
      </c>
    </row>
    <row r="187" spans="1:7">
      <c r="A187">
        <v>9.176</v>
      </c>
      <c r="B187" s="8" t="s">
        <v>898</v>
      </c>
      <c r="C187">
        <v>67.1</v>
      </c>
      <c r="E187">
        <f t="shared" si="6"/>
        <v>9.15</v>
      </c>
      <c r="F187">
        <f t="shared" si="7"/>
        <v>-4.293</v>
      </c>
      <c r="G187">
        <f t="shared" si="8"/>
        <v>-8</v>
      </c>
    </row>
    <row r="188" spans="1:7">
      <c r="A188">
        <v>9.226</v>
      </c>
      <c r="B188" s="8" t="s">
        <v>899</v>
      </c>
      <c r="C188">
        <v>67.1</v>
      </c>
      <c r="E188">
        <f t="shared" si="6"/>
        <v>9.2</v>
      </c>
      <c r="F188">
        <f t="shared" si="7"/>
        <v>-4.316</v>
      </c>
      <c r="G188">
        <f t="shared" si="8"/>
        <v>-8</v>
      </c>
    </row>
    <row r="189" spans="1:7">
      <c r="A189">
        <v>9.276</v>
      </c>
      <c r="B189" s="8" t="s">
        <v>900</v>
      </c>
      <c r="C189">
        <v>67</v>
      </c>
      <c r="E189">
        <f t="shared" si="6"/>
        <v>9.25</v>
      </c>
      <c r="F189">
        <f t="shared" si="7"/>
        <v>-4.434</v>
      </c>
      <c r="G189">
        <f t="shared" si="8"/>
        <v>-8</v>
      </c>
    </row>
    <row r="190" spans="1:7">
      <c r="A190">
        <v>9.326</v>
      </c>
      <c r="B190" s="8" t="s">
        <v>901</v>
      </c>
      <c r="C190">
        <v>66.9</v>
      </c>
      <c r="E190">
        <f t="shared" si="6"/>
        <v>9.3</v>
      </c>
      <c r="F190">
        <f t="shared" si="7"/>
        <v>-4.679</v>
      </c>
      <c r="G190">
        <f t="shared" si="8"/>
        <v>-8</v>
      </c>
    </row>
    <row r="191" spans="1:7">
      <c r="A191">
        <v>9.376</v>
      </c>
      <c r="B191" s="8" t="s">
        <v>902</v>
      </c>
      <c r="C191">
        <v>67</v>
      </c>
      <c r="E191">
        <f t="shared" si="6"/>
        <v>9.35</v>
      </c>
      <c r="F191">
        <f t="shared" si="7"/>
        <v>-5.003</v>
      </c>
      <c r="G191">
        <f t="shared" si="8"/>
        <v>-8</v>
      </c>
    </row>
    <row r="192" spans="1:7">
      <c r="A192">
        <v>9.426</v>
      </c>
      <c r="B192" s="8" t="s">
        <v>903</v>
      </c>
      <c r="C192">
        <v>66.8</v>
      </c>
      <c r="E192">
        <f t="shared" si="6"/>
        <v>9.4</v>
      </c>
      <c r="F192">
        <f t="shared" si="7"/>
        <v>-5.26</v>
      </c>
      <c r="G192">
        <f t="shared" si="8"/>
        <v>-8</v>
      </c>
    </row>
    <row r="193" spans="1:7">
      <c r="A193">
        <v>9.476</v>
      </c>
      <c r="B193" s="8" t="s">
        <v>555</v>
      </c>
      <c r="C193">
        <v>66.7</v>
      </c>
      <c r="E193">
        <f t="shared" si="6"/>
        <v>9.45</v>
      </c>
      <c r="F193">
        <f t="shared" si="7"/>
        <v>-5.447</v>
      </c>
      <c r="G193">
        <f t="shared" si="8"/>
        <v>-8</v>
      </c>
    </row>
    <row r="194" spans="1:7">
      <c r="A194">
        <v>9.527</v>
      </c>
      <c r="B194" s="8" t="s">
        <v>904</v>
      </c>
      <c r="C194">
        <v>66.5</v>
      </c>
      <c r="E194">
        <f t="shared" si="6"/>
        <v>9.5</v>
      </c>
      <c r="F194">
        <f t="shared" si="7"/>
        <v>-5.621</v>
      </c>
      <c r="G194">
        <f t="shared" si="8"/>
        <v>-8</v>
      </c>
    </row>
    <row r="195" spans="1:7">
      <c r="A195">
        <v>9.577</v>
      </c>
      <c r="B195" s="8" t="s">
        <v>570</v>
      </c>
      <c r="C195">
        <v>67.1</v>
      </c>
      <c r="E195">
        <f t="shared" si="6"/>
        <v>9.55</v>
      </c>
      <c r="F195">
        <f t="shared" si="7"/>
        <v>-5.573</v>
      </c>
      <c r="G195">
        <f t="shared" si="8"/>
        <v>-8</v>
      </c>
    </row>
    <row r="196" spans="1:7">
      <c r="A196">
        <v>9.627</v>
      </c>
      <c r="B196" s="8" t="s">
        <v>905</v>
      </c>
      <c r="C196">
        <v>66.9</v>
      </c>
      <c r="E196">
        <f t="shared" si="6"/>
        <v>9.6</v>
      </c>
      <c r="F196">
        <f t="shared" si="7"/>
        <v>-5.467</v>
      </c>
      <c r="G196">
        <f t="shared" si="8"/>
        <v>-8</v>
      </c>
    </row>
    <row r="197" spans="1:7">
      <c r="A197">
        <v>9.677</v>
      </c>
      <c r="B197" s="8" t="s">
        <v>762</v>
      </c>
      <c r="C197">
        <v>66.6</v>
      </c>
      <c r="E197">
        <f t="shared" ref="E197:E236" si="9">FLOOR(A197,0.05)</f>
        <v>9.65</v>
      </c>
      <c r="F197">
        <f t="shared" ref="F197:F236" si="10">B197*1000-8</f>
        <v>-5.284</v>
      </c>
      <c r="G197">
        <f t="shared" ref="G197:G236" si="11">IF(C197&lt;230,-8,5)</f>
        <v>-8</v>
      </c>
    </row>
    <row r="198" spans="1:7">
      <c r="A198">
        <v>9.727</v>
      </c>
      <c r="B198" s="8" t="s">
        <v>906</v>
      </c>
      <c r="C198">
        <v>67.2</v>
      </c>
      <c r="E198">
        <f t="shared" si="9"/>
        <v>9.7</v>
      </c>
      <c r="F198">
        <f t="shared" si="10"/>
        <v>-5.006</v>
      </c>
      <c r="G198">
        <f t="shared" si="11"/>
        <v>-8</v>
      </c>
    </row>
    <row r="199" spans="1:7">
      <c r="A199">
        <v>9.777</v>
      </c>
      <c r="B199" s="8" t="s">
        <v>907</v>
      </c>
      <c r="C199">
        <v>66.8</v>
      </c>
      <c r="E199">
        <f t="shared" si="9"/>
        <v>9.75</v>
      </c>
      <c r="F199">
        <f t="shared" si="10"/>
        <v>-4.653</v>
      </c>
      <c r="G199">
        <f t="shared" si="11"/>
        <v>-8</v>
      </c>
    </row>
    <row r="200" spans="1:7">
      <c r="A200">
        <v>9.827</v>
      </c>
      <c r="B200" s="8" t="s">
        <v>908</v>
      </c>
      <c r="C200">
        <v>66.6</v>
      </c>
      <c r="E200">
        <f t="shared" si="9"/>
        <v>9.8</v>
      </c>
      <c r="F200">
        <f t="shared" si="10"/>
        <v>-4.484</v>
      </c>
      <c r="G200">
        <f t="shared" si="11"/>
        <v>-8</v>
      </c>
    </row>
    <row r="201" spans="1:7">
      <c r="A201">
        <v>9.878</v>
      </c>
      <c r="B201" s="8" t="s">
        <v>909</v>
      </c>
      <c r="C201">
        <v>66.9</v>
      </c>
      <c r="E201">
        <f t="shared" si="9"/>
        <v>9.85</v>
      </c>
      <c r="F201">
        <f t="shared" si="10"/>
        <v>-4.384</v>
      </c>
      <c r="G201">
        <f t="shared" si="11"/>
        <v>-8</v>
      </c>
    </row>
    <row r="202" spans="1:7">
      <c r="A202">
        <v>9.928</v>
      </c>
      <c r="B202" s="8" t="s">
        <v>910</v>
      </c>
      <c r="C202">
        <v>67.4</v>
      </c>
      <c r="E202">
        <f t="shared" si="9"/>
        <v>9.9</v>
      </c>
      <c r="F202">
        <f t="shared" si="10"/>
        <v>-4.47</v>
      </c>
      <c r="G202">
        <f t="shared" si="11"/>
        <v>-8</v>
      </c>
    </row>
    <row r="203" spans="1:7">
      <c r="A203">
        <v>9.978</v>
      </c>
      <c r="B203" s="8" t="s">
        <v>911</v>
      </c>
      <c r="C203">
        <v>66.9</v>
      </c>
      <c r="E203">
        <f t="shared" si="9"/>
        <v>9.95</v>
      </c>
      <c r="F203">
        <f t="shared" si="10"/>
        <v>-4.627</v>
      </c>
      <c r="G203">
        <f t="shared" si="11"/>
        <v>-8</v>
      </c>
    </row>
    <row r="204" spans="1:7">
      <c r="A204">
        <v>10.028</v>
      </c>
      <c r="B204" s="8" t="s">
        <v>912</v>
      </c>
      <c r="C204">
        <v>66</v>
      </c>
      <c r="E204">
        <f t="shared" si="9"/>
        <v>10</v>
      </c>
      <c r="F204">
        <f t="shared" si="10"/>
        <v>-4.929</v>
      </c>
      <c r="G204">
        <f t="shared" si="11"/>
        <v>-8</v>
      </c>
    </row>
    <row r="205" spans="1:7">
      <c r="A205">
        <v>10.078</v>
      </c>
      <c r="B205" s="8" t="s">
        <v>913</v>
      </c>
      <c r="C205">
        <v>66.9</v>
      </c>
      <c r="E205">
        <f t="shared" si="9"/>
        <v>10.05</v>
      </c>
      <c r="F205">
        <f t="shared" si="10"/>
        <v>-5.121</v>
      </c>
      <c r="G205">
        <f t="shared" si="11"/>
        <v>-8</v>
      </c>
    </row>
    <row r="206" spans="1:7">
      <c r="A206">
        <v>10.128</v>
      </c>
      <c r="B206" s="8" t="s">
        <v>914</v>
      </c>
      <c r="C206">
        <v>66.9</v>
      </c>
      <c r="E206">
        <f t="shared" si="9"/>
        <v>10.1</v>
      </c>
      <c r="F206">
        <f t="shared" si="10"/>
        <v>-5.387</v>
      </c>
      <c r="G206">
        <f t="shared" si="11"/>
        <v>-8</v>
      </c>
    </row>
    <row r="207" spans="1:7">
      <c r="A207">
        <v>10.178</v>
      </c>
      <c r="B207" s="8" t="s">
        <v>915</v>
      </c>
      <c r="C207">
        <v>66.9</v>
      </c>
      <c r="E207">
        <f t="shared" si="9"/>
        <v>10.15</v>
      </c>
      <c r="F207">
        <f t="shared" si="10"/>
        <v>-5.401</v>
      </c>
      <c r="G207">
        <f t="shared" si="11"/>
        <v>-8</v>
      </c>
    </row>
    <row r="208" spans="1:7">
      <c r="A208">
        <v>10.229</v>
      </c>
      <c r="B208" s="8" t="s">
        <v>916</v>
      </c>
      <c r="C208">
        <v>66.6</v>
      </c>
      <c r="E208">
        <f t="shared" si="9"/>
        <v>10.2</v>
      </c>
      <c r="F208">
        <f t="shared" si="10"/>
        <v>-5.327</v>
      </c>
      <c r="G208">
        <f t="shared" si="11"/>
        <v>-8</v>
      </c>
    </row>
    <row r="209" spans="1:7">
      <c r="A209">
        <v>10.279</v>
      </c>
      <c r="B209" s="8" t="s">
        <v>917</v>
      </c>
      <c r="C209">
        <v>67.1</v>
      </c>
      <c r="E209">
        <f t="shared" si="9"/>
        <v>10.25</v>
      </c>
      <c r="F209">
        <f t="shared" si="10"/>
        <v>-5.243</v>
      </c>
      <c r="G209">
        <f t="shared" si="11"/>
        <v>-8</v>
      </c>
    </row>
    <row r="210" spans="1:7">
      <c r="A210">
        <v>10.329</v>
      </c>
      <c r="B210" s="8" t="s">
        <v>918</v>
      </c>
      <c r="C210">
        <v>66.3</v>
      </c>
      <c r="E210">
        <f t="shared" si="9"/>
        <v>10.3</v>
      </c>
      <c r="F210">
        <f t="shared" si="10"/>
        <v>-5.083</v>
      </c>
      <c r="G210">
        <f t="shared" si="11"/>
        <v>-8</v>
      </c>
    </row>
    <row r="211" spans="1:7">
      <c r="A211">
        <v>10.379</v>
      </c>
      <c r="B211" s="8" t="s">
        <v>919</v>
      </c>
      <c r="C211">
        <v>67.4</v>
      </c>
      <c r="E211">
        <f t="shared" si="9"/>
        <v>10.35</v>
      </c>
      <c r="F211">
        <f t="shared" si="10"/>
        <v>-4.906</v>
      </c>
      <c r="G211">
        <f t="shared" si="11"/>
        <v>-8</v>
      </c>
    </row>
    <row r="212" spans="1:7">
      <c r="A212">
        <v>10.429</v>
      </c>
      <c r="B212" s="8" t="s">
        <v>920</v>
      </c>
      <c r="C212">
        <v>67.3</v>
      </c>
      <c r="E212">
        <f t="shared" si="9"/>
        <v>10.4</v>
      </c>
      <c r="F212">
        <f t="shared" si="10"/>
        <v>-4.673</v>
      </c>
      <c r="G212">
        <f t="shared" si="11"/>
        <v>-8</v>
      </c>
    </row>
    <row r="213" spans="1:7">
      <c r="A213">
        <v>10.479</v>
      </c>
      <c r="B213" s="8" t="s">
        <v>921</v>
      </c>
      <c r="C213">
        <v>66.9</v>
      </c>
      <c r="E213">
        <f t="shared" si="9"/>
        <v>10.45</v>
      </c>
      <c r="F213">
        <f t="shared" si="10"/>
        <v>-4.537</v>
      </c>
      <c r="G213">
        <f t="shared" si="11"/>
        <v>-8</v>
      </c>
    </row>
    <row r="214" spans="1:7">
      <c r="A214">
        <v>10.529</v>
      </c>
      <c r="B214" s="8" t="s">
        <v>922</v>
      </c>
      <c r="C214">
        <v>66.8</v>
      </c>
      <c r="E214">
        <f t="shared" si="9"/>
        <v>10.5</v>
      </c>
      <c r="F214">
        <f t="shared" si="10"/>
        <v>-4.424</v>
      </c>
      <c r="G214">
        <f t="shared" si="11"/>
        <v>-8</v>
      </c>
    </row>
    <row r="215" spans="1:7">
      <c r="A215">
        <v>10.579</v>
      </c>
      <c r="B215" s="8" t="s">
        <v>923</v>
      </c>
      <c r="C215">
        <v>66.8</v>
      </c>
      <c r="E215">
        <f t="shared" si="9"/>
        <v>10.55</v>
      </c>
      <c r="F215">
        <f t="shared" si="10"/>
        <v>-4.465</v>
      </c>
      <c r="G215">
        <f t="shared" si="11"/>
        <v>-8</v>
      </c>
    </row>
    <row r="216" spans="1:7">
      <c r="A216">
        <v>10.63</v>
      </c>
      <c r="B216" s="8" t="s">
        <v>924</v>
      </c>
      <c r="C216">
        <v>67.4</v>
      </c>
      <c r="E216">
        <f t="shared" si="9"/>
        <v>10.6</v>
      </c>
      <c r="F216">
        <f t="shared" si="10"/>
        <v>-4.601</v>
      </c>
      <c r="G216">
        <f t="shared" si="11"/>
        <v>-8</v>
      </c>
    </row>
    <row r="217" spans="1:7">
      <c r="A217">
        <v>10.68</v>
      </c>
      <c r="B217" s="8" t="s">
        <v>925</v>
      </c>
      <c r="C217">
        <v>67.1</v>
      </c>
      <c r="E217">
        <f t="shared" si="9"/>
        <v>10.65</v>
      </c>
      <c r="F217">
        <f t="shared" si="10"/>
        <v>-4.862</v>
      </c>
      <c r="G217">
        <f t="shared" si="11"/>
        <v>-8</v>
      </c>
    </row>
    <row r="218" spans="1:7">
      <c r="A218">
        <v>10.73</v>
      </c>
      <c r="B218" s="8" t="s">
        <v>35</v>
      </c>
      <c r="C218">
        <v>67.6</v>
      </c>
      <c r="E218">
        <f t="shared" si="9"/>
        <v>10.7</v>
      </c>
      <c r="F218">
        <f t="shared" si="10"/>
        <v>-5.004</v>
      </c>
      <c r="G218">
        <f t="shared" si="11"/>
        <v>-8</v>
      </c>
    </row>
    <row r="219" spans="1:7">
      <c r="A219">
        <v>10.78</v>
      </c>
      <c r="B219" s="8" t="s">
        <v>926</v>
      </c>
      <c r="C219">
        <v>66.5</v>
      </c>
      <c r="E219">
        <f t="shared" si="9"/>
        <v>10.75</v>
      </c>
      <c r="F219">
        <f t="shared" si="10"/>
        <v>-5.191</v>
      </c>
      <c r="G219">
        <f t="shared" si="11"/>
        <v>-8</v>
      </c>
    </row>
    <row r="220" spans="1:7">
      <c r="A220">
        <v>10.83</v>
      </c>
      <c r="B220" s="8" t="s">
        <v>927</v>
      </c>
      <c r="C220">
        <v>66.9</v>
      </c>
      <c r="E220">
        <f t="shared" si="9"/>
        <v>10.8</v>
      </c>
      <c r="F220">
        <f t="shared" si="10"/>
        <v>-5.301</v>
      </c>
      <c r="G220">
        <f t="shared" si="11"/>
        <v>-8</v>
      </c>
    </row>
    <row r="221" spans="1:7">
      <c r="A221">
        <v>10.88</v>
      </c>
      <c r="B221" s="8" t="s">
        <v>762</v>
      </c>
      <c r="C221">
        <v>67.2</v>
      </c>
      <c r="E221">
        <f t="shared" si="9"/>
        <v>10.85</v>
      </c>
      <c r="F221">
        <f t="shared" si="10"/>
        <v>-5.284</v>
      </c>
      <c r="G221">
        <f t="shared" si="11"/>
        <v>-8</v>
      </c>
    </row>
    <row r="222" spans="1:7">
      <c r="A222">
        <v>10.93</v>
      </c>
      <c r="B222" s="8" t="s">
        <v>928</v>
      </c>
      <c r="C222">
        <v>66.9</v>
      </c>
      <c r="E222">
        <f t="shared" si="9"/>
        <v>10.9</v>
      </c>
      <c r="F222">
        <f t="shared" si="10"/>
        <v>-5.184</v>
      </c>
      <c r="G222">
        <f t="shared" si="11"/>
        <v>-8</v>
      </c>
    </row>
    <row r="223" spans="1:7">
      <c r="A223">
        <v>10.981</v>
      </c>
      <c r="B223" s="8" t="s">
        <v>929</v>
      </c>
      <c r="C223">
        <v>66.6</v>
      </c>
      <c r="E223">
        <f t="shared" si="9"/>
        <v>10.95</v>
      </c>
      <c r="F223">
        <f t="shared" si="10"/>
        <v>-5.051</v>
      </c>
      <c r="G223">
        <f t="shared" si="11"/>
        <v>-8</v>
      </c>
    </row>
    <row r="224" spans="1:7">
      <c r="A224">
        <v>11.031</v>
      </c>
      <c r="B224" s="8" t="s">
        <v>930</v>
      </c>
      <c r="C224">
        <v>67.1</v>
      </c>
      <c r="E224">
        <f t="shared" si="9"/>
        <v>11</v>
      </c>
      <c r="F224">
        <f t="shared" si="10"/>
        <v>-4.927</v>
      </c>
      <c r="G224">
        <f t="shared" si="11"/>
        <v>-8</v>
      </c>
    </row>
    <row r="225" spans="1:7">
      <c r="A225">
        <v>11.081</v>
      </c>
      <c r="B225" s="8" t="s">
        <v>931</v>
      </c>
      <c r="C225">
        <v>67</v>
      </c>
      <c r="E225">
        <f t="shared" si="9"/>
        <v>11.05</v>
      </c>
      <c r="F225">
        <f t="shared" si="10"/>
        <v>-4.652</v>
      </c>
      <c r="G225">
        <f t="shared" si="11"/>
        <v>-8</v>
      </c>
    </row>
    <row r="226" spans="1:7">
      <c r="A226">
        <v>11.131</v>
      </c>
      <c r="B226" s="8" t="s">
        <v>932</v>
      </c>
      <c r="C226">
        <v>66.9</v>
      </c>
      <c r="E226">
        <f t="shared" si="9"/>
        <v>11.1</v>
      </c>
      <c r="F226">
        <f t="shared" si="10"/>
        <v>-4.567</v>
      </c>
      <c r="G226">
        <f t="shared" si="11"/>
        <v>-8</v>
      </c>
    </row>
    <row r="227" spans="1:7">
      <c r="A227">
        <v>11.181</v>
      </c>
      <c r="B227" s="8" t="s">
        <v>933</v>
      </c>
      <c r="C227">
        <v>67.4</v>
      </c>
      <c r="E227">
        <f t="shared" si="9"/>
        <v>11.15</v>
      </c>
      <c r="F227">
        <f t="shared" si="10"/>
        <v>-4.447</v>
      </c>
      <c r="G227">
        <f t="shared" si="11"/>
        <v>-8</v>
      </c>
    </row>
    <row r="228" spans="1:7">
      <c r="A228">
        <v>11.231</v>
      </c>
      <c r="B228" s="8" t="s">
        <v>934</v>
      </c>
      <c r="C228">
        <v>67.2</v>
      </c>
      <c r="E228">
        <f t="shared" si="9"/>
        <v>11.2</v>
      </c>
      <c r="F228">
        <f t="shared" si="10"/>
        <v>-4.432</v>
      </c>
      <c r="G228">
        <f t="shared" si="11"/>
        <v>-8</v>
      </c>
    </row>
    <row r="229" spans="1:7">
      <c r="A229">
        <v>11.281</v>
      </c>
      <c r="B229" s="8" t="s">
        <v>897</v>
      </c>
      <c r="C229">
        <v>66.7</v>
      </c>
      <c r="E229">
        <f t="shared" si="9"/>
        <v>11.25</v>
      </c>
      <c r="F229">
        <f t="shared" si="10"/>
        <v>-4.529</v>
      </c>
      <c r="G229">
        <f t="shared" si="11"/>
        <v>-8</v>
      </c>
    </row>
    <row r="230" spans="1:7">
      <c r="A230">
        <v>11.332</v>
      </c>
      <c r="B230" s="8" t="s">
        <v>935</v>
      </c>
      <c r="C230">
        <v>66.5</v>
      </c>
      <c r="E230">
        <f t="shared" si="9"/>
        <v>11.3</v>
      </c>
      <c r="F230">
        <f t="shared" si="10"/>
        <v>-4.717</v>
      </c>
      <c r="G230">
        <f t="shared" si="11"/>
        <v>-8</v>
      </c>
    </row>
    <row r="231" spans="1:7">
      <c r="A231">
        <v>11.382</v>
      </c>
      <c r="B231" s="8" t="s">
        <v>936</v>
      </c>
      <c r="C231">
        <v>66.7</v>
      </c>
      <c r="E231">
        <f t="shared" si="9"/>
        <v>11.35</v>
      </c>
      <c r="F231">
        <f t="shared" si="10"/>
        <v>-4.916</v>
      </c>
      <c r="G231">
        <f t="shared" si="11"/>
        <v>-8</v>
      </c>
    </row>
    <row r="232" spans="1:7">
      <c r="A232">
        <v>11.432</v>
      </c>
      <c r="B232" s="8" t="s">
        <v>937</v>
      </c>
      <c r="C232">
        <v>66.8</v>
      </c>
      <c r="E232">
        <f t="shared" si="9"/>
        <v>11.4</v>
      </c>
      <c r="F232">
        <f t="shared" si="10"/>
        <v>-5.06</v>
      </c>
      <c r="G232">
        <f t="shared" si="11"/>
        <v>-8</v>
      </c>
    </row>
    <row r="233" spans="1:7">
      <c r="A233">
        <v>11.482</v>
      </c>
      <c r="B233" s="8" t="s">
        <v>938</v>
      </c>
      <c r="C233">
        <v>67.1</v>
      </c>
      <c r="E233">
        <f t="shared" si="9"/>
        <v>11.45</v>
      </c>
      <c r="F233">
        <f t="shared" si="10"/>
        <v>-5.263</v>
      </c>
      <c r="G233">
        <f t="shared" si="11"/>
        <v>-8</v>
      </c>
    </row>
    <row r="234" spans="1:7">
      <c r="A234">
        <v>11.532</v>
      </c>
      <c r="B234" s="8" t="s">
        <v>939</v>
      </c>
      <c r="C234">
        <v>67.4</v>
      </c>
      <c r="E234">
        <f t="shared" si="9"/>
        <v>11.5</v>
      </c>
      <c r="F234">
        <f t="shared" si="10"/>
        <v>-5.294</v>
      </c>
      <c r="G234">
        <f t="shared" si="11"/>
        <v>-8</v>
      </c>
    </row>
    <row r="235" spans="1:7">
      <c r="A235">
        <v>11.582</v>
      </c>
      <c r="B235" s="8" t="s">
        <v>940</v>
      </c>
      <c r="C235">
        <v>67.4</v>
      </c>
      <c r="E235">
        <f t="shared" si="9"/>
        <v>11.55</v>
      </c>
      <c r="F235">
        <f t="shared" si="10"/>
        <v>-5.213</v>
      </c>
      <c r="G235">
        <f t="shared" si="11"/>
        <v>-8</v>
      </c>
    </row>
    <row r="236" spans="1:7">
      <c r="A236">
        <v>11.632</v>
      </c>
      <c r="B236" s="8" t="s">
        <v>941</v>
      </c>
      <c r="C236">
        <v>67.2</v>
      </c>
      <c r="E236">
        <f t="shared" si="9"/>
        <v>11.6</v>
      </c>
      <c r="F236">
        <f t="shared" si="10"/>
        <v>-5.105</v>
      </c>
      <c r="G236">
        <f t="shared" si="11"/>
        <v>-8</v>
      </c>
    </row>
  </sheetData>
  <mergeCells count="2">
    <mergeCell ref="A1:C1"/>
    <mergeCell ref="E1:G1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71"/>
  <sheetViews>
    <sheetView topLeftCell="F52" workbookViewId="0">
      <selection activeCell="K4" sqref="K4:K1144"/>
    </sheetView>
  </sheetViews>
  <sheetFormatPr defaultColWidth="8.88888888888889" defaultRowHeight="14.4" outlineLevelCol="6"/>
  <cols>
    <col min="1" max="1" width="7.66666666666667" customWidth="1"/>
    <col min="2" max="2" width="9.66666666666667" customWidth="1"/>
    <col min="3" max="3" width="7.66666666666667" customWidth="1"/>
    <col min="4" max="4" width="3.88888888888889" customWidth="1"/>
    <col min="5" max="5" width="7.66666666666667" customWidth="1"/>
    <col min="6" max="6" width="9.66666666666667" customWidth="1"/>
    <col min="7" max="7" width="8.77777777777778" customWidth="1"/>
  </cols>
  <sheetData>
    <row r="1" spans="1:7">
      <c r="A1" s="1" t="s">
        <v>8</v>
      </c>
      <c r="B1" s="1"/>
      <c r="C1" s="1"/>
      <c r="E1" s="1" t="s">
        <v>729</v>
      </c>
      <c r="F1" s="1"/>
      <c r="G1" s="1"/>
    </row>
    <row r="2" spans="1:7">
      <c r="B2" t="s">
        <v>0</v>
      </c>
      <c r="C2" t="s">
        <v>1</v>
      </c>
      <c r="F2" t="s">
        <v>730</v>
      </c>
      <c r="G2" t="s">
        <v>731</v>
      </c>
    </row>
    <row r="3" spans="1:7">
      <c r="A3" t="s">
        <v>5</v>
      </c>
      <c r="B3" t="s">
        <v>6</v>
      </c>
      <c r="C3" t="s">
        <v>7</v>
      </c>
      <c r="E3" t="s">
        <v>5</v>
      </c>
      <c r="F3" t="s">
        <v>6</v>
      </c>
      <c r="G3" t="s">
        <v>7</v>
      </c>
    </row>
    <row r="4" spans="1:7">
      <c r="A4">
        <v>0</v>
      </c>
      <c r="B4" s="2">
        <v>-0.0006042</v>
      </c>
      <c r="C4">
        <v>67.5</v>
      </c>
      <c r="E4">
        <f t="shared" ref="E4:E67" si="0">FLOOR(A4,0.05)</f>
        <v>0</v>
      </c>
      <c r="F4">
        <f>B4*1000</f>
        <v>-0.6042</v>
      </c>
      <c r="G4">
        <f>IF(C4&lt;230,-15,5)</f>
        <v>-15</v>
      </c>
    </row>
    <row r="5" spans="1:7">
      <c r="A5">
        <v>0.05</v>
      </c>
      <c r="B5" s="8" t="s">
        <v>942</v>
      </c>
      <c r="C5">
        <v>67.8</v>
      </c>
      <c r="E5">
        <f t="shared" si="0"/>
        <v>0.05</v>
      </c>
      <c r="F5">
        <f t="shared" ref="F5:F68" si="1">B5*1000</f>
        <v>2.771</v>
      </c>
      <c r="G5">
        <f t="shared" ref="G5:G68" si="2">IF(C5&lt;230,-15,5)</f>
        <v>-15</v>
      </c>
    </row>
    <row r="6" spans="1:7">
      <c r="A6">
        <v>0.1</v>
      </c>
      <c r="B6" s="8" t="s">
        <v>943</v>
      </c>
      <c r="C6">
        <v>67</v>
      </c>
      <c r="E6">
        <f t="shared" si="0"/>
        <v>0.1</v>
      </c>
      <c r="F6">
        <f t="shared" si="1"/>
        <v>5.561</v>
      </c>
      <c r="G6">
        <f t="shared" si="2"/>
        <v>-15</v>
      </c>
    </row>
    <row r="7" spans="1:7">
      <c r="A7">
        <v>0.15</v>
      </c>
      <c r="B7" s="8" t="s">
        <v>944</v>
      </c>
      <c r="C7">
        <v>67.4</v>
      </c>
      <c r="E7">
        <f t="shared" si="0"/>
        <v>0.15</v>
      </c>
      <c r="F7">
        <f t="shared" si="1"/>
        <v>8.133</v>
      </c>
      <c r="G7">
        <f t="shared" si="2"/>
        <v>-15</v>
      </c>
    </row>
    <row r="8" spans="1:7">
      <c r="A8">
        <v>0.2</v>
      </c>
      <c r="B8" s="8" t="s">
        <v>321</v>
      </c>
      <c r="C8">
        <v>67.3</v>
      </c>
      <c r="E8">
        <f t="shared" si="0"/>
        <v>0.2</v>
      </c>
      <c r="F8">
        <f t="shared" si="1"/>
        <v>10.33</v>
      </c>
      <c r="G8">
        <f t="shared" si="2"/>
        <v>-15</v>
      </c>
    </row>
    <row r="9" spans="1:7">
      <c r="A9">
        <v>0.25</v>
      </c>
      <c r="B9" s="8" t="s">
        <v>406</v>
      </c>
      <c r="C9">
        <v>67.2</v>
      </c>
      <c r="E9">
        <f t="shared" si="0"/>
        <v>0.25</v>
      </c>
      <c r="F9">
        <f t="shared" si="1"/>
        <v>11.87</v>
      </c>
      <c r="G9">
        <f t="shared" si="2"/>
        <v>-15</v>
      </c>
    </row>
    <row r="10" spans="1:7">
      <c r="A10">
        <v>0.301</v>
      </c>
      <c r="B10" s="8" t="s">
        <v>284</v>
      </c>
      <c r="C10">
        <v>67.2</v>
      </c>
      <c r="E10">
        <f t="shared" si="0"/>
        <v>0.3</v>
      </c>
      <c r="F10">
        <f t="shared" si="1"/>
        <v>12.94</v>
      </c>
      <c r="G10">
        <f t="shared" si="2"/>
        <v>-15</v>
      </c>
    </row>
    <row r="11" spans="1:7">
      <c r="A11">
        <v>0.351</v>
      </c>
      <c r="B11" s="8" t="s">
        <v>945</v>
      </c>
      <c r="C11">
        <v>67.3</v>
      </c>
      <c r="E11">
        <f t="shared" si="0"/>
        <v>0.35</v>
      </c>
      <c r="F11">
        <f t="shared" si="1"/>
        <v>13.16</v>
      </c>
      <c r="G11">
        <f t="shared" si="2"/>
        <v>-15</v>
      </c>
    </row>
    <row r="12" spans="1:7">
      <c r="A12">
        <v>0.401</v>
      </c>
      <c r="B12" s="8" t="s">
        <v>285</v>
      </c>
      <c r="C12">
        <v>67</v>
      </c>
      <c r="E12">
        <f t="shared" si="0"/>
        <v>0.4</v>
      </c>
      <c r="F12">
        <f t="shared" si="1"/>
        <v>12.87</v>
      </c>
      <c r="G12">
        <f t="shared" si="2"/>
        <v>-15</v>
      </c>
    </row>
    <row r="13" spans="1:7">
      <c r="A13">
        <v>0.451</v>
      </c>
      <c r="B13" s="8" t="s">
        <v>301</v>
      </c>
      <c r="C13">
        <v>66.7</v>
      </c>
      <c r="E13">
        <f t="shared" si="0"/>
        <v>0.45</v>
      </c>
      <c r="F13">
        <f t="shared" si="1"/>
        <v>11.52</v>
      </c>
      <c r="G13">
        <f t="shared" si="2"/>
        <v>-15</v>
      </c>
    </row>
    <row r="14" spans="1:7">
      <c r="A14">
        <v>0.501</v>
      </c>
      <c r="B14" s="8" t="s">
        <v>946</v>
      </c>
      <c r="C14">
        <v>67.2</v>
      </c>
      <c r="E14">
        <f t="shared" si="0"/>
        <v>0.5</v>
      </c>
      <c r="F14">
        <f t="shared" si="1"/>
        <v>9.802</v>
      </c>
      <c r="G14">
        <f t="shared" si="2"/>
        <v>-15</v>
      </c>
    </row>
    <row r="15" spans="1:7">
      <c r="A15">
        <v>0.551</v>
      </c>
      <c r="B15" s="8" t="s">
        <v>947</v>
      </c>
      <c r="C15">
        <v>67</v>
      </c>
      <c r="E15">
        <f t="shared" si="0"/>
        <v>0.55</v>
      </c>
      <c r="F15">
        <f t="shared" si="1"/>
        <v>7.661</v>
      </c>
      <c r="G15">
        <f t="shared" si="2"/>
        <v>-15</v>
      </c>
    </row>
    <row r="16" spans="1:7">
      <c r="A16">
        <v>0.601</v>
      </c>
      <c r="B16" s="8" t="s">
        <v>948</v>
      </c>
      <c r="C16">
        <v>66.9</v>
      </c>
      <c r="E16">
        <f t="shared" si="0"/>
        <v>0.6</v>
      </c>
      <c r="F16">
        <f t="shared" si="1"/>
        <v>5.058</v>
      </c>
      <c r="G16">
        <f t="shared" si="2"/>
        <v>-15</v>
      </c>
    </row>
    <row r="17" spans="1:7">
      <c r="A17">
        <v>0.651</v>
      </c>
      <c r="B17" s="8" t="s">
        <v>949</v>
      </c>
      <c r="C17">
        <v>67.5</v>
      </c>
      <c r="E17">
        <f t="shared" si="0"/>
        <v>0.65</v>
      </c>
      <c r="F17">
        <f t="shared" si="1"/>
        <v>1.97</v>
      </c>
      <c r="G17">
        <f t="shared" si="2"/>
        <v>-15</v>
      </c>
    </row>
    <row r="18" spans="1:7">
      <c r="A18">
        <v>0.701</v>
      </c>
      <c r="B18" s="2">
        <v>-0.0009171</v>
      </c>
      <c r="C18">
        <v>66.7</v>
      </c>
      <c r="E18">
        <f t="shared" si="0"/>
        <v>0.7</v>
      </c>
      <c r="F18">
        <f t="shared" si="1"/>
        <v>-0.9171</v>
      </c>
      <c r="G18">
        <f t="shared" si="2"/>
        <v>-15</v>
      </c>
    </row>
    <row r="19" spans="1:7">
      <c r="A19">
        <v>0.751</v>
      </c>
      <c r="B19" s="2">
        <v>-0.004055</v>
      </c>
      <c r="C19">
        <v>66.6</v>
      </c>
      <c r="E19">
        <f t="shared" si="0"/>
        <v>0.75</v>
      </c>
      <c r="F19">
        <f t="shared" si="1"/>
        <v>-4.055</v>
      </c>
      <c r="G19">
        <f t="shared" si="2"/>
        <v>-15</v>
      </c>
    </row>
    <row r="20" spans="1:7">
      <c r="A20">
        <v>0.801</v>
      </c>
      <c r="B20" s="2">
        <v>-0.00671</v>
      </c>
      <c r="C20">
        <v>67.2</v>
      </c>
      <c r="E20">
        <f t="shared" si="0"/>
        <v>0.8</v>
      </c>
      <c r="F20">
        <f t="shared" si="1"/>
        <v>-6.71</v>
      </c>
      <c r="G20">
        <f t="shared" si="2"/>
        <v>-15</v>
      </c>
    </row>
    <row r="21" spans="1:7">
      <c r="A21">
        <v>0.852</v>
      </c>
      <c r="B21" s="2">
        <v>-0.009056</v>
      </c>
      <c r="C21">
        <v>66.9</v>
      </c>
      <c r="E21">
        <f t="shared" si="0"/>
        <v>0.85</v>
      </c>
      <c r="F21">
        <f t="shared" si="1"/>
        <v>-9.056</v>
      </c>
      <c r="G21">
        <f t="shared" si="2"/>
        <v>-15</v>
      </c>
    </row>
    <row r="22" spans="1:7">
      <c r="A22">
        <v>0.902</v>
      </c>
      <c r="B22" s="2">
        <v>-0.01095</v>
      </c>
      <c r="C22">
        <v>66.9</v>
      </c>
      <c r="E22">
        <f t="shared" si="0"/>
        <v>0.9</v>
      </c>
      <c r="F22">
        <f t="shared" si="1"/>
        <v>-10.95</v>
      </c>
      <c r="G22">
        <f t="shared" si="2"/>
        <v>-15</v>
      </c>
    </row>
    <row r="23" spans="1:7">
      <c r="A23">
        <v>0.952</v>
      </c>
      <c r="B23" s="2">
        <v>-0.01246</v>
      </c>
      <c r="C23">
        <v>67.4</v>
      </c>
      <c r="E23">
        <f t="shared" si="0"/>
        <v>0.95</v>
      </c>
      <c r="F23">
        <f t="shared" si="1"/>
        <v>-12.46</v>
      </c>
      <c r="G23">
        <f t="shared" si="2"/>
        <v>-15</v>
      </c>
    </row>
    <row r="24" spans="1:7">
      <c r="A24">
        <v>1.002</v>
      </c>
      <c r="B24" s="2">
        <v>-0.01301</v>
      </c>
      <c r="C24">
        <v>67.2</v>
      </c>
      <c r="E24">
        <f t="shared" si="0"/>
        <v>1</v>
      </c>
      <c r="F24">
        <f t="shared" si="1"/>
        <v>-13.01</v>
      </c>
      <c r="G24">
        <f t="shared" si="2"/>
        <v>-15</v>
      </c>
    </row>
    <row r="25" spans="1:7">
      <c r="A25">
        <v>1.052</v>
      </c>
      <c r="B25" s="2">
        <v>-0.01305</v>
      </c>
      <c r="C25">
        <v>67.2</v>
      </c>
      <c r="E25">
        <f t="shared" si="0"/>
        <v>1.05</v>
      </c>
      <c r="F25">
        <f t="shared" si="1"/>
        <v>-13.05</v>
      </c>
      <c r="G25">
        <f t="shared" si="2"/>
        <v>-15</v>
      </c>
    </row>
    <row r="26" spans="1:7">
      <c r="A26">
        <v>1.102</v>
      </c>
      <c r="B26" s="2">
        <v>-0.01259</v>
      </c>
      <c r="C26">
        <v>67.4</v>
      </c>
      <c r="E26">
        <f t="shared" si="0"/>
        <v>1.1</v>
      </c>
      <c r="F26">
        <f t="shared" si="1"/>
        <v>-12.59</v>
      </c>
      <c r="G26">
        <f t="shared" si="2"/>
        <v>-15</v>
      </c>
    </row>
    <row r="27" spans="1:7">
      <c r="A27">
        <v>1.152</v>
      </c>
      <c r="B27" s="2">
        <v>-0.01124</v>
      </c>
      <c r="C27">
        <v>67</v>
      </c>
      <c r="E27">
        <f t="shared" si="0"/>
        <v>1.15</v>
      </c>
      <c r="F27">
        <f t="shared" si="1"/>
        <v>-11.24</v>
      </c>
      <c r="G27">
        <f t="shared" si="2"/>
        <v>-15</v>
      </c>
    </row>
    <row r="28" spans="1:7">
      <c r="A28">
        <v>1.202</v>
      </c>
      <c r="B28" s="2">
        <v>-0.009462</v>
      </c>
      <c r="C28">
        <v>67.4</v>
      </c>
      <c r="E28">
        <f t="shared" si="0"/>
        <v>1.2</v>
      </c>
      <c r="F28">
        <f t="shared" si="1"/>
        <v>-9.462</v>
      </c>
      <c r="G28">
        <f t="shared" si="2"/>
        <v>-15</v>
      </c>
    </row>
    <row r="29" spans="1:7">
      <c r="A29">
        <v>1.252</v>
      </c>
      <c r="B29" s="2">
        <v>-0.007266</v>
      </c>
      <c r="C29">
        <v>67</v>
      </c>
      <c r="E29">
        <f t="shared" si="0"/>
        <v>1.25</v>
      </c>
      <c r="F29">
        <f t="shared" si="1"/>
        <v>-7.266</v>
      </c>
      <c r="G29">
        <f t="shared" si="2"/>
        <v>-15</v>
      </c>
    </row>
    <row r="30" spans="1:7">
      <c r="A30">
        <v>1.302</v>
      </c>
      <c r="B30" s="2">
        <v>-0.004723</v>
      </c>
      <c r="C30">
        <v>67.2</v>
      </c>
      <c r="E30">
        <f t="shared" si="0"/>
        <v>1.3</v>
      </c>
      <c r="F30">
        <f t="shared" si="1"/>
        <v>-4.723</v>
      </c>
      <c r="G30">
        <f t="shared" si="2"/>
        <v>-15</v>
      </c>
    </row>
    <row r="31" spans="1:7">
      <c r="A31">
        <v>1.352</v>
      </c>
      <c r="B31" s="2">
        <v>-0.00189</v>
      </c>
      <c r="C31">
        <v>67.4</v>
      </c>
      <c r="E31">
        <f t="shared" si="0"/>
        <v>1.35</v>
      </c>
      <c r="F31">
        <f t="shared" si="1"/>
        <v>-1.89</v>
      </c>
      <c r="G31">
        <f t="shared" si="2"/>
        <v>-15</v>
      </c>
    </row>
    <row r="32" spans="1:7">
      <c r="A32">
        <v>1.403</v>
      </c>
      <c r="B32" s="8" t="s">
        <v>950</v>
      </c>
      <c r="C32">
        <v>66.7</v>
      </c>
      <c r="E32">
        <f t="shared" si="0"/>
        <v>1.4</v>
      </c>
      <c r="F32">
        <f t="shared" si="1"/>
        <v>0.9778</v>
      </c>
      <c r="G32">
        <f t="shared" si="2"/>
        <v>-15</v>
      </c>
    </row>
    <row r="33" spans="1:7">
      <c r="A33">
        <v>1.453</v>
      </c>
      <c r="B33" s="8" t="s">
        <v>951</v>
      </c>
      <c r="C33">
        <v>67.1</v>
      </c>
      <c r="E33">
        <f t="shared" si="0"/>
        <v>1.45</v>
      </c>
      <c r="F33">
        <f t="shared" si="1"/>
        <v>3.676</v>
      </c>
      <c r="G33">
        <f t="shared" si="2"/>
        <v>-15</v>
      </c>
    </row>
    <row r="34" spans="1:7">
      <c r="A34">
        <v>1.503</v>
      </c>
      <c r="B34" s="8" t="s">
        <v>952</v>
      </c>
      <c r="C34">
        <v>67.4</v>
      </c>
      <c r="E34">
        <f t="shared" si="0"/>
        <v>1.5</v>
      </c>
      <c r="F34">
        <f t="shared" si="1"/>
        <v>6.178</v>
      </c>
      <c r="G34">
        <f t="shared" si="2"/>
        <v>-15</v>
      </c>
    </row>
    <row r="35" spans="1:7">
      <c r="A35">
        <v>1.553</v>
      </c>
      <c r="B35" s="8" t="s">
        <v>953</v>
      </c>
      <c r="C35">
        <v>67.5</v>
      </c>
      <c r="E35">
        <f t="shared" si="0"/>
        <v>1.55</v>
      </c>
      <c r="F35">
        <f t="shared" si="1"/>
        <v>8.245</v>
      </c>
      <c r="G35">
        <f t="shared" si="2"/>
        <v>-15</v>
      </c>
    </row>
    <row r="36" spans="1:7">
      <c r="A36">
        <v>1.603</v>
      </c>
      <c r="B36" s="8" t="s">
        <v>954</v>
      </c>
      <c r="C36">
        <v>67.3</v>
      </c>
      <c r="E36">
        <f t="shared" si="0"/>
        <v>1.6</v>
      </c>
      <c r="F36">
        <f t="shared" si="1"/>
        <v>9.821</v>
      </c>
      <c r="G36">
        <f t="shared" si="2"/>
        <v>-15</v>
      </c>
    </row>
    <row r="37" spans="1:7">
      <c r="A37">
        <v>1.653</v>
      </c>
      <c r="B37" s="8" t="s">
        <v>955</v>
      </c>
      <c r="C37">
        <v>67.1</v>
      </c>
      <c r="E37">
        <f t="shared" si="0"/>
        <v>1.65</v>
      </c>
      <c r="F37">
        <f t="shared" si="1"/>
        <v>10.74</v>
      </c>
      <c r="G37">
        <f t="shared" si="2"/>
        <v>-15</v>
      </c>
    </row>
    <row r="38" spans="1:7">
      <c r="A38">
        <v>1.703</v>
      </c>
      <c r="B38" s="8" t="s">
        <v>242</v>
      </c>
      <c r="C38">
        <v>67.3</v>
      </c>
      <c r="E38">
        <f t="shared" si="0"/>
        <v>1.7</v>
      </c>
      <c r="F38">
        <f t="shared" si="1"/>
        <v>11.24</v>
      </c>
      <c r="G38">
        <f t="shared" si="2"/>
        <v>-15</v>
      </c>
    </row>
    <row r="39" spans="1:7">
      <c r="A39">
        <v>1.753</v>
      </c>
      <c r="B39" s="8" t="s">
        <v>267</v>
      </c>
      <c r="C39">
        <v>67.1</v>
      </c>
      <c r="E39">
        <f t="shared" si="0"/>
        <v>1.75</v>
      </c>
      <c r="F39">
        <f t="shared" si="1"/>
        <v>11.16</v>
      </c>
      <c r="G39">
        <f t="shared" si="2"/>
        <v>-15</v>
      </c>
    </row>
    <row r="40" spans="1:7">
      <c r="A40">
        <v>1.803</v>
      </c>
      <c r="B40" s="8" t="s">
        <v>376</v>
      </c>
      <c r="C40">
        <v>67.2</v>
      </c>
      <c r="E40">
        <f t="shared" si="0"/>
        <v>1.8</v>
      </c>
      <c r="F40">
        <f t="shared" si="1"/>
        <v>10.41</v>
      </c>
      <c r="G40">
        <f t="shared" si="2"/>
        <v>-15</v>
      </c>
    </row>
    <row r="41" spans="1:7">
      <c r="A41">
        <v>1.853</v>
      </c>
      <c r="B41" s="8" t="s">
        <v>956</v>
      </c>
      <c r="C41">
        <v>67.7</v>
      </c>
      <c r="E41">
        <f t="shared" si="0"/>
        <v>1.85</v>
      </c>
      <c r="F41">
        <f t="shared" si="1"/>
        <v>9.016</v>
      </c>
      <c r="G41">
        <f t="shared" si="2"/>
        <v>-15</v>
      </c>
    </row>
    <row r="42" spans="1:7">
      <c r="A42">
        <v>1.903</v>
      </c>
      <c r="B42" s="8" t="s">
        <v>957</v>
      </c>
      <c r="C42">
        <v>67.4</v>
      </c>
      <c r="E42">
        <f t="shared" si="0"/>
        <v>1.9</v>
      </c>
      <c r="F42">
        <f t="shared" si="1"/>
        <v>7.226</v>
      </c>
      <c r="G42">
        <f t="shared" si="2"/>
        <v>-15</v>
      </c>
    </row>
    <row r="43" spans="1:7">
      <c r="A43">
        <v>1.954</v>
      </c>
      <c r="B43" s="8" t="s">
        <v>760</v>
      </c>
      <c r="C43">
        <v>67</v>
      </c>
      <c r="E43">
        <f t="shared" si="0"/>
        <v>1.95</v>
      </c>
      <c r="F43">
        <f t="shared" si="1"/>
        <v>5.014</v>
      </c>
      <c r="G43">
        <f t="shared" si="2"/>
        <v>-15</v>
      </c>
    </row>
    <row r="44" spans="1:7">
      <c r="A44">
        <v>2.004</v>
      </c>
      <c r="B44" s="8" t="s">
        <v>958</v>
      </c>
      <c r="C44">
        <v>67.4</v>
      </c>
      <c r="E44">
        <f t="shared" si="0"/>
        <v>2</v>
      </c>
      <c r="F44">
        <f t="shared" si="1"/>
        <v>2.434</v>
      </c>
      <c r="G44">
        <f t="shared" si="2"/>
        <v>-15</v>
      </c>
    </row>
    <row r="45" spans="1:7">
      <c r="A45">
        <v>2.054</v>
      </c>
      <c r="B45" s="2">
        <v>-0.0002145</v>
      </c>
      <c r="C45">
        <v>67.8</v>
      </c>
      <c r="E45">
        <f t="shared" si="0"/>
        <v>2.05</v>
      </c>
      <c r="F45">
        <f t="shared" si="1"/>
        <v>-0.2145</v>
      </c>
      <c r="G45">
        <f t="shared" si="2"/>
        <v>-15</v>
      </c>
    </row>
    <row r="46" spans="1:7">
      <c r="A46">
        <v>2.104</v>
      </c>
      <c r="B46" s="2">
        <v>-0.00281</v>
      </c>
      <c r="C46">
        <v>67.9</v>
      </c>
      <c r="E46">
        <f t="shared" si="0"/>
        <v>2.1</v>
      </c>
      <c r="F46">
        <f t="shared" si="1"/>
        <v>-2.81</v>
      </c>
      <c r="G46">
        <f t="shared" si="2"/>
        <v>-15</v>
      </c>
    </row>
    <row r="47" spans="1:7">
      <c r="A47">
        <v>2.154</v>
      </c>
      <c r="B47" s="2">
        <v>-0.005287</v>
      </c>
      <c r="C47">
        <v>66.5</v>
      </c>
      <c r="E47">
        <f t="shared" si="0"/>
        <v>2.15</v>
      </c>
      <c r="F47">
        <f t="shared" si="1"/>
        <v>-5.287</v>
      </c>
      <c r="G47">
        <f t="shared" si="2"/>
        <v>-15</v>
      </c>
    </row>
    <row r="48" spans="1:7">
      <c r="A48">
        <v>2.204</v>
      </c>
      <c r="B48" s="2">
        <v>-0.007492</v>
      </c>
      <c r="C48">
        <v>67.5</v>
      </c>
      <c r="E48">
        <f t="shared" si="0"/>
        <v>2.2</v>
      </c>
      <c r="F48">
        <f t="shared" si="1"/>
        <v>-7.492</v>
      </c>
      <c r="G48">
        <f t="shared" si="2"/>
        <v>-15</v>
      </c>
    </row>
    <row r="49" spans="1:7">
      <c r="A49">
        <v>2.254</v>
      </c>
      <c r="B49" s="2">
        <v>-0.009246</v>
      </c>
      <c r="C49">
        <v>67.4</v>
      </c>
      <c r="E49">
        <f t="shared" si="0"/>
        <v>2.25</v>
      </c>
      <c r="F49">
        <f t="shared" si="1"/>
        <v>-9.246</v>
      </c>
      <c r="G49">
        <f t="shared" si="2"/>
        <v>-15</v>
      </c>
    </row>
    <row r="50" spans="1:7">
      <c r="A50">
        <v>2.304</v>
      </c>
      <c r="B50" s="2">
        <v>-0.01052</v>
      </c>
      <c r="C50">
        <v>67.6</v>
      </c>
      <c r="E50">
        <f t="shared" si="0"/>
        <v>2.3</v>
      </c>
      <c r="F50">
        <f t="shared" si="1"/>
        <v>-10.52</v>
      </c>
      <c r="G50">
        <f t="shared" si="2"/>
        <v>-15</v>
      </c>
    </row>
    <row r="51" spans="1:7">
      <c r="A51">
        <v>2.354</v>
      </c>
      <c r="B51" s="2">
        <v>-0.01114</v>
      </c>
      <c r="C51">
        <v>66.7</v>
      </c>
      <c r="E51">
        <f t="shared" si="0"/>
        <v>2.35</v>
      </c>
      <c r="F51">
        <f t="shared" si="1"/>
        <v>-11.14</v>
      </c>
      <c r="G51">
        <f t="shared" si="2"/>
        <v>-15</v>
      </c>
    </row>
    <row r="52" spans="1:7">
      <c r="A52">
        <v>2.404</v>
      </c>
      <c r="B52" s="2">
        <v>-0.01131</v>
      </c>
      <c r="C52">
        <v>67.1</v>
      </c>
      <c r="E52">
        <f t="shared" si="0"/>
        <v>2.4</v>
      </c>
      <c r="F52">
        <f t="shared" si="1"/>
        <v>-11.31</v>
      </c>
      <c r="G52">
        <f t="shared" si="2"/>
        <v>-15</v>
      </c>
    </row>
    <row r="53" spans="1:7">
      <c r="A53">
        <v>2.454</v>
      </c>
      <c r="B53" s="2">
        <v>-0.01086</v>
      </c>
      <c r="C53">
        <v>67.1</v>
      </c>
      <c r="E53">
        <f t="shared" si="0"/>
        <v>2.45</v>
      </c>
      <c r="F53">
        <f t="shared" si="1"/>
        <v>-10.86</v>
      </c>
      <c r="G53">
        <f t="shared" si="2"/>
        <v>-15</v>
      </c>
    </row>
    <row r="54" spans="1:7">
      <c r="A54">
        <v>2.505</v>
      </c>
      <c r="B54" s="2">
        <v>-0.009844</v>
      </c>
      <c r="C54">
        <v>67.6</v>
      </c>
      <c r="E54">
        <f t="shared" si="0"/>
        <v>2.5</v>
      </c>
      <c r="F54">
        <f t="shared" si="1"/>
        <v>-9.844</v>
      </c>
      <c r="G54">
        <f t="shared" si="2"/>
        <v>-15</v>
      </c>
    </row>
    <row r="55" spans="1:7">
      <c r="A55">
        <v>2.555</v>
      </c>
      <c r="B55" s="2">
        <v>-0.008357</v>
      </c>
      <c r="C55">
        <v>66.8</v>
      </c>
      <c r="E55">
        <f t="shared" si="0"/>
        <v>2.55</v>
      </c>
      <c r="F55">
        <f t="shared" si="1"/>
        <v>-8.357</v>
      </c>
      <c r="G55">
        <f t="shared" si="2"/>
        <v>-15</v>
      </c>
    </row>
    <row r="56" spans="1:7">
      <c r="A56">
        <v>2.605</v>
      </c>
      <c r="B56" s="2">
        <v>-0.006413</v>
      </c>
      <c r="C56">
        <v>66.9</v>
      </c>
      <c r="E56">
        <f t="shared" si="0"/>
        <v>2.6</v>
      </c>
      <c r="F56">
        <f t="shared" si="1"/>
        <v>-6.413</v>
      </c>
      <c r="G56">
        <f t="shared" si="2"/>
        <v>-15</v>
      </c>
    </row>
    <row r="57" spans="1:7">
      <c r="A57">
        <v>2.655</v>
      </c>
      <c r="B57" s="2">
        <v>-0.004272</v>
      </c>
      <c r="C57">
        <v>66.7</v>
      </c>
      <c r="E57">
        <f t="shared" si="0"/>
        <v>2.65</v>
      </c>
      <c r="F57">
        <f t="shared" si="1"/>
        <v>-4.272</v>
      </c>
      <c r="G57">
        <f t="shared" si="2"/>
        <v>-15</v>
      </c>
    </row>
    <row r="58" spans="1:7">
      <c r="A58">
        <v>2.705</v>
      </c>
      <c r="B58" s="2">
        <v>-0.001758</v>
      </c>
      <c r="C58">
        <v>67.9</v>
      </c>
      <c r="E58">
        <f t="shared" si="0"/>
        <v>2.7</v>
      </c>
      <c r="F58">
        <f t="shared" si="1"/>
        <v>-1.758</v>
      </c>
      <c r="G58">
        <f t="shared" si="2"/>
        <v>-15</v>
      </c>
    </row>
    <row r="59" spans="1:7">
      <c r="A59">
        <v>2.755</v>
      </c>
      <c r="B59" s="8" t="s">
        <v>959</v>
      </c>
      <c r="C59">
        <v>66.7</v>
      </c>
      <c r="E59">
        <f t="shared" si="0"/>
        <v>2.75</v>
      </c>
      <c r="F59">
        <f t="shared" si="1"/>
        <v>0.6939</v>
      </c>
      <c r="G59">
        <f t="shared" si="2"/>
        <v>-15</v>
      </c>
    </row>
    <row r="60" spans="1:7">
      <c r="A60">
        <v>2.805</v>
      </c>
      <c r="B60" s="8" t="s">
        <v>960</v>
      </c>
      <c r="C60">
        <v>67.6</v>
      </c>
      <c r="E60">
        <f t="shared" si="0"/>
        <v>2.8</v>
      </c>
      <c r="F60">
        <f t="shared" si="1"/>
        <v>3.104</v>
      </c>
      <c r="G60">
        <f t="shared" si="2"/>
        <v>-15</v>
      </c>
    </row>
    <row r="61" spans="1:7">
      <c r="A61">
        <v>2.855</v>
      </c>
      <c r="B61" s="8" t="s">
        <v>961</v>
      </c>
      <c r="C61">
        <v>66.6</v>
      </c>
      <c r="E61">
        <f t="shared" si="0"/>
        <v>2.85</v>
      </c>
      <c r="F61">
        <f t="shared" si="1"/>
        <v>5.292</v>
      </c>
      <c r="G61">
        <f t="shared" si="2"/>
        <v>-15</v>
      </c>
    </row>
    <row r="62" spans="1:7">
      <c r="A62">
        <v>2.905</v>
      </c>
      <c r="B62" s="8" t="s">
        <v>962</v>
      </c>
      <c r="C62">
        <v>67.2</v>
      </c>
      <c r="E62">
        <f t="shared" si="0"/>
        <v>2.9</v>
      </c>
      <c r="F62">
        <f t="shared" si="1"/>
        <v>7.128</v>
      </c>
      <c r="G62">
        <f t="shared" si="2"/>
        <v>-15</v>
      </c>
    </row>
    <row r="63" spans="1:7">
      <c r="A63">
        <v>2.955</v>
      </c>
      <c r="B63" s="8" t="s">
        <v>963</v>
      </c>
      <c r="C63">
        <v>67</v>
      </c>
      <c r="E63">
        <f t="shared" si="0"/>
        <v>2.95</v>
      </c>
      <c r="F63">
        <f t="shared" si="1"/>
        <v>8.463</v>
      </c>
      <c r="G63">
        <f t="shared" si="2"/>
        <v>-15</v>
      </c>
    </row>
    <row r="64" spans="1:7">
      <c r="A64">
        <v>3.005</v>
      </c>
      <c r="B64" s="8" t="s">
        <v>271</v>
      </c>
      <c r="C64">
        <v>66.2</v>
      </c>
      <c r="E64">
        <f t="shared" si="0"/>
        <v>3</v>
      </c>
      <c r="F64">
        <f t="shared" si="1"/>
        <v>9.3</v>
      </c>
      <c r="G64">
        <f t="shared" si="2"/>
        <v>-15</v>
      </c>
    </row>
    <row r="65" spans="1:7">
      <c r="A65">
        <v>3.055</v>
      </c>
      <c r="B65" s="8" t="s">
        <v>964</v>
      </c>
      <c r="C65">
        <v>67.5</v>
      </c>
      <c r="E65">
        <f t="shared" si="0"/>
        <v>3.05</v>
      </c>
      <c r="F65">
        <f t="shared" si="1"/>
        <v>9.523</v>
      </c>
      <c r="G65">
        <f t="shared" si="2"/>
        <v>-15</v>
      </c>
    </row>
    <row r="66" spans="1:7">
      <c r="A66">
        <v>3.106</v>
      </c>
      <c r="B66" s="8" t="s">
        <v>221</v>
      </c>
      <c r="C66">
        <v>67.1</v>
      </c>
      <c r="E66">
        <f t="shared" si="0"/>
        <v>3.1</v>
      </c>
      <c r="F66">
        <f t="shared" si="1"/>
        <v>9.392</v>
      </c>
      <c r="G66">
        <f t="shared" si="2"/>
        <v>-15</v>
      </c>
    </row>
    <row r="67" spans="1:7">
      <c r="A67">
        <v>3.156</v>
      </c>
      <c r="B67" s="8" t="s">
        <v>965</v>
      </c>
      <c r="C67">
        <v>67.1</v>
      </c>
      <c r="E67">
        <f t="shared" si="0"/>
        <v>3.15</v>
      </c>
      <c r="F67">
        <f t="shared" si="1"/>
        <v>8.653</v>
      </c>
      <c r="G67">
        <f t="shared" si="2"/>
        <v>-15</v>
      </c>
    </row>
    <row r="68" spans="1:7">
      <c r="A68">
        <v>3.206</v>
      </c>
      <c r="B68" s="8" t="s">
        <v>966</v>
      </c>
      <c r="C68">
        <v>67.1</v>
      </c>
      <c r="E68">
        <f t="shared" ref="E68:E131" si="3">FLOOR(A68,0.05)</f>
        <v>3.2</v>
      </c>
      <c r="F68">
        <f t="shared" si="1"/>
        <v>7.368</v>
      </c>
      <c r="G68">
        <f t="shared" si="2"/>
        <v>-15</v>
      </c>
    </row>
    <row r="69" spans="1:7">
      <c r="A69">
        <v>3.256</v>
      </c>
      <c r="B69" s="8" t="s">
        <v>967</v>
      </c>
      <c r="C69">
        <v>67.2</v>
      </c>
      <c r="E69">
        <f t="shared" si="3"/>
        <v>3.25</v>
      </c>
      <c r="F69">
        <f t="shared" ref="F69:F132" si="4">B69*1000</f>
        <v>5.692</v>
      </c>
      <c r="G69">
        <f t="shared" ref="G69:G132" si="5">IF(C69&lt;230,-15,5)</f>
        <v>-15</v>
      </c>
    </row>
    <row r="70" spans="1:7">
      <c r="A70">
        <v>3.306</v>
      </c>
      <c r="B70" s="8" t="s">
        <v>968</v>
      </c>
      <c r="C70">
        <v>254</v>
      </c>
      <c r="E70">
        <f t="shared" si="3"/>
        <v>3.3</v>
      </c>
      <c r="F70">
        <f t="shared" si="4"/>
        <v>3.696</v>
      </c>
      <c r="G70">
        <f t="shared" si="5"/>
        <v>5</v>
      </c>
    </row>
    <row r="71" spans="1:7">
      <c r="A71">
        <v>3.356</v>
      </c>
      <c r="B71" s="8" t="s">
        <v>969</v>
      </c>
      <c r="C71">
        <v>253.7</v>
      </c>
      <c r="E71">
        <f t="shared" si="3"/>
        <v>3.35</v>
      </c>
      <c r="F71">
        <f t="shared" si="4"/>
        <v>1.485</v>
      </c>
      <c r="G71">
        <f t="shared" si="5"/>
        <v>5</v>
      </c>
    </row>
    <row r="72" spans="1:7">
      <c r="A72">
        <v>3.406</v>
      </c>
      <c r="B72" s="2">
        <v>-0.0007926</v>
      </c>
      <c r="C72">
        <v>253.6</v>
      </c>
      <c r="E72">
        <f t="shared" si="3"/>
        <v>3.4</v>
      </c>
      <c r="F72">
        <f t="shared" si="4"/>
        <v>-0.7926</v>
      </c>
      <c r="G72">
        <f t="shared" si="5"/>
        <v>5</v>
      </c>
    </row>
    <row r="73" spans="1:7">
      <c r="A73">
        <v>3.456</v>
      </c>
      <c r="B73" s="2">
        <v>-0.003132</v>
      </c>
      <c r="C73">
        <v>253.6</v>
      </c>
      <c r="E73">
        <f t="shared" si="3"/>
        <v>3.45</v>
      </c>
      <c r="F73">
        <f t="shared" si="4"/>
        <v>-3.132</v>
      </c>
      <c r="G73">
        <f t="shared" si="5"/>
        <v>5</v>
      </c>
    </row>
    <row r="74" spans="1:7">
      <c r="A74">
        <v>3.506</v>
      </c>
      <c r="B74" s="2">
        <v>-0.005371</v>
      </c>
      <c r="C74">
        <v>253.7</v>
      </c>
      <c r="E74">
        <f t="shared" si="3"/>
        <v>3.5</v>
      </c>
      <c r="F74">
        <f t="shared" si="4"/>
        <v>-5.371</v>
      </c>
      <c r="G74">
        <f t="shared" si="5"/>
        <v>5</v>
      </c>
    </row>
    <row r="75" spans="1:7">
      <c r="A75">
        <v>3.556</v>
      </c>
      <c r="B75" s="2">
        <v>-0.0074</v>
      </c>
      <c r="C75">
        <v>253.8</v>
      </c>
      <c r="E75">
        <f t="shared" si="3"/>
        <v>3.55</v>
      </c>
      <c r="F75">
        <f t="shared" si="4"/>
        <v>-7.4</v>
      </c>
      <c r="G75">
        <f t="shared" si="5"/>
        <v>5</v>
      </c>
    </row>
    <row r="76" spans="1:7">
      <c r="A76">
        <v>3.606</v>
      </c>
      <c r="B76" s="2">
        <v>-0.009071</v>
      </c>
      <c r="C76">
        <v>253.8</v>
      </c>
      <c r="E76">
        <f t="shared" si="3"/>
        <v>3.6</v>
      </c>
      <c r="F76">
        <f t="shared" si="4"/>
        <v>-9.071</v>
      </c>
      <c r="G76">
        <f t="shared" si="5"/>
        <v>5</v>
      </c>
    </row>
    <row r="77" spans="1:7">
      <c r="A77">
        <v>3.657</v>
      </c>
      <c r="B77" s="2">
        <v>-0.01047</v>
      </c>
      <c r="C77">
        <v>253.8</v>
      </c>
      <c r="E77">
        <f t="shared" si="3"/>
        <v>3.65</v>
      </c>
      <c r="F77">
        <f t="shared" si="4"/>
        <v>-10.47</v>
      </c>
      <c r="G77">
        <f t="shared" si="5"/>
        <v>5</v>
      </c>
    </row>
    <row r="78" spans="1:7">
      <c r="A78">
        <v>3.707</v>
      </c>
      <c r="B78" s="2">
        <v>-0.01119</v>
      </c>
      <c r="C78">
        <v>253.8</v>
      </c>
      <c r="E78">
        <f t="shared" si="3"/>
        <v>3.7</v>
      </c>
      <c r="F78">
        <f t="shared" si="4"/>
        <v>-11.19</v>
      </c>
      <c r="G78">
        <f t="shared" si="5"/>
        <v>5</v>
      </c>
    </row>
    <row r="79" spans="1:7">
      <c r="A79">
        <v>3.757</v>
      </c>
      <c r="B79" s="2">
        <v>-0.01175</v>
      </c>
      <c r="C79">
        <v>66.5</v>
      </c>
      <c r="E79">
        <f t="shared" si="3"/>
        <v>3.75</v>
      </c>
      <c r="F79">
        <f t="shared" si="4"/>
        <v>-11.75</v>
      </c>
      <c r="G79">
        <f t="shared" si="5"/>
        <v>-15</v>
      </c>
    </row>
    <row r="80" spans="1:7">
      <c r="A80">
        <v>3.807</v>
      </c>
      <c r="B80" s="2">
        <v>-0.01196</v>
      </c>
      <c r="C80">
        <v>66.9</v>
      </c>
      <c r="E80">
        <f t="shared" si="3"/>
        <v>3.8</v>
      </c>
      <c r="F80">
        <f t="shared" si="4"/>
        <v>-11.96</v>
      </c>
      <c r="G80">
        <f t="shared" si="5"/>
        <v>-15</v>
      </c>
    </row>
    <row r="81" spans="1:7">
      <c r="A81">
        <v>3.857</v>
      </c>
      <c r="B81" s="2">
        <v>-0.01196</v>
      </c>
      <c r="C81">
        <v>67.5</v>
      </c>
      <c r="E81">
        <f t="shared" si="3"/>
        <v>3.85</v>
      </c>
      <c r="F81">
        <f t="shared" si="4"/>
        <v>-11.96</v>
      </c>
      <c r="G81">
        <f t="shared" si="5"/>
        <v>-15</v>
      </c>
    </row>
    <row r="82" spans="1:7">
      <c r="A82">
        <v>3.907</v>
      </c>
      <c r="B82" s="2">
        <v>-0.01155</v>
      </c>
      <c r="C82">
        <v>67.9</v>
      </c>
      <c r="E82">
        <f t="shared" si="3"/>
        <v>3.9</v>
      </c>
      <c r="F82">
        <f t="shared" si="4"/>
        <v>-11.55</v>
      </c>
      <c r="G82">
        <f t="shared" si="5"/>
        <v>-15</v>
      </c>
    </row>
    <row r="83" spans="1:7">
      <c r="A83">
        <v>3.957</v>
      </c>
      <c r="B83" s="2">
        <v>-0.0107</v>
      </c>
      <c r="C83">
        <v>67.5</v>
      </c>
      <c r="E83">
        <f t="shared" si="3"/>
        <v>3.95</v>
      </c>
      <c r="F83">
        <f t="shared" si="4"/>
        <v>-10.7</v>
      </c>
      <c r="G83">
        <f t="shared" si="5"/>
        <v>-15</v>
      </c>
    </row>
    <row r="84" spans="1:7">
      <c r="A84">
        <v>4.007</v>
      </c>
      <c r="B84" s="2">
        <v>-0.009909</v>
      </c>
      <c r="C84">
        <v>67.1</v>
      </c>
      <c r="E84">
        <f t="shared" si="3"/>
        <v>4</v>
      </c>
      <c r="F84">
        <f t="shared" si="4"/>
        <v>-9.909</v>
      </c>
      <c r="G84">
        <f t="shared" si="5"/>
        <v>-15</v>
      </c>
    </row>
    <row r="85" spans="1:7">
      <c r="A85">
        <v>4.057</v>
      </c>
      <c r="B85" s="2">
        <v>-0.008809</v>
      </c>
      <c r="C85">
        <v>67.4</v>
      </c>
      <c r="E85">
        <f t="shared" si="3"/>
        <v>4.05</v>
      </c>
      <c r="F85">
        <f t="shared" si="4"/>
        <v>-8.809</v>
      </c>
      <c r="G85">
        <f t="shared" si="5"/>
        <v>-15</v>
      </c>
    </row>
    <row r="86" spans="1:7">
      <c r="A86">
        <v>4.107</v>
      </c>
      <c r="B86" s="2">
        <v>-0.007742</v>
      </c>
      <c r="C86">
        <v>253.8</v>
      </c>
      <c r="E86">
        <f t="shared" si="3"/>
        <v>4.1</v>
      </c>
      <c r="F86">
        <f t="shared" si="4"/>
        <v>-7.742</v>
      </c>
      <c r="G86">
        <f t="shared" si="5"/>
        <v>5</v>
      </c>
    </row>
    <row r="87" spans="1:7">
      <c r="A87">
        <v>4.157</v>
      </c>
      <c r="B87" s="2">
        <v>-0.006779</v>
      </c>
      <c r="C87">
        <v>253.6</v>
      </c>
      <c r="E87">
        <f t="shared" si="3"/>
        <v>4.15</v>
      </c>
      <c r="F87">
        <f t="shared" si="4"/>
        <v>-6.779</v>
      </c>
      <c r="G87">
        <f t="shared" si="5"/>
        <v>5</v>
      </c>
    </row>
    <row r="88" spans="1:7">
      <c r="A88">
        <v>4.208</v>
      </c>
      <c r="B88" s="2">
        <v>-0.005822</v>
      </c>
      <c r="C88">
        <v>253.7</v>
      </c>
      <c r="E88">
        <f t="shared" si="3"/>
        <v>4.2</v>
      </c>
      <c r="F88">
        <f t="shared" si="4"/>
        <v>-5.822</v>
      </c>
      <c r="G88">
        <f t="shared" si="5"/>
        <v>5</v>
      </c>
    </row>
    <row r="89" spans="1:7">
      <c r="A89">
        <v>4.258</v>
      </c>
      <c r="B89" s="2">
        <v>-0.005013</v>
      </c>
      <c r="C89">
        <v>253.7</v>
      </c>
      <c r="E89">
        <f t="shared" si="3"/>
        <v>4.25</v>
      </c>
      <c r="F89">
        <f t="shared" si="4"/>
        <v>-5.013</v>
      </c>
      <c r="G89">
        <f t="shared" si="5"/>
        <v>5</v>
      </c>
    </row>
    <row r="90" spans="1:7">
      <c r="A90">
        <v>4.308</v>
      </c>
      <c r="B90" s="2">
        <v>-0.004494</v>
      </c>
      <c r="C90">
        <v>253.7</v>
      </c>
      <c r="E90">
        <f t="shared" si="3"/>
        <v>4.3</v>
      </c>
      <c r="F90">
        <f t="shared" si="4"/>
        <v>-4.494</v>
      </c>
      <c r="G90">
        <f t="shared" si="5"/>
        <v>5</v>
      </c>
    </row>
    <row r="91" spans="1:7">
      <c r="A91">
        <v>4.358</v>
      </c>
      <c r="B91" s="2">
        <v>-0.004144</v>
      </c>
      <c r="C91">
        <v>253.8</v>
      </c>
      <c r="E91">
        <f t="shared" si="3"/>
        <v>4.35</v>
      </c>
      <c r="F91">
        <f t="shared" si="4"/>
        <v>-4.144</v>
      </c>
      <c r="G91">
        <f t="shared" si="5"/>
        <v>5</v>
      </c>
    </row>
    <row r="92" spans="1:7">
      <c r="A92">
        <v>4.408</v>
      </c>
      <c r="B92" s="2">
        <v>-0.00402</v>
      </c>
      <c r="C92">
        <v>253.6</v>
      </c>
      <c r="E92">
        <f t="shared" si="3"/>
        <v>4.4</v>
      </c>
      <c r="F92">
        <f t="shared" si="4"/>
        <v>-4.02</v>
      </c>
      <c r="G92">
        <f t="shared" si="5"/>
        <v>5</v>
      </c>
    </row>
    <row r="93" spans="1:7">
      <c r="A93">
        <v>4.458</v>
      </c>
      <c r="B93" s="2">
        <v>-0.004127</v>
      </c>
      <c r="C93">
        <v>253.5</v>
      </c>
      <c r="E93">
        <f t="shared" si="3"/>
        <v>4.45</v>
      </c>
      <c r="F93">
        <f t="shared" si="4"/>
        <v>-4.127</v>
      </c>
      <c r="G93">
        <f t="shared" si="5"/>
        <v>5</v>
      </c>
    </row>
    <row r="94" spans="1:7">
      <c r="A94">
        <v>4.508</v>
      </c>
      <c r="B94" s="2">
        <v>-0.004325</v>
      </c>
      <c r="C94">
        <v>253.8</v>
      </c>
      <c r="E94">
        <f t="shared" si="3"/>
        <v>4.5</v>
      </c>
      <c r="F94">
        <f t="shared" si="4"/>
        <v>-4.325</v>
      </c>
      <c r="G94">
        <f t="shared" si="5"/>
        <v>5</v>
      </c>
    </row>
    <row r="95" spans="1:7">
      <c r="A95">
        <v>4.558</v>
      </c>
      <c r="B95" s="2">
        <v>-0.004882</v>
      </c>
      <c r="C95">
        <v>91.7</v>
      </c>
      <c r="E95">
        <f t="shared" si="3"/>
        <v>4.55</v>
      </c>
      <c r="F95">
        <f t="shared" si="4"/>
        <v>-4.882</v>
      </c>
      <c r="G95">
        <f t="shared" si="5"/>
        <v>-15</v>
      </c>
    </row>
    <row r="96" spans="1:7">
      <c r="A96">
        <v>4.608</v>
      </c>
      <c r="B96" s="2">
        <v>-0.005845</v>
      </c>
      <c r="C96">
        <v>90.7</v>
      </c>
      <c r="E96">
        <f t="shared" si="3"/>
        <v>4.6</v>
      </c>
      <c r="F96">
        <f t="shared" si="4"/>
        <v>-5.845</v>
      </c>
      <c r="G96">
        <f t="shared" si="5"/>
        <v>-15</v>
      </c>
    </row>
    <row r="97" spans="1:7">
      <c r="A97">
        <v>4.658</v>
      </c>
      <c r="B97" s="2">
        <v>-0.006759</v>
      </c>
      <c r="C97">
        <v>86.9</v>
      </c>
      <c r="E97">
        <f t="shared" si="3"/>
        <v>4.65</v>
      </c>
      <c r="F97">
        <f t="shared" si="4"/>
        <v>-6.759</v>
      </c>
      <c r="G97">
        <f t="shared" si="5"/>
        <v>-15</v>
      </c>
    </row>
    <row r="98" spans="1:7">
      <c r="A98">
        <v>4.708</v>
      </c>
      <c r="B98" s="2">
        <v>-0.007893</v>
      </c>
      <c r="C98">
        <v>84.2</v>
      </c>
      <c r="E98">
        <f t="shared" si="3"/>
        <v>4.7</v>
      </c>
      <c r="F98">
        <f t="shared" si="4"/>
        <v>-7.893</v>
      </c>
      <c r="G98">
        <f t="shared" si="5"/>
        <v>-15</v>
      </c>
    </row>
    <row r="99" spans="1:7">
      <c r="A99">
        <v>4.759</v>
      </c>
      <c r="B99" s="2">
        <v>-0.008777</v>
      </c>
      <c r="C99">
        <v>79.9</v>
      </c>
      <c r="E99">
        <f t="shared" si="3"/>
        <v>4.75</v>
      </c>
      <c r="F99">
        <f t="shared" si="4"/>
        <v>-8.777</v>
      </c>
      <c r="G99">
        <f t="shared" si="5"/>
        <v>-15</v>
      </c>
    </row>
    <row r="100" spans="1:7">
      <c r="A100">
        <v>4.809</v>
      </c>
      <c r="B100" s="2">
        <v>-0.009328</v>
      </c>
      <c r="C100">
        <v>76.5</v>
      </c>
      <c r="E100">
        <f t="shared" si="3"/>
        <v>4.8</v>
      </c>
      <c r="F100">
        <f t="shared" si="4"/>
        <v>-9.328</v>
      </c>
      <c r="G100">
        <f t="shared" si="5"/>
        <v>-15</v>
      </c>
    </row>
    <row r="101" spans="1:7">
      <c r="A101">
        <v>4.859</v>
      </c>
      <c r="B101" s="2">
        <v>-0.009522</v>
      </c>
      <c r="C101">
        <v>74.4</v>
      </c>
      <c r="E101">
        <f t="shared" si="3"/>
        <v>4.85</v>
      </c>
      <c r="F101">
        <f t="shared" si="4"/>
        <v>-9.522</v>
      </c>
      <c r="G101">
        <f t="shared" si="5"/>
        <v>-15</v>
      </c>
    </row>
    <row r="102" spans="1:7">
      <c r="A102">
        <v>4.909</v>
      </c>
      <c r="B102" s="2">
        <v>-0.009477</v>
      </c>
      <c r="C102">
        <v>253.9</v>
      </c>
      <c r="E102">
        <f t="shared" si="3"/>
        <v>4.9</v>
      </c>
      <c r="F102">
        <f t="shared" si="4"/>
        <v>-9.477</v>
      </c>
      <c r="G102">
        <f t="shared" si="5"/>
        <v>5</v>
      </c>
    </row>
    <row r="103" spans="1:7">
      <c r="A103">
        <v>4.959</v>
      </c>
      <c r="B103" s="2">
        <v>-0.009</v>
      </c>
      <c r="C103">
        <v>253.8</v>
      </c>
      <c r="E103">
        <f t="shared" si="3"/>
        <v>4.95</v>
      </c>
      <c r="F103">
        <f t="shared" si="4"/>
        <v>-9</v>
      </c>
      <c r="G103">
        <f t="shared" si="5"/>
        <v>5</v>
      </c>
    </row>
    <row r="104" spans="1:7">
      <c r="A104">
        <v>5.009</v>
      </c>
      <c r="B104" s="2">
        <v>-0.008121</v>
      </c>
      <c r="C104">
        <v>253.7</v>
      </c>
      <c r="E104">
        <f t="shared" si="3"/>
        <v>5</v>
      </c>
      <c r="F104">
        <f t="shared" si="4"/>
        <v>-8.121</v>
      </c>
      <c r="G104">
        <f t="shared" si="5"/>
        <v>5</v>
      </c>
    </row>
    <row r="105" spans="1:7">
      <c r="A105">
        <v>5.059</v>
      </c>
      <c r="B105" s="2">
        <v>-0.006985</v>
      </c>
      <c r="C105">
        <v>253.8</v>
      </c>
      <c r="E105">
        <f t="shared" si="3"/>
        <v>5.05</v>
      </c>
      <c r="F105">
        <f t="shared" si="4"/>
        <v>-6.985</v>
      </c>
      <c r="G105">
        <f t="shared" si="5"/>
        <v>5</v>
      </c>
    </row>
    <row r="106" spans="1:7">
      <c r="A106">
        <v>5.109</v>
      </c>
      <c r="B106" s="2">
        <v>-0.005704</v>
      </c>
      <c r="C106">
        <v>253.8</v>
      </c>
      <c r="E106">
        <f t="shared" si="3"/>
        <v>5.1</v>
      </c>
      <c r="F106">
        <f t="shared" si="4"/>
        <v>-5.704</v>
      </c>
      <c r="G106">
        <f t="shared" si="5"/>
        <v>5</v>
      </c>
    </row>
    <row r="107" spans="1:7">
      <c r="A107">
        <v>5.159</v>
      </c>
      <c r="B107" s="2">
        <v>-0.004644</v>
      </c>
      <c r="C107">
        <v>253.7</v>
      </c>
      <c r="E107">
        <f t="shared" si="3"/>
        <v>5.15</v>
      </c>
      <c r="F107">
        <f t="shared" si="4"/>
        <v>-4.644</v>
      </c>
      <c r="G107">
        <f t="shared" si="5"/>
        <v>5</v>
      </c>
    </row>
    <row r="108" spans="1:7">
      <c r="A108">
        <v>5.209</v>
      </c>
      <c r="B108" s="2">
        <v>-0.00377</v>
      </c>
      <c r="C108">
        <v>253.8</v>
      </c>
      <c r="E108">
        <f t="shared" si="3"/>
        <v>5.2</v>
      </c>
      <c r="F108">
        <f t="shared" si="4"/>
        <v>-3.77</v>
      </c>
      <c r="G108">
        <f t="shared" si="5"/>
        <v>5</v>
      </c>
    </row>
    <row r="109" spans="1:7">
      <c r="A109">
        <v>5.259</v>
      </c>
      <c r="B109" s="2">
        <v>-0.003101</v>
      </c>
      <c r="C109">
        <v>253.7</v>
      </c>
      <c r="E109">
        <f t="shared" si="3"/>
        <v>5.25</v>
      </c>
      <c r="F109">
        <f t="shared" si="4"/>
        <v>-3.101</v>
      </c>
      <c r="G109">
        <f t="shared" si="5"/>
        <v>5</v>
      </c>
    </row>
    <row r="110" spans="1:7">
      <c r="A110">
        <v>5.31</v>
      </c>
      <c r="B110" s="2">
        <v>-0.003012</v>
      </c>
      <c r="C110">
        <v>253.8</v>
      </c>
      <c r="E110">
        <f t="shared" si="3"/>
        <v>5.3</v>
      </c>
      <c r="F110">
        <f t="shared" si="4"/>
        <v>-3.012</v>
      </c>
      <c r="G110">
        <f t="shared" si="5"/>
        <v>5</v>
      </c>
    </row>
    <row r="111" spans="1:7">
      <c r="A111">
        <v>5.36</v>
      </c>
      <c r="B111" s="2">
        <v>-0.003277</v>
      </c>
      <c r="C111">
        <v>107.4</v>
      </c>
      <c r="E111">
        <f t="shared" si="3"/>
        <v>5.35</v>
      </c>
      <c r="F111">
        <f t="shared" si="4"/>
        <v>-3.277</v>
      </c>
      <c r="G111">
        <f t="shared" si="5"/>
        <v>-15</v>
      </c>
    </row>
    <row r="112" spans="1:7">
      <c r="A112">
        <v>5.41</v>
      </c>
      <c r="B112" s="2">
        <v>-0.004196</v>
      </c>
      <c r="C112">
        <v>99.2</v>
      </c>
      <c r="E112">
        <f t="shared" si="3"/>
        <v>5.4</v>
      </c>
      <c r="F112">
        <f t="shared" si="4"/>
        <v>-4.196</v>
      </c>
      <c r="G112">
        <f t="shared" si="5"/>
        <v>-15</v>
      </c>
    </row>
    <row r="113" spans="1:7">
      <c r="A113">
        <v>5.46</v>
      </c>
      <c r="B113" s="2">
        <v>-0.005567</v>
      </c>
      <c r="C113">
        <v>94.4</v>
      </c>
      <c r="E113">
        <f t="shared" si="3"/>
        <v>5.45</v>
      </c>
      <c r="F113">
        <f t="shared" si="4"/>
        <v>-5.567</v>
      </c>
      <c r="G113">
        <f t="shared" si="5"/>
        <v>-15</v>
      </c>
    </row>
    <row r="114" spans="1:7">
      <c r="A114">
        <v>5.51</v>
      </c>
      <c r="B114" s="2">
        <v>-0.00721</v>
      </c>
      <c r="C114">
        <v>92.6</v>
      </c>
      <c r="E114">
        <f t="shared" si="3"/>
        <v>5.5</v>
      </c>
      <c r="F114">
        <f t="shared" si="4"/>
        <v>-7.21</v>
      </c>
      <c r="G114">
        <f t="shared" si="5"/>
        <v>-15</v>
      </c>
    </row>
    <row r="115" spans="1:7">
      <c r="A115">
        <v>5.56</v>
      </c>
      <c r="B115" s="2">
        <v>-0.008662</v>
      </c>
      <c r="C115">
        <v>92.7</v>
      </c>
      <c r="E115">
        <f t="shared" si="3"/>
        <v>5.55</v>
      </c>
      <c r="F115">
        <f t="shared" si="4"/>
        <v>-8.662</v>
      </c>
      <c r="G115">
        <f t="shared" si="5"/>
        <v>-15</v>
      </c>
    </row>
    <row r="116" spans="1:7">
      <c r="A116">
        <v>5.61</v>
      </c>
      <c r="B116" s="2">
        <v>-0.00993</v>
      </c>
      <c r="C116">
        <v>92.3</v>
      </c>
      <c r="E116">
        <f t="shared" si="3"/>
        <v>5.6</v>
      </c>
      <c r="F116">
        <f t="shared" si="4"/>
        <v>-9.93</v>
      </c>
      <c r="G116">
        <f t="shared" si="5"/>
        <v>-15</v>
      </c>
    </row>
    <row r="117" spans="1:7">
      <c r="A117">
        <v>5.66</v>
      </c>
      <c r="B117" s="2">
        <v>-0.01065</v>
      </c>
      <c r="C117">
        <v>92.1</v>
      </c>
      <c r="E117">
        <f t="shared" si="3"/>
        <v>5.65</v>
      </c>
      <c r="F117">
        <f t="shared" si="4"/>
        <v>-10.65</v>
      </c>
      <c r="G117">
        <f t="shared" si="5"/>
        <v>-15</v>
      </c>
    </row>
    <row r="118" spans="1:7">
      <c r="A118">
        <v>5.71</v>
      </c>
      <c r="B118" s="2">
        <v>-0.01088</v>
      </c>
      <c r="C118">
        <v>252.9</v>
      </c>
      <c r="E118">
        <f t="shared" si="3"/>
        <v>5.7</v>
      </c>
      <c r="F118">
        <f t="shared" si="4"/>
        <v>-10.88</v>
      </c>
      <c r="G118">
        <f t="shared" si="5"/>
        <v>5</v>
      </c>
    </row>
    <row r="119" spans="1:7">
      <c r="A119">
        <v>5.76</v>
      </c>
      <c r="B119" s="2">
        <v>-0.01065</v>
      </c>
      <c r="C119">
        <v>253.8</v>
      </c>
      <c r="E119">
        <f t="shared" si="3"/>
        <v>5.75</v>
      </c>
      <c r="F119">
        <f t="shared" si="4"/>
        <v>-10.65</v>
      </c>
      <c r="G119">
        <f t="shared" si="5"/>
        <v>5</v>
      </c>
    </row>
    <row r="120" spans="1:7">
      <c r="A120">
        <v>5.81</v>
      </c>
      <c r="B120" s="2">
        <v>-0.009854</v>
      </c>
      <c r="C120">
        <v>253.7</v>
      </c>
      <c r="E120">
        <f t="shared" si="3"/>
        <v>5.8</v>
      </c>
      <c r="F120">
        <f t="shared" si="4"/>
        <v>-9.854</v>
      </c>
      <c r="G120">
        <f t="shared" si="5"/>
        <v>5</v>
      </c>
    </row>
    <row r="121" spans="1:7">
      <c r="A121">
        <v>5.861</v>
      </c>
      <c r="B121" s="2">
        <v>-0.008493</v>
      </c>
      <c r="C121">
        <v>253.7</v>
      </c>
      <c r="E121">
        <f t="shared" si="3"/>
        <v>5.85</v>
      </c>
      <c r="F121">
        <f t="shared" si="4"/>
        <v>-8.493</v>
      </c>
      <c r="G121">
        <f t="shared" si="5"/>
        <v>5</v>
      </c>
    </row>
    <row r="122" spans="1:7">
      <c r="A122">
        <v>5.911</v>
      </c>
      <c r="B122" s="2">
        <v>-0.006938</v>
      </c>
      <c r="C122">
        <v>253.6</v>
      </c>
      <c r="E122">
        <f t="shared" si="3"/>
        <v>5.9</v>
      </c>
      <c r="F122">
        <f t="shared" si="4"/>
        <v>-6.938</v>
      </c>
      <c r="G122">
        <f t="shared" si="5"/>
        <v>5</v>
      </c>
    </row>
    <row r="123" spans="1:7">
      <c r="A123">
        <v>5.961</v>
      </c>
      <c r="B123" s="2">
        <v>-0.005548</v>
      </c>
      <c r="C123">
        <v>253.6</v>
      </c>
      <c r="E123">
        <f t="shared" si="3"/>
        <v>5.95</v>
      </c>
      <c r="F123">
        <f t="shared" si="4"/>
        <v>-5.548</v>
      </c>
      <c r="G123">
        <f t="shared" si="5"/>
        <v>5</v>
      </c>
    </row>
    <row r="124" spans="1:7">
      <c r="A124">
        <v>6.011</v>
      </c>
      <c r="B124" s="2">
        <v>-0.004337</v>
      </c>
      <c r="C124">
        <v>253.7</v>
      </c>
      <c r="E124">
        <f t="shared" si="3"/>
        <v>6</v>
      </c>
      <c r="F124">
        <f t="shared" si="4"/>
        <v>-4.337</v>
      </c>
      <c r="G124">
        <f t="shared" si="5"/>
        <v>5</v>
      </c>
    </row>
    <row r="125" spans="1:7">
      <c r="A125">
        <v>6.061</v>
      </c>
      <c r="B125" s="2">
        <v>-0.003468</v>
      </c>
      <c r="C125">
        <v>253.7</v>
      </c>
      <c r="E125">
        <f t="shared" si="3"/>
        <v>6.05</v>
      </c>
      <c r="F125">
        <f t="shared" si="4"/>
        <v>-3.468</v>
      </c>
      <c r="G125">
        <f t="shared" si="5"/>
        <v>5</v>
      </c>
    </row>
    <row r="126" spans="1:7">
      <c r="A126">
        <v>6.111</v>
      </c>
      <c r="B126" s="2">
        <v>-0.003145</v>
      </c>
      <c r="C126">
        <v>253.7</v>
      </c>
      <c r="E126">
        <f t="shared" si="3"/>
        <v>6.1</v>
      </c>
      <c r="F126">
        <f t="shared" si="4"/>
        <v>-3.145</v>
      </c>
      <c r="G126">
        <f t="shared" si="5"/>
        <v>5</v>
      </c>
    </row>
    <row r="127" spans="1:7">
      <c r="A127">
        <v>6.161</v>
      </c>
      <c r="B127" s="2">
        <v>-0.003351</v>
      </c>
      <c r="C127">
        <v>157</v>
      </c>
      <c r="E127">
        <f t="shared" si="3"/>
        <v>6.15</v>
      </c>
      <c r="F127">
        <f t="shared" si="4"/>
        <v>-3.351</v>
      </c>
      <c r="G127">
        <f t="shared" si="5"/>
        <v>-15</v>
      </c>
    </row>
    <row r="128" spans="1:7">
      <c r="A128">
        <v>6.211</v>
      </c>
      <c r="B128" s="2">
        <v>-0.004407</v>
      </c>
      <c r="C128">
        <v>157.2</v>
      </c>
      <c r="E128">
        <f t="shared" si="3"/>
        <v>6.2</v>
      </c>
      <c r="F128">
        <f t="shared" si="4"/>
        <v>-4.407</v>
      </c>
      <c r="G128">
        <f t="shared" si="5"/>
        <v>-15</v>
      </c>
    </row>
    <row r="129" spans="1:7">
      <c r="A129">
        <v>6.261</v>
      </c>
      <c r="B129" s="2">
        <v>-0.006057</v>
      </c>
      <c r="C129">
        <v>147.1</v>
      </c>
      <c r="E129">
        <f t="shared" si="3"/>
        <v>6.25</v>
      </c>
      <c r="F129">
        <f t="shared" si="4"/>
        <v>-6.057</v>
      </c>
      <c r="G129">
        <f t="shared" si="5"/>
        <v>-15</v>
      </c>
    </row>
    <row r="130" spans="1:7">
      <c r="A130">
        <v>6.311</v>
      </c>
      <c r="B130" s="2">
        <v>-0.00796</v>
      </c>
      <c r="C130">
        <v>139.7</v>
      </c>
      <c r="E130">
        <f t="shared" si="3"/>
        <v>6.3</v>
      </c>
      <c r="F130">
        <f t="shared" si="4"/>
        <v>-7.96</v>
      </c>
      <c r="G130">
        <f t="shared" si="5"/>
        <v>-15</v>
      </c>
    </row>
    <row r="131" spans="1:7">
      <c r="A131">
        <v>6.361</v>
      </c>
      <c r="B131" s="2">
        <v>-0.009904</v>
      </c>
      <c r="C131">
        <v>129.6</v>
      </c>
      <c r="E131">
        <f t="shared" si="3"/>
        <v>6.35</v>
      </c>
      <c r="F131">
        <f t="shared" si="4"/>
        <v>-9.904</v>
      </c>
      <c r="G131">
        <f t="shared" si="5"/>
        <v>-15</v>
      </c>
    </row>
    <row r="132" spans="1:7">
      <c r="A132">
        <v>6.412</v>
      </c>
      <c r="B132" s="2">
        <v>-0.01149</v>
      </c>
      <c r="C132">
        <v>118.7</v>
      </c>
      <c r="E132">
        <f t="shared" ref="E132:E195" si="6">FLOOR(A132,0.05)</f>
        <v>6.4</v>
      </c>
      <c r="F132">
        <f t="shared" si="4"/>
        <v>-11.49</v>
      </c>
      <c r="G132">
        <f t="shared" si="5"/>
        <v>-15</v>
      </c>
    </row>
    <row r="133" spans="1:7">
      <c r="A133">
        <v>6.462</v>
      </c>
      <c r="B133" s="2">
        <v>-0.01243</v>
      </c>
      <c r="C133">
        <v>109.4</v>
      </c>
      <c r="E133">
        <f t="shared" si="6"/>
        <v>6.45</v>
      </c>
      <c r="F133">
        <f t="shared" ref="F133:F196" si="7">B133*1000</f>
        <v>-12.43</v>
      </c>
      <c r="G133">
        <f t="shared" ref="G133:G196" si="8">IF(C133&lt;230,-15,5)</f>
        <v>-15</v>
      </c>
    </row>
    <row r="134" spans="1:7">
      <c r="A134">
        <v>6.512</v>
      </c>
      <c r="B134" s="2">
        <v>-0.01264</v>
      </c>
      <c r="C134">
        <v>103.4</v>
      </c>
      <c r="E134">
        <f t="shared" si="6"/>
        <v>6.5</v>
      </c>
      <c r="F134">
        <f t="shared" si="7"/>
        <v>-12.64</v>
      </c>
      <c r="G134">
        <f t="shared" si="8"/>
        <v>-15</v>
      </c>
    </row>
    <row r="135" spans="1:7">
      <c r="A135">
        <v>6.562</v>
      </c>
      <c r="B135" s="2">
        <v>-0.01236</v>
      </c>
      <c r="C135">
        <v>253.7</v>
      </c>
      <c r="E135">
        <f t="shared" si="6"/>
        <v>6.55</v>
      </c>
      <c r="F135">
        <f t="shared" si="7"/>
        <v>-12.36</v>
      </c>
      <c r="G135">
        <f t="shared" si="8"/>
        <v>5</v>
      </c>
    </row>
    <row r="136" spans="1:7">
      <c r="A136">
        <v>6.612</v>
      </c>
      <c r="B136" s="2">
        <v>-0.01111</v>
      </c>
      <c r="C136">
        <v>253.7</v>
      </c>
      <c r="E136">
        <f t="shared" si="6"/>
        <v>6.6</v>
      </c>
      <c r="F136">
        <f t="shared" si="7"/>
        <v>-11.11</v>
      </c>
      <c r="G136">
        <f t="shared" si="8"/>
        <v>5</v>
      </c>
    </row>
    <row r="137" spans="1:7">
      <c r="A137">
        <v>6.662</v>
      </c>
      <c r="B137" s="2">
        <v>-0.009604</v>
      </c>
      <c r="C137">
        <v>253.7</v>
      </c>
      <c r="E137">
        <f t="shared" si="6"/>
        <v>6.65</v>
      </c>
      <c r="F137">
        <f t="shared" si="7"/>
        <v>-9.604</v>
      </c>
      <c r="G137">
        <f t="shared" si="8"/>
        <v>5</v>
      </c>
    </row>
    <row r="138" spans="1:7">
      <c r="A138">
        <v>6.712</v>
      </c>
      <c r="B138" s="2">
        <v>-0.007628</v>
      </c>
      <c r="C138">
        <v>253.6</v>
      </c>
      <c r="E138">
        <f t="shared" si="6"/>
        <v>6.7</v>
      </c>
      <c r="F138">
        <f t="shared" si="7"/>
        <v>-7.628</v>
      </c>
      <c r="G138">
        <f t="shared" si="8"/>
        <v>5</v>
      </c>
    </row>
    <row r="139" spans="1:7">
      <c r="A139">
        <v>6.762</v>
      </c>
      <c r="B139" s="2">
        <v>-0.005633</v>
      </c>
      <c r="C139">
        <v>253.6</v>
      </c>
      <c r="E139">
        <f t="shared" si="6"/>
        <v>6.75</v>
      </c>
      <c r="F139">
        <f t="shared" si="7"/>
        <v>-5.633</v>
      </c>
      <c r="G139">
        <f t="shared" si="8"/>
        <v>5</v>
      </c>
    </row>
    <row r="140" spans="1:7">
      <c r="A140">
        <v>6.812</v>
      </c>
      <c r="B140" s="2">
        <v>-0.003979</v>
      </c>
      <c r="C140">
        <v>253.6</v>
      </c>
      <c r="E140">
        <f t="shared" si="6"/>
        <v>6.8</v>
      </c>
      <c r="F140">
        <f t="shared" si="7"/>
        <v>-3.979</v>
      </c>
      <c r="G140">
        <f t="shared" si="8"/>
        <v>5</v>
      </c>
    </row>
    <row r="141" spans="1:7">
      <c r="A141">
        <v>6.862</v>
      </c>
      <c r="B141" s="2">
        <v>-0.002833</v>
      </c>
      <c r="C141">
        <v>253.6</v>
      </c>
      <c r="E141">
        <f t="shared" si="6"/>
        <v>6.85</v>
      </c>
      <c r="F141">
        <f t="shared" si="7"/>
        <v>-2.833</v>
      </c>
      <c r="G141">
        <f t="shared" si="8"/>
        <v>5</v>
      </c>
    </row>
    <row r="142" spans="1:7">
      <c r="A142">
        <v>6.912</v>
      </c>
      <c r="B142" s="2">
        <v>-0.002271</v>
      </c>
      <c r="C142">
        <v>253.6</v>
      </c>
      <c r="E142">
        <f t="shared" si="6"/>
        <v>6.9</v>
      </c>
      <c r="F142">
        <f t="shared" si="7"/>
        <v>-2.271</v>
      </c>
      <c r="G142">
        <f t="shared" si="8"/>
        <v>5</v>
      </c>
    </row>
    <row r="143" spans="1:7">
      <c r="A143">
        <v>6.963</v>
      </c>
      <c r="B143" s="2">
        <v>-0.00239</v>
      </c>
      <c r="C143">
        <v>199.1</v>
      </c>
      <c r="E143">
        <f t="shared" si="6"/>
        <v>6.95</v>
      </c>
      <c r="F143">
        <f t="shared" si="7"/>
        <v>-2.39</v>
      </c>
      <c r="G143">
        <f t="shared" si="8"/>
        <v>-15</v>
      </c>
    </row>
    <row r="144" spans="1:7">
      <c r="A144">
        <v>7.013</v>
      </c>
      <c r="B144" s="2">
        <v>-0.003206</v>
      </c>
      <c r="C144">
        <v>181.3</v>
      </c>
      <c r="E144">
        <f t="shared" si="6"/>
        <v>7</v>
      </c>
      <c r="F144">
        <f t="shared" si="7"/>
        <v>-3.206</v>
      </c>
      <c r="G144">
        <f t="shared" si="8"/>
        <v>-15</v>
      </c>
    </row>
    <row r="145" spans="1:7">
      <c r="A145">
        <v>7.063</v>
      </c>
      <c r="B145" s="2">
        <v>-0.004868</v>
      </c>
      <c r="C145">
        <v>175.4</v>
      </c>
      <c r="E145">
        <f t="shared" si="6"/>
        <v>7.05</v>
      </c>
      <c r="F145">
        <f t="shared" si="7"/>
        <v>-4.868</v>
      </c>
      <c r="G145">
        <f t="shared" si="8"/>
        <v>-15</v>
      </c>
    </row>
    <row r="146" spans="1:7">
      <c r="A146">
        <v>7.113</v>
      </c>
      <c r="B146" s="2">
        <v>-0.006814</v>
      </c>
      <c r="C146">
        <v>168.1</v>
      </c>
      <c r="E146">
        <f t="shared" si="6"/>
        <v>7.1</v>
      </c>
      <c r="F146">
        <f t="shared" si="7"/>
        <v>-6.814</v>
      </c>
      <c r="G146">
        <f t="shared" si="8"/>
        <v>-15</v>
      </c>
    </row>
    <row r="147" spans="1:7">
      <c r="A147">
        <v>7.163</v>
      </c>
      <c r="B147" s="2">
        <v>-0.008937</v>
      </c>
      <c r="C147">
        <v>161.3</v>
      </c>
      <c r="E147">
        <f t="shared" si="6"/>
        <v>7.15</v>
      </c>
      <c r="F147">
        <f t="shared" si="7"/>
        <v>-8.937</v>
      </c>
      <c r="G147">
        <f t="shared" si="8"/>
        <v>-15</v>
      </c>
    </row>
    <row r="148" spans="1:7">
      <c r="A148">
        <v>7.213</v>
      </c>
      <c r="B148" s="2">
        <v>-0.01079</v>
      </c>
      <c r="C148">
        <v>152.3</v>
      </c>
      <c r="E148">
        <f t="shared" si="6"/>
        <v>7.2</v>
      </c>
      <c r="F148">
        <f t="shared" si="7"/>
        <v>-10.79</v>
      </c>
      <c r="G148">
        <f t="shared" si="8"/>
        <v>-15</v>
      </c>
    </row>
    <row r="149" spans="1:7">
      <c r="A149">
        <v>7.263</v>
      </c>
      <c r="B149" s="2">
        <v>-0.01199</v>
      </c>
      <c r="C149">
        <v>145.8</v>
      </c>
      <c r="E149">
        <f t="shared" si="6"/>
        <v>7.25</v>
      </c>
      <c r="F149">
        <f t="shared" si="7"/>
        <v>-11.99</v>
      </c>
      <c r="G149">
        <f t="shared" si="8"/>
        <v>-15</v>
      </c>
    </row>
    <row r="150" spans="1:7">
      <c r="A150">
        <v>7.313</v>
      </c>
      <c r="B150" s="2">
        <v>-0.01257</v>
      </c>
      <c r="C150">
        <v>137.7</v>
      </c>
      <c r="E150">
        <f t="shared" si="6"/>
        <v>7.3</v>
      </c>
      <c r="F150">
        <f t="shared" si="7"/>
        <v>-12.57</v>
      </c>
      <c r="G150">
        <f t="shared" si="8"/>
        <v>-15</v>
      </c>
    </row>
    <row r="151" spans="1:7">
      <c r="A151">
        <v>7.363</v>
      </c>
      <c r="B151" s="2">
        <v>-0.01243</v>
      </c>
      <c r="C151">
        <v>253.7</v>
      </c>
      <c r="E151">
        <f t="shared" si="6"/>
        <v>7.35</v>
      </c>
      <c r="F151">
        <f t="shared" si="7"/>
        <v>-12.43</v>
      </c>
      <c r="G151">
        <f t="shared" si="8"/>
        <v>5</v>
      </c>
    </row>
    <row r="152" spans="1:7">
      <c r="A152">
        <v>7.413</v>
      </c>
      <c r="B152" s="2">
        <v>-0.01151</v>
      </c>
      <c r="C152">
        <v>253.6</v>
      </c>
      <c r="E152">
        <f t="shared" si="6"/>
        <v>7.4</v>
      </c>
      <c r="F152">
        <f t="shared" si="7"/>
        <v>-11.51</v>
      </c>
      <c r="G152">
        <f t="shared" si="8"/>
        <v>5</v>
      </c>
    </row>
    <row r="153" spans="1:7">
      <c r="A153">
        <v>7.463</v>
      </c>
      <c r="B153" s="2">
        <v>-0.01007</v>
      </c>
      <c r="C153">
        <v>253.6</v>
      </c>
      <c r="E153">
        <f t="shared" si="6"/>
        <v>7.45</v>
      </c>
      <c r="F153">
        <f t="shared" si="7"/>
        <v>-10.07</v>
      </c>
      <c r="G153">
        <f t="shared" si="8"/>
        <v>5</v>
      </c>
    </row>
    <row r="154" spans="1:7">
      <c r="A154">
        <v>7.514</v>
      </c>
      <c r="B154" s="2">
        <v>-0.008238</v>
      </c>
      <c r="C154">
        <v>253.7</v>
      </c>
      <c r="E154">
        <f t="shared" si="6"/>
        <v>7.5</v>
      </c>
      <c r="F154">
        <f t="shared" si="7"/>
        <v>-8.238</v>
      </c>
      <c r="G154">
        <f t="shared" si="8"/>
        <v>5</v>
      </c>
    </row>
    <row r="155" spans="1:7">
      <c r="A155">
        <v>7.564</v>
      </c>
      <c r="B155" s="2">
        <v>-0.006256</v>
      </c>
      <c r="C155">
        <v>253.7</v>
      </c>
      <c r="E155">
        <f t="shared" si="6"/>
        <v>7.55</v>
      </c>
      <c r="F155">
        <f t="shared" si="7"/>
        <v>-6.256</v>
      </c>
      <c r="G155">
        <f t="shared" si="8"/>
        <v>5</v>
      </c>
    </row>
    <row r="156" spans="1:7">
      <c r="A156">
        <v>7.614</v>
      </c>
      <c r="B156" s="2">
        <v>-0.00441</v>
      </c>
      <c r="C156">
        <v>253.8</v>
      </c>
      <c r="E156">
        <f t="shared" si="6"/>
        <v>7.6</v>
      </c>
      <c r="F156">
        <f t="shared" si="7"/>
        <v>-4.41</v>
      </c>
      <c r="G156">
        <f t="shared" si="8"/>
        <v>5</v>
      </c>
    </row>
    <row r="157" spans="1:7">
      <c r="A157">
        <v>7.664</v>
      </c>
      <c r="B157" s="2">
        <v>-0.002932</v>
      </c>
      <c r="C157">
        <v>253.7</v>
      </c>
      <c r="E157">
        <f t="shared" si="6"/>
        <v>7.65</v>
      </c>
      <c r="F157">
        <f t="shared" si="7"/>
        <v>-2.932</v>
      </c>
      <c r="G157">
        <f t="shared" si="8"/>
        <v>5</v>
      </c>
    </row>
    <row r="158" spans="1:7">
      <c r="A158">
        <v>7.714</v>
      </c>
      <c r="B158" s="2">
        <v>-0.002214</v>
      </c>
      <c r="C158">
        <v>253.7</v>
      </c>
      <c r="E158">
        <f t="shared" si="6"/>
        <v>7.7</v>
      </c>
      <c r="F158">
        <f t="shared" si="7"/>
        <v>-2.214</v>
      </c>
      <c r="G158">
        <f t="shared" si="8"/>
        <v>5</v>
      </c>
    </row>
    <row r="159" spans="1:7">
      <c r="A159">
        <v>7.764</v>
      </c>
      <c r="B159" s="2">
        <v>-0.002113</v>
      </c>
      <c r="C159">
        <v>253.8</v>
      </c>
      <c r="E159">
        <f t="shared" si="6"/>
        <v>7.75</v>
      </c>
      <c r="F159">
        <f t="shared" si="7"/>
        <v>-2.113</v>
      </c>
      <c r="G159">
        <f t="shared" si="8"/>
        <v>5</v>
      </c>
    </row>
    <row r="160" spans="1:7">
      <c r="A160">
        <v>7.814</v>
      </c>
      <c r="B160" s="2">
        <v>-0.002518</v>
      </c>
      <c r="C160">
        <v>189.2</v>
      </c>
      <c r="E160">
        <f t="shared" si="6"/>
        <v>7.8</v>
      </c>
      <c r="F160">
        <f t="shared" si="7"/>
        <v>-2.518</v>
      </c>
      <c r="G160">
        <f t="shared" si="8"/>
        <v>-15</v>
      </c>
    </row>
    <row r="161" spans="1:7">
      <c r="A161">
        <v>7.864</v>
      </c>
      <c r="B161" s="2">
        <v>-0.00393</v>
      </c>
      <c r="C161">
        <v>191.3</v>
      </c>
      <c r="E161">
        <f t="shared" si="6"/>
        <v>7.85</v>
      </c>
      <c r="F161">
        <f t="shared" si="7"/>
        <v>-3.93</v>
      </c>
      <c r="G161">
        <f t="shared" si="8"/>
        <v>-15</v>
      </c>
    </row>
    <row r="162" spans="1:7">
      <c r="A162">
        <v>7.914</v>
      </c>
      <c r="B162" s="2">
        <v>-0.005745</v>
      </c>
      <c r="C162">
        <v>187.3</v>
      </c>
      <c r="E162">
        <f t="shared" si="6"/>
        <v>7.9</v>
      </c>
      <c r="F162">
        <f t="shared" si="7"/>
        <v>-5.745</v>
      </c>
      <c r="G162">
        <f t="shared" si="8"/>
        <v>-15</v>
      </c>
    </row>
    <row r="163" spans="1:7">
      <c r="A163">
        <v>7.964</v>
      </c>
      <c r="B163" s="2">
        <v>-0.007847</v>
      </c>
      <c r="C163">
        <v>181.9</v>
      </c>
      <c r="E163">
        <f t="shared" si="6"/>
        <v>7.95</v>
      </c>
      <c r="F163">
        <f t="shared" si="7"/>
        <v>-7.847</v>
      </c>
      <c r="G163">
        <f t="shared" si="8"/>
        <v>-15</v>
      </c>
    </row>
    <row r="164" spans="1:7">
      <c r="A164">
        <v>8.014</v>
      </c>
      <c r="B164" s="2">
        <v>-0.009857</v>
      </c>
      <c r="C164">
        <v>174.8</v>
      </c>
      <c r="E164">
        <f t="shared" si="6"/>
        <v>8</v>
      </c>
      <c r="F164">
        <f t="shared" si="7"/>
        <v>-9.857</v>
      </c>
      <c r="G164">
        <f t="shared" si="8"/>
        <v>-15</v>
      </c>
    </row>
    <row r="165" spans="1:7">
      <c r="A165">
        <v>8.065</v>
      </c>
      <c r="B165" s="2">
        <v>-0.01148</v>
      </c>
      <c r="C165">
        <v>169.3</v>
      </c>
      <c r="E165">
        <f t="shared" si="6"/>
        <v>8.05</v>
      </c>
      <c r="F165">
        <f t="shared" si="7"/>
        <v>-11.48</v>
      </c>
      <c r="G165">
        <f t="shared" si="8"/>
        <v>-15</v>
      </c>
    </row>
    <row r="166" spans="1:7">
      <c r="A166">
        <v>8.115</v>
      </c>
      <c r="B166" s="2">
        <v>-0.01236</v>
      </c>
      <c r="C166">
        <v>161.6</v>
      </c>
      <c r="E166">
        <f t="shared" si="6"/>
        <v>8.1</v>
      </c>
      <c r="F166">
        <f t="shared" si="7"/>
        <v>-12.36</v>
      </c>
      <c r="G166">
        <f t="shared" si="8"/>
        <v>-15</v>
      </c>
    </row>
    <row r="167" spans="1:7">
      <c r="A167">
        <v>8.165</v>
      </c>
      <c r="B167" s="2">
        <v>-0.01257</v>
      </c>
      <c r="C167">
        <v>254</v>
      </c>
      <c r="E167">
        <f t="shared" si="6"/>
        <v>8.15</v>
      </c>
      <c r="F167">
        <f t="shared" si="7"/>
        <v>-12.57</v>
      </c>
      <c r="G167">
        <f t="shared" si="8"/>
        <v>5</v>
      </c>
    </row>
    <row r="168" spans="1:7">
      <c r="A168">
        <v>8.215</v>
      </c>
      <c r="B168" s="2">
        <v>-0.01217</v>
      </c>
      <c r="C168">
        <v>253.8</v>
      </c>
      <c r="E168">
        <f t="shared" si="6"/>
        <v>8.2</v>
      </c>
      <c r="F168">
        <f t="shared" si="7"/>
        <v>-12.17</v>
      </c>
      <c r="G168">
        <f t="shared" si="8"/>
        <v>5</v>
      </c>
    </row>
    <row r="169" spans="1:7">
      <c r="A169">
        <v>8.265</v>
      </c>
      <c r="B169" s="2">
        <v>-0.0109</v>
      </c>
      <c r="C169">
        <v>253.8</v>
      </c>
      <c r="E169">
        <f t="shared" si="6"/>
        <v>8.25</v>
      </c>
      <c r="F169">
        <f t="shared" si="7"/>
        <v>-10.9</v>
      </c>
      <c r="G169">
        <f t="shared" si="8"/>
        <v>5</v>
      </c>
    </row>
    <row r="170" spans="1:7">
      <c r="A170">
        <v>8.315</v>
      </c>
      <c r="B170" s="2">
        <v>-0.00928</v>
      </c>
      <c r="C170">
        <v>253.8</v>
      </c>
      <c r="E170">
        <f t="shared" si="6"/>
        <v>8.3</v>
      </c>
      <c r="F170">
        <f t="shared" si="7"/>
        <v>-9.28</v>
      </c>
      <c r="G170">
        <f t="shared" si="8"/>
        <v>5</v>
      </c>
    </row>
    <row r="171" spans="1:7">
      <c r="A171">
        <v>8.365</v>
      </c>
      <c r="B171" s="2">
        <v>-0.007434</v>
      </c>
      <c r="C171">
        <v>253.7</v>
      </c>
      <c r="E171">
        <f t="shared" si="6"/>
        <v>8.35</v>
      </c>
      <c r="F171">
        <f t="shared" si="7"/>
        <v>-7.434</v>
      </c>
      <c r="G171">
        <f t="shared" si="8"/>
        <v>5</v>
      </c>
    </row>
    <row r="172" spans="1:7">
      <c r="A172">
        <v>8.415</v>
      </c>
      <c r="B172" s="2">
        <v>-0.005549</v>
      </c>
      <c r="C172">
        <v>253.7</v>
      </c>
      <c r="E172">
        <f t="shared" si="6"/>
        <v>8.4</v>
      </c>
      <c r="F172">
        <f t="shared" si="7"/>
        <v>-5.549</v>
      </c>
      <c r="G172">
        <f t="shared" si="8"/>
        <v>5</v>
      </c>
    </row>
    <row r="173" spans="1:7">
      <c r="A173">
        <v>8.465</v>
      </c>
      <c r="B173" s="2">
        <v>-0.00402</v>
      </c>
      <c r="C173">
        <v>253.7</v>
      </c>
      <c r="E173">
        <f t="shared" si="6"/>
        <v>8.45</v>
      </c>
      <c r="F173">
        <f t="shared" si="7"/>
        <v>-4.02</v>
      </c>
      <c r="G173">
        <f t="shared" si="8"/>
        <v>5</v>
      </c>
    </row>
    <row r="174" spans="1:7">
      <c r="A174">
        <v>8.515</v>
      </c>
      <c r="B174" s="2">
        <v>-0.002902</v>
      </c>
      <c r="C174">
        <v>253.7</v>
      </c>
      <c r="E174">
        <f t="shared" si="6"/>
        <v>8.5</v>
      </c>
      <c r="F174">
        <f t="shared" si="7"/>
        <v>-2.902</v>
      </c>
      <c r="G174">
        <f t="shared" si="8"/>
        <v>5</v>
      </c>
    </row>
    <row r="175" spans="1:7">
      <c r="A175">
        <v>8.565</v>
      </c>
      <c r="B175" s="2">
        <v>-0.002354</v>
      </c>
      <c r="C175">
        <v>253.8</v>
      </c>
      <c r="E175">
        <f t="shared" si="6"/>
        <v>8.55</v>
      </c>
      <c r="F175">
        <f t="shared" si="7"/>
        <v>-2.354</v>
      </c>
      <c r="G175">
        <f t="shared" si="8"/>
        <v>5</v>
      </c>
    </row>
    <row r="176" spans="1:7">
      <c r="A176">
        <v>8.615</v>
      </c>
      <c r="B176" s="2">
        <v>-0.002442</v>
      </c>
      <c r="C176">
        <v>199.6</v>
      </c>
      <c r="E176">
        <f t="shared" si="6"/>
        <v>8.6</v>
      </c>
      <c r="F176">
        <f t="shared" si="7"/>
        <v>-2.442</v>
      </c>
      <c r="G176">
        <f t="shared" si="8"/>
        <v>-15</v>
      </c>
    </row>
    <row r="177" spans="1:7">
      <c r="A177">
        <v>8.666</v>
      </c>
      <c r="B177" s="2">
        <v>-0.003263</v>
      </c>
      <c r="C177">
        <v>202.8</v>
      </c>
      <c r="E177">
        <f t="shared" si="6"/>
        <v>8.65</v>
      </c>
      <c r="F177">
        <f t="shared" si="7"/>
        <v>-3.263</v>
      </c>
      <c r="G177">
        <f t="shared" si="8"/>
        <v>-15</v>
      </c>
    </row>
    <row r="178" spans="1:7">
      <c r="A178">
        <v>8.716</v>
      </c>
      <c r="B178" s="2">
        <v>-0.004855</v>
      </c>
      <c r="C178">
        <v>196.9</v>
      </c>
      <c r="E178">
        <f t="shared" si="6"/>
        <v>8.7</v>
      </c>
      <c r="F178">
        <f t="shared" si="7"/>
        <v>-4.855</v>
      </c>
      <c r="G178">
        <f t="shared" si="8"/>
        <v>-15</v>
      </c>
    </row>
    <row r="179" spans="1:7">
      <c r="A179">
        <v>8.766</v>
      </c>
      <c r="B179" s="2">
        <v>-0.006786</v>
      </c>
      <c r="C179">
        <v>192.6</v>
      </c>
      <c r="E179">
        <f t="shared" si="6"/>
        <v>8.75</v>
      </c>
      <c r="F179">
        <f t="shared" si="7"/>
        <v>-6.786</v>
      </c>
      <c r="G179">
        <f t="shared" si="8"/>
        <v>-15</v>
      </c>
    </row>
    <row r="180" spans="1:7">
      <c r="A180">
        <v>8.816</v>
      </c>
      <c r="B180" s="2">
        <v>-0.008798</v>
      </c>
      <c r="C180">
        <v>187.3</v>
      </c>
      <c r="E180">
        <f t="shared" si="6"/>
        <v>8.8</v>
      </c>
      <c r="F180">
        <f t="shared" si="7"/>
        <v>-8.798</v>
      </c>
      <c r="G180">
        <f t="shared" si="8"/>
        <v>-15</v>
      </c>
    </row>
    <row r="181" spans="1:7">
      <c r="A181">
        <v>8.866</v>
      </c>
      <c r="B181" s="2">
        <v>-0.01059</v>
      </c>
      <c r="C181">
        <v>183.4</v>
      </c>
      <c r="E181">
        <f t="shared" si="6"/>
        <v>8.85</v>
      </c>
      <c r="F181">
        <f t="shared" si="7"/>
        <v>-10.59</v>
      </c>
      <c r="G181">
        <f t="shared" si="8"/>
        <v>-15</v>
      </c>
    </row>
    <row r="182" spans="1:7">
      <c r="A182">
        <v>8.916</v>
      </c>
      <c r="B182" s="2">
        <v>-0.01187</v>
      </c>
      <c r="C182">
        <v>175.1</v>
      </c>
      <c r="E182">
        <f t="shared" si="6"/>
        <v>8.9</v>
      </c>
      <c r="F182">
        <f t="shared" si="7"/>
        <v>-11.87</v>
      </c>
      <c r="G182">
        <f t="shared" si="8"/>
        <v>-15</v>
      </c>
    </row>
    <row r="183" spans="1:7">
      <c r="A183">
        <v>8.966</v>
      </c>
      <c r="B183" s="2">
        <v>-0.01241</v>
      </c>
      <c r="C183">
        <v>253.8</v>
      </c>
      <c r="E183">
        <f t="shared" si="6"/>
        <v>8.95</v>
      </c>
      <c r="F183">
        <f t="shared" si="7"/>
        <v>-12.41</v>
      </c>
      <c r="G183">
        <f t="shared" si="8"/>
        <v>5</v>
      </c>
    </row>
    <row r="184" spans="1:7">
      <c r="A184">
        <v>9.016</v>
      </c>
      <c r="B184" s="2">
        <v>-0.01234</v>
      </c>
      <c r="C184">
        <v>253.7</v>
      </c>
      <c r="E184">
        <f t="shared" si="6"/>
        <v>9</v>
      </c>
      <c r="F184">
        <f t="shared" si="7"/>
        <v>-12.34</v>
      </c>
      <c r="G184">
        <f t="shared" si="8"/>
        <v>5</v>
      </c>
    </row>
    <row r="185" spans="1:7">
      <c r="A185">
        <v>9.066</v>
      </c>
      <c r="B185" s="2">
        <v>-0.01142</v>
      </c>
      <c r="C185">
        <v>253.7</v>
      </c>
      <c r="E185">
        <f t="shared" si="6"/>
        <v>9.05</v>
      </c>
      <c r="F185">
        <f t="shared" si="7"/>
        <v>-11.42</v>
      </c>
      <c r="G185">
        <f t="shared" si="8"/>
        <v>5</v>
      </c>
    </row>
    <row r="186" spans="1:7">
      <c r="A186">
        <v>9.116</v>
      </c>
      <c r="B186" s="2">
        <v>-0.01002</v>
      </c>
      <c r="C186">
        <v>253.6</v>
      </c>
      <c r="E186">
        <f t="shared" si="6"/>
        <v>9.1</v>
      </c>
      <c r="F186">
        <f t="shared" si="7"/>
        <v>-10.02</v>
      </c>
      <c r="G186">
        <f t="shared" si="8"/>
        <v>5</v>
      </c>
    </row>
    <row r="187" spans="1:7">
      <c r="A187">
        <v>9.166</v>
      </c>
      <c r="B187" s="2">
        <v>-0.008283</v>
      </c>
      <c r="C187">
        <v>253.7</v>
      </c>
      <c r="E187">
        <f t="shared" si="6"/>
        <v>9.15</v>
      </c>
      <c r="F187">
        <f t="shared" si="7"/>
        <v>-8.283</v>
      </c>
      <c r="G187">
        <f t="shared" si="8"/>
        <v>5</v>
      </c>
    </row>
    <row r="188" spans="1:7">
      <c r="A188">
        <v>9.217</v>
      </c>
      <c r="B188" s="2">
        <v>-0.006435</v>
      </c>
      <c r="C188">
        <v>253.7</v>
      </c>
      <c r="E188">
        <f t="shared" si="6"/>
        <v>9.2</v>
      </c>
      <c r="F188">
        <f t="shared" si="7"/>
        <v>-6.435</v>
      </c>
      <c r="G188">
        <f t="shared" si="8"/>
        <v>5</v>
      </c>
    </row>
    <row r="189" spans="1:7">
      <c r="A189">
        <v>9.267</v>
      </c>
      <c r="B189" s="2">
        <v>-0.00473</v>
      </c>
      <c r="C189">
        <v>253.8</v>
      </c>
      <c r="E189">
        <f t="shared" si="6"/>
        <v>9.25</v>
      </c>
      <c r="F189">
        <f t="shared" si="7"/>
        <v>-4.73</v>
      </c>
      <c r="G189">
        <f t="shared" si="8"/>
        <v>5</v>
      </c>
    </row>
    <row r="190" spans="1:7">
      <c r="A190">
        <v>9.317</v>
      </c>
      <c r="B190" s="2">
        <v>-0.003296</v>
      </c>
      <c r="C190">
        <v>253.7</v>
      </c>
      <c r="E190">
        <f t="shared" si="6"/>
        <v>9.3</v>
      </c>
      <c r="F190">
        <f t="shared" si="7"/>
        <v>-3.296</v>
      </c>
      <c r="G190">
        <f t="shared" si="8"/>
        <v>5</v>
      </c>
    </row>
    <row r="191" spans="1:7">
      <c r="A191">
        <v>9.367</v>
      </c>
      <c r="B191" s="2">
        <v>-0.002583</v>
      </c>
      <c r="C191">
        <v>253.8</v>
      </c>
      <c r="E191">
        <f t="shared" si="6"/>
        <v>9.35</v>
      </c>
      <c r="F191">
        <f t="shared" si="7"/>
        <v>-2.583</v>
      </c>
      <c r="G191">
        <f t="shared" si="8"/>
        <v>5</v>
      </c>
    </row>
    <row r="192" spans="1:7">
      <c r="A192">
        <v>9.417</v>
      </c>
      <c r="B192" s="2">
        <v>-0.002501</v>
      </c>
      <c r="C192">
        <v>206.4</v>
      </c>
      <c r="E192">
        <f t="shared" si="6"/>
        <v>9.4</v>
      </c>
      <c r="F192">
        <f t="shared" si="7"/>
        <v>-2.501</v>
      </c>
      <c r="G192">
        <f t="shared" si="8"/>
        <v>-15</v>
      </c>
    </row>
    <row r="193" spans="1:7">
      <c r="A193">
        <v>9.467</v>
      </c>
      <c r="B193" s="2">
        <v>-0.002893</v>
      </c>
      <c r="C193">
        <v>209.5</v>
      </c>
      <c r="E193">
        <f t="shared" si="6"/>
        <v>9.45</v>
      </c>
      <c r="F193">
        <f t="shared" si="7"/>
        <v>-2.893</v>
      </c>
      <c r="G193">
        <f t="shared" si="8"/>
        <v>-15</v>
      </c>
    </row>
    <row r="194" spans="1:7">
      <c r="A194">
        <v>9.517</v>
      </c>
      <c r="B194" s="2">
        <v>-0.00434</v>
      </c>
      <c r="C194">
        <v>204.7</v>
      </c>
      <c r="E194">
        <f t="shared" si="6"/>
        <v>9.5</v>
      </c>
      <c r="F194">
        <f t="shared" si="7"/>
        <v>-4.34</v>
      </c>
      <c r="G194">
        <f t="shared" si="8"/>
        <v>-15</v>
      </c>
    </row>
    <row r="195" spans="1:7">
      <c r="A195">
        <v>9.567</v>
      </c>
      <c r="B195" s="2">
        <v>-0.00622</v>
      </c>
      <c r="C195">
        <v>201</v>
      </c>
      <c r="E195">
        <f t="shared" si="6"/>
        <v>9.55</v>
      </c>
      <c r="F195">
        <f t="shared" si="7"/>
        <v>-6.22</v>
      </c>
      <c r="G195">
        <f t="shared" si="8"/>
        <v>-15</v>
      </c>
    </row>
    <row r="196" spans="1:7">
      <c r="A196">
        <v>9.617</v>
      </c>
      <c r="B196" s="2">
        <v>-0.008257</v>
      </c>
      <c r="C196">
        <v>195.6</v>
      </c>
      <c r="E196">
        <f t="shared" ref="E196:E236" si="9">FLOOR(A196,0.05)</f>
        <v>9.6</v>
      </c>
      <c r="F196">
        <f t="shared" si="7"/>
        <v>-8.257</v>
      </c>
      <c r="G196">
        <f t="shared" si="8"/>
        <v>-15</v>
      </c>
    </row>
    <row r="197" spans="1:7">
      <c r="A197">
        <v>9.667</v>
      </c>
      <c r="B197" s="2">
        <v>-0.01023</v>
      </c>
      <c r="C197">
        <v>190.7</v>
      </c>
      <c r="E197">
        <f t="shared" si="9"/>
        <v>9.65</v>
      </c>
      <c r="F197">
        <f t="shared" ref="F197:F260" si="10">B197*1000</f>
        <v>-10.23</v>
      </c>
      <c r="G197">
        <f t="shared" ref="G197:G260" si="11">IF(C197&lt;230,-15,5)</f>
        <v>-15</v>
      </c>
    </row>
    <row r="198" spans="1:7">
      <c r="A198">
        <v>9.717</v>
      </c>
      <c r="B198" s="2">
        <v>-0.01192</v>
      </c>
      <c r="C198">
        <v>185.7</v>
      </c>
      <c r="E198">
        <f t="shared" si="9"/>
        <v>9.7</v>
      </c>
      <c r="F198">
        <f t="shared" si="10"/>
        <v>-11.92</v>
      </c>
      <c r="G198">
        <f t="shared" si="11"/>
        <v>-15</v>
      </c>
    </row>
    <row r="199" spans="1:7">
      <c r="A199">
        <v>9.768</v>
      </c>
      <c r="B199" s="2">
        <v>-0.0128</v>
      </c>
      <c r="C199">
        <v>240.8</v>
      </c>
      <c r="E199">
        <f t="shared" si="9"/>
        <v>9.75</v>
      </c>
      <c r="F199">
        <f t="shared" si="10"/>
        <v>-12.8</v>
      </c>
      <c r="G199">
        <f t="shared" si="11"/>
        <v>5</v>
      </c>
    </row>
    <row r="200" spans="1:7">
      <c r="A200">
        <v>9.818</v>
      </c>
      <c r="B200" s="2">
        <v>-0.01299</v>
      </c>
      <c r="C200">
        <v>253.5</v>
      </c>
      <c r="E200">
        <f t="shared" si="9"/>
        <v>9.8</v>
      </c>
      <c r="F200">
        <f t="shared" si="10"/>
        <v>-12.99</v>
      </c>
      <c r="G200">
        <f t="shared" si="11"/>
        <v>5</v>
      </c>
    </row>
    <row r="201" spans="1:7">
      <c r="A201">
        <v>9.868</v>
      </c>
      <c r="B201" s="2">
        <v>-0.01251</v>
      </c>
      <c r="C201">
        <v>253.5</v>
      </c>
      <c r="E201">
        <f t="shared" si="9"/>
        <v>9.85</v>
      </c>
      <c r="F201">
        <f t="shared" si="10"/>
        <v>-12.51</v>
      </c>
      <c r="G201">
        <f t="shared" si="11"/>
        <v>5</v>
      </c>
    </row>
    <row r="202" spans="1:7">
      <c r="A202">
        <v>9.918</v>
      </c>
      <c r="B202" s="2">
        <v>-0.01126</v>
      </c>
      <c r="C202">
        <v>253.5</v>
      </c>
      <c r="E202">
        <f t="shared" si="9"/>
        <v>9.9</v>
      </c>
      <c r="F202">
        <f t="shared" si="10"/>
        <v>-11.26</v>
      </c>
      <c r="G202">
        <f t="shared" si="11"/>
        <v>5</v>
      </c>
    </row>
    <row r="203" spans="1:7">
      <c r="A203">
        <v>9.968</v>
      </c>
      <c r="B203" s="2">
        <v>-0.009744</v>
      </c>
      <c r="C203">
        <v>253.4</v>
      </c>
      <c r="E203">
        <f t="shared" si="9"/>
        <v>9.95</v>
      </c>
      <c r="F203">
        <f t="shared" si="10"/>
        <v>-9.744</v>
      </c>
      <c r="G203">
        <f t="shared" si="11"/>
        <v>5</v>
      </c>
    </row>
    <row r="204" spans="1:7">
      <c r="A204">
        <v>10.018</v>
      </c>
      <c r="B204" s="2">
        <v>-0.00782</v>
      </c>
      <c r="C204">
        <v>253.5</v>
      </c>
      <c r="E204">
        <f t="shared" si="9"/>
        <v>10</v>
      </c>
      <c r="F204">
        <f t="shared" si="10"/>
        <v>-7.82</v>
      </c>
      <c r="G204">
        <f t="shared" si="11"/>
        <v>5</v>
      </c>
    </row>
    <row r="205" spans="1:7">
      <c r="A205">
        <v>10.068</v>
      </c>
      <c r="B205" s="2">
        <v>-0.006122</v>
      </c>
      <c r="C205">
        <v>253.5</v>
      </c>
      <c r="E205">
        <f t="shared" si="9"/>
        <v>10.05</v>
      </c>
      <c r="F205">
        <f t="shared" si="10"/>
        <v>-6.122</v>
      </c>
      <c r="G205">
        <f t="shared" si="11"/>
        <v>5</v>
      </c>
    </row>
    <row r="206" spans="1:7">
      <c r="A206">
        <v>10.118</v>
      </c>
      <c r="B206" s="2">
        <v>-0.004556</v>
      </c>
      <c r="C206">
        <v>253.5</v>
      </c>
      <c r="E206">
        <f t="shared" si="9"/>
        <v>10.1</v>
      </c>
      <c r="F206">
        <f t="shared" si="10"/>
        <v>-4.556</v>
      </c>
      <c r="G206">
        <f t="shared" si="11"/>
        <v>5</v>
      </c>
    </row>
    <row r="207" spans="1:7">
      <c r="A207">
        <v>10.168</v>
      </c>
      <c r="B207" s="2">
        <v>-0.003499</v>
      </c>
      <c r="C207">
        <v>253.5</v>
      </c>
      <c r="E207">
        <f t="shared" si="9"/>
        <v>10.15</v>
      </c>
      <c r="F207">
        <f t="shared" si="10"/>
        <v>-3.499</v>
      </c>
      <c r="G207">
        <f t="shared" si="11"/>
        <v>5</v>
      </c>
    </row>
    <row r="208" spans="1:7">
      <c r="A208">
        <v>10.218</v>
      </c>
      <c r="B208" s="2">
        <v>-0.002989</v>
      </c>
      <c r="C208">
        <v>210.7</v>
      </c>
      <c r="E208">
        <f t="shared" si="9"/>
        <v>10.2</v>
      </c>
      <c r="F208">
        <f t="shared" si="10"/>
        <v>-2.989</v>
      </c>
      <c r="G208">
        <f t="shared" si="11"/>
        <v>-15</v>
      </c>
    </row>
    <row r="209" spans="1:7">
      <c r="A209">
        <v>10.268</v>
      </c>
      <c r="B209" s="2">
        <v>-0.003399</v>
      </c>
      <c r="C209">
        <v>212.9</v>
      </c>
      <c r="E209">
        <f t="shared" si="9"/>
        <v>10.25</v>
      </c>
      <c r="F209">
        <f t="shared" si="10"/>
        <v>-3.399</v>
      </c>
      <c r="G209">
        <f t="shared" si="11"/>
        <v>-15</v>
      </c>
    </row>
    <row r="210" spans="1:7">
      <c r="A210">
        <v>10.319</v>
      </c>
      <c r="B210" s="2">
        <v>-0.004533</v>
      </c>
      <c r="C210">
        <v>208.1</v>
      </c>
      <c r="E210">
        <f t="shared" si="9"/>
        <v>10.3</v>
      </c>
      <c r="F210">
        <f t="shared" si="10"/>
        <v>-4.533</v>
      </c>
      <c r="G210">
        <f t="shared" si="11"/>
        <v>-15</v>
      </c>
    </row>
    <row r="211" spans="1:7">
      <c r="A211">
        <v>10.369</v>
      </c>
      <c r="B211" s="2">
        <v>-0.00623</v>
      </c>
      <c r="C211">
        <v>205.3</v>
      </c>
      <c r="E211">
        <f t="shared" si="9"/>
        <v>10.35</v>
      </c>
      <c r="F211">
        <f t="shared" si="10"/>
        <v>-6.23</v>
      </c>
      <c r="G211">
        <f t="shared" si="11"/>
        <v>-15</v>
      </c>
    </row>
    <row r="212" spans="1:7">
      <c r="A212">
        <v>10.419</v>
      </c>
      <c r="B212" s="2">
        <v>-0.008145</v>
      </c>
      <c r="C212">
        <v>200</v>
      </c>
      <c r="E212">
        <f t="shared" si="9"/>
        <v>10.4</v>
      </c>
      <c r="F212">
        <f t="shared" si="10"/>
        <v>-8.145</v>
      </c>
      <c r="G212">
        <f t="shared" si="11"/>
        <v>-15</v>
      </c>
    </row>
    <row r="213" spans="1:7">
      <c r="A213">
        <v>10.469</v>
      </c>
      <c r="B213" s="2">
        <v>-0.01032</v>
      </c>
      <c r="C213">
        <v>194.3</v>
      </c>
      <c r="E213">
        <f t="shared" si="9"/>
        <v>10.45</v>
      </c>
      <c r="F213">
        <f t="shared" si="10"/>
        <v>-10.32</v>
      </c>
      <c r="G213">
        <f t="shared" si="11"/>
        <v>-15</v>
      </c>
    </row>
    <row r="214" spans="1:7">
      <c r="A214">
        <v>10.519</v>
      </c>
      <c r="B214" s="2">
        <v>-0.01208</v>
      </c>
      <c r="C214">
        <v>189.7</v>
      </c>
      <c r="E214">
        <f t="shared" si="9"/>
        <v>10.5</v>
      </c>
      <c r="F214">
        <f t="shared" si="10"/>
        <v>-12.08</v>
      </c>
      <c r="G214">
        <f t="shared" si="11"/>
        <v>-15</v>
      </c>
    </row>
    <row r="215" spans="1:7">
      <c r="A215">
        <v>10.569</v>
      </c>
      <c r="B215" s="2">
        <v>-0.01312</v>
      </c>
      <c r="C215">
        <v>199.4</v>
      </c>
      <c r="E215">
        <f t="shared" si="9"/>
        <v>10.55</v>
      </c>
      <c r="F215">
        <f t="shared" si="10"/>
        <v>-13.12</v>
      </c>
      <c r="G215">
        <f t="shared" si="11"/>
        <v>-15</v>
      </c>
    </row>
    <row r="216" spans="1:7">
      <c r="A216">
        <v>10.619</v>
      </c>
      <c r="B216" s="2">
        <v>-0.01359</v>
      </c>
      <c r="C216">
        <v>253.7</v>
      </c>
      <c r="E216">
        <f t="shared" si="9"/>
        <v>10.6</v>
      </c>
      <c r="F216">
        <f t="shared" si="10"/>
        <v>-13.59</v>
      </c>
      <c r="G216">
        <f t="shared" si="11"/>
        <v>5</v>
      </c>
    </row>
    <row r="217" spans="1:7">
      <c r="A217">
        <v>10.669</v>
      </c>
      <c r="B217" s="2">
        <v>-0.01313</v>
      </c>
      <c r="C217">
        <v>253.7</v>
      </c>
      <c r="E217">
        <f t="shared" si="9"/>
        <v>10.65</v>
      </c>
      <c r="F217">
        <f t="shared" si="10"/>
        <v>-13.13</v>
      </c>
      <c r="G217">
        <f t="shared" si="11"/>
        <v>5</v>
      </c>
    </row>
    <row r="218" spans="1:7">
      <c r="A218">
        <v>10.719</v>
      </c>
      <c r="B218" s="2">
        <v>-0.0122</v>
      </c>
      <c r="C218">
        <v>253.7</v>
      </c>
      <c r="E218">
        <f t="shared" si="9"/>
        <v>10.7</v>
      </c>
      <c r="F218">
        <f t="shared" si="10"/>
        <v>-12.2</v>
      </c>
      <c r="G218">
        <f t="shared" si="11"/>
        <v>5</v>
      </c>
    </row>
    <row r="219" spans="1:7">
      <c r="A219">
        <v>10.769</v>
      </c>
      <c r="B219" s="2">
        <v>-0.0106</v>
      </c>
      <c r="C219">
        <v>253.7</v>
      </c>
      <c r="E219">
        <f t="shared" si="9"/>
        <v>10.75</v>
      </c>
      <c r="F219">
        <f t="shared" si="10"/>
        <v>-10.6</v>
      </c>
      <c r="G219">
        <f t="shared" si="11"/>
        <v>5</v>
      </c>
    </row>
    <row r="220" spans="1:7">
      <c r="A220">
        <v>10.819</v>
      </c>
      <c r="B220" s="2">
        <v>-0.008662</v>
      </c>
      <c r="C220">
        <v>253.7</v>
      </c>
      <c r="E220">
        <f t="shared" si="9"/>
        <v>10.8</v>
      </c>
      <c r="F220">
        <f t="shared" si="10"/>
        <v>-8.662</v>
      </c>
      <c r="G220">
        <f t="shared" si="11"/>
        <v>5</v>
      </c>
    </row>
    <row r="221" spans="1:7">
      <c r="A221">
        <v>10.87</v>
      </c>
      <c r="B221" s="2">
        <v>-0.006707</v>
      </c>
      <c r="C221">
        <v>253.7</v>
      </c>
      <c r="E221">
        <f t="shared" si="9"/>
        <v>10.85</v>
      </c>
      <c r="F221">
        <f t="shared" si="10"/>
        <v>-6.707</v>
      </c>
      <c r="G221">
        <f t="shared" si="11"/>
        <v>5</v>
      </c>
    </row>
    <row r="222" spans="1:7">
      <c r="A222">
        <v>10.92</v>
      </c>
      <c r="B222" s="2">
        <v>-0.004914</v>
      </c>
      <c r="C222">
        <v>253.7</v>
      </c>
      <c r="E222">
        <f t="shared" si="9"/>
        <v>10.9</v>
      </c>
      <c r="F222">
        <f t="shared" si="10"/>
        <v>-4.914</v>
      </c>
      <c r="G222">
        <f t="shared" si="11"/>
        <v>5</v>
      </c>
    </row>
    <row r="223" spans="1:7">
      <c r="A223">
        <v>10.97</v>
      </c>
      <c r="B223" s="2">
        <v>-0.003612</v>
      </c>
      <c r="C223">
        <v>253.8</v>
      </c>
      <c r="E223">
        <f t="shared" si="9"/>
        <v>10.95</v>
      </c>
      <c r="F223">
        <f t="shared" si="10"/>
        <v>-3.612</v>
      </c>
      <c r="G223">
        <f t="shared" si="11"/>
        <v>5</v>
      </c>
    </row>
    <row r="224" spans="1:7">
      <c r="A224">
        <v>11.02</v>
      </c>
      <c r="B224" s="2">
        <v>-0.002858</v>
      </c>
      <c r="C224">
        <v>214</v>
      </c>
      <c r="E224">
        <f t="shared" si="9"/>
        <v>11</v>
      </c>
      <c r="F224">
        <f t="shared" si="10"/>
        <v>-2.858</v>
      </c>
      <c r="G224">
        <f t="shared" si="11"/>
        <v>-15</v>
      </c>
    </row>
    <row r="225" spans="1:7">
      <c r="A225">
        <v>11.07</v>
      </c>
      <c r="B225" s="2">
        <v>-0.002842</v>
      </c>
      <c r="C225">
        <v>215.1</v>
      </c>
      <c r="E225">
        <f t="shared" si="9"/>
        <v>11.05</v>
      </c>
      <c r="F225">
        <f t="shared" si="10"/>
        <v>-2.842</v>
      </c>
      <c r="G225">
        <f t="shared" si="11"/>
        <v>-15</v>
      </c>
    </row>
    <row r="226" spans="1:7">
      <c r="A226">
        <v>11.12</v>
      </c>
      <c r="B226" s="2">
        <v>-0.003632</v>
      </c>
      <c r="C226">
        <v>211.4</v>
      </c>
      <c r="E226">
        <f t="shared" si="9"/>
        <v>11.1</v>
      </c>
      <c r="F226">
        <f t="shared" si="10"/>
        <v>-3.632</v>
      </c>
      <c r="G226">
        <f t="shared" si="11"/>
        <v>-15</v>
      </c>
    </row>
    <row r="227" spans="1:7">
      <c r="A227">
        <v>11.17</v>
      </c>
      <c r="B227" s="2">
        <v>-0.00514</v>
      </c>
      <c r="C227">
        <v>207.2</v>
      </c>
      <c r="E227">
        <f t="shared" si="9"/>
        <v>11.15</v>
      </c>
      <c r="F227">
        <f t="shared" si="10"/>
        <v>-5.14</v>
      </c>
      <c r="G227">
        <f t="shared" si="11"/>
        <v>-15</v>
      </c>
    </row>
    <row r="228" spans="1:7">
      <c r="A228">
        <v>11.22</v>
      </c>
      <c r="B228" s="2">
        <v>-0.00721</v>
      </c>
      <c r="C228">
        <v>202.6</v>
      </c>
      <c r="E228">
        <f t="shared" si="9"/>
        <v>11.2</v>
      </c>
      <c r="F228">
        <f t="shared" si="10"/>
        <v>-7.21</v>
      </c>
      <c r="G228">
        <f t="shared" si="11"/>
        <v>-15</v>
      </c>
    </row>
    <row r="229" spans="1:7">
      <c r="A229">
        <v>11.27</v>
      </c>
      <c r="B229" s="2">
        <v>-0.009323</v>
      </c>
      <c r="C229">
        <v>199.1</v>
      </c>
      <c r="E229">
        <f t="shared" si="9"/>
        <v>11.25</v>
      </c>
      <c r="F229">
        <f t="shared" si="10"/>
        <v>-9.323</v>
      </c>
      <c r="G229">
        <f t="shared" si="11"/>
        <v>-15</v>
      </c>
    </row>
    <row r="230" spans="1:7">
      <c r="A230">
        <v>11.32</v>
      </c>
      <c r="B230" s="2">
        <v>-0.01128</v>
      </c>
      <c r="C230">
        <v>192.5</v>
      </c>
      <c r="E230">
        <f t="shared" si="9"/>
        <v>11.3</v>
      </c>
      <c r="F230">
        <f t="shared" si="10"/>
        <v>-11.28</v>
      </c>
      <c r="G230">
        <f t="shared" si="11"/>
        <v>-15</v>
      </c>
    </row>
    <row r="231" spans="1:7">
      <c r="A231">
        <v>11.37</v>
      </c>
      <c r="B231" s="2">
        <v>-0.01288</v>
      </c>
      <c r="C231">
        <v>189.4</v>
      </c>
      <c r="E231">
        <f t="shared" si="9"/>
        <v>11.35</v>
      </c>
      <c r="F231">
        <f t="shared" si="10"/>
        <v>-12.88</v>
      </c>
      <c r="G231">
        <f t="shared" si="11"/>
        <v>-15</v>
      </c>
    </row>
    <row r="232" spans="1:7">
      <c r="A232">
        <v>11.421</v>
      </c>
      <c r="B232" s="2">
        <v>-0.01367</v>
      </c>
      <c r="C232">
        <v>184.7</v>
      </c>
      <c r="E232">
        <f t="shared" si="9"/>
        <v>11.4</v>
      </c>
      <c r="F232">
        <f t="shared" si="10"/>
        <v>-13.67</v>
      </c>
      <c r="G232">
        <f t="shared" si="11"/>
        <v>-15</v>
      </c>
    </row>
    <row r="233" spans="1:7">
      <c r="A233">
        <v>11.471</v>
      </c>
      <c r="B233" s="2">
        <v>-0.01372</v>
      </c>
      <c r="C233">
        <v>178.5</v>
      </c>
      <c r="E233">
        <f t="shared" si="9"/>
        <v>11.45</v>
      </c>
      <c r="F233">
        <f t="shared" si="10"/>
        <v>-13.72</v>
      </c>
      <c r="G233">
        <f t="shared" si="11"/>
        <v>-15</v>
      </c>
    </row>
    <row r="234" spans="1:7">
      <c r="A234">
        <v>11.521</v>
      </c>
      <c r="B234" s="2">
        <v>-0.01297</v>
      </c>
      <c r="C234">
        <v>172.9</v>
      </c>
      <c r="E234">
        <f t="shared" si="9"/>
        <v>11.5</v>
      </c>
      <c r="F234">
        <f t="shared" si="10"/>
        <v>-12.97</v>
      </c>
      <c r="G234">
        <f t="shared" si="11"/>
        <v>-15</v>
      </c>
    </row>
    <row r="235" spans="1:7">
      <c r="A235">
        <v>11.571</v>
      </c>
      <c r="B235" s="2">
        <v>-0.01138</v>
      </c>
      <c r="C235">
        <v>167.4</v>
      </c>
      <c r="E235">
        <f t="shared" si="9"/>
        <v>11.55</v>
      </c>
      <c r="F235">
        <f t="shared" si="10"/>
        <v>-11.38</v>
      </c>
      <c r="G235">
        <f t="shared" si="11"/>
        <v>-15</v>
      </c>
    </row>
    <row r="236" spans="1:7">
      <c r="A236">
        <v>11.621</v>
      </c>
      <c r="B236" s="2">
        <v>-0.009469</v>
      </c>
      <c r="C236">
        <v>161.4</v>
      </c>
      <c r="E236">
        <f t="shared" si="9"/>
        <v>11.6</v>
      </c>
      <c r="F236">
        <f t="shared" si="10"/>
        <v>-9.469</v>
      </c>
      <c r="G236">
        <f t="shared" si="11"/>
        <v>-15</v>
      </c>
    </row>
    <row r="237" spans="1:7">
      <c r="A237">
        <v>11.671</v>
      </c>
      <c r="B237" s="2">
        <v>-0.007593</v>
      </c>
      <c r="C237">
        <v>154</v>
      </c>
      <c r="E237">
        <f t="shared" ref="E237:E300" si="12">FLOOR(A237,0.05)</f>
        <v>11.65</v>
      </c>
      <c r="F237">
        <f t="shared" si="10"/>
        <v>-7.593</v>
      </c>
      <c r="G237">
        <f t="shared" si="11"/>
        <v>-15</v>
      </c>
    </row>
    <row r="238" spans="1:7">
      <c r="A238">
        <v>11.721</v>
      </c>
      <c r="B238" s="2">
        <v>-0.005765</v>
      </c>
      <c r="C238">
        <v>147.3</v>
      </c>
      <c r="E238">
        <f t="shared" si="12"/>
        <v>11.7</v>
      </c>
      <c r="F238">
        <f t="shared" si="10"/>
        <v>-5.765</v>
      </c>
      <c r="G238">
        <f t="shared" si="11"/>
        <v>-15</v>
      </c>
    </row>
    <row r="239" spans="1:7">
      <c r="A239">
        <v>11.771</v>
      </c>
      <c r="B239" s="2">
        <v>-0.004731</v>
      </c>
      <c r="C239">
        <v>140.4</v>
      </c>
      <c r="E239">
        <f t="shared" si="12"/>
        <v>11.75</v>
      </c>
      <c r="F239">
        <f t="shared" si="10"/>
        <v>-4.731</v>
      </c>
      <c r="G239">
        <f t="shared" si="11"/>
        <v>-15</v>
      </c>
    </row>
    <row r="240" spans="1:7">
      <c r="A240">
        <v>11.821</v>
      </c>
      <c r="B240" s="2">
        <v>-0.004371</v>
      </c>
      <c r="C240">
        <v>132</v>
      </c>
      <c r="E240">
        <f t="shared" si="12"/>
        <v>11.8</v>
      </c>
      <c r="F240">
        <f t="shared" si="10"/>
        <v>-4.371</v>
      </c>
      <c r="G240">
        <f t="shared" si="11"/>
        <v>-15</v>
      </c>
    </row>
    <row r="241" spans="1:7">
      <c r="A241">
        <v>11.871</v>
      </c>
      <c r="B241" s="2">
        <v>-0.004584</v>
      </c>
      <c r="C241">
        <v>122.8</v>
      </c>
      <c r="E241">
        <f t="shared" si="12"/>
        <v>11.85</v>
      </c>
      <c r="F241">
        <f t="shared" si="10"/>
        <v>-4.584</v>
      </c>
      <c r="G241">
        <f t="shared" si="11"/>
        <v>-15</v>
      </c>
    </row>
    <row r="242" spans="1:7">
      <c r="A242">
        <v>11.921</v>
      </c>
      <c r="B242" s="2">
        <v>-0.005471</v>
      </c>
      <c r="C242">
        <v>115.6</v>
      </c>
      <c r="E242">
        <f t="shared" si="12"/>
        <v>11.9</v>
      </c>
      <c r="F242">
        <f t="shared" si="10"/>
        <v>-5.471</v>
      </c>
      <c r="G242">
        <f t="shared" si="11"/>
        <v>-15</v>
      </c>
    </row>
    <row r="243" spans="1:7">
      <c r="A243">
        <v>11.972</v>
      </c>
      <c r="B243" s="2">
        <v>-0.006956</v>
      </c>
      <c r="C243">
        <v>107.1</v>
      </c>
      <c r="E243">
        <f t="shared" si="12"/>
        <v>11.95</v>
      </c>
      <c r="F243">
        <f t="shared" si="10"/>
        <v>-6.956</v>
      </c>
      <c r="G243">
        <f t="shared" si="11"/>
        <v>-15</v>
      </c>
    </row>
    <row r="244" spans="1:7">
      <c r="A244">
        <v>12.022</v>
      </c>
      <c r="B244" s="2">
        <v>-0.008775</v>
      </c>
      <c r="C244">
        <v>100.5</v>
      </c>
      <c r="E244">
        <f t="shared" si="12"/>
        <v>12</v>
      </c>
      <c r="F244">
        <f t="shared" si="10"/>
        <v>-8.775</v>
      </c>
      <c r="G244">
        <f t="shared" si="11"/>
        <v>-15</v>
      </c>
    </row>
    <row r="245" spans="1:7">
      <c r="A245">
        <v>12.072</v>
      </c>
      <c r="B245" s="2">
        <v>-0.01054</v>
      </c>
      <c r="C245">
        <v>95.7</v>
      </c>
      <c r="E245">
        <f t="shared" si="12"/>
        <v>12.05</v>
      </c>
      <c r="F245">
        <f t="shared" si="10"/>
        <v>-10.54</v>
      </c>
      <c r="G245">
        <f t="shared" si="11"/>
        <v>-15</v>
      </c>
    </row>
    <row r="246" spans="1:7">
      <c r="A246">
        <v>12.122</v>
      </c>
      <c r="B246" s="2">
        <v>-0.01204</v>
      </c>
      <c r="C246">
        <v>93.6</v>
      </c>
      <c r="E246">
        <f t="shared" si="12"/>
        <v>12.1</v>
      </c>
      <c r="F246">
        <f t="shared" si="10"/>
        <v>-12.04</v>
      </c>
      <c r="G246">
        <f t="shared" si="11"/>
        <v>-15</v>
      </c>
    </row>
    <row r="247" spans="1:7">
      <c r="A247">
        <v>12.172</v>
      </c>
      <c r="B247" s="2">
        <v>-0.0129</v>
      </c>
      <c r="C247">
        <v>92.2</v>
      </c>
      <c r="E247">
        <f t="shared" si="12"/>
        <v>12.15</v>
      </c>
      <c r="F247">
        <f t="shared" si="10"/>
        <v>-12.9</v>
      </c>
      <c r="G247">
        <f t="shared" si="11"/>
        <v>-15</v>
      </c>
    </row>
    <row r="248" spans="1:7">
      <c r="A248">
        <v>12.222</v>
      </c>
      <c r="B248" s="2">
        <v>-0.01311</v>
      </c>
      <c r="C248">
        <v>92.2</v>
      </c>
      <c r="E248">
        <f t="shared" si="12"/>
        <v>12.2</v>
      </c>
      <c r="F248">
        <f t="shared" si="10"/>
        <v>-13.11</v>
      </c>
      <c r="G248">
        <f t="shared" si="11"/>
        <v>-15</v>
      </c>
    </row>
    <row r="249" spans="1:7">
      <c r="A249">
        <v>12.272</v>
      </c>
      <c r="B249" s="2">
        <v>-0.01267</v>
      </c>
      <c r="C249">
        <v>92</v>
      </c>
      <c r="E249">
        <f t="shared" si="12"/>
        <v>12.25</v>
      </c>
      <c r="F249">
        <f t="shared" si="10"/>
        <v>-12.67</v>
      </c>
      <c r="G249">
        <f t="shared" si="11"/>
        <v>-15</v>
      </c>
    </row>
    <row r="250" spans="1:7">
      <c r="A250">
        <v>12.322</v>
      </c>
      <c r="B250" s="2">
        <v>-0.01144</v>
      </c>
      <c r="C250">
        <v>91.9</v>
      </c>
      <c r="E250">
        <f t="shared" si="12"/>
        <v>12.3</v>
      </c>
      <c r="F250">
        <f t="shared" si="10"/>
        <v>-11.44</v>
      </c>
      <c r="G250">
        <f t="shared" si="11"/>
        <v>-15</v>
      </c>
    </row>
    <row r="251" spans="1:7">
      <c r="A251">
        <v>12.372</v>
      </c>
      <c r="B251" s="2">
        <v>-0.009969</v>
      </c>
      <c r="C251">
        <v>92</v>
      </c>
      <c r="E251">
        <f t="shared" si="12"/>
        <v>12.35</v>
      </c>
      <c r="F251">
        <f t="shared" si="10"/>
        <v>-9.969</v>
      </c>
      <c r="G251">
        <f t="shared" si="11"/>
        <v>-15</v>
      </c>
    </row>
    <row r="252" spans="1:7">
      <c r="A252">
        <v>12.422</v>
      </c>
      <c r="B252" s="2">
        <v>-0.008296</v>
      </c>
      <c r="C252">
        <v>91.5</v>
      </c>
      <c r="E252">
        <f t="shared" si="12"/>
        <v>12.4</v>
      </c>
      <c r="F252">
        <f t="shared" si="10"/>
        <v>-8.296</v>
      </c>
      <c r="G252">
        <f t="shared" si="11"/>
        <v>-15</v>
      </c>
    </row>
    <row r="253" spans="1:7">
      <c r="A253">
        <v>12.472</v>
      </c>
      <c r="B253" s="2">
        <v>-0.006701</v>
      </c>
      <c r="C253">
        <v>91.6</v>
      </c>
      <c r="E253">
        <f t="shared" si="12"/>
        <v>12.45</v>
      </c>
      <c r="F253">
        <f t="shared" si="10"/>
        <v>-6.701</v>
      </c>
      <c r="G253">
        <f t="shared" si="11"/>
        <v>-15</v>
      </c>
    </row>
    <row r="254" spans="1:7">
      <c r="A254">
        <v>12.523</v>
      </c>
      <c r="B254" s="2">
        <v>-0.005722</v>
      </c>
      <c r="C254">
        <v>91.3</v>
      </c>
      <c r="E254">
        <f t="shared" si="12"/>
        <v>12.5</v>
      </c>
      <c r="F254">
        <f t="shared" si="10"/>
        <v>-5.722</v>
      </c>
      <c r="G254">
        <f t="shared" si="11"/>
        <v>-15</v>
      </c>
    </row>
    <row r="255" spans="1:7">
      <c r="A255">
        <v>12.573</v>
      </c>
      <c r="B255" s="2">
        <v>-0.005047</v>
      </c>
      <c r="C255">
        <v>91.4</v>
      </c>
      <c r="E255">
        <f t="shared" si="12"/>
        <v>12.55</v>
      </c>
      <c r="F255">
        <f t="shared" si="10"/>
        <v>-5.047</v>
      </c>
      <c r="G255">
        <f t="shared" si="11"/>
        <v>-15</v>
      </c>
    </row>
    <row r="256" spans="1:7">
      <c r="A256">
        <v>12.623</v>
      </c>
      <c r="B256" s="2">
        <v>-0.005102</v>
      </c>
      <c r="C256">
        <v>91.3</v>
      </c>
      <c r="E256">
        <f t="shared" si="12"/>
        <v>12.6</v>
      </c>
      <c r="F256">
        <f t="shared" si="10"/>
        <v>-5.102</v>
      </c>
      <c r="G256">
        <f t="shared" si="11"/>
        <v>-15</v>
      </c>
    </row>
    <row r="257" spans="1:7">
      <c r="A257">
        <v>12.673</v>
      </c>
      <c r="B257" s="2">
        <v>-0.005965</v>
      </c>
      <c r="C257">
        <v>91.3</v>
      </c>
      <c r="E257">
        <f t="shared" si="12"/>
        <v>12.65</v>
      </c>
      <c r="F257">
        <f t="shared" si="10"/>
        <v>-5.965</v>
      </c>
      <c r="G257">
        <f t="shared" si="11"/>
        <v>-15</v>
      </c>
    </row>
    <row r="258" spans="1:7">
      <c r="A258">
        <v>12.723</v>
      </c>
      <c r="B258" s="2">
        <v>-0.007184</v>
      </c>
      <c r="C258">
        <v>90.8</v>
      </c>
      <c r="E258">
        <f t="shared" si="12"/>
        <v>12.7</v>
      </c>
      <c r="F258">
        <f t="shared" si="10"/>
        <v>-7.184</v>
      </c>
      <c r="G258">
        <f t="shared" si="11"/>
        <v>-15</v>
      </c>
    </row>
    <row r="259" spans="1:7">
      <c r="A259">
        <v>12.773</v>
      </c>
      <c r="B259" s="2">
        <v>-0.008652</v>
      </c>
      <c r="C259">
        <v>88.5</v>
      </c>
      <c r="E259">
        <f t="shared" si="12"/>
        <v>12.75</v>
      </c>
      <c r="F259">
        <f t="shared" si="10"/>
        <v>-8.652</v>
      </c>
      <c r="G259">
        <f t="shared" si="11"/>
        <v>-15</v>
      </c>
    </row>
    <row r="260" spans="1:7">
      <c r="A260">
        <v>12.823</v>
      </c>
      <c r="B260" s="2">
        <v>-0.01032</v>
      </c>
      <c r="C260">
        <v>85.5</v>
      </c>
      <c r="E260">
        <f t="shared" si="12"/>
        <v>12.8</v>
      </c>
      <c r="F260">
        <f t="shared" si="10"/>
        <v>-10.32</v>
      </c>
      <c r="G260">
        <f t="shared" si="11"/>
        <v>-15</v>
      </c>
    </row>
    <row r="261" spans="1:7">
      <c r="A261">
        <v>12.873</v>
      </c>
      <c r="B261" s="2">
        <v>-0.01156</v>
      </c>
      <c r="C261">
        <v>83.7</v>
      </c>
      <c r="E261">
        <f t="shared" si="12"/>
        <v>12.85</v>
      </c>
      <c r="F261">
        <f t="shared" ref="F261:F324" si="13">B261*1000</f>
        <v>-11.56</v>
      </c>
      <c r="G261">
        <f t="shared" ref="G261:G324" si="14">IF(C261&lt;230,-15,5)</f>
        <v>-15</v>
      </c>
    </row>
    <row r="262" spans="1:7">
      <c r="A262">
        <v>12.923</v>
      </c>
      <c r="B262" s="2">
        <v>-0.01246</v>
      </c>
      <c r="C262">
        <v>80.6</v>
      </c>
      <c r="E262">
        <f t="shared" si="12"/>
        <v>12.9</v>
      </c>
      <c r="F262">
        <f t="shared" si="13"/>
        <v>-12.46</v>
      </c>
      <c r="G262">
        <f t="shared" si="14"/>
        <v>-15</v>
      </c>
    </row>
    <row r="263" spans="1:7">
      <c r="A263">
        <v>12.973</v>
      </c>
      <c r="B263" s="2">
        <v>-0.0127</v>
      </c>
      <c r="C263">
        <v>77.7</v>
      </c>
      <c r="E263">
        <f t="shared" si="12"/>
        <v>12.95</v>
      </c>
      <c r="F263">
        <f t="shared" si="13"/>
        <v>-12.7</v>
      </c>
      <c r="G263">
        <f t="shared" si="14"/>
        <v>-15</v>
      </c>
    </row>
    <row r="264" spans="1:7">
      <c r="A264">
        <v>13.023</v>
      </c>
      <c r="B264" s="2">
        <v>-0.01245</v>
      </c>
      <c r="C264">
        <v>74.9</v>
      </c>
      <c r="E264">
        <f t="shared" si="12"/>
        <v>13</v>
      </c>
      <c r="F264">
        <f t="shared" si="13"/>
        <v>-12.45</v>
      </c>
      <c r="G264">
        <f t="shared" si="14"/>
        <v>-15</v>
      </c>
    </row>
    <row r="265" spans="1:7">
      <c r="A265">
        <v>13.074</v>
      </c>
      <c r="B265" s="2">
        <v>-0.01155</v>
      </c>
      <c r="C265">
        <v>73.3</v>
      </c>
      <c r="E265">
        <f t="shared" si="12"/>
        <v>13.05</v>
      </c>
      <c r="F265">
        <f t="shared" si="13"/>
        <v>-11.55</v>
      </c>
      <c r="G265">
        <f t="shared" si="14"/>
        <v>-15</v>
      </c>
    </row>
    <row r="266" spans="1:7">
      <c r="A266">
        <v>13.124</v>
      </c>
      <c r="B266" s="2">
        <v>-0.0102</v>
      </c>
      <c r="C266">
        <v>73.1</v>
      </c>
      <c r="E266">
        <f t="shared" si="12"/>
        <v>13.1</v>
      </c>
      <c r="F266">
        <f t="shared" si="13"/>
        <v>-10.2</v>
      </c>
      <c r="G266">
        <f t="shared" si="14"/>
        <v>-15</v>
      </c>
    </row>
    <row r="267" spans="1:7">
      <c r="A267">
        <v>13.174</v>
      </c>
      <c r="B267" s="2">
        <v>-0.008653</v>
      </c>
      <c r="C267">
        <v>72.6</v>
      </c>
      <c r="E267">
        <f t="shared" si="12"/>
        <v>13.15</v>
      </c>
      <c r="F267">
        <f t="shared" si="13"/>
        <v>-8.653</v>
      </c>
      <c r="G267">
        <f t="shared" si="14"/>
        <v>-15</v>
      </c>
    </row>
    <row r="268" spans="1:7">
      <c r="A268">
        <v>13.224</v>
      </c>
      <c r="B268" s="2">
        <v>-0.007355</v>
      </c>
      <c r="C268">
        <v>72.1</v>
      </c>
      <c r="E268">
        <f t="shared" si="12"/>
        <v>13.2</v>
      </c>
      <c r="F268">
        <f t="shared" si="13"/>
        <v>-7.355</v>
      </c>
      <c r="G268">
        <f t="shared" si="14"/>
        <v>-15</v>
      </c>
    </row>
    <row r="269" spans="1:7">
      <c r="A269">
        <v>13.274</v>
      </c>
      <c r="B269" s="2">
        <v>-0.006515</v>
      </c>
      <c r="C269">
        <v>70.8</v>
      </c>
      <c r="E269">
        <f t="shared" si="12"/>
        <v>13.25</v>
      </c>
      <c r="F269">
        <f t="shared" si="13"/>
        <v>-6.515</v>
      </c>
      <c r="G269">
        <f t="shared" si="14"/>
        <v>-15</v>
      </c>
    </row>
    <row r="270" spans="1:7">
      <c r="A270">
        <v>13.324</v>
      </c>
      <c r="B270" s="2">
        <v>-0.006095</v>
      </c>
      <c r="C270">
        <v>69.6</v>
      </c>
      <c r="E270">
        <f t="shared" si="12"/>
        <v>13.3</v>
      </c>
      <c r="F270">
        <f t="shared" si="13"/>
        <v>-6.095</v>
      </c>
      <c r="G270">
        <f t="shared" si="14"/>
        <v>-15</v>
      </c>
    </row>
    <row r="271" spans="1:7">
      <c r="A271">
        <v>13.374</v>
      </c>
      <c r="B271" s="2">
        <v>-0.006209</v>
      </c>
      <c r="C271">
        <v>68.2</v>
      </c>
      <c r="E271">
        <f t="shared" si="12"/>
        <v>13.35</v>
      </c>
      <c r="F271">
        <f t="shared" si="13"/>
        <v>-6.209</v>
      </c>
      <c r="G271">
        <f t="shared" si="14"/>
        <v>-15</v>
      </c>
    </row>
    <row r="272" spans="1:7">
      <c r="A272">
        <v>13.424</v>
      </c>
      <c r="B272" s="2">
        <v>-0.006751</v>
      </c>
      <c r="C272">
        <v>68.5</v>
      </c>
      <c r="E272">
        <f t="shared" si="12"/>
        <v>13.4</v>
      </c>
      <c r="F272">
        <f t="shared" si="13"/>
        <v>-6.751</v>
      </c>
      <c r="G272">
        <f t="shared" si="14"/>
        <v>-15</v>
      </c>
    </row>
    <row r="273" spans="1:7">
      <c r="A273">
        <v>13.474</v>
      </c>
      <c r="B273" s="2">
        <v>-0.007848</v>
      </c>
      <c r="C273">
        <v>68.2</v>
      </c>
      <c r="E273">
        <f t="shared" si="12"/>
        <v>13.45</v>
      </c>
      <c r="F273">
        <f t="shared" si="13"/>
        <v>-7.848</v>
      </c>
      <c r="G273">
        <f t="shared" si="14"/>
        <v>-15</v>
      </c>
    </row>
    <row r="274" spans="1:7">
      <c r="A274">
        <v>13.524</v>
      </c>
      <c r="B274" s="2">
        <v>-0.009071</v>
      </c>
      <c r="C274">
        <v>67</v>
      </c>
      <c r="E274">
        <f t="shared" si="12"/>
        <v>13.5</v>
      </c>
      <c r="F274">
        <f t="shared" si="13"/>
        <v>-9.071</v>
      </c>
      <c r="G274">
        <f t="shared" si="14"/>
        <v>-15</v>
      </c>
    </row>
    <row r="275" spans="1:7">
      <c r="A275">
        <v>13.574</v>
      </c>
      <c r="B275" s="2">
        <v>-0.0105</v>
      </c>
      <c r="C275">
        <v>66.6</v>
      </c>
      <c r="E275">
        <f t="shared" si="12"/>
        <v>13.55</v>
      </c>
      <c r="F275">
        <f t="shared" si="13"/>
        <v>-10.5</v>
      </c>
      <c r="G275">
        <f t="shared" si="14"/>
        <v>-15</v>
      </c>
    </row>
    <row r="276" spans="1:7">
      <c r="A276">
        <v>13.625</v>
      </c>
      <c r="B276" s="2">
        <v>-0.01152</v>
      </c>
      <c r="C276">
        <v>66.9</v>
      </c>
      <c r="E276">
        <f t="shared" si="12"/>
        <v>13.6</v>
      </c>
      <c r="F276">
        <f t="shared" si="13"/>
        <v>-11.52</v>
      </c>
      <c r="G276">
        <f t="shared" si="14"/>
        <v>-15</v>
      </c>
    </row>
    <row r="277" spans="1:7">
      <c r="A277">
        <v>13.675</v>
      </c>
      <c r="B277" s="2">
        <v>-0.01222</v>
      </c>
      <c r="C277">
        <v>67</v>
      </c>
      <c r="E277">
        <f t="shared" si="12"/>
        <v>13.65</v>
      </c>
      <c r="F277">
        <f t="shared" si="13"/>
        <v>-12.22</v>
      </c>
      <c r="G277">
        <f t="shared" si="14"/>
        <v>-15</v>
      </c>
    </row>
    <row r="278" spans="1:7">
      <c r="A278">
        <v>13.725</v>
      </c>
      <c r="B278" s="2">
        <v>-0.01235</v>
      </c>
      <c r="C278">
        <v>66.8</v>
      </c>
      <c r="E278">
        <f t="shared" si="12"/>
        <v>13.7</v>
      </c>
      <c r="F278">
        <f t="shared" si="13"/>
        <v>-12.35</v>
      </c>
      <c r="G278">
        <f t="shared" si="14"/>
        <v>-15</v>
      </c>
    </row>
    <row r="279" spans="1:7">
      <c r="A279">
        <v>13.775</v>
      </c>
      <c r="B279" s="2">
        <v>-0.01203</v>
      </c>
      <c r="C279">
        <v>67.3</v>
      </c>
      <c r="E279">
        <f t="shared" si="12"/>
        <v>13.75</v>
      </c>
      <c r="F279">
        <f t="shared" si="13"/>
        <v>-12.03</v>
      </c>
      <c r="G279">
        <f t="shared" si="14"/>
        <v>-15</v>
      </c>
    </row>
    <row r="280" spans="1:7">
      <c r="A280">
        <v>13.825</v>
      </c>
      <c r="B280" s="2">
        <v>-0.01117</v>
      </c>
      <c r="C280">
        <v>66.6</v>
      </c>
      <c r="E280">
        <f t="shared" si="12"/>
        <v>13.8</v>
      </c>
      <c r="F280">
        <f t="shared" si="13"/>
        <v>-11.17</v>
      </c>
      <c r="G280">
        <f t="shared" si="14"/>
        <v>-15</v>
      </c>
    </row>
    <row r="281" spans="1:7">
      <c r="A281">
        <v>13.875</v>
      </c>
      <c r="B281" s="2">
        <v>-0.01012</v>
      </c>
      <c r="C281">
        <v>67.6</v>
      </c>
      <c r="E281">
        <f t="shared" si="12"/>
        <v>13.85</v>
      </c>
      <c r="F281">
        <f t="shared" si="13"/>
        <v>-10.12</v>
      </c>
      <c r="G281">
        <f t="shared" si="14"/>
        <v>-15</v>
      </c>
    </row>
    <row r="282" spans="1:7">
      <c r="A282">
        <v>13.925</v>
      </c>
      <c r="B282" s="2">
        <v>-0.008799</v>
      </c>
      <c r="C282">
        <v>67.1</v>
      </c>
      <c r="E282">
        <f t="shared" si="12"/>
        <v>13.9</v>
      </c>
      <c r="F282">
        <f t="shared" si="13"/>
        <v>-8.799</v>
      </c>
      <c r="G282">
        <f t="shared" si="14"/>
        <v>-15</v>
      </c>
    </row>
    <row r="283" spans="1:7">
      <c r="A283">
        <v>13.975</v>
      </c>
      <c r="B283" s="2">
        <v>-0.007722</v>
      </c>
      <c r="C283">
        <v>66.5</v>
      </c>
      <c r="E283">
        <f t="shared" si="12"/>
        <v>13.95</v>
      </c>
      <c r="F283">
        <f t="shared" si="13"/>
        <v>-7.722</v>
      </c>
      <c r="G283">
        <f t="shared" si="14"/>
        <v>-15</v>
      </c>
    </row>
    <row r="284" spans="1:7">
      <c r="A284">
        <v>14.025</v>
      </c>
      <c r="B284" s="2">
        <v>-0.00697</v>
      </c>
      <c r="C284">
        <v>66.7</v>
      </c>
      <c r="E284">
        <f t="shared" si="12"/>
        <v>14</v>
      </c>
      <c r="F284">
        <f t="shared" si="13"/>
        <v>-6.97</v>
      </c>
      <c r="G284">
        <f t="shared" si="14"/>
        <v>-15</v>
      </c>
    </row>
    <row r="285" spans="1:7">
      <c r="A285">
        <v>14.075</v>
      </c>
      <c r="B285" s="2">
        <v>-0.006747</v>
      </c>
      <c r="C285">
        <v>67.5</v>
      </c>
      <c r="E285">
        <f t="shared" si="12"/>
        <v>14.05</v>
      </c>
      <c r="F285">
        <f t="shared" si="13"/>
        <v>-6.747</v>
      </c>
      <c r="G285">
        <f t="shared" si="14"/>
        <v>-15</v>
      </c>
    </row>
    <row r="286" spans="1:7">
      <c r="A286">
        <v>14.125</v>
      </c>
      <c r="B286" s="2">
        <v>-0.006885</v>
      </c>
      <c r="C286">
        <v>66.4</v>
      </c>
      <c r="E286">
        <f t="shared" si="12"/>
        <v>14.1</v>
      </c>
      <c r="F286">
        <f t="shared" si="13"/>
        <v>-6.885</v>
      </c>
      <c r="G286">
        <f t="shared" si="14"/>
        <v>-15</v>
      </c>
    </row>
    <row r="287" spans="1:7">
      <c r="A287">
        <v>14.175</v>
      </c>
      <c r="B287" s="2">
        <v>-0.007526</v>
      </c>
      <c r="C287">
        <v>66.6</v>
      </c>
      <c r="E287">
        <f t="shared" si="12"/>
        <v>14.15</v>
      </c>
      <c r="F287">
        <f t="shared" si="13"/>
        <v>-7.526</v>
      </c>
      <c r="G287">
        <f t="shared" si="14"/>
        <v>-15</v>
      </c>
    </row>
    <row r="288" spans="1:7">
      <c r="A288">
        <v>14.226</v>
      </c>
      <c r="B288" s="2">
        <v>-0.008576</v>
      </c>
      <c r="C288">
        <v>67.1</v>
      </c>
      <c r="E288">
        <f t="shared" si="12"/>
        <v>14.2</v>
      </c>
      <c r="F288">
        <f t="shared" si="13"/>
        <v>-8.576</v>
      </c>
      <c r="G288">
        <f t="shared" si="14"/>
        <v>-15</v>
      </c>
    </row>
    <row r="289" spans="1:7">
      <c r="A289">
        <v>14.276</v>
      </c>
      <c r="B289" s="2">
        <v>-0.009713</v>
      </c>
      <c r="C289">
        <v>67.1</v>
      </c>
      <c r="E289">
        <f t="shared" si="12"/>
        <v>14.25</v>
      </c>
      <c r="F289">
        <f t="shared" si="13"/>
        <v>-9.713</v>
      </c>
      <c r="G289">
        <f t="shared" si="14"/>
        <v>-15</v>
      </c>
    </row>
    <row r="290" spans="1:7">
      <c r="A290">
        <v>14.326</v>
      </c>
      <c r="B290" s="2">
        <v>-0.01083</v>
      </c>
      <c r="C290">
        <v>67.2</v>
      </c>
      <c r="E290">
        <f t="shared" si="12"/>
        <v>14.3</v>
      </c>
      <c r="F290">
        <f t="shared" si="13"/>
        <v>-10.83</v>
      </c>
      <c r="G290">
        <f t="shared" si="14"/>
        <v>-15</v>
      </c>
    </row>
    <row r="291" spans="1:7">
      <c r="A291">
        <v>14.376</v>
      </c>
      <c r="B291" s="2">
        <v>-0.01163</v>
      </c>
      <c r="C291">
        <v>67.1</v>
      </c>
      <c r="E291">
        <f t="shared" si="12"/>
        <v>14.35</v>
      </c>
      <c r="F291">
        <f t="shared" si="13"/>
        <v>-11.63</v>
      </c>
      <c r="G291">
        <f t="shared" si="14"/>
        <v>-15</v>
      </c>
    </row>
    <row r="292" spans="1:7">
      <c r="A292">
        <v>14.426</v>
      </c>
      <c r="B292" s="2">
        <v>-0.01211</v>
      </c>
      <c r="C292">
        <v>67.4</v>
      </c>
      <c r="E292">
        <f t="shared" si="12"/>
        <v>14.4</v>
      </c>
      <c r="F292">
        <f t="shared" si="13"/>
        <v>-12.11</v>
      </c>
      <c r="G292">
        <f t="shared" si="14"/>
        <v>-15</v>
      </c>
    </row>
    <row r="293" spans="1:7">
      <c r="A293">
        <v>14.476</v>
      </c>
      <c r="B293" s="2">
        <v>-0.01208</v>
      </c>
      <c r="C293">
        <v>67.1</v>
      </c>
      <c r="E293">
        <f t="shared" si="12"/>
        <v>14.45</v>
      </c>
      <c r="F293">
        <f t="shared" si="13"/>
        <v>-12.08</v>
      </c>
      <c r="G293">
        <f t="shared" si="14"/>
        <v>-15</v>
      </c>
    </row>
    <row r="294" spans="1:7">
      <c r="A294">
        <v>14.526</v>
      </c>
      <c r="B294" s="2">
        <v>-0.01166</v>
      </c>
      <c r="C294">
        <v>67.3</v>
      </c>
      <c r="E294">
        <f t="shared" si="12"/>
        <v>14.5</v>
      </c>
      <c r="F294">
        <f t="shared" si="13"/>
        <v>-11.66</v>
      </c>
      <c r="G294">
        <f t="shared" si="14"/>
        <v>-15</v>
      </c>
    </row>
    <row r="295" spans="1:7">
      <c r="A295">
        <v>14.576</v>
      </c>
      <c r="B295" s="2">
        <v>-0.01081</v>
      </c>
      <c r="C295">
        <v>66.3</v>
      </c>
      <c r="E295">
        <f t="shared" si="12"/>
        <v>14.55</v>
      </c>
      <c r="F295">
        <f t="shared" si="13"/>
        <v>-10.81</v>
      </c>
      <c r="G295">
        <f t="shared" si="14"/>
        <v>-15</v>
      </c>
    </row>
    <row r="296" spans="1:7">
      <c r="A296">
        <v>14.626</v>
      </c>
      <c r="B296" s="2">
        <v>-0.009809</v>
      </c>
      <c r="C296">
        <v>66.9</v>
      </c>
      <c r="E296">
        <f t="shared" si="12"/>
        <v>14.6</v>
      </c>
      <c r="F296">
        <f t="shared" si="13"/>
        <v>-9.809</v>
      </c>
      <c r="G296">
        <f t="shared" si="14"/>
        <v>-15</v>
      </c>
    </row>
    <row r="297" spans="1:7">
      <c r="A297">
        <v>14.676</v>
      </c>
      <c r="B297" s="2">
        <v>-0.008692</v>
      </c>
      <c r="C297">
        <v>68</v>
      </c>
      <c r="E297">
        <f t="shared" si="12"/>
        <v>14.65</v>
      </c>
      <c r="F297">
        <f t="shared" si="13"/>
        <v>-8.692</v>
      </c>
      <c r="G297">
        <f t="shared" si="14"/>
        <v>-15</v>
      </c>
    </row>
    <row r="298" spans="1:7">
      <c r="A298">
        <v>14.726</v>
      </c>
      <c r="B298" s="2">
        <v>-0.007911</v>
      </c>
      <c r="C298">
        <v>67</v>
      </c>
      <c r="E298">
        <f t="shared" si="12"/>
        <v>14.7</v>
      </c>
      <c r="F298">
        <f t="shared" si="13"/>
        <v>-7.911</v>
      </c>
      <c r="G298">
        <f t="shared" si="14"/>
        <v>-15</v>
      </c>
    </row>
    <row r="299" spans="1:7">
      <c r="A299">
        <v>14.777</v>
      </c>
      <c r="B299" s="2">
        <v>-0.007371</v>
      </c>
      <c r="C299">
        <v>67.5</v>
      </c>
      <c r="E299">
        <f t="shared" si="12"/>
        <v>14.75</v>
      </c>
      <c r="F299">
        <f t="shared" si="13"/>
        <v>-7.371</v>
      </c>
      <c r="G299">
        <f t="shared" si="14"/>
        <v>-15</v>
      </c>
    </row>
    <row r="300" spans="1:7">
      <c r="A300">
        <v>14.827</v>
      </c>
      <c r="B300" s="2">
        <v>-0.007312</v>
      </c>
      <c r="C300">
        <v>67.7</v>
      </c>
      <c r="E300">
        <f t="shared" si="12"/>
        <v>14.8</v>
      </c>
      <c r="F300">
        <f t="shared" si="13"/>
        <v>-7.312</v>
      </c>
      <c r="G300">
        <f t="shared" si="14"/>
        <v>-15</v>
      </c>
    </row>
    <row r="301" spans="1:7">
      <c r="A301">
        <v>14.877</v>
      </c>
      <c r="B301" s="2">
        <v>-0.007577</v>
      </c>
      <c r="C301">
        <v>67.8</v>
      </c>
      <c r="E301">
        <f t="shared" ref="E301:E364" si="15">FLOOR(A301,0.05)</f>
        <v>14.85</v>
      </c>
      <c r="F301">
        <f t="shared" si="13"/>
        <v>-7.577</v>
      </c>
      <c r="G301">
        <f t="shared" si="14"/>
        <v>-15</v>
      </c>
    </row>
    <row r="302" spans="1:7">
      <c r="A302">
        <v>14.927</v>
      </c>
      <c r="B302" s="2">
        <v>-0.008299</v>
      </c>
      <c r="C302">
        <v>67.5</v>
      </c>
      <c r="E302">
        <f t="shared" si="15"/>
        <v>14.9</v>
      </c>
      <c r="F302">
        <f t="shared" si="13"/>
        <v>-8.299</v>
      </c>
      <c r="G302">
        <f t="shared" si="14"/>
        <v>-15</v>
      </c>
    </row>
    <row r="303" spans="1:7">
      <c r="A303">
        <v>14.977</v>
      </c>
      <c r="B303" s="2">
        <v>-0.00919</v>
      </c>
      <c r="C303">
        <v>67.5</v>
      </c>
      <c r="E303">
        <f t="shared" si="15"/>
        <v>14.95</v>
      </c>
      <c r="F303">
        <f t="shared" si="13"/>
        <v>-9.19</v>
      </c>
      <c r="G303">
        <f t="shared" si="14"/>
        <v>-15</v>
      </c>
    </row>
    <row r="304" spans="1:7">
      <c r="A304">
        <v>15.027</v>
      </c>
      <c r="B304" s="2">
        <v>-0.01028</v>
      </c>
      <c r="C304">
        <v>68.5</v>
      </c>
      <c r="E304">
        <f t="shared" si="15"/>
        <v>15</v>
      </c>
      <c r="F304">
        <f t="shared" si="13"/>
        <v>-10.28</v>
      </c>
      <c r="G304">
        <f t="shared" si="14"/>
        <v>-15</v>
      </c>
    </row>
    <row r="305" spans="1:7">
      <c r="A305">
        <v>15.077</v>
      </c>
      <c r="B305" s="2">
        <v>-0.01111</v>
      </c>
      <c r="C305">
        <v>67.8</v>
      </c>
      <c r="E305">
        <f t="shared" si="15"/>
        <v>15.05</v>
      </c>
      <c r="F305">
        <f t="shared" si="13"/>
        <v>-11.11</v>
      </c>
      <c r="G305">
        <f t="shared" si="14"/>
        <v>-15</v>
      </c>
    </row>
    <row r="306" spans="1:7">
      <c r="A306">
        <v>15.127</v>
      </c>
      <c r="B306" s="2">
        <v>-0.01186</v>
      </c>
      <c r="C306">
        <v>67.9</v>
      </c>
      <c r="E306">
        <f t="shared" si="15"/>
        <v>15.1</v>
      </c>
      <c r="F306">
        <f t="shared" si="13"/>
        <v>-11.86</v>
      </c>
      <c r="G306">
        <f t="shared" si="14"/>
        <v>-15</v>
      </c>
    </row>
    <row r="307" spans="1:7">
      <c r="A307">
        <v>15.177</v>
      </c>
      <c r="B307" s="2">
        <v>-0.01202</v>
      </c>
      <c r="C307">
        <v>67.4</v>
      </c>
      <c r="E307">
        <f t="shared" si="15"/>
        <v>15.15</v>
      </c>
      <c r="F307">
        <f t="shared" si="13"/>
        <v>-12.02</v>
      </c>
      <c r="G307">
        <f t="shared" si="14"/>
        <v>-15</v>
      </c>
    </row>
    <row r="308" spans="1:7">
      <c r="A308">
        <v>15.227</v>
      </c>
      <c r="B308" s="2">
        <v>-0.01184</v>
      </c>
      <c r="C308">
        <v>67.4</v>
      </c>
      <c r="E308">
        <f t="shared" si="15"/>
        <v>15.2</v>
      </c>
      <c r="F308">
        <f t="shared" si="13"/>
        <v>-11.84</v>
      </c>
      <c r="G308">
        <f t="shared" si="14"/>
        <v>-15</v>
      </c>
    </row>
    <row r="309" spans="1:7">
      <c r="A309">
        <v>15.277</v>
      </c>
      <c r="B309" s="2">
        <v>-0.01119</v>
      </c>
      <c r="C309">
        <v>67.3</v>
      </c>
      <c r="E309">
        <f t="shared" si="15"/>
        <v>15.25</v>
      </c>
      <c r="F309">
        <f t="shared" si="13"/>
        <v>-11.19</v>
      </c>
      <c r="G309">
        <f t="shared" si="14"/>
        <v>-15</v>
      </c>
    </row>
    <row r="310" spans="1:7">
      <c r="A310">
        <v>15.328</v>
      </c>
      <c r="B310" s="2">
        <v>-0.01037</v>
      </c>
      <c r="C310">
        <v>67.4</v>
      </c>
      <c r="E310">
        <f t="shared" si="15"/>
        <v>15.3</v>
      </c>
      <c r="F310">
        <f t="shared" si="13"/>
        <v>-10.37</v>
      </c>
      <c r="G310">
        <f t="shared" si="14"/>
        <v>-15</v>
      </c>
    </row>
    <row r="311" spans="1:7">
      <c r="A311">
        <v>15.378</v>
      </c>
      <c r="B311" s="2">
        <v>-0.009369</v>
      </c>
      <c r="C311">
        <v>68.1</v>
      </c>
      <c r="E311">
        <f t="shared" si="15"/>
        <v>15.35</v>
      </c>
      <c r="F311">
        <f t="shared" si="13"/>
        <v>-9.369</v>
      </c>
      <c r="G311">
        <f t="shared" si="14"/>
        <v>-15</v>
      </c>
    </row>
    <row r="312" spans="1:7">
      <c r="A312">
        <v>15.428</v>
      </c>
      <c r="B312" s="2">
        <v>-0.008537</v>
      </c>
      <c r="C312">
        <v>67.3</v>
      </c>
      <c r="E312">
        <f t="shared" si="15"/>
        <v>15.4</v>
      </c>
      <c r="F312">
        <f t="shared" si="13"/>
        <v>-8.537</v>
      </c>
      <c r="G312">
        <f t="shared" si="14"/>
        <v>-15</v>
      </c>
    </row>
    <row r="313" spans="1:7">
      <c r="A313">
        <v>15.478</v>
      </c>
      <c r="B313" s="2">
        <v>-0.008019</v>
      </c>
      <c r="C313">
        <v>67</v>
      </c>
      <c r="E313">
        <f t="shared" si="15"/>
        <v>15.45</v>
      </c>
      <c r="F313">
        <f t="shared" si="13"/>
        <v>-8.019</v>
      </c>
      <c r="G313">
        <f t="shared" si="14"/>
        <v>-15</v>
      </c>
    </row>
    <row r="314" spans="1:7">
      <c r="A314">
        <v>15.528</v>
      </c>
      <c r="B314" s="2">
        <v>-0.007712</v>
      </c>
      <c r="C314">
        <v>66.9</v>
      </c>
      <c r="E314">
        <f t="shared" si="15"/>
        <v>15.5</v>
      </c>
      <c r="F314">
        <f t="shared" si="13"/>
        <v>-7.712</v>
      </c>
      <c r="G314">
        <f t="shared" si="14"/>
        <v>-15</v>
      </c>
    </row>
    <row r="315" spans="1:7">
      <c r="A315">
        <v>15.578</v>
      </c>
      <c r="B315" s="2">
        <v>-0.007819</v>
      </c>
      <c r="C315">
        <v>67.3</v>
      </c>
      <c r="E315">
        <f t="shared" si="15"/>
        <v>15.55</v>
      </c>
      <c r="F315">
        <f t="shared" si="13"/>
        <v>-7.819</v>
      </c>
      <c r="G315">
        <f t="shared" si="14"/>
        <v>-15</v>
      </c>
    </row>
    <row r="316" spans="1:7">
      <c r="A316">
        <v>15.628</v>
      </c>
      <c r="B316" s="2">
        <v>-0.008326</v>
      </c>
      <c r="C316">
        <v>66.7</v>
      </c>
      <c r="E316">
        <f t="shared" si="15"/>
        <v>15.6</v>
      </c>
      <c r="F316">
        <f t="shared" si="13"/>
        <v>-8.326</v>
      </c>
      <c r="G316">
        <f t="shared" si="14"/>
        <v>-15</v>
      </c>
    </row>
    <row r="317" spans="1:7">
      <c r="A317">
        <v>15.678</v>
      </c>
      <c r="B317" s="2">
        <v>-0.009014</v>
      </c>
      <c r="C317">
        <v>67</v>
      </c>
      <c r="E317">
        <f t="shared" si="15"/>
        <v>15.65</v>
      </c>
      <c r="F317">
        <f t="shared" si="13"/>
        <v>-9.014</v>
      </c>
      <c r="G317">
        <f t="shared" si="14"/>
        <v>-15</v>
      </c>
    </row>
    <row r="318" spans="1:7">
      <c r="A318">
        <v>15.728</v>
      </c>
      <c r="B318" s="2">
        <v>-0.009941</v>
      </c>
      <c r="C318">
        <v>67.6</v>
      </c>
      <c r="E318">
        <f t="shared" si="15"/>
        <v>15.7</v>
      </c>
      <c r="F318">
        <f t="shared" si="13"/>
        <v>-9.941</v>
      </c>
      <c r="G318">
        <f t="shared" si="14"/>
        <v>-15</v>
      </c>
    </row>
    <row r="319" spans="1:7">
      <c r="A319">
        <v>15.778</v>
      </c>
      <c r="B319" s="2">
        <v>-0.01079</v>
      </c>
      <c r="C319">
        <v>67.4</v>
      </c>
      <c r="E319">
        <f t="shared" si="15"/>
        <v>15.75</v>
      </c>
      <c r="F319">
        <f t="shared" si="13"/>
        <v>-10.79</v>
      </c>
      <c r="G319">
        <f t="shared" si="14"/>
        <v>-15</v>
      </c>
    </row>
    <row r="320" spans="1:7">
      <c r="A320">
        <v>15.828</v>
      </c>
      <c r="B320" s="2">
        <v>-0.0115</v>
      </c>
      <c r="C320">
        <v>67</v>
      </c>
      <c r="E320">
        <f t="shared" si="15"/>
        <v>15.8</v>
      </c>
      <c r="F320">
        <f t="shared" si="13"/>
        <v>-11.5</v>
      </c>
      <c r="G320">
        <f t="shared" si="14"/>
        <v>-15</v>
      </c>
    </row>
    <row r="321" spans="1:7">
      <c r="A321">
        <v>15.879</v>
      </c>
      <c r="B321" s="2">
        <v>-0.01185</v>
      </c>
      <c r="C321">
        <v>68.1</v>
      </c>
      <c r="E321">
        <f t="shared" si="15"/>
        <v>15.85</v>
      </c>
      <c r="F321">
        <f t="shared" si="13"/>
        <v>-11.85</v>
      </c>
      <c r="G321">
        <f t="shared" si="14"/>
        <v>-15</v>
      </c>
    </row>
    <row r="322" spans="1:7">
      <c r="A322">
        <v>15.929</v>
      </c>
      <c r="B322" s="2">
        <v>-0.01178</v>
      </c>
      <c r="C322">
        <v>66.9</v>
      </c>
      <c r="E322">
        <f t="shared" si="15"/>
        <v>15.9</v>
      </c>
      <c r="F322">
        <f t="shared" si="13"/>
        <v>-11.78</v>
      </c>
      <c r="G322">
        <f t="shared" si="14"/>
        <v>-15</v>
      </c>
    </row>
    <row r="323" spans="1:7">
      <c r="A323">
        <v>15.979</v>
      </c>
      <c r="B323" s="2">
        <v>-0.01147</v>
      </c>
      <c r="C323">
        <v>67</v>
      </c>
      <c r="E323">
        <f t="shared" si="15"/>
        <v>15.95</v>
      </c>
      <c r="F323">
        <f t="shared" si="13"/>
        <v>-11.47</v>
      </c>
      <c r="G323">
        <f t="shared" si="14"/>
        <v>-15</v>
      </c>
    </row>
    <row r="324" spans="1:7">
      <c r="A324">
        <v>16.029</v>
      </c>
      <c r="B324" s="2">
        <v>-0.01075</v>
      </c>
      <c r="C324">
        <v>67.5</v>
      </c>
      <c r="E324">
        <f t="shared" si="15"/>
        <v>16</v>
      </c>
      <c r="F324">
        <f t="shared" si="13"/>
        <v>-10.75</v>
      </c>
      <c r="G324">
        <f t="shared" si="14"/>
        <v>-15</v>
      </c>
    </row>
    <row r="325" spans="1:7">
      <c r="A325">
        <v>16.079</v>
      </c>
      <c r="B325" s="2">
        <v>-0.009909</v>
      </c>
      <c r="C325">
        <v>68</v>
      </c>
      <c r="E325">
        <f t="shared" si="15"/>
        <v>16.05</v>
      </c>
      <c r="F325">
        <f t="shared" ref="F325:F388" si="16">B325*1000</f>
        <v>-9.909</v>
      </c>
      <c r="G325">
        <f t="shared" ref="G325:G388" si="17">IF(C325&lt;230,-15,5)</f>
        <v>-15</v>
      </c>
    </row>
    <row r="326" spans="1:7">
      <c r="A326">
        <v>16.129</v>
      </c>
      <c r="B326" s="2">
        <v>-0.009141</v>
      </c>
      <c r="C326">
        <v>67.2</v>
      </c>
      <c r="E326">
        <f t="shared" si="15"/>
        <v>16.1</v>
      </c>
      <c r="F326">
        <f t="shared" si="16"/>
        <v>-9.141</v>
      </c>
      <c r="G326">
        <f t="shared" si="17"/>
        <v>-15</v>
      </c>
    </row>
    <row r="327" spans="1:7">
      <c r="A327">
        <v>16.179</v>
      </c>
      <c r="B327" s="2">
        <v>-0.008465</v>
      </c>
      <c r="C327">
        <v>67.3</v>
      </c>
      <c r="E327">
        <f t="shared" si="15"/>
        <v>16.15</v>
      </c>
      <c r="F327">
        <f t="shared" si="16"/>
        <v>-8.465</v>
      </c>
      <c r="G327">
        <f t="shared" si="17"/>
        <v>-15</v>
      </c>
    </row>
    <row r="328" spans="1:7">
      <c r="A328">
        <v>16.229</v>
      </c>
      <c r="B328" s="2">
        <v>-0.008149</v>
      </c>
      <c r="C328">
        <v>67.3</v>
      </c>
      <c r="E328">
        <f t="shared" si="15"/>
        <v>16.2</v>
      </c>
      <c r="F328">
        <f t="shared" si="16"/>
        <v>-8.149</v>
      </c>
      <c r="G328">
        <f t="shared" si="17"/>
        <v>-15</v>
      </c>
    </row>
    <row r="329" spans="1:7">
      <c r="A329">
        <v>16.279</v>
      </c>
      <c r="B329" s="2">
        <v>-0.008139</v>
      </c>
      <c r="C329">
        <v>67.4</v>
      </c>
      <c r="E329">
        <f t="shared" si="15"/>
        <v>16.25</v>
      </c>
      <c r="F329">
        <f t="shared" si="16"/>
        <v>-8.139</v>
      </c>
      <c r="G329">
        <f t="shared" si="17"/>
        <v>-15</v>
      </c>
    </row>
    <row r="330" spans="1:7">
      <c r="A330">
        <v>16.329</v>
      </c>
      <c r="B330" s="2">
        <v>-0.008356</v>
      </c>
      <c r="C330">
        <v>67.9</v>
      </c>
      <c r="E330">
        <f t="shared" si="15"/>
        <v>16.3</v>
      </c>
      <c r="F330">
        <f t="shared" si="16"/>
        <v>-8.356</v>
      </c>
      <c r="G330">
        <f t="shared" si="17"/>
        <v>-15</v>
      </c>
    </row>
    <row r="331" spans="1:7">
      <c r="A331">
        <v>16.379</v>
      </c>
      <c r="B331" s="2">
        <v>-0.008799</v>
      </c>
      <c r="C331">
        <v>67.7</v>
      </c>
      <c r="E331">
        <f t="shared" si="15"/>
        <v>16.35</v>
      </c>
      <c r="F331">
        <f t="shared" si="16"/>
        <v>-8.799</v>
      </c>
      <c r="G331">
        <f t="shared" si="17"/>
        <v>-15</v>
      </c>
    </row>
    <row r="332" spans="1:7">
      <c r="A332">
        <v>16.43</v>
      </c>
      <c r="B332" s="2">
        <v>-0.009616</v>
      </c>
      <c r="C332">
        <v>67.8</v>
      </c>
      <c r="E332">
        <f t="shared" si="15"/>
        <v>16.4</v>
      </c>
      <c r="F332">
        <f t="shared" si="16"/>
        <v>-9.616</v>
      </c>
      <c r="G332">
        <f t="shared" si="17"/>
        <v>-15</v>
      </c>
    </row>
    <row r="333" spans="1:7">
      <c r="A333">
        <v>16.48</v>
      </c>
      <c r="B333" s="2">
        <v>-0.01043</v>
      </c>
      <c r="C333">
        <v>67.8</v>
      </c>
      <c r="E333">
        <f t="shared" si="15"/>
        <v>16.45</v>
      </c>
      <c r="F333">
        <f t="shared" si="16"/>
        <v>-10.43</v>
      </c>
      <c r="G333">
        <f t="shared" si="17"/>
        <v>-15</v>
      </c>
    </row>
    <row r="334" spans="1:7">
      <c r="A334">
        <v>16.53</v>
      </c>
      <c r="B334" s="2">
        <v>-0.01104</v>
      </c>
      <c r="C334">
        <v>67.5</v>
      </c>
      <c r="E334">
        <f t="shared" si="15"/>
        <v>16.5</v>
      </c>
      <c r="F334">
        <f t="shared" si="16"/>
        <v>-11.04</v>
      </c>
      <c r="G334">
        <f t="shared" si="17"/>
        <v>-15</v>
      </c>
    </row>
    <row r="335" spans="1:7">
      <c r="A335">
        <v>16.58</v>
      </c>
      <c r="B335" s="2">
        <v>-0.01141</v>
      </c>
      <c r="C335">
        <v>67.2</v>
      </c>
      <c r="E335">
        <f t="shared" si="15"/>
        <v>16.55</v>
      </c>
      <c r="F335">
        <f t="shared" si="16"/>
        <v>-11.41</v>
      </c>
      <c r="G335">
        <f t="shared" si="17"/>
        <v>-15</v>
      </c>
    </row>
    <row r="336" spans="1:7">
      <c r="A336">
        <v>16.63</v>
      </c>
      <c r="B336" s="2">
        <v>-0.01149</v>
      </c>
      <c r="C336">
        <v>66.9</v>
      </c>
      <c r="E336">
        <f t="shared" si="15"/>
        <v>16.6</v>
      </c>
      <c r="F336">
        <f t="shared" si="16"/>
        <v>-11.49</v>
      </c>
      <c r="G336">
        <f t="shared" si="17"/>
        <v>-15</v>
      </c>
    </row>
    <row r="337" spans="1:7">
      <c r="A337">
        <v>16.68</v>
      </c>
      <c r="B337" s="2">
        <v>-0.01126</v>
      </c>
      <c r="C337">
        <v>67.4</v>
      </c>
      <c r="E337">
        <f t="shared" si="15"/>
        <v>16.65</v>
      </c>
      <c r="F337">
        <f t="shared" si="16"/>
        <v>-11.26</v>
      </c>
      <c r="G337">
        <f t="shared" si="17"/>
        <v>-15</v>
      </c>
    </row>
    <row r="338" spans="1:7">
      <c r="A338">
        <v>16.73</v>
      </c>
      <c r="B338" s="2">
        <v>-0.01087</v>
      </c>
      <c r="C338">
        <v>68</v>
      </c>
      <c r="E338">
        <f t="shared" si="15"/>
        <v>16.7</v>
      </c>
      <c r="F338">
        <f t="shared" si="16"/>
        <v>-10.87</v>
      </c>
      <c r="G338">
        <f t="shared" si="17"/>
        <v>-15</v>
      </c>
    </row>
    <row r="339" spans="1:7">
      <c r="A339">
        <v>16.78</v>
      </c>
      <c r="B339" s="2">
        <v>-0.01022</v>
      </c>
      <c r="C339">
        <v>67.9</v>
      </c>
      <c r="E339">
        <f t="shared" si="15"/>
        <v>16.75</v>
      </c>
      <c r="F339">
        <f t="shared" si="16"/>
        <v>-10.22</v>
      </c>
      <c r="G339">
        <f t="shared" si="17"/>
        <v>-15</v>
      </c>
    </row>
    <row r="340" spans="1:7">
      <c r="A340">
        <v>16.83</v>
      </c>
      <c r="B340" s="2">
        <v>-0.009392</v>
      </c>
      <c r="C340">
        <v>67.4</v>
      </c>
      <c r="E340">
        <f t="shared" si="15"/>
        <v>16.8</v>
      </c>
      <c r="F340">
        <f t="shared" si="16"/>
        <v>-9.392</v>
      </c>
      <c r="G340">
        <f t="shared" si="17"/>
        <v>-15</v>
      </c>
    </row>
    <row r="341" spans="1:7">
      <c r="A341">
        <v>16.88</v>
      </c>
      <c r="B341" s="2">
        <v>-0.00878</v>
      </c>
      <c r="C341">
        <v>67.9</v>
      </c>
      <c r="E341">
        <f t="shared" si="15"/>
        <v>16.85</v>
      </c>
      <c r="F341">
        <f t="shared" si="16"/>
        <v>-8.78</v>
      </c>
      <c r="G341">
        <f t="shared" si="17"/>
        <v>-15</v>
      </c>
    </row>
    <row r="342" spans="1:7">
      <c r="A342">
        <v>16.93</v>
      </c>
      <c r="B342" s="2">
        <v>-0.008458</v>
      </c>
      <c r="C342">
        <v>67.3</v>
      </c>
      <c r="E342">
        <f t="shared" si="15"/>
        <v>16.9</v>
      </c>
      <c r="F342">
        <f t="shared" si="16"/>
        <v>-8.458</v>
      </c>
      <c r="G342">
        <f t="shared" si="17"/>
        <v>-15</v>
      </c>
    </row>
    <row r="343" spans="1:7">
      <c r="A343">
        <v>16.981</v>
      </c>
      <c r="B343" s="2">
        <v>-0.008282</v>
      </c>
      <c r="C343">
        <v>67</v>
      </c>
      <c r="E343">
        <f t="shared" si="15"/>
        <v>16.95</v>
      </c>
      <c r="F343">
        <f t="shared" si="16"/>
        <v>-8.282</v>
      </c>
      <c r="G343">
        <f t="shared" si="17"/>
        <v>-15</v>
      </c>
    </row>
    <row r="344" spans="1:7">
      <c r="A344">
        <v>17.031</v>
      </c>
      <c r="B344" s="2">
        <v>-0.008346</v>
      </c>
      <c r="C344">
        <v>66.8</v>
      </c>
      <c r="E344">
        <f t="shared" si="15"/>
        <v>17</v>
      </c>
      <c r="F344">
        <f t="shared" si="16"/>
        <v>-8.346</v>
      </c>
      <c r="G344">
        <f t="shared" si="17"/>
        <v>-15</v>
      </c>
    </row>
    <row r="345" spans="1:7">
      <c r="A345">
        <v>17.081</v>
      </c>
      <c r="B345" s="2">
        <v>-0.008669</v>
      </c>
      <c r="C345">
        <v>67.1</v>
      </c>
      <c r="E345">
        <f t="shared" si="15"/>
        <v>17.05</v>
      </c>
      <c r="F345">
        <f t="shared" si="16"/>
        <v>-8.669</v>
      </c>
      <c r="G345">
        <f t="shared" si="17"/>
        <v>-15</v>
      </c>
    </row>
    <row r="346" spans="1:7">
      <c r="A346">
        <v>17.131</v>
      </c>
      <c r="B346" s="2">
        <v>-0.009259</v>
      </c>
      <c r="C346">
        <v>67.7</v>
      </c>
      <c r="E346">
        <f t="shared" si="15"/>
        <v>17.1</v>
      </c>
      <c r="F346">
        <f t="shared" si="16"/>
        <v>-9.259</v>
      </c>
      <c r="G346">
        <f t="shared" si="17"/>
        <v>-15</v>
      </c>
    </row>
    <row r="347" spans="1:7">
      <c r="A347">
        <v>17.181</v>
      </c>
      <c r="B347" s="2">
        <v>-0.01008</v>
      </c>
      <c r="C347">
        <v>67.6</v>
      </c>
      <c r="E347">
        <f t="shared" si="15"/>
        <v>17.15</v>
      </c>
      <c r="F347">
        <f t="shared" si="16"/>
        <v>-10.08</v>
      </c>
      <c r="G347">
        <f t="shared" si="17"/>
        <v>-15</v>
      </c>
    </row>
    <row r="348" spans="1:7">
      <c r="A348">
        <v>17.231</v>
      </c>
      <c r="B348" s="2">
        <v>-0.01072</v>
      </c>
      <c r="C348">
        <v>68</v>
      </c>
      <c r="E348">
        <f t="shared" si="15"/>
        <v>17.2</v>
      </c>
      <c r="F348">
        <f t="shared" si="16"/>
        <v>-10.72</v>
      </c>
      <c r="G348">
        <f t="shared" si="17"/>
        <v>-15</v>
      </c>
    </row>
    <row r="349" spans="1:7">
      <c r="A349">
        <v>17.281</v>
      </c>
      <c r="B349" s="2">
        <v>-0.01105</v>
      </c>
      <c r="C349">
        <v>67.7</v>
      </c>
      <c r="E349">
        <f t="shared" si="15"/>
        <v>17.25</v>
      </c>
      <c r="F349">
        <f t="shared" si="16"/>
        <v>-11.05</v>
      </c>
      <c r="G349">
        <f t="shared" si="17"/>
        <v>-15</v>
      </c>
    </row>
    <row r="350" spans="1:7">
      <c r="A350">
        <v>17.331</v>
      </c>
      <c r="B350" s="2">
        <v>-0.01125</v>
      </c>
      <c r="C350">
        <v>67.7</v>
      </c>
      <c r="E350">
        <f t="shared" si="15"/>
        <v>17.3</v>
      </c>
      <c r="F350">
        <f t="shared" si="16"/>
        <v>-11.25</v>
      </c>
      <c r="G350">
        <f t="shared" si="17"/>
        <v>-15</v>
      </c>
    </row>
    <row r="351" spans="1:7">
      <c r="A351">
        <v>17.381</v>
      </c>
      <c r="B351" s="2">
        <v>-0.01125</v>
      </c>
      <c r="C351">
        <v>67.2</v>
      </c>
      <c r="E351">
        <f t="shared" si="15"/>
        <v>17.35</v>
      </c>
      <c r="F351">
        <f t="shared" si="16"/>
        <v>-11.25</v>
      </c>
      <c r="G351">
        <f t="shared" si="17"/>
        <v>-15</v>
      </c>
    </row>
    <row r="352" spans="1:7">
      <c r="A352">
        <v>17.431</v>
      </c>
      <c r="B352" s="2">
        <v>-0.01096</v>
      </c>
      <c r="C352">
        <v>67.4</v>
      </c>
      <c r="E352">
        <f t="shared" si="15"/>
        <v>17.4</v>
      </c>
      <c r="F352">
        <f t="shared" si="16"/>
        <v>-10.96</v>
      </c>
      <c r="G352">
        <f t="shared" si="17"/>
        <v>-15</v>
      </c>
    </row>
    <row r="353" spans="1:7">
      <c r="A353">
        <v>17.481</v>
      </c>
      <c r="B353" s="2">
        <v>-0.01045</v>
      </c>
      <c r="C353">
        <v>68.1</v>
      </c>
      <c r="E353">
        <f t="shared" si="15"/>
        <v>17.45</v>
      </c>
      <c r="F353">
        <f t="shared" si="16"/>
        <v>-10.45</v>
      </c>
      <c r="G353">
        <f t="shared" si="17"/>
        <v>-15</v>
      </c>
    </row>
    <row r="354" spans="1:7">
      <c r="A354">
        <v>17.532</v>
      </c>
      <c r="B354" s="2">
        <v>-0.009645</v>
      </c>
      <c r="C354">
        <v>67.7</v>
      </c>
      <c r="E354">
        <f t="shared" si="15"/>
        <v>17.5</v>
      </c>
      <c r="F354">
        <f t="shared" si="16"/>
        <v>-9.645</v>
      </c>
      <c r="G354">
        <f t="shared" si="17"/>
        <v>-15</v>
      </c>
    </row>
    <row r="355" spans="1:7">
      <c r="A355">
        <v>17.582</v>
      </c>
      <c r="B355" s="2">
        <v>-0.008938</v>
      </c>
      <c r="C355">
        <v>67.8</v>
      </c>
      <c r="E355">
        <f t="shared" si="15"/>
        <v>17.55</v>
      </c>
      <c r="F355">
        <f t="shared" si="16"/>
        <v>-8.938</v>
      </c>
      <c r="G355">
        <f t="shared" si="17"/>
        <v>-15</v>
      </c>
    </row>
    <row r="356" spans="1:7">
      <c r="A356">
        <v>17.632</v>
      </c>
      <c r="B356" s="2">
        <v>-0.008615</v>
      </c>
      <c r="C356">
        <v>68.2</v>
      </c>
      <c r="E356">
        <f t="shared" si="15"/>
        <v>17.6</v>
      </c>
      <c r="F356">
        <f t="shared" si="16"/>
        <v>-8.615</v>
      </c>
      <c r="G356">
        <f t="shared" si="17"/>
        <v>-15</v>
      </c>
    </row>
    <row r="357" spans="1:7">
      <c r="A357">
        <v>17.682</v>
      </c>
      <c r="B357" s="2">
        <v>-0.008436</v>
      </c>
      <c r="C357">
        <v>67.3</v>
      </c>
      <c r="E357">
        <f t="shared" si="15"/>
        <v>17.65</v>
      </c>
      <c r="F357">
        <f t="shared" si="16"/>
        <v>-8.436</v>
      </c>
      <c r="G357">
        <f t="shared" si="17"/>
        <v>-15</v>
      </c>
    </row>
    <row r="358" spans="1:7">
      <c r="A358">
        <v>17.732</v>
      </c>
      <c r="B358" s="2">
        <v>-0.00843</v>
      </c>
      <c r="C358">
        <v>67.2</v>
      </c>
      <c r="E358">
        <f t="shared" si="15"/>
        <v>17.7</v>
      </c>
      <c r="F358">
        <f t="shared" si="16"/>
        <v>-8.43</v>
      </c>
      <c r="G358">
        <f t="shared" si="17"/>
        <v>-15</v>
      </c>
    </row>
    <row r="359" spans="1:7">
      <c r="A359">
        <v>17.782</v>
      </c>
      <c r="B359" s="2">
        <v>-0.008641</v>
      </c>
      <c r="C359">
        <v>67.8</v>
      </c>
      <c r="E359">
        <f t="shared" si="15"/>
        <v>17.75</v>
      </c>
      <c r="F359">
        <f t="shared" si="16"/>
        <v>-8.641</v>
      </c>
      <c r="G359">
        <f t="shared" si="17"/>
        <v>-15</v>
      </c>
    </row>
    <row r="360" spans="1:7">
      <c r="A360">
        <v>17.832</v>
      </c>
      <c r="B360" s="2">
        <v>-0.009171</v>
      </c>
      <c r="C360">
        <v>67.2</v>
      </c>
      <c r="E360">
        <f t="shared" si="15"/>
        <v>17.8</v>
      </c>
      <c r="F360">
        <f t="shared" si="16"/>
        <v>-9.171</v>
      </c>
      <c r="G360">
        <f t="shared" si="17"/>
        <v>-15</v>
      </c>
    </row>
    <row r="361" spans="1:7">
      <c r="A361">
        <v>17.882</v>
      </c>
      <c r="B361" s="2">
        <v>-0.009826</v>
      </c>
      <c r="C361">
        <v>67.3</v>
      </c>
      <c r="E361">
        <f t="shared" si="15"/>
        <v>17.85</v>
      </c>
      <c r="F361">
        <f t="shared" si="16"/>
        <v>-9.826</v>
      </c>
      <c r="G361">
        <f t="shared" si="17"/>
        <v>-15</v>
      </c>
    </row>
    <row r="362" spans="1:7">
      <c r="A362">
        <v>17.932</v>
      </c>
      <c r="B362" s="2">
        <v>-0.01056</v>
      </c>
      <c r="C362">
        <v>67.3</v>
      </c>
      <c r="E362">
        <f t="shared" si="15"/>
        <v>17.9</v>
      </c>
      <c r="F362">
        <f t="shared" si="16"/>
        <v>-10.56</v>
      </c>
      <c r="G362">
        <f t="shared" si="17"/>
        <v>-15</v>
      </c>
    </row>
    <row r="363" spans="1:7">
      <c r="A363">
        <v>17.982</v>
      </c>
      <c r="B363" s="2">
        <v>-0.01089</v>
      </c>
      <c r="C363">
        <v>67.4</v>
      </c>
      <c r="E363">
        <f t="shared" si="15"/>
        <v>17.95</v>
      </c>
      <c r="F363">
        <f t="shared" si="16"/>
        <v>-10.89</v>
      </c>
      <c r="G363">
        <f t="shared" si="17"/>
        <v>-15</v>
      </c>
    </row>
    <row r="364" spans="1:7">
      <c r="A364">
        <v>18.032</v>
      </c>
      <c r="B364" s="2">
        <v>-0.01109</v>
      </c>
      <c r="C364">
        <v>67.6</v>
      </c>
      <c r="E364">
        <f t="shared" si="15"/>
        <v>18</v>
      </c>
      <c r="F364">
        <f t="shared" si="16"/>
        <v>-11.09</v>
      </c>
      <c r="G364">
        <f t="shared" si="17"/>
        <v>-15</v>
      </c>
    </row>
    <row r="365" spans="1:7">
      <c r="A365">
        <v>18.083</v>
      </c>
      <c r="B365" s="2">
        <v>-0.01117</v>
      </c>
      <c r="C365">
        <v>68.1</v>
      </c>
      <c r="E365">
        <f t="shared" ref="E365:E428" si="18">FLOOR(A365,0.05)</f>
        <v>18.05</v>
      </c>
      <c r="F365">
        <f t="shared" si="16"/>
        <v>-11.17</v>
      </c>
      <c r="G365">
        <f t="shared" si="17"/>
        <v>-15</v>
      </c>
    </row>
    <row r="366" spans="1:7">
      <c r="A366">
        <v>18.133</v>
      </c>
      <c r="B366" s="2">
        <v>-0.01102</v>
      </c>
      <c r="C366">
        <v>67</v>
      </c>
      <c r="E366">
        <f t="shared" si="18"/>
        <v>18.1</v>
      </c>
      <c r="F366">
        <f t="shared" si="16"/>
        <v>-11.02</v>
      </c>
      <c r="G366">
        <f t="shared" si="17"/>
        <v>-15</v>
      </c>
    </row>
    <row r="367" spans="1:7">
      <c r="A367">
        <v>18.183</v>
      </c>
      <c r="B367" s="2">
        <v>-0.0106</v>
      </c>
      <c r="C367">
        <v>67.4</v>
      </c>
      <c r="E367">
        <f t="shared" si="18"/>
        <v>18.15</v>
      </c>
      <c r="F367">
        <f t="shared" si="16"/>
        <v>-10.6</v>
      </c>
      <c r="G367">
        <f t="shared" si="17"/>
        <v>-15</v>
      </c>
    </row>
    <row r="368" spans="1:7">
      <c r="A368">
        <v>18.233</v>
      </c>
      <c r="B368" s="2">
        <v>-0.009937</v>
      </c>
      <c r="C368">
        <v>67.2</v>
      </c>
      <c r="E368">
        <f t="shared" si="18"/>
        <v>18.2</v>
      </c>
      <c r="F368">
        <f t="shared" si="16"/>
        <v>-9.937</v>
      </c>
      <c r="G368">
        <f t="shared" si="17"/>
        <v>-15</v>
      </c>
    </row>
    <row r="369" spans="1:7">
      <c r="A369">
        <v>18.283</v>
      </c>
      <c r="B369" s="2">
        <v>-0.009308</v>
      </c>
      <c r="C369">
        <v>68.1</v>
      </c>
      <c r="E369">
        <f t="shared" si="18"/>
        <v>18.25</v>
      </c>
      <c r="F369">
        <f t="shared" si="16"/>
        <v>-9.308</v>
      </c>
      <c r="G369">
        <f t="shared" si="17"/>
        <v>-15</v>
      </c>
    </row>
    <row r="370" spans="1:7">
      <c r="A370">
        <v>18.333</v>
      </c>
      <c r="B370" s="2">
        <v>-0.008822</v>
      </c>
      <c r="C370">
        <v>67</v>
      </c>
      <c r="E370">
        <f t="shared" si="18"/>
        <v>18.3</v>
      </c>
      <c r="F370">
        <f t="shared" si="16"/>
        <v>-8.822</v>
      </c>
      <c r="G370">
        <f t="shared" si="17"/>
        <v>-15</v>
      </c>
    </row>
    <row r="371" spans="1:7">
      <c r="A371">
        <v>18.383</v>
      </c>
      <c r="B371" s="2">
        <v>-0.008582</v>
      </c>
      <c r="C371">
        <v>67.4</v>
      </c>
      <c r="E371">
        <f t="shared" si="18"/>
        <v>18.35</v>
      </c>
      <c r="F371">
        <f t="shared" si="16"/>
        <v>-8.582</v>
      </c>
      <c r="G371">
        <f t="shared" si="17"/>
        <v>-15</v>
      </c>
    </row>
    <row r="372" spans="1:7">
      <c r="A372">
        <v>18.433</v>
      </c>
      <c r="B372" s="2">
        <v>-0.008586</v>
      </c>
      <c r="C372">
        <v>68.2</v>
      </c>
      <c r="E372">
        <f t="shared" si="18"/>
        <v>18.4</v>
      </c>
      <c r="F372">
        <f t="shared" si="16"/>
        <v>-8.586</v>
      </c>
      <c r="G372">
        <f t="shared" si="17"/>
        <v>-15</v>
      </c>
    </row>
    <row r="373" spans="1:7">
      <c r="A373">
        <v>18.483</v>
      </c>
      <c r="B373" s="2">
        <v>-0.008747</v>
      </c>
      <c r="C373">
        <v>67.4</v>
      </c>
      <c r="E373">
        <f t="shared" si="18"/>
        <v>18.45</v>
      </c>
      <c r="F373">
        <f t="shared" si="16"/>
        <v>-8.747</v>
      </c>
      <c r="G373">
        <f t="shared" si="17"/>
        <v>-15</v>
      </c>
    </row>
    <row r="374" spans="1:7">
      <c r="A374">
        <v>18.533</v>
      </c>
      <c r="B374" s="2">
        <v>-0.00907</v>
      </c>
      <c r="C374">
        <v>67.3</v>
      </c>
      <c r="E374">
        <f t="shared" si="18"/>
        <v>18.5</v>
      </c>
      <c r="F374">
        <f t="shared" si="16"/>
        <v>-9.07</v>
      </c>
      <c r="G374">
        <f t="shared" si="17"/>
        <v>-15</v>
      </c>
    </row>
    <row r="375" spans="1:7">
      <c r="A375">
        <v>18.583</v>
      </c>
      <c r="B375" s="2">
        <v>-0.009642</v>
      </c>
      <c r="C375">
        <v>67.3</v>
      </c>
      <c r="E375">
        <f t="shared" si="18"/>
        <v>18.55</v>
      </c>
      <c r="F375">
        <f t="shared" si="16"/>
        <v>-9.642</v>
      </c>
      <c r="G375">
        <f t="shared" si="17"/>
        <v>-15</v>
      </c>
    </row>
    <row r="376" spans="1:7">
      <c r="A376">
        <v>18.634</v>
      </c>
      <c r="B376" s="2">
        <v>-0.01033</v>
      </c>
      <c r="C376">
        <v>67.8</v>
      </c>
      <c r="E376">
        <f t="shared" si="18"/>
        <v>18.6</v>
      </c>
      <c r="F376">
        <f t="shared" si="16"/>
        <v>-10.33</v>
      </c>
      <c r="G376">
        <f t="shared" si="17"/>
        <v>-15</v>
      </c>
    </row>
    <row r="377" spans="1:7">
      <c r="A377">
        <v>18.684</v>
      </c>
      <c r="B377" s="2">
        <v>-0.01072</v>
      </c>
      <c r="C377">
        <v>67.7</v>
      </c>
      <c r="E377">
        <f t="shared" si="18"/>
        <v>18.65</v>
      </c>
      <c r="F377">
        <f t="shared" si="16"/>
        <v>-10.72</v>
      </c>
      <c r="G377">
        <f t="shared" si="17"/>
        <v>-15</v>
      </c>
    </row>
    <row r="378" spans="1:7">
      <c r="A378">
        <v>18.734</v>
      </c>
      <c r="B378" s="2">
        <v>-0.011</v>
      </c>
      <c r="C378">
        <v>67.7</v>
      </c>
      <c r="E378">
        <f t="shared" si="18"/>
        <v>18.7</v>
      </c>
      <c r="F378">
        <f t="shared" si="16"/>
        <v>-11</v>
      </c>
      <c r="G378">
        <f t="shared" si="17"/>
        <v>-15</v>
      </c>
    </row>
    <row r="379" spans="1:7">
      <c r="A379">
        <v>18.784</v>
      </c>
      <c r="B379" s="2">
        <v>-0.011</v>
      </c>
      <c r="C379">
        <v>67.4</v>
      </c>
      <c r="E379">
        <f t="shared" si="18"/>
        <v>18.75</v>
      </c>
      <c r="F379">
        <f t="shared" si="16"/>
        <v>-11</v>
      </c>
      <c r="G379">
        <f t="shared" si="17"/>
        <v>-15</v>
      </c>
    </row>
    <row r="380" spans="1:7">
      <c r="A380">
        <v>18.834</v>
      </c>
      <c r="B380" s="2">
        <v>-0.01089</v>
      </c>
      <c r="C380">
        <v>67.7</v>
      </c>
      <c r="E380">
        <f t="shared" si="18"/>
        <v>18.8</v>
      </c>
      <c r="F380">
        <f t="shared" si="16"/>
        <v>-10.89</v>
      </c>
      <c r="G380">
        <f t="shared" si="17"/>
        <v>-15</v>
      </c>
    </row>
    <row r="381" spans="1:7">
      <c r="A381">
        <v>18.884</v>
      </c>
      <c r="B381" s="2">
        <v>-0.01065</v>
      </c>
      <c r="C381">
        <v>68.5</v>
      </c>
      <c r="E381">
        <f t="shared" si="18"/>
        <v>18.85</v>
      </c>
      <c r="F381">
        <f t="shared" si="16"/>
        <v>-10.65</v>
      </c>
      <c r="G381">
        <f t="shared" si="17"/>
        <v>-15</v>
      </c>
    </row>
    <row r="382" spans="1:7">
      <c r="A382">
        <v>18.934</v>
      </c>
      <c r="B382" s="2">
        <v>-0.01022</v>
      </c>
      <c r="C382">
        <v>67.6</v>
      </c>
      <c r="E382">
        <f t="shared" si="18"/>
        <v>18.9</v>
      </c>
      <c r="F382">
        <f t="shared" si="16"/>
        <v>-10.22</v>
      </c>
      <c r="G382">
        <f t="shared" si="17"/>
        <v>-15</v>
      </c>
    </row>
    <row r="383" spans="1:7">
      <c r="A383">
        <v>18.984</v>
      </c>
      <c r="B383" s="2">
        <v>-0.009729</v>
      </c>
      <c r="C383">
        <v>67.3</v>
      </c>
      <c r="E383">
        <f t="shared" si="18"/>
        <v>18.95</v>
      </c>
      <c r="F383">
        <f t="shared" si="16"/>
        <v>-9.729</v>
      </c>
      <c r="G383">
        <f t="shared" si="17"/>
        <v>-15</v>
      </c>
    </row>
    <row r="384" spans="1:7">
      <c r="A384">
        <v>19.034</v>
      </c>
      <c r="B384" s="2">
        <v>-0.009165</v>
      </c>
      <c r="C384">
        <v>67.2</v>
      </c>
      <c r="E384">
        <f t="shared" si="18"/>
        <v>19</v>
      </c>
      <c r="F384">
        <f t="shared" si="16"/>
        <v>-9.165</v>
      </c>
      <c r="G384">
        <f t="shared" si="17"/>
        <v>-15</v>
      </c>
    </row>
    <row r="385" spans="1:7">
      <c r="A385">
        <v>19.084</v>
      </c>
      <c r="B385" s="2">
        <v>-0.008931</v>
      </c>
      <c r="C385">
        <v>67.3</v>
      </c>
      <c r="E385">
        <f t="shared" si="18"/>
        <v>19.05</v>
      </c>
      <c r="F385">
        <f t="shared" si="16"/>
        <v>-8.931</v>
      </c>
      <c r="G385">
        <f t="shared" si="17"/>
        <v>-15</v>
      </c>
    </row>
    <row r="386" spans="1:7">
      <c r="A386">
        <v>19.134</v>
      </c>
      <c r="B386" s="2">
        <v>-0.008936</v>
      </c>
      <c r="C386">
        <v>67.7</v>
      </c>
      <c r="E386">
        <f t="shared" si="18"/>
        <v>19.1</v>
      </c>
      <c r="F386">
        <f t="shared" si="16"/>
        <v>-8.936</v>
      </c>
      <c r="G386">
        <f t="shared" si="17"/>
        <v>-15</v>
      </c>
    </row>
    <row r="387" spans="1:7">
      <c r="A387">
        <v>19.185</v>
      </c>
      <c r="B387" s="2">
        <v>-0.009062</v>
      </c>
      <c r="C387">
        <v>67.2</v>
      </c>
      <c r="E387">
        <f t="shared" si="18"/>
        <v>19.15</v>
      </c>
      <c r="F387">
        <f t="shared" si="16"/>
        <v>-9.062</v>
      </c>
      <c r="G387">
        <f t="shared" si="17"/>
        <v>-15</v>
      </c>
    </row>
    <row r="388" spans="1:7">
      <c r="A388">
        <v>19.235</v>
      </c>
      <c r="B388" s="2">
        <v>-0.009261</v>
      </c>
      <c r="C388">
        <v>67.5</v>
      </c>
      <c r="E388">
        <f t="shared" si="18"/>
        <v>19.2</v>
      </c>
      <c r="F388">
        <f t="shared" si="16"/>
        <v>-9.261</v>
      </c>
      <c r="G388">
        <f t="shared" si="17"/>
        <v>-15</v>
      </c>
    </row>
    <row r="389" spans="1:7">
      <c r="A389">
        <v>19.285</v>
      </c>
      <c r="B389" s="2">
        <v>-0.009724</v>
      </c>
      <c r="C389">
        <v>67.1</v>
      </c>
      <c r="E389">
        <f t="shared" si="18"/>
        <v>19.25</v>
      </c>
      <c r="F389">
        <f t="shared" ref="F389:F452" si="19">B389*1000</f>
        <v>-9.724</v>
      </c>
      <c r="G389">
        <f t="shared" ref="G389:G452" si="20">IF(C389&lt;230,-15,5)</f>
        <v>-15</v>
      </c>
    </row>
    <row r="390" spans="1:7">
      <c r="A390">
        <v>19.335</v>
      </c>
      <c r="B390" s="2">
        <v>-0.01017</v>
      </c>
      <c r="C390">
        <v>67.3</v>
      </c>
      <c r="E390">
        <f t="shared" si="18"/>
        <v>19.3</v>
      </c>
      <c r="F390">
        <f t="shared" si="19"/>
        <v>-10.17</v>
      </c>
      <c r="G390">
        <f t="shared" si="20"/>
        <v>-15</v>
      </c>
    </row>
    <row r="391" spans="1:7">
      <c r="A391">
        <v>19.385</v>
      </c>
      <c r="B391" s="2">
        <v>-0.01068</v>
      </c>
      <c r="C391">
        <v>67.3</v>
      </c>
      <c r="E391">
        <f t="shared" si="18"/>
        <v>19.35</v>
      </c>
      <c r="F391">
        <f t="shared" si="19"/>
        <v>-10.68</v>
      </c>
      <c r="G391">
        <f t="shared" si="20"/>
        <v>-15</v>
      </c>
    </row>
    <row r="392" spans="1:7">
      <c r="A392">
        <v>19.435</v>
      </c>
      <c r="B392" s="2">
        <v>-0.01094</v>
      </c>
      <c r="C392">
        <v>67.3</v>
      </c>
      <c r="E392">
        <f t="shared" si="18"/>
        <v>19.4</v>
      </c>
      <c r="F392">
        <f t="shared" si="19"/>
        <v>-10.94</v>
      </c>
      <c r="G392">
        <f t="shared" si="20"/>
        <v>-15</v>
      </c>
    </row>
    <row r="393" spans="1:7">
      <c r="A393">
        <v>19.485</v>
      </c>
      <c r="B393" s="2">
        <v>-0.011</v>
      </c>
      <c r="C393">
        <v>68</v>
      </c>
      <c r="E393">
        <f t="shared" si="18"/>
        <v>19.45</v>
      </c>
      <c r="F393">
        <f t="shared" si="19"/>
        <v>-11</v>
      </c>
      <c r="G393">
        <f t="shared" si="20"/>
        <v>-15</v>
      </c>
    </row>
    <row r="394" spans="1:7">
      <c r="A394">
        <v>19.535</v>
      </c>
      <c r="B394" s="2">
        <v>-0.0109</v>
      </c>
      <c r="C394">
        <v>66.9</v>
      </c>
      <c r="E394">
        <f t="shared" si="18"/>
        <v>19.5</v>
      </c>
      <c r="F394">
        <f t="shared" si="19"/>
        <v>-10.9</v>
      </c>
      <c r="G394">
        <f t="shared" si="20"/>
        <v>-15</v>
      </c>
    </row>
    <row r="395" spans="1:7">
      <c r="A395">
        <v>19.585</v>
      </c>
      <c r="B395" s="2">
        <v>-0.01073</v>
      </c>
      <c r="C395">
        <v>67.3</v>
      </c>
      <c r="E395">
        <f t="shared" si="18"/>
        <v>19.55</v>
      </c>
      <c r="F395">
        <f t="shared" si="19"/>
        <v>-10.73</v>
      </c>
      <c r="G395">
        <f t="shared" si="20"/>
        <v>-15</v>
      </c>
    </row>
    <row r="396" spans="1:7">
      <c r="A396">
        <v>19.635</v>
      </c>
      <c r="B396" s="2">
        <v>-0.01035</v>
      </c>
      <c r="C396">
        <v>67.2</v>
      </c>
      <c r="E396">
        <f t="shared" si="18"/>
        <v>19.6</v>
      </c>
      <c r="F396">
        <f t="shared" si="19"/>
        <v>-10.35</v>
      </c>
      <c r="G396">
        <f t="shared" si="20"/>
        <v>-15</v>
      </c>
    </row>
    <row r="397" spans="1:7">
      <c r="A397">
        <v>19.685</v>
      </c>
      <c r="B397" s="2">
        <v>-0.009895</v>
      </c>
      <c r="C397">
        <v>66.9</v>
      </c>
      <c r="E397">
        <f t="shared" si="18"/>
        <v>19.65</v>
      </c>
      <c r="F397">
        <f t="shared" si="19"/>
        <v>-9.895</v>
      </c>
      <c r="G397">
        <f t="shared" si="20"/>
        <v>-15</v>
      </c>
    </row>
    <row r="398" spans="1:7">
      <c r="A398">
        <v>19.735</v>
      </c>
      <c r="B398" s="2">
        <v>-0.00943</v>
      </c>
      <c r="C398">
        <v>67.9</v>
      </c>
      <c r="E398">
        <f t="shared" si="18"/>
        <v>19.7</v>
      </c>
      <c r="F398">
        <f t="shared" si="19"/>
        <v>-9.43</v>
      </c>
      <c r="G398">
        <f t="shared" si="20"/>
        <v>-15</v>
      </c>
    </row>
    <row r="399" spans="1:7">
      <c r="A399">
        <v>19.786</v>
      </c>
      <c r="B399" s="2">
        <v>-0.009172</v>
      </c>
      <c r="C399">
        <v>67.1</v>
      </c>
      <c r="E399">
        <f t="shared" si="18"/>
        <v>19.75</v>
      </c>
      <c r="F399">
        <f t="shared" si="19"/>
        <v>-9.172</v>
      </c>
      <c r="G399">
        <f t="shared" si="20"/>
        <v>-15</v>
      </c>
    </row>
    <row r="400" spans="1:7">
      <c r="A400">
        <v>19.836</v>
      </c>
      <c r="B400" s="2">
        <v>-0.00906</v>
      </c>
      <c r="C400">
        <v>67.4</v>
      </c>
      <c r="E400">
        <f t="shared" si="18"/>
        <v>19.8</v>
      </c>
      <c r="F400">
        <f t="shared" si="19"/>
        <v>-9.06</v>
      </c>
      <c r="G400">
        <f t="shared" si="20"/>
        <v>-15</v>
      </c>
    </row>
    <row r="401" spans="1:7">
      <c r="A401">
        <v>19.886</v>
      </c>
      <c r="B401" s="2">
        <v>-0.009145</v>
      </c>
      <c r="C401">
        <v>67.8</v>
      </c>
      <c r="E401">
        <f t="shared" si="18"/>
        <v>19.85</v>
      </c>
      <c r="F401">
        <f t="shared" si="19"/>
        <v>-9.145</v>
      </c>
      <c r="G401">
        <f t="shared" si="20"/>
        <v>-15</v>
      </c>
    </row>
    <row r="402" spans="1:7">
      <c r="A402">
        <v>19.936</v>
      </c>
      <c r="B402" s="2">
        <v>-0.009276</v>
      </c>
      <c r="C402">
        <v>67.1</v>
      </c>
      <c r="E402">
        <f t="shared" si="18"/>
        <v>19.9</v>
      </c>
      <c r="F402">
        <f t="shared" si="19"/>
        <v>-9.276</v>
      </c>
      <c r="G402">
        <f t="shared" si="20"/>
        <v>-15</v>
      </c>
    </row>
    <row r="403" spans="1:7">
      <c r="A403">
        <v>19.986</v>
      </c>
      <c r="B403" s="2">
        <v>-0.009728</v>
      </c>
      <c r="C403">
        <v>66.8</v>
      </c>
      <c r="E403">
        <f t="shared" si="18"/>
        <v>19.95</v>
      </c>
      <c r="F403">
        <f t="shared" si="19"/>
        <v>-9.728</v>
      </c>
      <c r="G403">
        <f t="shared" si="20"/>
        <v>-15</v>
      </c>
    </row>
    <row r="404" spans="1:7">
      <c r="A404">
        <v>20.036</v>
      </c>
      <c r="B404" s="2">
        <v>-0.01005</v>
      </c>
      <c r="C404">
        <v>67.6</v>
      </c>
      <c r="E404">
        <f t="shared" si="18"/>
        <v>20</v>
      </c>
      <c r="F404">
        <f t="shared" si="19"/>
        <v>-10.05</v>
      </c>
      <c r="G404">
        <f t="shared" si="20"/>
        <v>-15</v>
      </c>
    </row>
    <row r="405" spans="1:7">
      <c r="A405">
        <v>20.086</v>
      </c>
      <c r="B405" s="2">
        <v>-0.01053</v>
      </c>
      <c r="C405">
        <v>67.6</v>
      </c>
      <c r="E405">
        <f t="shared" si="18"/>
        <v>20.05</v>
      </c>
      <c r="F405">
        <f t="shared" si="19"/>
        <v>-10.53</v>
      </c>
      <c r="G405">
        <f t="shared" si="20"/>
        <v>-15</v>
      </c>
    </row>
    <row r="406" spans="1:7">
      <c r="A406">
        <v>20.136</v>
      </c>
      <c r="B406" s="2">
        <v>-0.0108</v>
      </c>
      <c r="C406">
        <v>67.2</v>
      </c>
      <c r="E406">
        <f t="shared" si="18"/>
        <v>20.1</v>
      </c>
      <c r="F406">
        <f t="shared" si="19"/>
        <v>-10.8</v>
      </c>
      <c r="G406">
        <f t="shared" si="20"/>
        <v>-15</v>
      </c>
    </row>
    <row r="407" spans="1:7">
      <c r="A407">
        <v>20.186</v>
      </c>
      <c r="B407" s="2">
        <v>-0.01091</v>
      </c>
      <c r="C407">
        <v>67</v>
      </c>
      <c r="E407">
        <f t="shared" si="18"/>
        <v>20.15</v>
      </c>
      <c r="F407">
        <f t="shared" si="19"/>
        <v>-10.91</v>
      </c>
      <c r="G407">
        <f t="shared" si="20"/>
        <v>-15</v>
      </c>
    </row>
    <row r="408" spans="1:7">
      <c r="A408">
        <v>20.236</v>
      </c>
      <c r="B408" s="2">
        <v>-0.01088</v>
      </c>
      <c r="C408">
        <v>67.6</v>
      </c>
      <c r="E408">
        <f t="shared" si="18"/>
        <v>20.2</v>
      </c>
      <c r="F408">
        <f t="shared" si="19"/>
        <v>-10.88</v>
      </c>
      <c r="G408">
        <f t="shared" si="20"/>
        <v>-15</v>
      </c>
    </row>
    <row r="409" spans="1:7">
      <c r="A409">
        <v>20.286</v>
      </c>
      <c r="B409" s="2">
        <v>-0.01072</v>
      </c>
      <c r="C409">
        <v>67.1</v>
      </c>
      <c r="E409">
        <f t="shared" si="18"/>
        <v>20.25</v>
      </c>
      <c r="F409">
        <f t="shared" si="19"/>
        <v>-10.72</v>
      </c>
      <c r="G409">
        <f t="shared" si="20"/>
        <v>-15</v>
      </c>
    </row>
    <row r="410" spans="1:7">
      <c r="A410">
        <v>20.337</v>
      </c>
      <c r="B410" s="2">
        <v>-0.01043</v>
      </c>
      <c r="C410">
        <v>67.6</v>
      </c>
      <c r="E410">
        <f t="shared" si="18"/>
        <v>20.3</v>
      </c>
      <c r="F410">
        <f t="shared" si="19"/>
        <v>-10.43</v>
      </c>
      <c r="G410">
        <f t="shared" si="20"/>
        <v>-15</v>
      </c>
    </row>
    <row r="411" spans="1:7">
      <c r="A411">
        <v>20.387</v>
      </c>
      <c r="B411" s="2">
        <v>-0.009998</v>
      </c>
      <c r="C411">
        <v>66.6</v>
      </c>
      <c r="E411">
        <f t="shared" si="18"/>
        <v>20.35</v>
      </c>
      <c r="F411">
        <f t="shared" si="19"/>
        <v>-9.998</v>
      </c>
      <c r="G411">
        <f t="shared" si="20"/>
        <v>-15</v>
      </c>
    </row>
    <row r="412" spans="1:7">
      <c r="A412">
        <v>20.437</v>
      </c>
      <c r="B412" s="2">
        <v>-0.009612</v>
      </c>
      <c r="C412">
        <v>67.5</v>
      </c>
      <c r="E412">
        <f t="shared" si="18"/>
        <v>20.4</v>
      </c>
      <c r="F412">
        <f t="shared" si="19"/>
        <v>-9.612</v>
      </c>
      <c r="G412">
        <f t="shared" si="20"/>
        <v>-15</v>
      </c>
    </row>
    <row r="413" spans="1:7">
      <c r="A413">
        <v>20.487</v>
      </c>
      <c r="B413" s="2">
        <v>-0.009248</v>
      </c>
      <c r="C413">
        <v>67.2</v>
      </c>
      <c r="E413">
        <f t="shared" si="18"/>
        <v>20.45</v>
      </c>
      <c r="F413">
        <f t="shared" si="19"/>
        <v>-9.248</v>
      </c>
      <c r="G413">
        <f t="shared" si="20"/>
        <v>-15</v>
      </c>
    </row>
    <row r="414" spans="1:7">
      <c r="A414">
        <v>20.537</v>
      </c>
      <c r="B414" s="2">
        <v>-0.009122</v>
      </c>
      <c r="C414">
        <v>67.2</v>
      </c>
      <c r="E414">
        <f t="shared" si="18"/>
        <v>20.5</v>
      </c>
      <c r="F414">
        <f t="shared" si="19"/>
        <v>-9.122</v>
      </c>
      <c r="G414">
        <f t="shared" si="20"/>
        <v>-15</v>
      </c>
    </row>
    <row r="415" spans="1:7">
      <c r="A415">
        <v>20.587</v>
      </c>
      <c r="B415" s="2">
        <v>-0.009122</v>
      </c>
      <c r="C415">
        <v>66.9</v>
      </c>
      <c r="E415">
        <f t="shared" si="18"/>
        <v>20.55</v>
      </c>
      <c r="F415">
        <f t="shared" si="19"/>
        <v>-9.122</v>
      </c>
      <c r="G415">
        <f t="shared" si="20"/>
        <v>-15</v>
      </c>
    </row>
    <row r="416" spans="1:7">
      <c r="A416">
        <v>20.637</v>
      </c>
      <c r="B416" s="2">
        <v>-0.009225</v>
      </c>
      <c r="C416">
        <v>67.2</v>
      </c>
      <c r="E416">
        <f t="shared" si="18"/>
        <v>20.6</v>
      </c>
      <c r="F416">
        <f t="shared" si="19"/>
        <v>-9.225</v>
      </c>
      <c r="G416">
        <f t="shared" si="20"/>
        <v>-15</v>
      </c>
    </row>
    <row r="417" spans="1:7">
      <c r="A417">
        <v>20.687</v>
      </c>
      <c r="B417" s="2">
        <v>-0.009535</v>
      </c>
      <c r="C417">
        <v>67.4</v>
      </c>
      <c r="E417">
        <f t="shared" si="18"/>
        <v>20.65</v>
      </c>
      <c r="F417">
        <f t="shared" si="19"/>
        <v>-9.535</v>
      </c>
      <c r="G417">
        <f t="shared" si="20"/>
        <v>-15</v>
      </c>
    </row>
    <row r="418" spans="1:7">
      <c r="A418">
        <v>20.737</v>
      </c>
      <c r="B418" s="2">
        <v>-0.009986</v>
      </c>
      <c r="C418">
        <v>67</v>
      </c>
      <c r="E418">
        <f t="shared" si="18"/>
        <v>20.7</v>
      </c>
      <c r="F418">
        <f t="shared" si="19"/>
        <v>-9.986</v>
      </c>
      <c r="G418">
        <f t="shared" si="20"/>
        <v>-15</v>
      </c>
    </row>
    <row r="419" spans="1:7">
      <c r="A419">
        <v>20.787</v>
      </c>
      <c r="B419" s="2">
        <v>-0.01047</v>
      </c>
      <c r="C419">
        <v>67.7</v>
      </c>
      <c r="E419">
        <f t="shared" si="18"/>
        <v>20.75</v>
      </c>
      <c r="F419">
        <f t="shared" si="19"/>
        <v>-10.47</v>
      </c>
      <c r="G419">
        <f t="shared" si="20"/>
        <v>-15</v>
      </c>
    </row>
    <row r="420" spans="1:7">
      <c r="A420">
        <v>20.837</v>
      </c>
      <c r="B420" s="2">
        <v>-0.01068</v>
      </c>
      <c r="C420">
        <v>67.5</v>
      </c>
      <c r="E420">
        <f t="shared" si="18"/>
        <v>20.8</v>
      </c>
      <c r="F420">
        <f t="shared" si="19"/>
        <v>-10.68</v>
      </c>
      <c r="G420">
        <f t="shared" si="20"/>
        <v>-15</v>
      </c>
    </row>
    <row r="421" spans="1:7">
      <c r="A421">
        <v>20.888</v>
      </c>
      <c r="B421" s="2">
        <v>-0.01085</v>
      </c>
      <c r="C421">
        <v>67.8</v>
      </c>
      <c r="E421">
        <f t="shared" si="18"/>
        <v>20.85</v>
      </c>
      <c r="F421">
        <f t="shared" si="19"/>
        <v>-10.85</v>
      </c>
      <c r="G421">
        <f t="shared" si="20"/>
        <v>-15</v>
      </c>
    </row>
    <row r="422" spans="1:7">
      <c r="A422">
        <v>20.938</v>
      </c>
      <c r="B422" s="2">
        <v>-0.01086</v>
      </c>
      <c r="C422">
        <v>67.8</v>
      </c>
      <c r="E422">
        <f t="shared" si="18"/>
        <v>20.9</v>
      </c>
      <c r="F422">
        <f t="shared" si="19"/>
        <v>-10.86</v>
      </c>
      <c r="G422">
        <f t="shared" si="20"/>
        <v>-15</v>
      </c>
    </row>
    <row r="423" spans="1:7">
      <c r="A423">
        <v>20.988</v>
      </c>
      <c r="B423" s="2">
        <v>-0.01077</v>
      </c>
      <c r="C423">
        <v>67.6</v>
      </c>
      <c r="E423">
        <f t="shared" si="18"/>
        <v>20.95</v>
      </c>
      <c r="F423">
        <f t="shared" si="19"/>
        <v>-10.77</v>
      </c>
      <c r="G423">
        <f t="shared" si="20"/>
        <v>-15</v>
      </c>
    </row>
    <row r="424" spans="1:7">
      <c r="A424">
        <v>21.038</v>
      </c>
      <c r="B424" s="2">
        <v>-0.01054</v>
      </c>
      <c r="C424">
        <v>67.4</v>
      </c>
      <c r="E424">
        <f t="shared" si="18"/>
        <v>21</v>
      </c>
      <c r="F424">
        <f t="shared" si="19"/>
        <v>-10.54</v>
      </c>
      <c r="G424">
        <f t="shared" si="20"/>
        <v>-15</v>
      </c>
    </row>
    <row r="425" spans="1:7">
      <c r="A425">
        <v>21.088</v>
      </c>
      <c r="B425" s="2">
        <v>-0.01012</v>
      </c>
      <c r="C425">
        <v>67.2</v>
      </c>
      <c r="E425">
        <f t="shared" si="18"/>
        <v>21.05</v>
      </c>
      <c r="F425">
        <f t="shared" si="19"/>
        <v>-10.12</v>
      </c>
      <c r="G425">
        <f t="shared" si="20"/>
        <v>-15</v>
      </c>
    </row>
    <row r="426" spans="1:7">
      <c r="A426">
        <v>21.138</v>
      </c>
      <c r="B426" s="2">
        <v>-0.009791</v>
      </c>
      <c r="C426">
        <v>66.9</v>
      </c>
      <c r="E426">
        <f t="shared" si="18"/>
        <v>21.1</v>
      </c>
      <c r="F426">
        <f t="shared" si="19"/>
        <v>-9.791</v>
      </c>
      <c r="G426">
        <f t="shared" si="20"/>
        <v>-15</v>
      </c>
    </row>
    <row r="427" spans="1:7">
      <c r="A427">
        <v>21.188</v>
      </c>
      <c r="B427" s="2">
        <v>-0.009437</v>
      </c>
      <c r="C427">
        <v>67.4</v>
      </c>
      <c r="E427">
        <f t="shared" si="18"/>
        <v>21.15</v>
      </c>
      <c r="F427">
        <f t="shared" si="19"/>
        <v>-9.437</v>
      </c>
      <c r="G427">
        <f t="shared" si="20"/>
        <v>-15</v>
      </c>
    </row>
    <row r="428" spans="1:7">
      <c r="A428">
        <v>21.238</v>
      </c>
      <c r="B428" s="2">
        <v>-0.009329</v>
      </c>
      <c r="C428">
        <v>67.8</v>
      </c>
      <c r="E428">
        <f t="shared" si="18"/>
        <v>21.2</v>
      </c>
      <c r="F428">
        <f t="shared" si="19"/>
        <v>-9.329</v>
      </c>
      <c r="G428">
        <f t="shared" si="20"/>
        <v>-15</v>
      </c>
    </row>
    <row r="429" spans="1:7">
      <c r="A429">
        <v>21.288</v>
      </c>
      <c r="B429" s="2">
        <v>-0.009272</v>
      </c>
      <c r="C429">
        <v>68.1</v>
      </c>
      <c r="E429">
        <f t="shared" ref="E429:E471" si="21">FLOOR(A429,0.05)</f>
        <v>21.25</v>
      </c>
      <c r="F429">
        <f t="shared" si="19"/>
        <v>-9.272</v>
      </c>
      <c r="G429">
        <f t="shared" si="20"/>
        <v>-15</v>
      </c>
    </row>
    <row r="430" spans="1:7">
      <c r="A430">
        <v>21.338</v>
      </c>
      <c r="B430" s="2">
        <v>-0.009372</v>
      </c>
      <c r="C430">
        <v>68</v>
      </c>
      <c r="E430">
        <f t="shared" si="21"/>
        <v>21.3</v>
      </c>
      <c r="F430">
        <f t="shared" si="19"/>
        <v>-9.372</v>
      </c>
      <c r="G430">
        <f t="shared" si="20"/>
        <v>-15</v>
      </c>
    </row>
    <row r="431" spans="1:7">
      <c r="A431">
        <v>21.388</v>
      </c>
      <c r="B431" s="2">
        <v>-0.009747</v>
      </c>
      <c r="C431">
        <v>67.3</v>
      </c>
      <c r="E431">
        <f t="shared" si="21"/>
        <v>21.35</v>
      </c>
      <c r="F431">
        <f t="shared" si="19"/>
        <v>-9.747</v>
      </c>
      <c r="G431">
        <f t="shared" si="20"/>
        <v>-15</v>
      </c>
    </row>
    <row r="432" spans="1:7">
      <c r="A432">
        <v>21.439</v>
      </c>
      <c r="B432" s="2">
        <v>-0.01003</v>
      </c>
      <c r="C432">
        <v>66.9</v>
      </c>
      <c r="E432">
        <f t="shared" si="21"/>
        <v>21.4</v>
      </c>
      <c r="F432">
        <f t="shared" si="19"/>
        <v>-10.03</v>
      </c>
      <c r="G432">
        <f t="shared" si="20"/>
        <v>-15</v>
      </c>
    </row>
    <row r="433" spans="1:7">
      <c r="A433">
        <v>21.489</v>
      </c>
      <c r="B433" s="2">
        <v>-0.01041</v>
      </c>
      <c r="C433">
        <v>67.4</v>
      </c>
      <c r="E433">
        <f t="shared" si="21"/>
        <v>21.45</v>
      </c>
      <c r="F433">
        <f t="shared" si="19"/>
        <v>-10.41</v>
      </c>
      <c r="G433">
        <f t="shared" si="20"/>
        <v>-15</v>
      </c>
    </row>
    <row r="434" spans="1:7">
      <c r="A434">
        <v>21.539</v>
      </c>
      <c r="B434" s="2">
        <v>-0.01065</v>
      </c>
      <c r="C434">
        <v>67.3</v>
      </c>
      <c r="E434">
        <f t="shared" si="21"/>
        <v>21.5</v>
      </c>
      <c r="F434">
        <f t="shared" si="19"/>
        <v>-10.65</v>
      </c>
      <c r="G434">
        <f t="shared" si="20"/>
        <v>-15</v>
      </c>
    </row>
    <row r="435" spans="1:7">
      <c r="A435">
        <v>21.589</v>
      </c>
      <c r="B435" s="2">
        <v>-0.01085</v>
      </c>
      <c r="C435">
        <v>66.9</v>
      </c>
      <c r="E435">
        <f t="shared" si="21"/>
        <v>21.55</v>
      </c>
      <c r="F435">
        <f t="shared" si="19"/>
        <v>-10.85</v>
      </c>
      <c r="G435">
        <f t="shared" si="20"/>
        <v>-15</v>
      </c>
    </row>
    <row r="436" spans="1:7">
      <c r="A436">
        <v>21.639</v>
      </c>
      <c r="B436" s="2">
        <v>-0.01083</v>
      </c>
      <c r="C436">
        <v>67.2</v>
      </c>
      <c r="E436">
        <f t="shared" si="21"/>
        <v>21.6</v>
      </c>
      <c r="F436">
        <f t="shared" si="19"/>
        <v>-10.83</v>
      </c>
      <c r="G436">
        <f t="shared" si="20"/>
        <v>-15</v>
      </c>
    </row>
    <row r="437" spans="1:7">
      <c r="A437">
        <v>21.689</v>
      </c>
      <c r="B437" s="2">
        <v>-0.01073</v>
      </c>
      <c r="C437">
        <v>67.5</v>
      </c>
      <c r="E437">
        <f t="shared" si="21"/>
        <v>21.65</v>
      </c>
      <c r="F437">
        <f t="shared" si="19"/>
        <v>-10.73</v>
      </c>
      <c r="G437">
        <f t="shared" si="20"/>
        <v>-15</v>
      </c>
    </row>
    <row r="438" spans="1:7">
      <c r="A438">
        <v>21.739</v>
      </c>
      <c r="B438" s="2">
        <v>-0.01053</v>
      </c>
      <c r="C438">
        <v>67.9</v>
      </c>
      <c r="E438">
        <f t="shared" si="21"/>
        <v>21.7</v>
      </c>
      <c r="F438">
        <f t="shared" si="19"/>
        <v>-10.53</v>
      </c>
      <c r="G438">
        <f t="shared" si="20"/>
        <v>-15</v>
      </c>
    </row>
    <row r="439" spans="1:7">
      <c r="A439">
        <v>21.789</v>
      </c>
      <c r="B439" s="2">
        <v>-0.01013</v>
      </c>
      <c r="C439">
        <v>67.8</v>
      </c>
      <c r="E439">
        <f t="shared" si="21"/>
        <v>21.75</v>
      </c>
      <c r="F439">
        <f t="shared" si="19"/>
        <v>-10.13</v>
      </c>
      <c r="G439">
        <f t="shared" si="20"/>
        <v>-15</v>
      </c>
    </row>
    <row r="440" spans="1:7">
      <c r="A440">
        <v>21.839</v>
      </c>
      <c r="B440" s="2">
        <v>-0.009833</v>
      </c>
      <c r="C440">
        <v>67.5</v>
      </c>
      <c r="E440">
        <f t="shared" si="21"/>
        <v>21.8</v>
      </c>
      <c r="F440">
        <f t="shared" si="19"/>
        <v>-9.833</v>
      </c>
      <c r="G440">
        <f t="shared" si="20"/>
        <v>-15</v>
      </c>
    </row>
    <row r="441" spans="1:7">
      <c r="A441">
        <v>21.889</v>
      </c>
      <c r="B441" s="2">
        <v>-0.009609</v>
      </c>
      <c r="C441">
        <v>67.4</v>
      </c>
      <c r="E441">
        <f t="shared" si="21"/>
        <v>21.85</v>
      </c>
      <c r="F441">
        <f t="shared" si="19"/>
        <v>-9.609</v>
      </c>
      <c r="G441">
        <f t="shared" si="20"/>
        <v>-15</v>
      </c>
    </row>
    <row r="442" spans="1:7">
      <c r="A442">
        <v>21.939</v>
      </c>
      <c r="B442" s="2">
        <v>-0.009445</v>
      </c>
      <c r="C442">
        <v>67.4</v>
      </c>
      <c r="E442">
        <f t="shared" si="21"/>
        <v>21.9</v>
      </c>
      <c r="F442">
        <f t="shared" si="19"/>
        <v>-9.445</v>
      </c>
      <c r="G442">
        <f t="shared" si="20"/>
        <v>-15</v>
      </c>
    </row>
    <row r="443" spans="1:7">
      <c r="A443">
        <v>21.99</v>
      </c>
      <c r="B443" s="2">
        <v>-0.009501</v>
      </c>
      <c r="C443">
        <v>67.7</v>
      </c>
      <c r="E443">
        <f t="shared" si="21"/>
        <v>21.95</v>
      </c>
      <c r="F443">
        <f t="shared" si="19"/>
        <v>-9.501</v>
      </c>
      <c r="G443">
        <f t="shared" si="20"/>
        <v>-15</v>
      </c>
    </row>
    <row r="444" spans="1:7">
      <c r="A444">
        <v>22.04</v>
      </c>
      <c r="B444" s="2">
        <v>-0.009653</v>
      </c>
      <c r="C444">
        <v>67.8</v>
      </c>
      <c r="E444">
        <f t="shared" si="21"/>
        <v>22</v>
      </c>
      <c r="F444">
        <f t="shared" si="19"/>
        <v>-9.653</v>
      </c>
      <c r="G444">
        <f t="shared" si="20"/>
        <v>-15</v>
      </c>
    </row>
    <row r="445" spans="1:7">
      <c r="A445">
        <v>22.09</v>
      </c>
      <c r="B445" s="2">
        <v>-0.00985</v>
      </c>
      <c r="C445">
        <v>67.6</v>
      </c>
      <c r="E445">
        <f t="shared" si="21"/>
        <v>22.05</v>
      </c>
      <c r="F445">
        <f t="shared" si="19"/>
        <v>-9.85</v>
      </c>
      <c r="G445">
        <f t="shared" si="20"/>
        <v>-15</v>
      </c>
    </row>
    <row r="446" spans="1:7">
      <c r="A446">
        <v>22.14</v>
      </c>
      <c r="B446" s="2">
        <v>-0.01016</v>
      </c>
      <c r="C446">
        <v>68.1</v>
      </c>
      <c r="E446">
        <f t="shared" si="21"/>
        <v>22.1</v>
      </c>
      <c r="F446">
        <f t="shared" si="19"/>
        <v>-10.16</v>
      </c>
      <c r="G446">
        <f t="shared" si="20"/>
        <v>-15</v>
      </c>
    </row>
    <row r="447" spans="1:7">
      <c r="A447">
        <v>22.19</v>
      </c>
      <c r="B447" s="2">
        <v>-0.01041</v>
      </c>
      <c r="C447">
        <v>67.7</v>
      </c>
      <c r="E447">
        <f t="shared" si="21"/>
        <v>22.15</v>
      </c>
      <c r="F447">
        <f t="shared" si="19"/>
        <v>-10.41</v>
      </c>
      <c r="G447">
        <f t="shared" si="20"/>
        <v>-15</v>
      </c>
    </row>
    <row r="448" spans="1:7">
      <c r="A448">
        <v>22.24</v>
      </c>
      <c r="B448" s="2">
        <v>-0.01065</v>
      </c>
      <c r="C448">
        <v>67.3</v>
      </c>
      <c r="E448">
        <f t="shared" si="21"/>
        <v>22.2</v>
      </c>
      <c r="F448">
        <f t="shared" si="19"/>
        <v>-10.65</v>
      </c>
      <c r="G448">
        <f t="shared" si="20"/>
        <v>-15</v>
      </c>
    </row>
    <row r="449" spans="1:7">
      <c r="A449">
        <v>22.29</v>
      </c>
      <c r="B449" s="2">
        <v>-0.01081</v>
      </c>
      <c r="C449">
        <v>67.8</v>
      </c>
      <c r="E449">
        <f t="shared" si="21"/>
        <v>22.25</v>
      </c>
      <c r="F449">
        <f t="shared" si="19"/>
        <v>-10.81</v>
      </c>
      <c r="G449">
        <f t="shared" si="20"/>
        <v>-15</v>
      </c>
    </row>
    <row r="450" spans="1:7">
      <c r="A450">
        <v>22.34</v>
      </c>
      <c r="B450" s="2">
        <v>-0.0108</v>
      </c>
      <c r="C450">
        <v>67</v>
      </c>
      <c r="E450">
        <f t="shared" si="21"/>
        <v>22.3</v>
      </c>
      <c r="F450">
        <f t="shared" si="19"/>
        <v>-10.8</v>
      </c>
      <c r="G450">
        <f t="shared" si="20"/>
        <v>-15</v>
      </c>
    </row>
    <row r="451" spans="1:7">
      <c r="A451">
        <v>22.39</v>
      </c>
      <c r="B451" s="2">
        <v>-0.01073</v>
      </c>
      <c r="C451">
        <v>66.9</v>
      </c>
      <c r="E451">
        <f t="shared" si="21"/>
        <v>22.35</v>
      </c>
      <c r="F451">
        <f t="shared" si="19"/>
        <v>-10.73</v>
      </c>
      <c r="G451">
        <f t="shared" si="20"/>
        <v>-15</v>
      </c>
    </row>
    <row r="452" spans="1:7">
      <c r="A452">
        <v>22.44</v>
      </c>
      <c r="B452" s="2">
        <v>-0.01054</v>
      </c>
      <c r="C452">
        <v>67.7</v>
      </c>
      <c r="E452">
        <f t="shared" si="21"/>
        <v>22.4</v>
      </c>
      <c r="F452">
        <f t="shared" si="19"/>
        <v>-10.54</v>
      </c>
      <c r="G452">
        <f t="shared" si="20"/>
        <v>-15</v>
      </c>
    </row>
    <row r="453" spans="1:7">
      <c r="A453">
        <v>22.49</v>
      </c>
      <c r="B453" s="2">
        <v>-0.01027</v>
      </c>
      <c r="C453">
        <v>67.5</v>
      </c>
      <c r="E453">
        <f t="shared" si="21"/>
        <v>22.45</v>
      </c>
      <c r="F453">
        <f t="shared" ref="F453:F471" si="22">B453*1000</f>
        <v>-10.27</v>
      </c>
      <c r="G453">
        <f t="shared" ref="G453:G471" si="23">IF(C453&lt;230,-15,5)</f>
        <v>-15</v>
      </c>
    </row>
    <row r="454" spans="1:7">
      <c r="A454">
        <v>22.541</v>
      </c>
      <c r="B454" s="2">
        <v>-0.01004</v>
      </c>
      <c r="C454">
        <v>67.1</v>
      </c>
      <c r="E454">
        <f t="shared" si="21"/>
        <v>22.5</v>
      </c>
      <c r="F454">
        <f t="shared" si="22"/>
        <v>-10.04</v>
      </c>
      <c r="G454">
        <f t="shared" si="23"/>
        <v>-15</v>
      </c>
    </row>
    <row r="455" spans="1:7">
      <c r="A455">
        <v>22.591</v>
      </c>
      <c r="B455" s="2">
        <v>-0.009838</v>
      </c>
      <c r="C455">
        <v>67.5</v>
      </c>
      <c r="E455">
        <f t="shared" si="21"/>
        <v>22.55</v>
      </c>
      <c r="F455">
        <f t="shared" si="22"/>
        <v>-9.838</v>
      </c>
      <c r="G455">
        <f t="shared" si="23"/>
        <v>-15</v>
      </c>
    </row>
    <row r="456" spans="1:7">
      <c r="A456">
        <v>22.641</v>
      </c>
      <c r="B456" s="2">
        <v>-0.009808</v>
      </c>
      <c r="C456">
        <v>67.4</v>
      </c>
      <c r="E456">
        <f t="shared" si="21"/>
        <v>22.6</v>
      </c>
      <c r="F456">
        <f t="shared" si="22"/>
        <v>-9.808</v>
      </c>
      <c r="G456">
        <f t="shared" si="23"/>
        <v>-15</v>
      </c>
    </row>
    <row r="457" spans="1:7">
      <c r="A457">
        <v>22.691</v>
      </c>
      <c r="B457" s="2">
        <v>-0.009891</v>
      </c>
      <c r="C457">
        <v>67.9</v>
      </c>
      <c r="E457">
        <f t="shared" si="21"/>
        <v>22.65</v>
      </c>
      <c r="F457">
        <f t="shared" si="22"/>
        <v>-9.891</v>
      </c>
      <c r="G457">
        <f t="shared" si="23"/>
        <v>-15</v>
      </c>
    </row>
    <row r="458" spans="1:7">
      <c r="A458">
        <v>22.741</v>
      </c>
      <c r="B458" s="2">
        <v>-0.009993</v>
      </c>
      <c r="C458">
        <v>67.2</v>
      </c>
      <c r="E458">
        <f t="shared" si="21"/>
        <v>22.7</v>
      </c>
      <c r="F458">
        <f t="shared" si="22"/>
        <v>-9.993</v>
      </c>
      <c r="G458">
        <f t="shared" si="23"/>
        <v>-15</v>
      </c>
    </row>
    <row r="459" spans="1:7">
      <c r="A459">
        <v>22.791</v>
      </c>
      <c r="B459" s="2">
        <v>-0.01012</v>
      </c>
      <c r="C459">
        <v>66.9</v>
      </c>
      <c r="E459">
        <f t="shared" si="21"/>
        <v>22.75</v>
      </c>
      <c r="F459">
        <f t="shared" si="22"/>
        <v>-10.12</v>
      </c>
      <c r="G459">
        <f t="shared" si="23"/>
        <v>-15</v>
      </c>
    </row>
    <row r="460" spans="1:7">
      <c r="A460">
        <v>22.841</v>
      </c>
      <c r="B460" s="2">
        <v>-0.01034</v>
      </c>
      <c r="C460">
        <v>67.9</v>
      </c>
      <c r="E460">
        <f t="shared" si="21"/>
        <v>22.8</v>
      </c>
      <c r="F460">
        <f t="shared" si="22"/>
        <v>-10.34</v>
      </c>
      <c r="G460">
        <f t="shared" si="23"/>
        <v>-15</v>
      </c>
    </row>
    <row r="461" spans="1:7">
      <c r="A461">
        <v>22.891</v>
      </c>
      <c r="B461" s="2">
        <v>-0.01061</v>
      </c>
      <c r="C461">
        <v>67.8</v>
      </c>
      <c r="E461">
        <f t="shared" si="21"/>
        <v>22.85</v>
      </c>
      <c r="F461">
        <f t="shared" si="22"/>
        <v>-10.61</v>
      </c>
      <c r="G461">
        <f t="shared" si="23"/>
        <v>-15</v>
      </c>
    </row>
    <row r="462" spans="1:7">
      <c r="A462">
        <v>22.941</v>
      </c>
      <c r="B462" s="2">
        <v>-0.01069</v>
      </c>
      <c r="C462">
        <v>66.8</v>
      </c>
      <c r="E462">
        <f t="shared" si="21"/>
        <v>22.9</v>
      </c>
      <c r="F462">
        <f t="shared" si="22"/>
        <v>-10.69</v>
      </c>
      <c r="G462">
        <f t="shared" si="23"/>
        <v>-15</v>
      </c>
    </row>
    <row r="463" spans="1:7">
      <c r="A463">
        <v>22.991</v>
      </c>
      <c r="B463" s="2">
        <v>-0.01082</v>
      </c>
      <c r="C463">
        <v>67.1</v>
      </c>
      <c r="E463">
        <f t="shared" si="21"/>
        <v>22.95</v>
      </c>
      <c r="F463">
        <f t="shared" si="22"/>
        <v>-10.82</v>
      </c>
      <c r="G463">
        <f t="shared" si="23"/>
        <v>-15</v>
      </c>
    </row>
    <row r="464" spans="1:7">
      <c r="A464">
        <v>23.041</v>
      </c>
      <c r="B464" s="2">
        <v>-0.01081</v>
      </c>
      <c r="C464">
        <v>67.7</v>
      </c>
      <c r="E464">
        <f t="shared" si="21"/>
        <v>23</v>
      </c>
      <c r="F464">
        <f t="shared" si="22"/>
        <v>-10.81</v>
      </c>
      <c r="G464">
        <f t="shared" si="23"/>
        <v>-15</v>
      </c>
    </row>
    <row r="465" spans="1:7">
      <c r="A465">
        <v>23.092</v>
      </c>
      <c r="B465" s="2">
        <v>-0.01073</v>
      </c>
      <c r="C465">
        <v>67</v>
      </c>
      <c r="E465">
        <f t="shared" si="21"/>
        <v>23.05</v>
      </c>
      <c r="F465">
        <f t="shared" si="22"/>
        <v>-10.73</v>
      </c>
      <c r="G465">
        <f t="shared" si="23"/>
        <v>-15</v>
      </c>
    </row>
    <row r="466" spans="1:7">
      <c r="A466">
        <v>23.142</v>
      </c>
      <c r="B466" s="2">
        <v>-0.01061</v>
      </c>
      <c r="C466">
        <v>67.4</v>
      </c>
      <c r="E466">
        <f t="shared" si="21"/>
        <v>23.1</v>
      </c>
      <c r="F466">
        <f t="shared" si="22"/>
        <v>-10.61</v>
      </c>
      <c r="G466">
        <f t="shared" si="23"/>
        <v>-15</v>
      </c>
    </row>
    <row r="467" spans="1:7">
      <c r="A467">
        <v>23.192</v>
      </c>
      <c r="B467" s="2">
        <v>-0.01029</v>
      </c>
      <c r="C467">
        <v>68</v>
      </c>
      <c r="E467">
        <f t="shared" si="21"/>
        <v>23.15</v>
      </c>
      <c r="F467">
        <f t="shared" si="22"/>
        <v>-10.29</v>
      </c>
      <c r="G467">
        <f t="shared" si="23"/>
        <v>-15</v>
      </c>
    </row>
    <row r="468" spans="1:7">
      <c r="A468">
        <v>23.242</v>
      </c>
      <c r="B468" s="2">
        <v>-0.01014</v>
      </c>
      <c r="C468">
        <v>67.2</v>
      </c>
      <c r="E468">
        <f t="shared" si="21"/>
        <v>23.2</v>
      </c>
      <c r="F468">
        <f t="shared" si="22"/>
        <v>-10.14</v>
      </c>
      <c r="G468">
        <f t="shared" si="23"/>
        <v>-15</v>
      </c>
    </row>
    <row r="469" spans="1:7">
      <c r="A469">
        <v>23.292</v>
      </c>
      <c r="B469" s="2">
        <v>-0.009958</v>
      </c>
      <c r="C469">
        <v>68.4</v>
      </c>
      <c r="E469">
        <f t="shared" si="21"/>
        <v>23.25</v>
      </c>
      <c r="F469">
        <f t="shared" si="22"/>
        <v>-9.958</v>
      </c>
      <c r="G469">
        <f t="shared" si="23"/>
        <v>-15</v>
      </c>
    </row>
    <row r="470" spans="1:7">
      <c r="A470">
        <v>23.342</v>
      </c>
      <c r="B470" s="2">
        <v>-0.009911</v>
      </c>
      <c r="C470">
        <v>68.2</v>
      </c>
      <c r="E470">
        <f t="shared" si="21"/>
        <v>23.3</v>
      </c>
      <c r="F470">
        <f t="shared" si="22"/>
        <v>-9.911</v>
      </c>
      <c r="G470">
        <f t="shared" si="23"/>
        <v>-15</v>
      </c>
    </row>
    <row r="471" spans="1:7">
      <c r="A471">
        <v>23.392</v>
      </c>
      <c r="B471" s="2">
        <v>-0.009945</v>
      </c>
      <c r="C471">
        <v>68.1</v>
      </c>
      <c r="E471">
        <f t="shared" si="21"/>
        <v>23.35</v>
      </c>
      <c r="F471">
        <f t="shared" si="22"/>
        <v>-9.945</v>
      </c>
      <c r="G471">
        <f t="shared" si="23"/>
        <v>-15</v>
      </c>
    </row>
  </sheetData>
  <mergeCells count="2">
    <mergeCell ref="A1:C1"/>
    <mergeCell ref="E1:G1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2"/>
  <sheetViews>
    <sheetView topLeftCell="A4" workbookViewId="0">
      <selection activeCell="K4" sqref="K4:K1144"/>
    </sheetView>
  </sheetViews>
  <sheetFormatPr defaultColWidth="8.88888888888889" defaultRowHeight="14.4" outlineLevelCol="6"/>
  <cols>
    <col min="1" max="1" width="7.66666666666667" customWidth="1"/>
    <col min="2" max="2" width="9.66666666666667" customWidth="1"/>
    <col min="3" max="3" width="7.66666666666667" customWidth="1"/>
    <col min="4" max="4" width="3.88888888888889" customWidth="1"/>
    <col min="5" max="5" width="7.66666666666667" customWidth="1"/>
    <col min="6" max="6" width="9.66666666666667" customWidth="1"/>
    <col min="7" max="7" width="8.77777777777778" customWidth="1"/>
  </cols>
  <sheetData>
    <row r="1" spans="1:7">
      <c r="A1" s="1" t="s">
        <v>8</v>
      </c>
      <c r="B1" s="1"/>
      <c r="C1" s="1"/>
      <c r="E1" s="1" t="s">
        <v>729</v>
      </c>
      <c r="F1" s="1"/>
      <c r="G1" s="1"/>
    </row>
    <row r="2" spans="1:7">
      <c r="B2" t="s">
        <v>0</v>
      </c>
      <c r="C2" t="s">
        <v>1</v>
      </c>
      <c r="F2" t="s">
        <v>730</v>
      </c>
      <c r="G2" t="s">
        <v>731</v>
      </c>
    </row>
    <row r="3" spans="1:7">
      <c r="A3" t="s">
        <v>5</v>
      </c>
      <c r="B3" t="s">
        <v>6</v>
      </c>
      <c r="C3" t="s">
        <v>7</v>
      </c>
      <c r="E3" t="s">
        <v>5</v>
      </c>
      <c r="F3" t="s">
        <v>6</v>
      </c>
      <c r="G3" t="s">
        <v>7</v>
      </c>
    </row>
    <row r="4" spans="1:7">
      <c r="A4">
        <v>0</v>
      </c>
      <c r="B4" s="2">
        <v>-0.004727</v>
      </c>
      <c r="C4">
        <v>67.3</v>
      </c>
      <c r="E4">
        <f t="shared" ref="E4:E67" si="0">FLOOR(A4,0.05)</f>
        <v>0</v>
      </c>
      <c r="F4">
        <f t="shared" ref="F4:F67" si="1">B4*1000</f>
        <v>-4.727</v>
      </c>
      <c r="G4">
        <f>IF(C4&lt;230,-10,5)</f>
        <v>-10</v>
      </c>
    </row>
    <row r="5" spans="1:7">
      <c r="A5">
        <v>0.05</v>
      </c>
      <c r="B5" s="2">
        <v>-0.003718</v>
      </c>
      <c r="C5">
        <v>66.4</v>
      </c>
      <c r="E5">
        <f t="shared" si="0"/>
        <v>0.05</v>
      </c>
      <c r="F5">
        <f t="shared" si="1"/>
        <v>-3.718</v>
      </c>
      <c r="G5">
        <f t="shared" ref="G5:G36" si="2">IF(C5&lt;230,-10,5)</f>
        <v>-10</v>
      </c>
    </row>
    <row r="6" spans="1:7">
      <c r="A6">
        <v>0.1</v>
      </c>
      <c r="B6" s="2">
        <v>-0.002332</v>
      </c>
      <c r="C6">
        <v>67.4</v>
      </c>
      <c r="E6">
        <f t="shared" si="0"/>
        <v>0.1</v>
      </c>
      <c r="F6">
        <f t="shared" si="1"/>
        <v>-2.332</v>
      </c>
      <c r="G6">
        <f t="shared" si="2"/>
        <v>-10</v>
      </c>
    </row>
    <row r="7" spans="1:7">
      <c r="A7">
        <v>0.15</v>
      </c>
      <c r="B7" s="2">
        <v>-0.000724</v>
      </c>
      <c r="C7">
        <v>67.2</v>
      </c>
      <c r="E7">
        <f t="shared" si="0"/>
        <v>0.15</v>
      </c>
      <c r="F7">
        <f t="shared" si="1"/>
        <v>-0.724</v>
      </c>
      <c r="G7">
        <f t="shared" si="2"/>
        <v>-10</v>
      </c>
    </row>
    <row r="8" spans="1:7">
      <c r="A8">
        <v>0.2</v>
      </c>
      <c r="B8" s="8" t="s">
        <v>970</v>
      </c>
      <c r="C8">
        <v>67.1</v>
      </c>
      <c r="E8">
        <f t="shared" si="0"/>
        <v>0.2</v>
      </c>
      <c r="F8">
        <f t="shared" si="1"/>
        <v>0.6819</v>
      </c>
      <c r="G8">
        <f t="shared" si="2"/>
        <v>-10</v>
      </c>
    </row>
    <row r="9" spans="1:7">
      <c r="A9">
        <v>0.25</v>
      </c>
      <c r="B9" s="8" t="s">
        <v>971</v>
      </c>
      <c r="C9">
        <v>66.9</v>
      </c>
      <c r="E9">
        <f t="shared" si="0"/>
        <v>0.25</v>
      </c>
      <c r="F9">
        <f t="shared" si="1"/>
        <v>2.085</v>
      </c>
      <c r="G9">
        <f t="shared" si="2"/>
        <v>-10</v>
      </c>
    </row>
    <row r="10" spans="1:7">
      <c r="A10">
        <v>0.3</v>
      </c>
      <c r="B10" s="8" t="s">
        <v>972</v>
      </c>
      <c r="C10">
        <v>67.7</v>
      </c>
      <c r="E10">
        <f t="shared" si="0"/>
        <v>0.3</v>
      </c>
      <c r="F10">
        <f t="shared" si="1"/>
        <v>3.277</v>
      </c>
      <c r="G10">
        <f t="shared" si="2"/>
        <v>-10</v>
      </c>
    </row>
    <row r="11" spans="1:7">
      <c r="A11">
        <v>0.35</v>
      </c>
      <c r="B11" s="8" t="s">
        <v>973</v>
      </c>
      <c r="C11">
        <v>66.2</v>
      </c>
      <c r="E11">
        <f t="shared" si="0"/>
        <v>0.35</v>
      </c>
      <c r="F11">
        <f t="shared" si="1"/>
        <v>4.017</v>
      </c>
      <c r="G11">
        <f t="shared" si="2"/>
        <v>-10</v>
      </c>
    </row>
    <row r="12" spans="1:7">
      <c r="A12">
        <v>0.4</v>
      </c>
      <c r="B12" s="8" t="s">
        <v>974</v>
      </c>
      <c r="C12">
        <v>67</v>
      </c>
      <c r="E12">
        <f t="shared" si="0"/>
        <v>0.4</v>
      </c>
      <c r="F12">
        <f t="shared" si="1"/>
        <v>4.312</v>
      </c>
      <c r="G12">
        <f t="shared" si="2"/>
        <v>-10</v>
      </c>
    </row>
    <row r="13" spans="1:7">
      <c r="A13">
        <v>0.45</v>
      </c>
      <c r="B13" s="8" t="s">
        <v>975</v>
      </c>
      <c r="C13">
        <v>66.8</v>
      </c>
      <c r="E13">
        <f t="shared" si="0"/>
        <v>0.45</v>
      </c>
      <c r="F13">
        <f t="shared" si="1"/>
        <v>4.142</v>
      </c>
      <c r="G13">
        <f t="shared" si="2"/>
        <v>-10</v>
      </c>
    </row>
    <row r="14" spans="1:7">
      <c r="A14">
        <v>0.5</v>
      </c>
      <c r="B14" s="8" t="s">
        <v>976</v>
      </c>
      <c r="C14">
        <v>66.8</v>
      </c>
      <c r="E14">
        <f t="shared" si="0"/>
        <v>0.5</v>
      </c>
      <c r="F14">
        <f t="shared" si="1"/>
        <v>3.626</v>
      </c>
      <c r="G14">
        <f t="shared" si="2"/>
        <v>-10</v>
      </c>
    </row>
    <row r="15" spans="1:7">
      <c r="A15">
        <v>0.55</v>
      </c>
      <c r="B15" s="8" t="s">
        <v>977</v>
      </c>
      <c r="C15">
        <v>66.5</v>
      </c>
      <c r="E15">
        <f t="shared" si="0"/>
        <v>0.55</v>
      </c>
      <c r="F15">
        <f t="shared" si="1"/>
        <v>2.555</v>
      </c>
      <c r="G15">
        <f t="shared" si="2"/>
        <v>-10</v>
      </c>
    </row>
    <row r="16" spans="1:7">
      <c r="A16">
        <v>0.601</v>
      </c>
      <c r="B16" s="8" t="s">
        <v>978</v>
      </c>
      <c r="C16">
        <v>67</v>
      </c>
      <c r="E16">
        <f t="shared" si="0"/>
        <v>0.6</v>
      </c>
      <c r="F16">
        <f t="shared" si="1"/>
        <v>1.355</v>
      </c>
      <c r="G16">
        <f t="shared" si="2"/>
        <v>-10</v>
      </c>
    </row>
    <row r="17" spans="1:7">
      <c r="A17">
        <v>0.651</v>
      </c>
      <c r="B17" s="2">
        <v>-0.0001083</v>
      </c>
      <c r="C17">
        <v>66.7</v>
      </c>
      <c r="E17">
        <f t="shared" si="0"/>
        <v>0.65</v>
      </c>
      <c r="F17">
        <f t="shared" si="1"/>
        <v>-0.1083</v>
      </c>
      <c r="G17">
        <f t="shared" si="2"/>
        <v>-10</v>
      </c>
    </row>
    <row r="18" spans="1:7">
      <c r="A18">
        <v>0.701</v>
      </c>
      <c r="B18" s="2">
        <v>-0.001398</v>
      </c>
      <c r="C18">
        <v>66.5</v>
      </c>
      <c r="E18">
        <f t="shared" si="0"/>
        <v>0.7</v>
      </c>
      <c r="F18">
        <f t="shared" si="1"/>
        <v>-1.398</v>
      </c>
      <c r="G18">
        <f t="shared" si="2"/>
        <v>-10</v>
      </c>
    </row>
    <row r="19" spans="1:7">
      <c r="A19">
        <v>0.751</v>
      </c>
      <c r="B19" s="2">
        <v>-0.002669</v>
      </c>
      <c r="C19">
        <v>66.7</v>
      </c>
      <c r="E19">
        <f t="shared" si="0"/>
        <v>0.75</v>
      </c>
      <c r="F19">
        <f t="shared" si="1"/>
        <v>-2.669</v>
      </c>
      <c r="G19">
        <f t="shared" si="2"/>
        <v>-10</v>
      </c>
    </row>
    <row r="20" spans="1:7">
      <c r="A20">
        <v>0.801</v>
      </c>
      <c r="B20" s="2">
        <v>-0.003718</v>
      </c>
      <c r="C20">
        <v>66.7</v>
      </c>
      <c r="E20">
        <f t="shared" si="0"/>
        <v>0.8</v>
      </c>
      <c r="F20">
        <f t="shared" si="1"/>
        <v>-3.718</v>
      </c>
      <c r="G20">
        <f t="shared" si="2"/>
        <v>-10</v>
      </c>
    </row>
    <row r="21" spans="1:7">
      <c r="A21">
        <v>0.851</v>
      </c>
      <c r="B21" s="2">
        <v>-0.004487</v>
      </c>
      <c r="C21">
        <v>66.6</v>
      </c>
      <c r="E21">
        <f t="shared" si="0"/>
        <v>0.85</v>
      </c>
      <c r="F21">
        <f t="shared" si="1"/>
        <v>-4.487</v>
      </c>
      <c r="G21">
        <f t="shared" si="2"/>
        <v>-10</v>
      </c>
    </row>
    <row r="22" spans="1:7">
      <c r="A22">
        <v>0.901</v>
      </c>
      <c r="B22" s="2">
        <v>-0.004762</v>
      </c>
      <c r="C22">
        <v>66.9</v>
      </c>
      <c r="E22">
        <f t="shared" si="0"/>
        <v>0.9</v>
      </c>
      <c r="F22">
        <f t="shared" si="1"/>
        <v>-4.762</v>
      </c>
      <c r="G22">
        <f t="shared" si="2"/>
        <v>-10</v>
      </c>
    </row>
    <row r="23" spans="1:7">
      <c r="A23">
        <v>0.951</v>
      </c>
      <c r="B23" s="2">
        <v>-0.004761</v>
      </c>
      <c r="C23">
        <v>66.2</v>
      </c>
      <c r="E23">
        <f t="shared" si="0"/>
        <v>0.95</v>
      </c>
      <c r="F23">
        <f t="shared" si="1"/>
        <v>-4.761</v>
      </c>
      <c r="G23">
        <f t="shared" si="2"/>
        <v>-10</v>
      </c>
    </row>
    <row r="24" spans="1:7">
      <c r="A24">
        <v>1.001</v>
      </c>
      <c r="B24" s="2">
        <v>-0.004524</v>
      </c>
      <c r="C24">
        <v>66.1</v>
      </c>
      <c r="E24">
        <f t="shared" si="0"/>
        <v>1</v>
      </c>
      <c r="F24">
        <f t="shared" si="1"/>
        <v>-4.524</v>
      </c>
      <c r="G24">
        <f t="shared" si="2"/>
        <v>-10</v>
      </c>
    </row>
    <row r="25" spans="1:7">
      <c r="A25">
        <v>1.051</v>
      </c>
      <c r="B25" s="2">
        <v>-0.003868</v>
      </c>
      <c r="C25">
        <v>67.3</v>
      </c>
      <c r="E25">
        <f t="shared" si="0"/>
        <v>1.05</v>
      </c>
      <c r="F25">
        <f t="shared" si="1"/>
        <v>-3.868</v>
      </c>
      <c r="G25">
        <f t="shared" si="2"/>
        <v>-10</v>
      </c>
    </row>
    <row r="26" spans="1:7">
      <c r="A26">
        <v>1.101</v>
      </c>
      <c r="B26" s="2">
        <v>-0.002793</v>
      </c>
      <c r="C26">
        <v>67.1</v>
      </c>
      <c r="E26">
        <f t="shared" si="0"/>
        <v>1.1</v>
      </c>
      <c r="F26">
        <f t="shared" si="1"/>
        <v>-2.793</v>
      </c>
      <c r="G26">
        <f t="shared" si="2"/>
        <v>-10</v>
      </c>
    </row>
    <row r="27" spans="1:7">
      <c r="A27">
        <v>1.151</v>
      </c>
      <c r="B27" s="2">
        <v>-0.001438</v>
      </c>
      <c r="C27">
        <v>66.8</v>
      </c>
      <c r="E27">
        <f t="shared" si="0"/>
        <v>1.15</v>
      </c>
      <c r="F27">
        <f t="shared" si="1"/>
        <v>-1.438</v>
      </c>
      <c r="G27">
        <f t="shared" si="2"/>
        <v>-10</v>
      </c>
    </row>
    <row r="28" spans="1:7">
      <c r="A28">
        <v>1.201</v>
      </c>
      <c r="B28" s="2">
        <v>-0.0003408</v>
      </c>
      <c r="C28">
        <v>66.9</v>
      </c>
      <c r="E28">
        <f t="shared" si="0"/>
        <v>1.2</v>
      </c>
      <c r="F28">
        <f t="shared" si="1"/>
        <v>-0.3408</v>
      </c>
      <c r="G28">
        <f t="shared" si="2"/>
        <v>-10</v>
      </c>
    </row>
    <row r="29" spans="1:7">
      <c r="A29">
        <v>1.251</v>
      </c>
      <c r="B29" s="8" t="s">
        <v>979</v>
      </c>
      <c r="C29">
        <v>67.1</v>
      </c>
      <c r="E29">
        <f t="shared" si="0"/>
        <v>1.25</v>
      </c>
      <c r="F29">
        <f t="shared" si="1"/>
        <v>1.065</v>
      </c>
      <c r="G29">
        <f t="shared" si="2"/>
        <v>-10</v>
      </c>
    </row>
    <row r="30" spans="1:7">
      <c r="A30">
        <v>1.301</v>
      </c>
      <c r="B30" s="8" t="s">
        <v>980</v>
      </c>
      <c r="C30">
        <v>66.7</v>
      </c>
      <c r="E30">
        <f t="shared" si="0"/>
        <v>1.3</v>
      </c>
      <c r="F30">
        <f t="shared" si="1"/>
        <v>2.132</v>
      </c>
      <c r="G30">
        <f t="shared" si="2"/>
        <v>-10</v>
      </c>
    </row>
    <row r="31" spans="1:7">
      <c r="A31">
        <v>1.351</v>
      </c>
      <c r="B31" s="8" t="s">
        <v>800</v>
      </c>
      <c r="C31">
        <v>67</v>
      </c>
      <c r="E31">
        <f t="shared" si="0"/>
        <v>1.35</v>
      </c>
      <c r="F31">
        <f t="shared" si="1"/>
        <v>3.041</v>
      </c>
      <c r="G31">
        <f t="shared" si="2"/>
        <v>-10</v>
      </c>
    </row>
    <row r="32" spans="1:7">
      <c r="A32">
        <v>1.401</v>
      </c>
      <c r="B32" s="8" t="s">
        <v>981</v>
      </c>
      <c r="C32">
        <v>67.3</v>
      </c>
      <c r="E32">
        <f t="shared" si="0"/>
        <v>1.4</v>
      </c>
      <c r="F32">
        <f t="shared" si="1"/>
        <v>3.642</v>
      </c>
      <c r="G32">
        <f t="shared" si="2"/>
        <v>-10</v>
      </c>
    </row>
    <row r="33" spans="1:7">
      <c r="A33">
        <v>1.451</v>
      </c>
      <c r="B33" s="8" t="s">
        <v>982</v>
      </c>
      <c r="C33">
        <v>67.4</v>
      </c>
      <c r="E33">
        <f t="shared" si="0"/>
        <v>1.45</v>
      </c>
      <c r="F33">
        <f t="shared" si="1"/>
        <v>3.77</v>
      </c>
      <c r="G33">
        <f t="shared" si="2"/>
        <v>-10</v>
      </c>
    </row>
    <row r="34" spans="1:7">
      <c r="A34">
        <v>1.501</v>
      </c>
      <c r="B34" s="8" t="s">
        <v>983</v>
      </c>
      <c r="C34">
        <v>66.3</v>
      </c>
      <c r="E34">
        <f t="shared" si="0"/>
        <v>1.5</v>
      </c>
      <c r="F34">
        <f t="shared" si="1"/>
        <v>3.558</v>
      </c>
      <c r="G34">
        <f t="shared" si="2"/>
        <v>-10</v>
      </c>
    </row>
    <row r="35" spans="1:7">
      <c r="A35">
        <v>1.551</v>
      </c>
      <c r="B35" s="8" t="s">
        <v>984</v>
      </c>
      <c r="C35">
        <v>66.3</v>
      </c>
      <c r="E35">
        <f t="shared" si="0"/>
        <v>1.55</v>
      </c>
      <c r="F35">
        <f t="shared" si="1"/>
        <v>2.851</v>
      </c>
      <c r="G35">
        <f t="shared" si="2"/>
        <v>-10</v>
      </c>
    </row>
    <row r="36" spans="1:7">
      <c r="A36">
        <v>1.601</v>
      </c>
      <c r="B36" s="8" t="s">
        <v>985</v>
      </c>
      <c r="C36">
        <v>66.5</v>
      </c>
      <c r="E36">
        <f t="shared" si="0"/>
        <v>1.6</v>
      </c>
      <c r="F36">
        <f t="shared" si="1"/>
        <v>1.879</v>
      </c>
      <c r="G36">
        <f t="shared" si="2"/>
        <v>-10</v>
      </c>
    </row>
    <row r="37" spans="1:7">
      <c r="A37">
        <v>1.651</v>
      </c>
      <c r="B37" s="8" t="s">
        <v>986</v>
      </c>
      <c r="C37">
        <v>66.4</v>
      </c>
      <c r="E37">
        <f t="shared" si="0"/>
        <v>1.65</v>
      </c>
      <c r="F37">
        <f t="shared" si="1"/>
        <v>0.774</v>
      </c>
      <c r="G37">
        <f t="shared" ref="G37:G68" si="3">IF(C37&lt;230,-10,5)</f>
        <v>-10</v>
      </c>
    </row>
    <row r="38" spans="1:7">
      <c r="A38">
        <v>1.702</v>
      </c>
      <c r="B38" s="2">
        <v>-0.0004814</v>
      </c>
      <c r="C38">
        <v>67.3</v>
      </c>
      <c r="E38">
        <f t="shared" si="0"/>
        <v>1.7</v>
      </c>
      <c r="F38">
        <f t="shared" si="1"/>
        <v>-0.4814</v>
      </c>
      <c r="G38">
        <f t="shared" si="3"/>
        <v>-10</v>
      </c>
    </row>
    <row r="39" spans="1:7">
      <c r="A39">
        <v>1.752</v>
      </c>
      <c r="B39" s="2">
        <v>-0.001487</v>
      </c>
      <c r="C39">
        <v>66.9</v>
      </c>
      <c r="E39">
        <f t="shared" si="0"/>
        <v>1.75</v>
      </c>
      <c r="F39">
        <f t="shared" si="1"/>
        <v>-1.487</v>
      </c>
      <c r="G39">
        <f t="shared" si="3"/>
        <v>-10</v>
      </c>
    </row>
    <row r="40" spans="1:7">
      <c r="A40">
        <v>1.802</v>
      </c>
      <c r="B40" s="2">
        <v>-0.002599</v>
      </c>
      <c r="C40">
        <v>66.7</v>
      </c>
      <c r="E40">
        <f t="shared" si="0"/>
        <v>1.8</v>
      </c>
      <c r="F40">
        <f t="shared" si="1"/>
        <v>-2.599</v>
      </c>
      <c r="G40">
        <f t="shared" si="3"/>
        <v>-10</v>
      </c>
    </row>
    <row r="41" spans="1:7">
      <c r="A41">
        <v>1.852</v>
      </c>
      <c r="B41" s="2">
        <v>-0.003337</v>
      </c>
      <c r="C41">
        <v>67</v>
      </c>
      <c r="E41">
        <f t="shared" si="0"/>
        <v>1.85</v>
      </c>
      <c r="F41">
        <f t="shared" si="1"/>
        <v>-3.337</v>
      </c>
      <c r="G41">
        <f t="shared" si="3"/>
        <v>-10</v>
      </c>
    </row>
    <row r="42" spans="1:7">
      <c r="A42">
        <v>1.902</v>
      </c>
      <c r="B42" s="2">
        <v>-0.0039</v>
      </c>
      <c r="C42">
        <v>66.7</v>
      </c>
      <c r="E42">
        <f t="shared" si="0"/>
        <v>1.9</v>
      </c>
      <c r="F42">
        <f t="shared" si="1"/>
        <v>-3.9</v>
      </c>
      <c r="G42">
        <f t="shared" si="3"/>
        <v>-10</v>
      </c>
    </row>
    <row r="43" spans="1:7">
      <c r="A43">
        <v>1.952</v>
      </c>
      <c r="B43" s="2">
        <v>-0.004047</v>
      </c>
      <c r="C43">
        <v>66.9</v>
      </c>
      <c r="E43">
        <f t="shared" si="0"/>
        <v>1.95</v>
      </c>
      <c r="F43">
        <f t="shared" si="1"/>
        <v>-4.047</v>
      </c>
      <c r="G43">
        <f t="shared" si="3"/>
        <v>-10</v>
      </c>
    </row>
    <row r="44" spans="1:7">
      <c r="A44">
        <v>2.002</v>
      </c>
      <c r="B44" s="2">
        <v>-0.003844</v>
      </c>
      <c r="C44">
        <v>67.2</v>
      </c>
      <c r="E44">
        <f t="shared" si="0"/>
        <v>2</v>
      </c>
      <c r="F44">
        <f t="shared" si="1"/>
        <v>-3.844</v>
      </c>
      <c r="G44">
        <f t="shared" si="3"/>
        <v>-10</v>
      </c>
    </row>
    <row r="45" spans="1:7">
      <c r="A45">
        <v>2.052</v>
      </c>
      <c r="B45" s="2">
        <v>-0.003454</v>
      </c>
      <c r="C45">
        <v>67</v>
      </c>
      <c r="E45">
        <f t="shared" si="0"/>
        <v>2.05</v>
      </c>
      <c r="F45">
        <f t="shared" si="1"/>
        <v>-3.454</v>
      </c>
      <c r="G45">
        <f t="shared" si="3"/>
        <v>-10</v>
      </c>
    </row>
    <row r="46" spans="1:7">
      <c r="A46">
        <v>2.102</v>
      </c>
      <c r="B46" s="2">
        <v>-0.00266</v>
      </c>
      <c r="C46">
        <v>67.1</v>
      </c>
      <c r="E46">
        <f t="shared" si="0"/>
        <v>2.1</v>
      </c>
      <c r="F46">
        <f t="shared" si="1"/>
        <v>-2.66</v>
      </c>
      <c r="G46">
        <f t="shared" si="3"/>
        <v>-10</v>
      </c>
    </row>
    <row r="47" spans="1:7">
      <c r="A47">
        <v>2.152</v>
      </c>
      <c r="B47" s="2">
        <v>-0.001646</v>
      </c>
      <c r="C47">
        <v>67.2</v>
      </c>
      <c r="E47">
        <f t="shared" si="0"/>
        <v>2.15</v>
      </c>
      <c r="F47">
        <f t="shared" si="1"/>
        <v>-1.646</v>
      </c>
      <c r="G47">
        <f t="shared" si="3"/>
        <v>-10</v>
      </c>
    </row>
    <row r="48" spans="1:7">
      <c r="A48">
        <v>2.202</v>
      </c>
      <c r="B48" s="2">
        <v>-0.000574</v>
      </c>
      <c r="C48">
        <v>66.5</v>
      </c>
      <c r="E48">
        <f t="shared" si="0"/>
        <v>2.2</v>
      </c>
      <c r="F48">
        <f t="shared" si="1"/>
        <v>-0.574</v>
      </c>
      <c r="G48">
        <f t="shared" si="3"/>
        <v>-10</v>
      </c>
    </row>
    <row r="49" spans="1:7">
      <c r="A49">
        <v>2.252</v>
      </c>
      <c r="B49" s="8" t="s">
        <v>987</v>
      </c>
      <c r="C49">
        <v>67.2</v>
      </c>
      <c r="E49">
        <f t="shared" si="0"/>
        <v>2.25</v>
      </c>
      <c r="F49">
        <f t="shared" si="1"/>
        <v>0.54</v>
      </c>
      <c r="G49">
        <f t="shared" si="3"/>
        <v>-10</v>
      </c>
    </row>
    <row r="50" spans="1:7">
      <c r="A50">
        <v>2.302</v>
      </c>
      <c r="B50" s="8" t="s">
        <v>537</v>
      </c>
      <c r="C50">
        <v>66.4</v>
      </c>
      <c r="E50">
        <f t="shared" si="0"/>
        <v>2.3</v>
      </c>
      <c r="F50">
        <f t="shared" si="1"/>
        <v>1.573</v>
      </c>
      <c r="G50">
        <f t="shared" si="3"/>
        <v>-10</v>
      </c>
    </row>
    <row r="51" spans="1:7">
      <c r="A51">
        <v>2.352</v>
      </c>
      <c r="B51" s="8" t="s">
        <v>988</v>
      </c>
      <c r="C51">
        <v>67.3</v>
      </c>
      <c r="E51">
        <f t="shared" si="0"/>
        <v>2.35</v>
      </c>
      <c r="F51">
        <f t="shared" si="1"/>
        <v>2.367</v>
      </c>
      <c r="G51">
        <f t="shared" si="3"/>
        <v>-10</v>
      </c>
    </row>
    <row r="52" spans="1:7">
      <c r="A52">
        <v>2.402</v>
      </c>
      <c r="B52" s="8" t="s">
        <v>989</v>
      </c>
      <c r="C52">
        <v>66.8</v>
      </c>
      <c r="E52">
        <f t="shared" si="0"/>
        <v>2.4</v>
      </c>
      <c r="F52">
        <f t="shared" si="1"/>
        <v>2.962</v>
      </c>
      <c r="G52">
        <f t="shared" si="3"/>
        <v>-10</v>
      </c>
    </row>
    <row r="53" spans="1:7">
      <c r="A53">
        <v>2.452</v>
      </c>
      <c r="B53" s="8" t="s">
        <v>990</v>
      </c>
      <c r="C53">
        <v>66.3</v>
      </c>
      <c r="E53">
        <f t="shared" si="0"/>
        <v>2.45</v>
      </c>
      <c r="F53">
        <f t="shared" si="1"/>
        <v>3.163</v>
      </c>
      <c r="G53">
        <f t="shared" si="3"/>
        <v>-10</v>
      </c>
    </row>
    <row r="54" spans="1:7">
      <c r="A54">
        <v>2.502</v>
      </c>
      <c r="B54" s="8" t="s">
        <v>991</v>
      </c>
      <c r="C54">
        <v>66.9</v>
      </c>
      <c r="E54">
        <f t="shared" si="0"/>
        <v>2.5</v>
      </c>
      <c r="F54">
        <f t="shared" si="1"/>
        <v>3.027</v>
      </c>
      <c r="G54">
        <f t="shared" si="3"/>
        <v>-10</v>
      </c>
    </row>
    <row r="55" spans="1:7">
      <c r="A55">
        <v>2.552</v>
      </c>
      <c r="B55" s="8" t="s">
        <v>992</v>
      </c>
      <c r="C55">
        <v>67.3</v>
      </c>
      <c r="E55">
        <f t="shared" si="0"/>
        <v>2.55</v>
      </c>
      <c r="F55">
        <f t="shared" si="1"/>
        <v>2.633</v>
      </c>
      <c r="G55">
        <f t="shared" si="3"/>
        <v>-10</v>
      </c>
    </row>
    <row r="56" spans="1:7">
      <c r="A56">
        <v>2.602</v>
      </c>
      <c r="B56" s="8" t="s">
        <v>993</v>
      </c>
      <c r="C56">
        <v>66.6</v>
      </c>
      <c r="E56">
        <f t="shared" si="0"/>
        <v>2.6</v>
      </c>
      <c r="F56">
        <f t="shared" si="1"/>
        <v>1.834</v>
      </c>
      <c r="G56">
        <f t="shared" si="3"/>
        <v>-10</v>
      </c>
    </row>
    <row r="57" spans="1:7">
      <c r="A57">
        <v>2.652</v>
      </c>
      <c r="B57" s="8" t="s">
        <v>994</v>
      </c>
      <c r="C57">
        <v>67.3</v>
      </c>
      <c r="E57">
        <f t="shared" si="0"/>
        <v>2.65</v>
      </c>
      <c r="F57">
        <f t="shared" si="1"/>
        <v>0.8666</v>
      </c>
      <c r="G57">
        <f t="shared" si="3"/>
        <v>-10</v>
      </c>
    </row>
    <row r="58" spans="1:7">
      <c r="A58">
        <v>2.702</v>
      </c>
      <c r="B58" s="2">
        <v>-0.0002275</v>
      </c>
      <c r="C58">
        <v>66.9</v>
      </c>
      <c r="E58">
        <f t="shared" si="0"/>
        <v>2.7</v>
      </c>
      <c r="F58">
        <f t="shared" si="1"/>
        <v>-0.2275</v>
      </c>
      <c r="G58">
        <f t="shared" si="3"/>
        <v>-10</v>
      </c>
    </row>
    <row r="59" spans="1:7">
      <c r="A59">
        <v>2.752</v>
      </c>
      <c r="B59" s="2">
        <v>-0.001117</v>
      </c>
      <c r="C59">
        <v>66.6</v>
      </c>
      <c r="E59">
        <f t="shared" si="0"/>
        <v>2.75</v>
      </c>
      <c r="F59">
        <f t="shared" si="1"/>
        <v>-1.117</v>
      </c>
      <c r="G59">
        <f t="shared" si="3"/>
        <v>-10</v>
      </c>
    </row>
    <row r="60" spans="1:7">
      <c r="A60">
        <v>2.802</v>
      </c>
      <c r="B60" s="2">
        <v>-0.002125</v>
      </c>
      <c r="C60">
        <v>66.6</v>
      </c>
      <c r="E60">
        <f t="shared" si="0"/>
        <v>2.8</v>
      </c>
      <c r="F60">
        <f t="shared" si="1"/>
        <v>-2.125</v>
      </c>
      <c r="G60">
        <f t="shared" si="3"/>
        <v>-10</v>
      </c>
    </row>
    <row r="61" spans="1:7">
      <c r="A61">
        <v>2.853</v>
      </c>
      <c r="B61" s="2">
        <v>-0.002893</v>
      </c>
      <c r="C61">
        <v>240.2</v>
      </c>
      <c r="E61">
        <f t="shared" si="0"/>
        <v>2.85</v>
      </c>
      <c r="F61">
        <f t="shared" si="1"/>
        <v>-2.893</v>
      </c>
      <c r="G61">
        <f t="shared" si="3"/>
        <v>5</v>
      </c>
    </row>
    <row r="62" spans="1:7">
      <c r="A62">
        <v>2.903</v>
      </c>
      <c r="B62" s="2">
        <v>-0.003413</v>
      </c>
      <c r="C62">
        <v>252.9</v>
      </c>
      <c r="E62">
        <f t="shared" si="0"/>
        <v>2.9</v>
      </c>
      <c r="F62">
        <f t="shared" si="1"/>
        <v>-3.413</v>
      </c>
      <c r="G62">
        <f t="shared" si="3"/>
        <v>5</v>
      </c>
    </row>
    <row r="63" spans="1:7">
      <c r="A63">
        <v>2.953</v>
      </c>
      <c r="B63" s="2">
        <v>-0.003823</v>
      </c>
      <c r="C63">
        <v>253.7</v>
      </c>
      <c r="E63">
        <f t="shared" si="0"/>
        <v>2.95</v>
      </c>
      <c r="F63">
        <f t="shared" si="1"/>
        <v>-3.823</v>
      </c>
      <c r="G63">
        <f t="shared" si="3"/>
        <v>5</v>
      </c>
    </row>
    <row r="64" spans="1:7">
      <c r="A64">
        <v>3.003</v>
      </c>
      <c r="B64" s="2">
        <v>-0.004314</v>
      </c>
      <c r="C64">
        <v>253.8</v>
      </c>
      <c r="E64">
        <f t="shared" si="0"/>
        <v>3</v>
      </c>
      <c r="F64">
        <f t="shared" si="1"/>
        <v>-4.314</v>
      </c>
      <c r="G64">
        <f t="shared" si="3"/>
        <v>5</v>
      </c>
    </row>
    <row r="65" spans="1:7">
      <c r="A65">
        <v>3.053</v>
      </c>
      <c r="B65" s="2">
        <v>-0.004702</v>
      </c>
      <c r="C65">
        <v>253.7</v>
      </c>
      <c r="E65">
        <f t="shared" si="0"/>
        <v>3.05</v>
      </c>
      <c r="F65">
        <f t="shared" si="1"/>
        <v>-4.702</v>
      </c>
      <c r="G65">
        <f t="shared" si="3"/>
        <v>5</v>
      </c>
    </row>
    <row r="66" spans="1:7">
      <c r="A66">
        <v>3.103</v>
      </c>
      <c r="B66" s="2">
        <v>-0.004952</v>
      </c>
      <c r="C66">
        <v>253.7</v>
      </c>
      <c r="E66">
        <f t="shared" si="0"/>
        <v>3.1</v>
      </c>
      <c r="F66">
        <f t="shared" si="1"/>
        <v>-4.952</v>
      </c>
      <c r="G66">
        <f t="shared" si="3"/>
        <v>5</v>
      </c>
    </row>
    <row r="67" spans="1:7">
      <c r="A67">
        <v>3.153</v>
      </c>
      <c r="B67" s="2">
        <v>-0.00535</v>
      </c>
      <c r="C67">
        <v>253.7</v>
      </c>
      <c r="E67">
        <f t="shared" si="0"/>
        <v>3.15</v>
      </c>
      <c r="F67">
        <f t="shared" si="1"/>
        <v>-5.35</v>
      </c>
      <c r="G67">
        <f t="shared" si="3"/>
        <v>5</v>
      </c>
    </row>
    <row r="68" spans="1:7">
      <c r="A68">
        <v>3.203</v>
      </c>
      <c r="B68" s="2">
        <v>-0.005621</v>
      </c>
      <c r="C68">
        <v>253.7</v>
      </c>
      <c r="E68">
        <f t="shared" ref="E68:E131" si="4">FLOOR(A68,0.05)</f>
        <v>3.2</v>
      </c>
      <c r="F68">
        <f t="shared" ref="F68:F131" si="5">B68*1000</f>
        <v>-5.621</v>
      </c>
      <c r="G68">
        <f t="shared" si="3"/>
        <v>5</v>
      </c>
    </row>
    <row r="69" spans="1:7">
      <c r="A69">
        <v>3.253</v>
      </c>
      <c r="B69" s="2">
        <v>-0.005809</v>
      </c>
      <c r="C69">
        <v>253.7</v>
      </c>
      <c r="E69">
        <f t="shared" si="4"/>
        <v>3.25</v>
      </c>
      <c r="F69">
        <f t="shared" si="5"/>
        <v>-5.809</v>
      </c>
      <c r="G69">
        <f t="shared" ref="G69:G100" si="6">IF(C69&lt;230,-10,5)</f>
        <v>5</v>
      </c>
    </row>
    <row r="70" spans="1:7">
      <c r="A70">
        <v>3.303</v>
      </c>
      <c r="B70" s="2">
        <v>-0.006035</v>
      </c>
      <c r="C70">
        <v>253.7</v>
      </c>
      <c r="E70">
        <f t="shared" si="4"/>
        <v>3.3</v>
      </c>
      <c r="F70">
        <f t="shared" si="5"/>
        <v>-6.035</v>
      </c>
      <c r="G70">
        <f t="shared" si="6"/>
        <v>5</v>
      </c>
    </row>
    <row r="71" spans="1:7">
      <c r="A71">
        <v>3.353</v>
      </c>
      <c r="B71" s="2">
        <v>-0.006162</v>
      </c>
      <c r="C71">
        <v>253.6</v>
      </c>
      <c r="E71">
        <f t="shared" si="4"/>
        <v>3.35</v>
      </c>
      <c r="F71">
        <f t="shared" si="5"/>
        <v>-6.162</v>
      </c>
      <c r="G71">
        <f t="shared" si="6"/>
        <v>5</v>
      </c>
    </row>
    <row r="72" spans="1:7">
      <c r="A72">
        <v>3.403</v>
      </c>
      <c r="B72" s="2">
        <v>-0.006151</v>
      </c>
      <c r="C72">
        <v>253.7</v>
      </c>
      <c r="E72">
        <f t="shared" si="4"/>
        <v>3.4</v>
      </c>
      <c r="F72">
        <f t="shared" si="5"/>
        <v>-6.151</v>
      </c>
      <c r="G72">
        <f t="shared" si="6"/>
        <v>5</v>
      </c>
    </row>
    <row r="73" spans="1:7">
      <c r="A73">
        <v>3.453</v>
      </c>
      <c r="B73" s="2">
        <v>-0.006153</v>
      </c>
      <c r="C73">
        <v>253.7</v>
      </c>
      <c r="E73">
        <f t="shared" si="4"/>
        <v>3.45</v>
      </c>
      <c r="F73">
        <f t="shared" si="5"/>
        <v>-6.153</v>
      </c>
      <c r="G73">
        <f t="shared" si="6"/>
        <v>5</v>
      </c>
    </row>
    <row r="74" spans="1:7">
      <c r="A74">
        <v>3.503</v>
      </c>
      <c r="B74" s="2">
        <v>-0.006058</v>
      </c>
      <c r="C74">
        <v>253.6</v>
      </c>
      <c r="E74">
        <f t="shared" si="4"/>
        <v>3.5</v>
      </c>
      <c r="F74">
        <f t="shared" si="5"/>
        <v>-6.058</v>
      </c>
      <c r="G74">
        <f t="shared" si="6"/>
        <v>5</v>
      </c>
    </row>
    <row r="75" spans="1:7">
      <c r="A75">
        <v>3.553</v>
      </c>
      <c r="B75" s="2">
        <v>-0.006026</v>
      </c>
      <c r="C75">
        <v>253.7</v>
      </c>
      <c r="E75">
        <f t="shared" si="4"/>
        <v>3.55</v>
      </c>
      <c r="F75">
        <f t="shared" si="5"/>
        <v>-6.026</v>
      </c>
      <c r="G75">
        <f t="shared" si="6"/>
        <v>5</v>
      </c>
    </row>
    <row r="76" spans="1:7">
      <c r="A76">
        <v>3.603</v>
      </c>
      <c r="B76" s="2">
        <v>-0.005996</v>
      </c>
      <c r="C76">
        <v>253.7</v>
      </c>
      <c r="E76">
        <f t="shared" si="4"/>
        <v>3.6</v>
      </c>
      <c r="F76">
        <f t="shared" si="5"/>
        <v>-5.996</v>
      </c>
      <c r="G76">
        <f t="shared" si="6"/>
        <v>5</v>
      </c>
    </row>
    <row r="77" spans="1:7">
      <c r="A77">
        <v>3.653</v>
      </c>
      <c r="B77" s="2">
        <v>-0.00596</v>
      </c>
      <c r="C77">
        <v>253.6</v>
      </c>
      <c r="E77">
        <f t="shared" si="4"/>
        <v>3.65</v>
      </c>
      <c r="F77">
        <f t="shared" si="5"/>
        <v>-5.96</v>
      </c>
      <c r="G77">
        <f t="shared" si="6"/>
        <v>5</v>
      </c>
    </row>
    <row r="78" spans="1:7">
      <c r="A78">
        <v>3.703</v>
      </c>
      <c r="B78" s="2">
        <v>-0.005961</v>
      </c>
      <c r="C78">
        <v>253.6</v>
      </c>
      <c r="E78">
        <f t="shared" si="4"/>
        <v>3.7</v>
      </c>
      <c r="F78">
        <f t="shared" si="5"/>
        <v>-5.961</v>
      </c>
      <c r="G78">
        <f t="shared" si="6"/>
        <v>5</v>
      </c>
    </row>
    <row r="79" spans="1:7">
      <c r="A79">
        <v>3.753</v>
      </c>
      <c r="B79" s="2">
        <v>-0.005949</v>
      </c>
      <c r="C79">
        <v>253.6</v>
      </c>
      <c r="E79">
        <f t="shared" si="4"/>
        <v>3.75</v>
      </c>
      <c r="F79">
        <f t="shared" si="5"/>
        <v>-5.949</v>
      </c>
      <c r="G79">
        <f t="shared" si="6"/>
        <v>5</v>
      </c>
    </row>
    <row r="80" spans="1:7">
      <c r="A80">
        <v>3.803</v>
      </c>
      <c r="B80" s="2">
        <v>-0.005984</v>
      </c>
      <c r="C80">
        <v>253.6</v>
      </c>
      <c r="E80">
        <f t="shared" si="4"/>
        <v>3.8</v>
      </c>
      <c r="F80">
        <f t="shared" si="5"/>
        <v>-5.984</v>
      </c>
      <c r="G80">
        <f t="shared" si="6"/>
        <v>5</v>
      </c>
    </row>
    <row r="81" spans="1:7">
      <c r="A81">
        <v>3.853</v>
      </c>
      <c r="B81" s="2">
        <v>-0.006008</v>
      </c>
      <c r="C81">
        <v>253.6</v>
      </c>
      <c r="E81">
        <f t="shared" si="4"/>
        <v>3.85</v>
      </c>
      <c r="F81">
        <f t="shared" si="5"/>
        <v>-6.008</v>
      </c>
      <c r="G81">
        <f t="shared" si="6"/>
        <v>5</v>
      </c>
    </row>
    <row r="82" spans="1:7">
      <c r="A82">
        <v>3.903</v>
      </c>
      <c r="B82" s="2">
        <v>-0.006114</v>
      </c>
      <c r="C82">
        <v>99.4</v>
      </c>
      <c r="E82">
        <f t="shared" si="4"/>
        <v>3.9</v>
      </c>
      <c r="F82">
        <f t="shared" si="5"/>
        <v>-6.114</v>
      </c>
      <c r="G82">
        <f t="shared" si="6"/>
        <v>-10</v>
      </c>
    </row>
    <row r="83" spans="1:7">
      <c r="A83">
        <v>3.953</v>
      </c>
      <c r="B83" s="2">
        <v>-0.006673</v>
      </c>
      <c r="C83">
        <v>93.9</v>
      </c>
      <c r="E83">
        <f t="shared" si="4"/>
        <v>3.95</v>
      </c>
      <c r="F83">
        <f t="shared" si="5"/>
        <v>-6.673</v>
      </c>
      <c r="G83">
        <f t="shared" si="6"/>
        <v>-10</v>
      </c>
    </row>
    <row r="84" spans="1:7">
      <c r="A84">
        <v>4.004</v>
      </c>
      <c r="B84" s="2">
        <v>-0.007809</v>
      </c>
      <c r="C84">
        <v>92.2</v>
      </c>
      <c r="E84">
        <f t="shared" si="4"/>
        <v>4</v>
      </c>
      <c r="F84">
        <f t="shared" si="5"/>
        <v>-7.809</v>
      </c>
      <c r="G84">
        <f t="shared" si="6"/>
        <v>-10</v>
      </c>
    </row>
    <row r="85" spans="1:7">
      <c r="A85">
        <v>4.054</v>
      </c>
      <c r="B85" s="2">
        <v>-0.008747</v>
      </c>
      <c r="C85">
        <v>92.3</v>
      </c>
      <c r="E85">
        <f t="shared" si="4"/>
        <v>4.05</v>
      </c>
      <c r="F85">
        <f t="shared" si="5"/>
        <v>-8.747</v>
      </c>
      <c r="G85">
        <f t="shared" si="6"/>
        <v>-10</v>
      </c>
    </row>
    <row r="86" spans="1:7">
      <c r="A86">
        <v>4.104</v>
      </c>
      <c r="B86" s="2">
        <v>-0.009487</v>
      </c>
      <c r="C86">
        <v>91.9</v>
      </c>
      <c r="E86">
        <f t="shared" si="4"/>
        <v>4.1</v>
      </c>
      <c r="F86">
        <f t="shared" si="5"/>
        <v>-9.487</v>
      </c>
      <c r="G86">
        <f t="shared" si="6"/>
        <v>-10</v>
      </c>
    </row>
    <row r="87" spans="1:7">
      <c r="A87">
        <v>4.154</v>
      </c>
      <c r="B87" s="2">
        <v>-0.009875</v>
      </c>
      <c r="C87">
        <v>91.7</v>
      </c>
      <c r="E87">
        <f t="shared" si="4"/>
        <v>4.15</v>
      </c>
      <c r="F87">
        <f t="shared" si="5"/>
        <v>-9.875</v>
      </c>
      <c r="G87">
        <f t="shared" si="6"/>
        <v>-10</v>
      </c>
    </row>
    <row r="88" spans="1:7">
      <c r="A88">
        <v>4.204</v>
      </c>
      <c r="B88" s="2">
        <v>-0.009799</v>
      </c>
      <c r="C88">
        <v>91.8</v>
      </c>
      <c r="E88">
        <f t="shared" si="4"/>
        <v>4.2</v>
      </c>
      <c r="F88">
        <f t="shared" si="5"/>
        <v>-9.799</v>
      </c>
      <c r="G88">
        <f t="shared" si="6"/>
        <v>-10</v>
      </c>
    </row>
    <row r="89" spans="1:7">
      <c r="A89">
        <v>4.254</v>
      </c>
      <c r="B89" s="2">
        <v>-0.009278</v>
      </c>
      <c r="C89">
        <v>91.6</v>
      </c>
      <c r="E89">
        <f t="shared" si="4"/>
        <v>4.25</v>
      </c>
      <c r="F89">
        <f t="shared" si="5"/>
        <v>-9.278</v>
      </c>
      <c r="G89">
        <f t="shared" si="6"/>
        <v>-10</v>
      </c>
    </row>
    <row r="90" spans="1:7">
      <c r="A90">
        <v>4.304</v>
      </c>
      <c r="B90" s="2">
        <v>-0.008395</v>
      </c>
      <c r="C90">
        <v>91.6</v>
      </c>
      <c r="E90">
        <f t="shared" si="4"/>
        <v>4.3</v>
      </c>
      <c r="F90">
        <f t="shared" si="5"/>
        <v>-8.395</v>
      </c>
      <c r="G90">
        <f t="shared" si="6"/>
        <v>-10</v>
      </c>
    </row>
    <row r="91" spans="1:7">
      <c r="A91">
        <v>4.354</v>
      </c>
      <c r="B91" s="2">
        <v>-0.007365</v>
      </c>
      <c r="C91">
        <v>91.5</v>
      </c>
      <c r="E91">
        <f t="shared" si="4"/>
        <v>4.35</v>
      </c>
      <c r="F91">
        <f t="shared" si="5"/>
        <v>-7.365</v>
      </c>
      <c r="G91">
        <f t="shared" si="6"/>
        <v>-10</v>
      </c>
    </row>
    <row r="92" spans="1:7">
      <c r="A92">
        <v>4.404</v>
      </c>
      <c r="B92" s="2">
        <v>-0.006374</v>
      </c>
      <c r="C92">
        <v>91.2</v>
      </c>
      <c r="E92">
        <f t="shared" si="4"/>
        <v>4.4</v>
      </c>
      <c r="F92">
        <f t="shared" si="5"/>
        <v>-6.374</v>
      </c>
      <c r="G92">
        <f t="shared" si="6"/>
        <v>-10</v>
      </c>
    </row>
    <row r="93" spans="1:7">
      <c r="A93">
        <v>4.454</v>
      </c>
      <c r="B93" s="2">
        <v>-0.005667</v>
      </c>
      <c r="C93">
        <v>90.3</v>
      </c>
      <c r="E93">
        <f t="shared" si="4"/>
        <v>4.45</v>
      </c>
      <c r="F93">
        <f t="shared" si="5"/>
        <v>-5.667</v>
      </c>
      <c r="G93">
        <f t="shared" si="6"/>
        <v>-10</v>
      </c>
    </row>
    <row r="94" spans="1:7">
      <c r="A94">
        <v>4.504</v>
      </c>
      <c r="B94" s="2">
        <v>-0.005324</v>
      </c>
      <c r="C94">
        <v>87</v>
      </c>
      <c r="E94">
        <f t="shared" si="4"/>
        <v>4.5</v>
      </c>
      <c r="F94">
        <f t="shared" si="5"/>
        <v>-5.324</v>
      </c>
      <c r="G94">
        <f t="shared" si="6"/>
        <v>-10</v>
      </c>
    </row>
    <row r="95" spans="1:7">
      <c r="A95">
        <v>4.554</v>
      </c>
      <c r="B95" s="2">
        <v>-0.005464</v>
      </c>
      <c r="C95">
        <v>84.4</v>
      </c>
      <c r="E95">
        <f t="shared" si="4"/>
        <v>4.55</v>
      </c>
      <c r="F95">
        <f t="shared" si="5"/>
        <v>-5.464</v>
      </c>
      <c r="G95">
        <f t="shared" si="6"/>
        <v>-10</v>
      </c>
    </row>
    <row r="96" spans="1:7">
      <c r="A96">
        <v>4.604</v>
      </c>
      <c r="B96" s="2">
        <v>-0.006098</v>
      </c>
      <c r="C96">
        <v>82.5</v>
      </c>
      <c r="E96">
        <f t="shared" si="4"/>
        <v>4.6</v>
      </c>
      <c r="F96">
        <f t="shared" si="5"/>
        <v>-6.098</v>
      </c>
      <c r="G96">
        <f t="shared" si="6"/>
        <v>-10</v>
      </c>
    </row>
    <row r="97" spans="1:7">
      <c r="A97">
        <v>4.654</v>
      </c>
      <c r="B97" s="2">
        <v>-0.006908</v>
      </c>
      <c r="C97">
        <v>78.2</v>
      </c>
      <c r="E97">
        <f t="shared" si="4"/>
        <v>4.65</v>
      </c>
      <c r="F97">
        <f t="shared" si="5"/>
        <v>-6.908</v>
      </c>
      <c r="G97">
        <f t="shared" si="6"/>
        <v>-10</v>
      </c>
    </row>
    <row r="98" spans="1:7">
      <c r="A98">
        <v>4.704</v>
      </c>
      <c r="B98" s="2">
        <v>-0.00782</v>
      </c>
      <c r="C98">
        <v>75</v>
      </c>
      <c r="E98">
        <f t="shared" si="4"/>
        <v>4.7</v>
      </c>
      <c r="F98">
        <f t="shared" si="5"/>
        <v>-7.82</v>
      </c>
      <c r="G98">
        <f t="shared" si="6"/>
        <v>-10</v>
      </c>
    </row>
    <row r="99" spans="1:7">
      <c r="A99">
        <v>4.754</v>
      </c>
      <c r="B99" s="2">
        <v>-0.008519</v>
      </c>
      <c r="C99">
        <v>73.3</v>
      </c>
      <c r="E99">
        <f t="shared" si="4"/>
        <v>4.75</v>
      </c>
      <c r="F99">
        <f t="shared" si="5"/>
        <v>-8.519</v>
      </c>
      <c r="G99">
        <f t="shared" si="6"/>
        <v>-10</v>
      </c>
    </row>
    <row r="100" spans="1:7">
      <c r="A100">
        <v>4.804</v>
      </c>
      <c r="B100" s="2">
        <v>-0.008901</v>
      </c>
      <c r="C100">
        <v>72.3</v>
      </c>
      <c r="E100">
        <f t="shared" si="4"/>
        <v>4.8</v>
      </c>
      <c r="F100">
        <f t="shared" si="5"/>
        <v>-8.901</v>
      </c>
      <c r="G100">
        <f t="shared" si="6"/>
        <v>-10</v>
      </c>
    </row>
    <row r="101" spans="1:7">
      <c r="A101">
        <v>4.854</v>
      </c>
      <c r="B101" s="2">
        <v>-0.008932</v>
      </c>
      <c r="C101">
        <v>71.5</v>
      </c>
      <c r="E101">
        <f t="shared" si="4"/>
        <v>4.85</v>
      </c>
      <c r="F101">
        <f t="shared" si="5"/>
        <v>-8.932</v>
      </c>
      <c r="G101">
        <f t="shared" ref="G101:G132" si="7">IF(C101&lt;230,-10,5)</f>
        <v>-10</v>
      </c>
    </row>
    <row r="102" spans="1:7">
      <c r="A102">
        <v>4.904</v>
      </c>
      <c r="B102" s="2">
        <v>-0.008569</v>
      </c>
      <c r="C102">
        <v>70</v>
      </c>
      <c r="E102">
        <f t="shared" si="4"/>
        <v>4.9</v>
      </c>
      <c r="F102">
        <f t="shared" si="5"/>
        <v>-8.569</v>
      </c>
      <c r="G102">
        <f t="shared" si="7"/>
        <v>-10</v>
      </c>
    </row>
    <row r="103" spans="1:7">
      <c r="A103">
        <v>4.954</v>
      </c>
      <c r="B103" s="2">
        <v>-0.007836</v>
      </c>
      <c r="C103">
        <v>70</v>
      </c>
      <c r="E103">
        <f t="shared" si="4"/>
        <v>4.95</v>
      </c>
      <c r="F103">
        <f t="shared" si="5"/>
        <v>-7.836</v>
      </c>
      <c r="G103">
        <f t="shared" si="7"/>
        <v>-10</v>
      </c>
    </row>
    <row r="104" spans="1:7">
      <c r="A104">
        <v>5.004</v>
      </c>
      <c r="B104" s="2">
        <v>-0.006934</v>
      </c>
      <c r="C104">
        <v>68.4</v>
      </c>
      <c r="E104">
        <f t="shared" si="4"/>
        <v>5</v>
      </c>
      <c r="F104">
        <f t="shared" si="5"/>
        <v>-6.934</v>
      </c>
      <c r="G104">
        <f t="shared" si="7"/>
        <v>-10</v>
      </c>
    </row>
    <row r="105" spans="1:7">
      <c r="A105">
        <v>5.054</v>
      </c>
      <c r="B105" s="2">
        <v>-0.006202</v>
      </c>
      <c r="C105">
        <v>67</v>
      </c>
      <c r="E105">
        <f t="shared" si="4"/>
        <v>5.05</v>
      </c>
      <c r="F105">
        <f t="shared" si="5"/>
        <v>-6.202</v>
      </c>
      <c r="G105">
        <f t="shared" si="7"/>
        <v>-10</v>
      </c>
    </row>
    <row r="106" spans="1:7">
      <c r="A106">
        <v>5.105</v>
      </c>
      <c r="B106" s="2">
        <v>-0.005529</v>
      </c>
      <c r="C106">
        <v>66.7</v>
      </c>
      <c r="E106">
        <f t="shared" si="4"/>
        <v>5.1</v>
      </c>
      <c r="F106">
        <f t="shared" si="5"/>
        <v>-5.529</v>
      </c>
      <c r="G106">
        <f t="shared" si="7"/>
        <v>-10</v>
      </c>
    </row>
    <row r="107" spans="1:7">
      <c r="A107">
        <v>5.155</v>
      </c>
      <c r="B107" s="2">
        <v>-0.005343</v>
      </c>
      <c r="C107">
        <v>66.6</v>
      </c>
      <c r="E107">
        <f t="shared" si="4"/>
        <v>5.15</v>
      </c>
      <c r="F107">
        <f t="shared" si="5"/>
        <v>-5.343</v>
      </c>
      <c r="G107">
        <f t="shared" si="7"/>
        <v>-10</v>
      </c>
    </row>
    <row r="108" spans="1:7">
      <c r="A108">
        <v>5.205</v>
      </c>
      <c r="B108" s="2">
        <v>-0.005443</v>
      </c>
      <c r="C108">
        <v>66.6</v>
      </c>
      <c r="E108">
        <f t="shared" si="4"/>
        <v>5.2</v>
      </c>
      <c r="F108">
        <f t="shared" si="5"/>
        <v>-5.443</v>
      </c>
      <c r="G108">
        <f t="shared" si="7"/>
        <v>-10</v>
      </c>
    </row>
    <row r="109" spans="1:7">
      <c r="A109">
        <v>5.255</v>
      </c>
      <c r="B109" s="2">
        <v>-0.006017</v>
      </c>
      <c r="C109">
        <v>66.8</v>
      </c>
      <c r="E109">
        <f t="shared" si="4"/>
        <v>5.25</v>
      </c>
      <c r="F109">
        <f t="shared" si="5"/>
        <v>-6.017</v>
      </c>
      <c r="G109">
        <f t="shared" si="7"/>
        <v>-10</v>
      </c>
    </row>
    <row r="110" spans="1:7">
      <c r="A110">
        <v>5.305</v>
      </c>
      <c r="B110" s="2">
        <v>-0.006717</v>
      </c>
      <c r="C110">
        <v>67.2</v>
      </c>
      <c r="E110">
        <f t="shared" si="4"/>
        <v>5.3</v>
      </c>
      <c r="F110">
        <f t="shared" si="5"/>
        <v>-6.717</v>
      </c>
      <c r="G110">
        <f t="shared" si="7"/>
        <v>-10</v>
      </c>
    </row>
    <row r="111" spans="1:7">
      <c r="A111">
        <v>5.355</v>
      </c>
      <c r="B111" s="2">
        <v>-0.007451</v>
      </c>
      <c r="C111">
        <v>66.4</v>
      </c>
      <c r="E111">
        <f t="shared" si="4"/>
        <v>5.35</v>
      </c>
      <c r="F111">
        <f t="shared" si="5"/>
        <v>-7.451</v>
      </c>
      <c r="G111">
        <f t="shared" si="7"/>
        <v>-10</v>
      </c>
    </row>
    <row r="112" spans="1:7">
      <c r="A112">
        <v>5.405</v>
      </c>
      <c r="B112" s="2">
        <v>-0.008077</v>
      </c>
      <c r="C112">
        <v>66</v>
      </c>
      <c r="E112">
        <f t="shared" si="4"/>
        <v>5.4</v>
      </c>
      <c r="F112">
        <f t="shared" si="5"/>
        <v>-8.077</v>
      </c>
      <c r="G112">
        <f t="shared" si="7"/>
        <v>-10</v>
      </c>
    </row>
    <row r="113" spans="1:7">
      <c r="A113">
        <v>5.455</v>
      </c>
      <c r="B113" s="2">
        <v>-0.008427</v>
      </c>
      <c r="C113">
        <v>67.1</v>
      </c>
      <c r="E113">
        <f t="shared" si="4"/>
        <v>5.45</v>
      </c>
      <c r="F113">
        <f t="shared" si="5"/>
        <v>-8.427</v>
      </c>
      <c r="G113">
        <f t="shared" si="7"/>
        <v>-10</v>
      </c>
    </row>
    <row r="114" spans="1:7">
      <c r="A114">
        <v>5.505</v>
      </c>
      <c r="B114" s="2">
        <v>-0.008495</v>
      </c>
      <c r="C114">
        <v>66.6</v>
      </c>
      <c r="E114">
        <f t="shared" si="4"/>
        <v>5.5</v>
      </c>
      <c r="F114">
        <f t="shared" si="5"/>
        <v>-8.495</v>
      </c>
      <c r="G114">
        <f t="shared" si="7"/>
        <v>-10</v>
      </c>
    </row>
    <row r="115" spans="1:7">
      <c r="A115">
        <v>5.555</v>
      </c>
      <c r="B115" s="2">
        <v>-0.008232</v>
      </c>
      <c r="C115">
        <v>67.4</v>
      </c>
      <c r="E115">
        <f t="shared" si="4"/>
        <v>5.55</v>
      </c>
      <c r="F115">
        <f t="shared" si="5"/>
        <v>-8.232</v>
      </c>
      <c r="G115">
        <f t="shared" si="7"/>
        <v>-10</v>
      </c>
    </row>
    <row r="116" spans="1:7">
      <c r="A116">
        <v>5.605</v>
      </c>
      <c r="B116" s="2">
        <v>-0.007582</v>
      </c>
      <c r="C116">
        <v>66.8</v>
      </c>
      <c r="E116">
        <f t="shared" si="4"/>
        <v>5.6</v>
      </c>
      <c r="F116">
        <f t="shared" si="5"/>
        <v>-7.582</v>
      </c>
      <c r="G116">
        <f t="shared" si="7"/>
        <v>-10</v>
      </c>
    </row>
    <row r="117" spans="1:7">
      <c r="A117">
        <v>5.655</v>
      </c>
      <c r="B117" s="2">
        <v>-0.006891</v>
      </c>
      <c r="C117">
        <v>66.4</v>
      </c>
      <c r="E117">
        <f t="shared" si="4"/>
        <v>5.65</v>
      </c>
      <c r="F117">
        <f t="shared" si="5"/>
        <v>-6.891</v>
      </c>
      <c r="G117">
        <f t="shared" si="7"/>
        <v>-10</v>
      </c>
    </row>
    <row r="118" spans="1:7">
      <c r="A118">
        <v>5.705</v>
      </c>
      <c r="B118" s="2">
        <v>-0.006329</v>
      </c>
      <c r="C118">
        <v>66.4</v>
      </c>
      <c r="E118">
        <f t="shared" si="4"/>
        <v>5.7</v>
      </c>
      <c r="F118">
        <f t="shared" si="5"/>
        <v>-6.329</v>
      </c>
      <c r="G118">
        <f t="shared" si="7"/>
        <v>-10</v>
      </c>
    </row>
    <row r="119" spans="1:7">
      <c r="A119">
        <v>5.755</v>
      </c>
      <c r="B119" s="2">
        <v>-0.00594</v>
      </c>
      <c r="C119">
        <v>67.3</v>
      </c>
      <c r="E119">
        <f t="shared" si="4"/>
        <v>5.75</v>
      </c>
      <c r="F119">
        <f t="shared" si="5"/>
        <v>-5.94</v>
      </c>
      <c r="G119">
        <f t="shared" si="7"/>
        <v>-10</v>
      </c>
    </row>
    <row r="120" spans="1:7">
      <c r="A120">
        <v>5.805</v>
      </c>
      <c r="B120" s="2">
        <v>-0.005869</v>
      </c>
      <c r="C120">
        <v>66.8</v>
      </c>
      <c r="E120">
        <f t="shared" si="4"/>
        <v>5.8</v>
      </c>
      <c r="F120">
        <f t="shared" si="5"/>
        <v>-5.869</v>
      </c>
      <c r="G120">
        <f t="shared" si="7"/>
        <v>-10</v>
      </c>
    </row>
    <row r="121" spans="1:7">
      <c r="A121">
        <v>5.855</v>
      </c>
      <c r="B121" s="2">
        <v>-0.006049</v>
      </c>
      <c r="C121">
        <v>67.1</v>
      </c>
      <c r="E121">
        <f t="shared" si="4"/>
        <v>5.85</v>
      </c>
      <c r="F121">
        <f t="shared" si="5"/>
        <v>-6.049</v>
      </c>
      <c r="G121">
        <f t="shared" si="7"/>
        <v>-10</v>
      </c>
    </row>
    <row r="122" spans="1:7">
      <c r="A122">
        <v>5.905</v>
      </c>
      <c r="B122" s="2">
        <v>-0.00646</v>
      </c>
      <c r="C122">
        <v>66.9</v>
      </c>
      <c r="E122">
        <f t="shared" si="4"/>
        <v>5.9</v>
      </c>
      <c r="F122">
        <f t="shared" si="5"/>
        <v>-6.46</v>
      </c>
      <c r="G122">
        <f t="shared" si="7"/>
        <v>-10</v>
      </c>
    </row>
    <row r="123" spans="1:7">
      <c r="A123">
        <v>5.955</v>
      </c>
      <c r="B123" s="2">
        <v>-0.006952</v>
      </c>
      <c r="C123">
        <v>66.5</v>
      </c>
      <c r="E123">
        <f t="shared" si="4"/>
        <v>5.95</v>
      </c>
      <c r="F123">
        <f t="shared" si="5"/>
        <v>-6.952</v>
      </c>
      <c r="G123">
        <f t="shared" si="7"/>
        <v>-10</v>
      </c>
    </row>
    <row r="124" spans="1:7">
      <c r="A124">
        <v>6.005</v>
      </c>
      <c r="B124" s="2">
        <v>-0.007625</v>
      </c>
      <c r="C124">
        <v>66.6</v>
      </c>
      <c r="E124">
        <f t="shared" si="4"/>
        <v>6</v>
      </c>
      <c r="F124">
        <f t="shared" si="5"/>
        <v>-7.625</v>
      </c>
      <c r="G124">
        <f t="shared" si="7"/>
        <v>-10</v>
      </c>
    </row>
    <row r="125" spans="1:7">
      <c r="A125">
        <v>6.055</v>
      </c>
      <c r="B125" s="2">
        <v>-0.008148</v>
      </c>
      <c r="C125">
        <v>66.2</v>
      </c>
      <c r="E125">
        <f t="shared" si="4"/>
        <v>6.05</v>
      </c>
      <c r="F125">
        <f t="shared" si="5"/>
        <v>-8.148</v>
      </c>
      <c r="G125">
        <f t="shared" si="7"/>
        <v>-10</v>
      </c>
    </row>
    <row r="126" spans="1:7">
      <c r="A126">
        <v>6.105</v>
      </c>
      <c r="B126" s="2">
        <v>-0.008338</v>
      </c>
      <c r="C126">
        <v>67</v>
      </c>
      <c r="E126">
        <f t="shared" si="4"/>
        <v>6.1</v>
      </c>
      <c r="F126">
        <f t="shared" si="5"/>
        <v>-8.338</v>
      </c>
      <c r="G126">
        <f t="shared" si="7"/>
        <v>-10</v>
      </c>
    </row>
    <row r="127" spans="1:7">
      <c r="A127">
        <v>6.155</v>
      </c>
      <c r="B127" s="2">
        <v>-0.008242</v>
      </c>
      <c r="C127">
        <v>66.7</v>
      </c>
      <c r="E127">
        <f t="shared" si="4"/>
        <v>6.15</v>
      </c>
      <c r="F127">
        <f t="shared" si="5"/>
        <v>-8.242</v>
      </c>
      <c r="G127">
        <f t="shared" si="7"/>
        <v>-10</v>
      </c>
    </row>
    <row r="128" spans="1:7">
      <c r="A128">
        <v>6.205</v>
      </c>
      <c r="B128" s="2">
        <v>-0.007952</v>
      </c>
      <c r="C128">
        <v>67.2</v>
      </c>
      <c r="E128">
        <f t="shared" si="4"/>
        <v>6.2</v>
      </c>
      <c r="F128">
        <f t="shared" si="5"/>
        <v>-7.952</v>
      </c>
      <c r="G128">
        <f t="shared" si="7"/>
        <v>-10</v>
      </c>
    </row>
    <row r="129" spans="1:7">
      <c r="A129">
        <v>6.256</v>
      </c>
      <c r="B129" s="2">
        <v>-0.007525</v>
      </c>
      <c r="C129">
        <v>66.6</v>
      </c>
      <c r="E129">
        <f t="shared" si="4"/>
        <v>6.25</v>
      </c>
      <c r="F129">
        <f t="shared" si="5"/>
        <v>-7.525</v>
      </c>
      <c r="G129">
        <f t="shared" si="7"/>
        <v>-10</v>
      </c>
    </row>
    <row r="130" spans="1:7">
      <c r="A130">
        <v>6.306</v>
      </c>
      <c r="B130" s="2">
        <v>-0.006907</v>
      </c>
      <c r="C130">
        <v>66.4</v>
      </c>
      <c r="E130">
        <f t="shared" si="4"/>
        <v>6.3</v>
      </c>
      <c r="F130">
        <f t="shared" si="5"/>
        <v>-6.907</v>
      </c>
      <c r="G130">
        <f t="shared" si="7"/>
        <v>-10</v>
      </c>
    </row>
    <row r="131" spans="1:7">
      <c r="A131">
        <v>6.356</v>
      </c>
      <c r="B131" s="2">
        <v>-0.006455</v>
      </c>
      <c r="C131">
        <v>66.8</v>
      </c>
      <c r="E131">
        <f t="shared" si="4"/>
        <v>6.35</v>
      </c>
      <c r="F131">
        <f t="shared" si="5"/>
        <v>-6.455</v>
      </c>
      <c r="G131">
        <f t="shared" si="7"/>
        <v>-10</v>
      </c>
    </row>
    <row r="132" spans="1:7">
      <c r="A132">
        <v>6.406</v>
      </c>
      <c r="B132" s="2">
        <v>-0.006182</v>
      </c>
      <c r="C132">
        <v>66.9</v>
      </c>
      <c r="E132">
        <f t="shared" ref="E132:E195" si="8">FLOOR(A132,0.05)</f>
        <v>6.4</v>
      </c>
      <c r="F132">
        <f t="shared" ref="F132:F195" si="9">B132*1000</f>
        <v>-6.182</v>
      </c>
      <c r="G132">
        <f t="shared" si="7"/>
        <v>-10</v>
      </c>
    </row>
    <row r="133" spans="1:7">
      <c r="A133">
        <v>6.456</v>
      </c>
      <c r="B133" s="2">
        <v>-0.006107</v>
      </c>
      <c r="C133">
        <v>66.9</v>
      </c>
      <c r="E133">
        <f t="shared" si="8"/>
        <v>6.45</v>
      </c>
      <c r="F133">
        <f t="shared" si="9"/>
        <v>-6.107</v>
      </c>
      <c r="G133">
        <f t="shared" ref="G133:G164" si="10">IF(C133&lt;230,-10,5)</f>
        <v>-10</v>
      </c>
    </row>
    <row r="134" spans="1:7">
      <c r="A134">
        <v>6.506</v>
      </c>
      <c r="B134" s="2">
        <v>-0.006262</v>
      </c>
      <c r="C134">
        <v>66.2</v>
      </c>
      <c r="E134">
        <f t="shared" si="8"/>
        <v>6.5</v>
      </c>
      <c r="F134">
        <f t="shared" si="9"/>
        <v>-6.262</v>
      </c>
      <c r="G134">
        <f t="shared" si="10"/>
        <v>-10</v>
      </c>
    </row>
    <row r="135" spans="1:7">
      <c r="A135">
        <v>6.556</v>
      </c>
      <c r="B135" s="2">
        <v>-0.006684</v>
      </c>
      <c r="C135">
        <v>66.9</v>
      </c>
      <c r="E135">
        <f t="shared" si="8"/>
        <v>6.55</v>
      </c>
      <c r="F135">
        <f t="shared" si="9"/>
        <v>-6.684</v>
      </c>
      <c r="G135">
        <f t="shared" si="10"/>
        <v>-10</v>
      </c>
    </row>
    <row r="136" spans="1:7">
      <c r="A136">
        <v>6.606</v>
      </c>
      <c r="B136" s="2">
        <v>-0.007237</v>
      </c>
      <c r="C136">
        <v>66.8</v>
      </c>
      <c r="E136">
        <f t="shared" si="8"/>
        <v>6.6</v>
      </c>
      <c r="F136">
        <f t="shared" si="9"/>
        <v>-7.237</v>
      </c>
      <c r="G136">
        <f t="shared" si="10"/>
        <v>-10</v>
      </c>
    </row>
    <row r="137" spans="1:7">
      <c r="A137">
        <v>6.656</v>
      </c>
      <c r="B137" s="2">
        <v>-0.007817</v>
      </c>
      <c r="C137">
        <v>66.6</v>
      </c>
      <c r="E137">
        <f t="shared" si="8"/>
        <v>6.65</v>
      </c>
      <c r="F137">
        <f t="shared" si="9"/>
        <v>-7.817</v>
      </c>
      <c r="G137">
        <f t="shared" si="10"/>
        <v>-10</v>
      </c>
    </row>
    <row r="138" spans="1:7">
      <c r="A138">
        <v>6.706</v>
      </c>
      <c r="B138" s="2">
        <v>-0.008193</v>
      </c>
      <c r="C138">
        <v>66.5</v>
      </c>
      <c r="E138">
        <f t="shared" si="8"/>
        <v>6.7</v>
      </c>
      <c r="F138">
        <f t="shared" si="9"/>
        <v>-8.193</v>
      </c>
      <c r="G138">
        <f t="shared" si="10"/>
        <v>-10</v>
      </c>
    </row>
    <row r="139" spans="1:7">
      <c r="A139">
        <v>6.756</v>
      </c>
      <c r="B139" s="2">
        <v>-0.008254</v>
      </c>
      <c r="C139">
        <v>66.3</v>
      </c>
      <c r="E139">
        <f t="shared" si="8"/>
        <v>6.75</v>
      </c>
      <c r="F139">
        <f t="shared" si="9"/>
        <v>-8.254</v>
      </c>
      <c r="G139">
        <f t="shared" si="10"/>
        <v>-10</v>
      </c>
    </row>
    <row r="140" spans="1:7">
      <c r="A140">
        <v>6.806</v>
      </c>
      <c r="B140" s="2">
        <v>-0.008141</v>
      </c>
      <c r="C140">
        <v>66.8</v>
      </c>
      <c r="E140">
        <f t="shared" si="8"/>
        <v>6.8</v>
      </c>
      <c r="F140">
        <f t="shared" si="9"/>
        <v>-8.141</v>
      </c>
      <c r="G140">
        <f t="shared" si="10"/>
        <v>-10</v>
      </c>
    </row>
    <row r="141" spans="1:7">
      <c r="A141">
        <v>6.856</v>
      </c>
      <c r="B141" s="2">
        <v>-0.007839</v>
      </c>
      <c r="C141">
        <v>66.5</v>
      </c>
      <c r="E141">
        <f t="shared" si="8"/>
        <v>6.85</v>
      </c>
      <c r="F141">
        <f t="shared" si="9"/>
        <v>-7.839</v>
      </c>
      <c r="G141">
        <f t="shared" si="10"/>
        <v>-10</v>
      </c>
    </row>
    <row r="142" spans="1:7">
      <c r="A142">
        <v>6.906</v>
      </c>
      <c r="B142" s="2">
        <v>-0.007275</v>
      </c>
      <c r="C142">
        <v>67.3</v>
      </c>
      <c r="E142">
        <f t="shared" si="8"/>
        <v>6.9</v>
      </c>
      <c r="F142">
        <f t="shared" si="9"/>
        <v>-7.275</v>
      </c>
      <c r="G142">
        <f t="shared" si="10"/>
        <v>-10</v>
      </c>
    </row>
    <row r="143" spans="1:7">
      <c r="A143">
        <v>6.956</v>
      </c>
      <c r="B143" s="2">
        <v>-0.006805</v>
      </c>
      <c r="C143">
        <v>66.8</v>
      </c>
      <c r="E143">
        <f t="shared" si="8"/>
        <v>6.95</v>
      </c>
      <c r="F143">
        <f t="shared" si="9"/>
        <v>-6.805</v>
      </c>
      <c r="G143">
        <f t="shared" si="10"/>
        <v>-10</v>
      </c>
    </row>
    <row r="144" spans="1:7">
      <c r="A144">
        <v>7.006</v>
      </c>
      <c r="B144" s="2">
        <v>-0.006516</v>
      </c>
      <c r="C144">
        <v>66.8</v>
      </c>
      <c r="E144">
        <f t="shared" si="8"/>
        <v>7</v>
      </c>
      <c r="F144">
        <f t="shared" si="9"/>
        <v>-6.516</v>
      </c>
      <c r="G144">
        <f t="shared" si="10"/>
        <v>-10</v>
      </c>
    </row>
    <row r="145" spans="1:7">
      <c r="A145">
        <v>7.056</v>
      </c>
      <c r="B145" s="2">
        <v>-0.006332</v>
      </c>
      <c r="C145">
        <v>67.4</v>
      </c>
      <c r="E145">
        <f t="shared" si="8"/>
        <v>7.05</v>
      </c>
      <c r="F145">
        <f t="shared" si="9"/>
        <v>-6.332</v>
      </c>
      <c r="G145">
        <f t="shared" si="10"/>
        <v>-10</v>
      </c>
    </row>
    <row r="146" spans="1:7">
      <c r="A146">
        <v>7.106</v>
      </c>
      <c r="B146" s="2">
        <v>-0.006411</v>
      </c>
      <c r="C146">
        <v>66.8</v>
      </c>
      <c r="E146">
        <f t="shared" si="8"/>
        <v>7.1</v>
      </c>
      <c r="F146">
        <f t="shared" si="9"/>
        <v>-6.411</v>
      </c>
      <c r="G146">
        <f t="shared" si="10"/>
        <v>-10</v>
      </c>
    </row>
    <row r="147" spans="1:7">
      <c r="A147">
        <v>7.156</v>
      </c>
      <c r="B147" s="2">
        <v>-0.006604</v>
      </c>
      <c r="C147">
        <v>67</v>
      </c>
      <c r="E147">
        <f t="shared" si="8"/>
        <v>7.15</v>
      </c>
      <c r="F147">
        <f t="shared" si="9"/>
        <v>-6.604</v>
      </c>
      <c r="G147">
        <f t="shared" si="10"/>
        <v>-10</v>
      </c>
    </row>
    <row r="148" spans="1:7">
      <c r="A148">
        <v>7.206</v>
      </c>
      <c r="B148" s="2">
        <v>-0.007003</v>
      </c>
      <c r="C148">
        <v>66.8</v>
      </c>
      <c r="E148">
        <f t="shared" si="8"/>
        <v>7.2</v>
      </c>
      <c r="F148">
        <f t="shared" si="9"/>
        <v>-7.003</v>
      </c>
      <c r="G148">
        <f t="shared" si="10"/>
        <v>-10</v>
      </c>
    </row>
    <row r="149" spans="1:7">
      <c r="A149">
        <v>7.256</v>
      </c>
      <c r="B149" s="2">
        <v>-0.007406</v>
      </c>
      <c r="C149">
        <v>66.8</v>
      </c>
      <c r="E149">
        <f t="shared" si="8"/>
        <v>7.25</v>
      </c>
      <c r="F149">
        <f t="shared" si="9"/>
        <v>-7.406</v>
      </c>
      <c r="G149">
        <f t="shared" si="10"/>
        <v>-10</v>
      </c>
    </row>
    <row r="150" spans="1:7">
      <c r="A150">
        <v>7.306</v>
      </c>
      <c r="B150" s="2">
        <v>-0.007868</v>
      </c>
      <c r="C150">
        <v>65.7</v>
      </c>
      <c r="E150">
        <f t="shared" si="8"/>
        <v>7.3</v>
      </c>
      <c r="F150">
        <f t="shared" si="9"/>
        <v>-7.868</v>
      </c>
      <c r="G150">
        <f t="shared" si="10"/>
        <v>-10</v>
      </c>
    </row>
    <row r="151" spans="1:7">
      <c r="A151">
        <v>7.356</v>
      </c>
      <c r="B151" s="2">
        <v>-0.008073</v>
      </c>
      <c r="C151">
        <v>66.8</v>
      </c>
      <c r="E151">
        <f t="shared" si="8"/>
        <v>7.35</v>
      </c>
      <c r="F151">
        <f t="shared" si="9"/>
        <v>-8.073</v>
      </c>
      <c r="G151">
        <f t="shared" si="10"/>
        <v>-10</v>
      </c>
    </row>
    <row r="152" spans="1:7">
      <c r="A152">
        <v>7.407</v>
      </c>
      <c r="B152" s="2">
        <v>-0.008125</v>
      </c>
      <c r="C152">
        <v>67.1</v>
      </c>
      <c r="E152">
        <f t="shared" si="8"/>
        <v>7.4</v>
      </c>
      <c r="F152">
        <f t="shared" si="9"/>
        <v>-8.125</v>
      </c>
      <c r="G152">
        <f t="shared" si="10"/>
        <v>-10</v>
      </c>
    </row>
    <row r="153" spans="1:7">
      <c r="A153">
        <v>7.457</v>
      </c>
      <c r="B153" s="2">
        <v>-0.007994</v>
      </c>
      <c r="C153">
        <v>67.2</v>
      </c>
      <c r="E153">
        <f t="shared" si="8"/>
        <v>7.45</v>
      </c>
      <c r="F153">
        <f t="shared" si="9"/>
        <v>-7.994</v>
      </c>
      <c r="G153">
        <f t="shared" si="10"/>
        <v>-10</v>
      </c>
    </row>
    <row r="154" spans="1:7">
      <c r="A154">
        <v>7.507</v>
      </c>
      <c r="B154" s="2">
        <v>-0.007605</v>
      </c>
      <c r="C154">
        <v>66.8</v>
      </c>
      <c r="E154">
        <f t="shared" si="8"/>
        <v>7.5</v>
      </c>
      <c r="F154">
        <f t="shared" si="9"/>
        <v>-7.605</v>
      </c>
      <c r="G154">
        <f t="shared" si="10"/>
        <v>-10</v>
      </c>
    </row>
    <row r="155" spans="1:7">
      <c r="A155">
        <v>7.557</v>
      </c>
      <c r="B155" s="2">
        <v>-0.007174</v>
      </c>
      <c r="C155">
        <v>66.4</v>
      </c>
      <c r="E155">
        <f t="shared" si="8"/>
        <v>7.55</v>
      </c>
      <c r="F155">
        <f t="shared" si="9"/>
        <v>-7.174</v>
      </c>
      <c r="G155">
        <f t="shared" si="10"/>
        <v>-10</v>
      </c>
    </row>
    <row r="156" spans="1:7">
      <c r="A156">
        <v>7.607</v>
      </c>
      <c r="B156" s="2">
        <v>-0.006863</v>
      </c>
      <c r="C156">
        <v>66.9</v>
      </c>
      <c r="E156">
        <f t="shared" si="8"/>
        <v>7.6</v>
      </c>
      <c r="F156">
        <f t="shared" si="9"/>
        <v>-6.863</v>
      </c>
      <c r="G156">
        <f t="shared" si="10"/>
        <v>-10</v>
      </c>
    </row>
    <row r="157" spans="1:7">
      <c r="A157">
        <v>7.657</v>
      </c>
      <c r="B157" s="2">
        <v>-0.006632</v>
      </c>
      <c r="C157">
        <v>66.8</v>
      </c>
      <c r="E157">
        <f t="shared" si="8"/>
        <v>7.65</v>
      </c>
      <c r="F157">
        <f t="shared" si="9"/>
        <v>-6.632</v>
      </c>
      <c r="G157">
        <f t="shared" si="10"/>
        <v>-10</v>
      </c>
    </row>
    <row r="158" spans="1:7">
      <c r="A158">
        <v>7.707</v>
      </c>
      <c r="B158" s="2">
        <v>-0.006494</v>
      </c>
      <c r="C158">
        <v>66.3</v>
      </c>
      <c r="E158">
        <f t="shared" si="8"/>
        <v>7.7</v>
      </c>
      <c r="F158">
        <f t="shared" si="9"/>
        <v>-6.494</v>
      </c>
      <c r="G158">
        <f t="shared" si="10"/>
        <v>-10</v>
      </c>
    </row>
    <row r="159" spans="1:7">
      <c r="A159">
        <v>7.757</v>
      </c>
      <c r="B159" s="2">
        <v>-0.006566</v>
      </c>
      <c r="C159">
        <v>66.3</v>
      </c>
      <c r="E159">
        <f t="shared" si="8"/>
        <v>7.75</v>
      </c>
      <c r="F159">
        <f t="shared" si="9"/>
        <v>-6.566</v>
      </c>
      <c r="G159">
        <f t="shared" si="10"/>
        <v>-10</v>
      </c>
    </row>
    <row r="160" spans="1:7">
      <c r="A160">
        <v>7.807</v>
      </c>
      <c r="B160" s="2">
        <v>-0.006795</v>
      </c>
      <c r="C160">
        <v>67.7</v>
      </c>
      <c r="E160">
        <f t="shared" si="8"/>
        <v>7.8</v>
      </c>
      <c r="F160">
        <f t="shared" si="9"/>
        <v>-6.795</v>
      </c>
      <c r="G160">
        <f t="shared" si="10"/>
        <v>-10</v>
      </c>
    </row>
    <row r="161" spans="1:7">
      <c r="A161">
        <v>7.857</v>
      </c>
      <c r="B161" s="2">
        <v>-0.007174</v>
      </c>
      <c r="C161">
        <v>66.5</v>
      </c>
      <c r="E161">
        <f t="shared" si="8"/>
        <v>7.85</v>
      </c>
      <c r="F161">
        <f t="shared" si="9"/>
        <v>-7.174</v>
      </c>
      <c r="G161">
        <f t="shared" si="10"/>
        <v>-10</v>
      </c>
    </row>
    <row r="162" spans="1:7">
      <c r="A162">
        <v>7.907</v>
      </c>
      <c r="B162" s="2">
        <v>-0.007654</v>
      </c>
      <c r="C162">
        <v>67</v>
      </c>
      <c r="E162">
        <f t="shared" si="8"/>
        <v>7.9</v>
      </c>
      <c r="F162">
        <f t="shared" si="9"/>
        <v>-7.654</v>
      </c>
      <c r="G162">
        <f t="shared" si="10"/>
        <v>-10</v>
      </c>
    </row>
    <row r="163" spans="1:7">
      <c r="A163">
        <v>7.957</v>
      </c>
      <c r="B163" s="2">
        <v>-0.008004</v>
      </c>
      <c r="C163">
        <v>66.3</v>
      </c>
      <c r="E163">
        <f t="shared" si="8"/>
        <v>7.95</v>
      </c>
      <c r="F163">
        <f t="shared" si="9"/>
        <v>-8.004</v>
      </c>
      <c r="G163">
        <f t="shared" si="10"/>
        <v>-10</v>
      </c>
    </row>
    <row r="164" spans="1:7">
      <c r="A164">
        <v>8.007</v>
      </c>
      <c r="B164" s="2">
        <v>-0.008191</v>
      </c>
      <c r="C164">
        <v>66.1</v>
      </c>
      <c r="E164">
        <f t="shared" si="8"/>
        <v>8</v>
      </c>
      <c r="F164">
        <f t="shared" si="9"/>
        <v>-8.191</v>
      </c>
      <c r="G164">
        <f t="shared" si="10"/>
        <v>-10</v>
      </c>
    </row>
    <row r="165" spans="1:7">
      <c r="A165">
        <v>8.057</v>
      </c>
      <c r="B165" s="2">
        <v>-0.008145</v>
      </c>
      <c r="C165">
        <v>66.8</v>
      </c>
      <c r="E165">
        <f t="shared" si="8"/>
        <v>8.05</v>
      </c>
      <c r="F165">
        <f t="shared" si="9"/>
        <v>-8.145</v>
      </c>
      <c r="G165">
        <f t="shared" ref="G165:G192" si="11">IF(C165&lt;230,-10,5)</f>
        <v>-10</v>
      </c>
    </row>
    <row r="166" spans="1:7">
      <c r="A166">
        <v>8.107</v>
      </c>
      <c r="B166" s="2">
        <v>-0.007917</v>
      </c>
      <c r="C166">
        <v>67</v>
      </c>
      <c r="E166">
        <f t="shared" si="8"/>
        <v>8.1</v>
      </c>
      <c r="F166">
        <f t="shared" si="9"/>
        <v>-7.917</v>
      </c>
      <c r="G166">
        <f t="shared" si="11"/>
        <v>-10</v>
      </c>
    </row>
    <row r="167" spans="1:7">
      <c r="A167">
        <v>8.157</v>
      </c>
      <c r="B167" s="2">
        <v>-0.0075</v>
      </c>
      <c r="C167">
        <v>67.4</v>
      </c>
      <c r="E167">
        <f t="shared" si="8"/>
        <v>8.15</v>
      </c>
      <c r="F167">
        <f t="shared" si="9"/>
        <v>-7.5</v>
      </c>
      <c r="G167">
        <f t="shared" si="11"/>
        <v>-10</v>
      </c>
    </row>
    <row r="168" spans="1:7">
      <c r="A168">
        <v>8.207</v>
      </c>
      <c r="B168" s="2">
        <v>-0.007081</v>
      </c>
      <c r="C168">
        <v>67.2</v>
      </c>
      <c r="E168">
        <f t="shared" si="8"/>
        <v>8.2</v>
      </c>
      <c r="F168">
        <f t="shared" si="9"/>
        <v>-7.081</v>
      </c>
      <c r="G168">
        <f t="shared" si="11"/>
        <v>-10</v>
      </c>
    </row>
    <row r="169" spans="1:7">
      <c r="A169">
        <v>8.257</v>
      </c>
      <c r="B169" s="2">
        <v>-0.006749</v>
      </c>
      <c r="C169">
        <v>67.3</v>
      </c>
      <c r="E169">
        <f t="shared" si="8"/>
        <v>8.25</v>
      </c>
      <c r="F169">
        <f t="shared" si="9"/>
        <v>-6.749</v>
      </c>
      <c r="G169">
        <f t="shared" si="11"/>
        <v>-10</v>
      </c>
    </row>
    <row r="170" spans="1:7">
      <c r="A170">
        <v>8.307</v>
      </c>
      <c r="B170" s="2">
        <v>-0.006673</v>
      </c>
      <c r="C170">
        <v>67.5</v>
      </c>
      <c r="E170">
        <f t="shared" si="8"/>
        <v>8.3</v>
      </c>
      <c r="F170">
        <f t="shared" si="9"/>
        <v>-6.673</v>
      </c>
      <c r="G170">
        <f t="shared" si="11"/>
        <v>-10</v>
      </c>
    </row>
    <row r="171" spans="1:7">
      <c r="A171">
        <v>8.357</v>
      </c>
      <c r="B171" s="2">
        <v>-0.006731</v>
      </c>
      <c r="C171">
        <v>66.7</v>
      </c>
      <c r="E171">
        <f t="shared" si="8"/>
        <v>8.35</v>
      </c>
      <c r="F171">
        <f t="shared" si="9"/>
        <v>-6.731</v>
      </c>
      <c r="G171">
        <f t="shared" si="11"/>
        <v>-10</v>
      </c>
    </row>
    <row r="172" spans="1:7">
      <c r="A172">
        <v>8.407</v>
      </c>
      <c r="B172" s="2">
        <v>-0.006861</v>
      </c>
      <c r="C172">
        <v>66.8</v>
      </c>
      <c r="E172">
        <f t="shared" si="8"/>
        <v>8.4</v>
      </c>
      <c r="F172">
        <f t="shared" si="9"/>
        <v>-6.861</v>
      </c>
      <c r="G172">
        <f t="shared" si="11"/>
        <v>-10</v>
      </c>
    </row>
    <row r="173" spans="1:7">
      <c r="A173">
        <v>8.457</v>
      </c>
      <c r="B173" s="2">
        <v>-0.007066</v>
      </c>
      <c r="C173">
        <v>66.9</v>
      </c>
      <c r="E173">
        <f t="shared" si="8"/>
        <v>8.45</v>
      </c>
      <c r="F173">
        <f t="shared" si="9"/>
        <v>-7.066</v>
      </c>
      <c r="G173">
        <f t="shared" si="11"/>
        <v>-10</v>
      </c>
    </row>
    <row r="174" spans="1:7">
      <c r="A174">
        <v>8.508</v>
      </c>
      <c r="B174" s="2">
        <v>-0.007369</v>
      </c>
      <c r="C174">
        <v>67</v>
      </c>
      <c r="E174">
        <f t="shared" si="8"/>
        <v>8.5</v>
      </c>
      <c r="F174">
        <f t="shared" si="9"/>
        <v>-7.369</v>
      </c>
      <c r="G174">
        <f t="shared" si="11"/>
        <v>-10</v>
      </c>
    </row>
    <row r="175" spans="1:7">
      <c r="A175">
        <v>8.558</v>
      </c>
      <c r="B175" s="2">
        <v>-0.007656</v>
      </c>
      <c r="C175">
        <v>66.8</v>
      </c>
      <c r="E175">
        <f t="shared" si="8"/>
        <v>8.55</v>
      </c>
      <c r="F175">
        <f t="shared" si="9"/>
        <v>-7.656</v>
      </c>
      <c r="G175">
        <f t="shared" si="11"/>
        <v>-10</v>
      </c>
    </row>
    <row r="176" spans="1:7">
      <c r="A176">
        <v>8.608</v>
      </c>
      <c r="B176" s="2">
        <v>-0.007917</v>
      </c>
      <c r="C176">
        <v>66.5</v>
      </c>
      <c r="E176">
        <f t="shared" si="8"/>
        <v>8.6</v>
      </c>
      <c r="F176">
        <f t="shared" si="9"/>
        <v>-7.917</v>
      </c>
      <c r="G176">
        <f t="shared" si="11"/>
        <v>-10</v>
      </c>
    </row>
    <row r="177" spans="1:7">
      <c r="A177">
        <v>8.658</v>
      </c>
      <c r="B177" s="2">
        <v>-0.007925</v>
      </c>
      <c r="C177">
        <v>67</v>
      </c>
      <c r="E177">
        <f t="shared" si="8"/>
        <v>8.65</v>
      </c>
      <c r="F177">
        <f t="shared" si="9"/>
        <v>-7.925</v>
      </c>
      <c r="G177">
        <f t="shared" si="11"/>
        <v>-10</v>
      </c>
    </row>
    <row r="178" spans="1:7">
      <c r="A178">
        <v>8.708</v>
      </c>
      <c r="B178" s="2">
        <v>-0.007761</v>
      </c>
      <c r="C178">
        <v>67.3</v>
      </c>
      <c r="E178">
        <f t="shared" si="8"/>
        <v>8.7</v>
      </c>
      <c r="F178">
        <f t="shared" si="9"/>
        <v>-7.761</v>
      </c>
      <c r="G178">
        <f t="shared" si="11"/>
        <v>-10</v>
      </c>
    </row>
    <row r="179" spans="1:7">
      <c r="A179">
        <v>8.758</v>
      </c>
      <c r="B179" s="2">
        <v>-0.007537</v>
      </c>
      <c r="C179">
        <v>67</v>
      </c>
      <c r="E179">
        <f t="shared" si="8"/>
        <v>8.75</v>
      </c>
      <c r="F179">
        <f t="shared" si="9"/>
        <v>-7.537</v>
      </c>
      <c r="G179">
        <f t="shared" si="11"/>
        <v>-10</v>
      </c>
    </row>
    <row r="180" spans="1:7">
      <c r="A180">
        <v>8.808</v>
      </c>
      <c r="B180" s="2">
        <v>-0.007269</v>
      </c>
      <c r="C180">
        <v>66.6</v>
      </c>
      <c r="E180">
        <f t="shared" si="8"/>
        <v>8.8</v>
      </c>
      <c r="F180">
        <f t="shared" si="9"/>
        <v>-7.269</v>
      </c>
      <c r="G180">
        <f t="shared" si="11"/>
        <v>-10</v>
      </c>
    </row>
    <row r="181" spans="1:7">
      <c r="A181">
        <v>8.858</v>
      </c>
      <c r="B181" s="2">
        <v>-0.007036</v>
      </c>
      <c r="C181">
        <v>67</v>
      </c>
      <c r="E181">
        <f t="shared" si="8"/>
        <v>8.85</v>
      </c>
      <c r="F181">
        <f t="shared" si="9"/>
        <v>-7.036</v>
      </c>
      <c r="G181">
        <f t="shared" si="11"/>
        <v>-10</v>
      </c>
    </row>
    <row r="182" spans="1:7">
      <c r="A182">
        <v>8.908</v>
      </c>
      <c r="B182" s="2">
        <v>-0.006803</v>
      </c>
      <c r="C182">
        <v>66.7</v>
      </c>
      <c r="E182">
        <f t="shared" si="8"/>
        <v>8.9</v>
      </c>
      <c r="F182">
        <f t="shared" si="9"/>
        <v>-6.803</v>
      </c>
      <c r="G182">
        <f t="shared" si="11"/>
        <v>-10</v>
      </c>
    </row>
    <row r="183" spans="1:7">
      <c r="A183">
        <v>8.958</v>
      </c>
      <c r="B183" s="2">
        <v>-0.00676</v>
      </c>
      <c r="C183">
        <v>66.8</v>
      </c>
      <c r="E183">
        <f t="shared" si="8"/>
        <v>8.95</v>
      </c>
      <c r="F183">
        <f t="shared" si="9"/>
        <v>-6.76</v>
      </c>
      <c r="G183">
        <f t="shared" si="11"/>
        <v>-10</v>
      </c>
    </row>
    <row r="184" spans="1:7">
      <c r="A184">
        <v>9.008</v>
      </c>
      <c r="B184" s="2">
        <v>-0.006837</v>
      </c>
      <c r="C184">
        <v>66.4</v>
      </c>
      <c r="E184">
        <f t="shared" si="8"/>
        <v>9</v>
      </c>
      <c r="F184">
        <f t="shared" si="9"/>
        <v>-6.837</v>
      </c>
      <c r="G184">
        <f t="shared" si="11"/>
        <v>-10</v>
      </c>
    </row>
    <row r="185" spans="1:7">
      <c r="A185">
        <v>9.058</v>
      </c>
      <c r="B185" s="2">
        <v>-0.006991</v>
      </c>
      <c r="C185">
        <v>66.6</v>
      </c>
      <c r="E185">
        <f t="shared" si="8"/>
        <v>9.05</v>
      </c>
      <c r="F185">
        <f t="shared" si="9"/>
        <v>-6.991</v>
      </c>
      <c r="G185">
        <f t="shared" si="11"/>
        <v>-10</v>
      </c>
    </row>
    <row r="186" spans="1:7">
      <c r="A186">
        <v>9.108</v>
      </c>
      <c r="B186" s="2">
        <v>-0.00719</v>
      </c>
      <c r="C186">
        <v>66.6</v>
      </c>
      <c r="E186">
        <f t="shared" si="8"/>
        <v>9.1</v>
      </c>
      <c r="F186">
        <f t="shared" si="9"/>
        <v>-7.19</v>
      </c>
      <c r="G186">
        <f t="shared" si="11"/>
        <v>-10</v>
      </c>
    </row>
    <row r="187" spans="1:7">
      <c r="A187">
        <v>9.158</v>
      </c>
      <c r="B187" s="2">
        <v>-0.007455</v>
      </c>
      <c r="C187">
        <v>67.1</v>
      </c>
      <c r="E187">
        <f t="shared" si="8"/>
        <v>9.15</v>
      </c>
      <c r="F187">
        <f t="shared" si="9"/>
        <v>-7.455</v>
      </c>
      <c r="G187">
        <f t="shared" si="11"/>
        <v>-10</v>
      </c>
    </row>
    <row r="188" spans="1:7">
      <c r="A188">
        <v>9.208</v>
      </c>
      <c r="B188" s="2">
        <v>-0.007678</v>
      </c>
      <c r="C188">
        <v>67</v>
      </c>
      <c r="E188">
        <f t="shared" si="8"/>
        <v>9.2</v>
      </c>
      <c r="F188">
        <f t="shared" si="9"/>
        <v>-7.678</v>
      </c>
      <c r="G188">
        <f t="shared" si="11"/>
        <v>-10</v>
      </c>
    </row>
    <row r="189" spans="1:7">
      <c r="A189">
        <v>9.258</v>
      </c>
      <c r="B189" s="2">
        <v>-0.00785</v>
      </c>
      <c r="C189">
        <v>66.8</v>
      </c>
      <c r="E189">
        <f t="shared" si="8"/>
        <v>9.25</v>
      </c>
      <c r="F189">
        <f t="shared" si="9"/>
        <v>-7.85</v>
      </c>
      <c r="G189">
        <f t="shared" si="11"/>
        <v>-10</v>
      </c>
    </row>
    <row r="190" spans="1:7">
      <c r="A190">
        <v>9.308</v>
      </c>
      <c r="B190" s="2">
        <v>-0.007803</v>
      </c>
      <c r="C190">
        <v>67</v>
      </c>
      <c r="E190">
        <f t="shared" si="8"/>
        <v>9.3</v>
      </c>
      <c r="F190">
        <f t="shared" si="9"/>
        <v>-7.803</v>
      </c>
      <c r="G190">
        <f t="shared" si="11"/>
        <v>-10</v>
      </c>
    </row>
    <row r="191" spans="1:7">
      <c r="A191">
        <v>9.358</v>
      </c>
      <c r="B191" s="2">
        <v>-0.007658</v>
      </c>
      <c r="C191">
        <v>66.9</v>
      </c>
      <c r="E191">
        <f t="shared" si="8"/>
        <v>9.35</v>
      </c>
      <c r="F191">
        <f t="shared" si="9"/>
        <v>-7.658</v>
      </c>
      <c r="G191">
        <f t="shared" si="11"/>
        <v>-10</v>
      </c>
    </row>
    <row r="192" spans="1:7">
      <c r="A192">
        <v>9.408</v>
      </c>
      <c r="B192" s="2">
        <v>-0.007487</v>
      </c>
      <c r="C192">
        <v>67</v>
      </c>
      <c r="E192">
        <f t="shared" si="8"/>
        <v>9.4</v>
      </c>
      <c r="F192">
        <f t="shared" si="9"/>
        <v>-7.487</v>
      </c>
      <c r="G192">
        <f t="shared" si="11"/>
        <v>-10</v>
      </c>
    </row>
  </sheetData>
  <mergeCells count="2">
    <mergeCell ref="A1:C1"/>
    <mergeCell ref="E1:G1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81"/>
  <sheetViews>
    <sheetView topLeftCell="I1" workbookViewId="0">
      <selection activeCell="K4" sqref="K4:K1144"/>
    </sheetView>
  </sheetViews>
  <sheetFormatPr defaultColWidth="8.88888888888889" defaultRowHeight="14.4"/>
  <cols>
    <col min="1" max="3" width="7.66666666666667" customWidth="1"/>
    <col min="5" max="5" width="7.66666666666667" customWidth="1"/>
    <col min="6" max="6" width="9.66666666666667" customWidth="1"/>
    <col min="7" max="7" width="7.66666666666667" customWidth="1"/>
    <col min="8" max="8" width="3.88888888888889" customWidth="1"/>
    <col min="9" max="9" width="7.66666666666667" customWidth="1"/>
    <col min="10" max="10" width="9.66666666666667" customWidth="1"/>
    <col min="11" max="11" width="8.77777777777778" customWidth="1"/>
  </cols>
  <sheetData>
    <row r="1" spans="1:11">
      <c r="B1" t="s">
        <v>0</v>
      </c>
      <c r="C1" t="s">
        <v>1</v>
      </c>
      <c r="E1" s="1" t="s">
        <v>8</v>
      </c>
      <c r="F1" s="1"/>
      <c r="G1" s="1"/>
      <c r="I1" s="1" t="s">
        <v>729</v>
      </c>
      <c r="J1" s="1"/>
      <c r="K1" s="1"/>
    </row>
    <row r="2" spans="1:11">
      <c r="A2" t="s">
        <v>5</v>
      </c>
      <c r="B2" t="s">
        <v>6</v>
      </c>
      <c r="C2" t="s">
        <v>7</v>
      </c>
      <c r="F2" t="s">
        <v>0</v>
      </c>
      <c r="G2" t="s">
        <v>1</v>
      </c>
      <c r="J2" t="s">
        <v>730</v>
      </c>
      <c r="K2" t="s">
        <v>731</v>
      </c>
    </row>
    <row r="3" spans="1:11">
      <c r="A3">
        <v>0</v>
      </c>
      <c r="B3">
        <v>-156.5</v>
      </c>
      <c r="C3">
        <v>26.5</v>
      </c>
      <c r="E3" t="s">
        <v>5</v>
      </c>
      <c r="F3" t="s">
        <v>6</v>
      </c>
      <c r="G3" t="s">
        <v>7</v>
      </c>
      <c r="J3" t="s">
        <v>6</v>
      </c>
      <c r="K3" t="s">
        <v>7</v>
      </c>
    </row>
    <row r="4" spans="1:11">
      <c r="A4">
        <v>0.033</v>
      </c>
      <c r="B4">
        <v>-156.4</v>
      </c>
      <c r="C4">
        <v>26.8</v>
      </c>
      <c r="E4">
        <v>0</v>
      </c>
      <c r="F4">
        <v>-156.5</v>
      </c>
      <c r="G4">
        <v>26.5</v>
      </c>
      <c r="I4">
        <f t="shared" ref="I4:I67" si="0">FLOOR(E4,0.05)</f>
        <v>0</v>
      </c>
      <c r="J4">
        <f>F4+150</f>
        <v>-6.5</v>
      </c>
      <c r="K4">
        <f>IF(G4&lt;230,-5.5,5)</f>
        <v>-5.5</v>
      </c>
    </row>
    <row r="5" spans="1:11">
      <c r="A5">
        <v>0.067</v>
      </c>
      <c r="B5">
        <v>-156.3</v>
      </c>
      <c r="C5">
        <v>26.6</v>
      </c>
      <c r="E5">
        <v>0.033</v>
      </c>
      <c r="F5">
        <v>-156.4</v>
      </c>
      <c r="G5">
        <v>26.8</v>
      </c>
      <c r="I5">
        <f t="shared" si="0"/>
        <v>0</v>
      </c>
      <c r="J5">
        <f t="shared" ref="J5:J68" si="1">F5+150</f>
        <v>-6.40000000000001</v>
      </c>
      <c r="K5">
        <f t="shared" ref="K5:K68" si="2">IF(G5&lt;230,-5.5,5)</f>
        <v>-5.5</v>
      </c>
    </row>
    <row r="6" spans="1:11">
      <c r="A6">
        <v>0.1</v>
      </c>
      <c r="B6">
        <v>-156.2</v>
      </c>
      <c r="C6">
        <v>26.9</v>
      </c>
      <c r="E6">
        <v>0.067</v>
      </c>
      <c r="F6">
        <v>-156.3</v>
      </c>
      <c r="G6">
        <v>26.6</v>
      </c>
      <c r="I6">
        <f t="shared" si="0"/>
        <v>0.05</v>
      </c>
      <c r="J6">
        <f t="shared" si="1"/>
        <v>-6.30000000000001</v>
      </c>
      <c r="K6">
        <f t="shared" si="2"/>
        <v>-5.5</v>
      </c>
    </row>
    <row r="7" spans="1:11">
      <c r="A7">
        <v>0.134</v>
      </c>
      <c r="B7">
        <v>-156.1</v>
      </c>
      <c r="C7">
        <v>26.9</v>
      </c>
      <c r="E7">
        <v>0.1</v>
      </c>
      <c r="F7">
        <v>-156.2</v>
      </c>
      <c r="G7">
        <v>26.9</v>
      </c>
      <c r="I7">
        <f t="shared" si="0"/>
        <v>0.1</v>
      </c>
      <c r="J7">
        <f t="shared" si="1"/>
        <v>-6.19999999999999</v>
      </c>
      <c r="K7">
        <f t="shared" si="2"/>
        <v>-5.5</v>
      </c>
    </row>
    <row r="8" spans="1:11">
      <c r="A8">
        <v>0.167</v>
      </c>
      <c r="B8">
        <v>-156</v>
      </c>
      <c r="C8">
        <v>26.7</v>
      </c>
      <c r="E8">
        <v>0.134</v>
      </c>
      <c r="F8">
        <v>-156.1</v>
      </c>
      <c r="G8">
        <v>26.9</v>
      </c>
      <c r="I8">
        <f t="shared" si="0"/>
        <v>0.1</v>
      </c>
      <c r="J8">
        <f t="shared" si="1"/>
        <v>-6.09999999999999</v>
      </c>
      <c r="K8">
        <f t="shared" si="2"/>
        <v>-5.5</v>
      </c>
    </row>
    <row r="9" spans="1:11">
      <c r="A9">
        <v>0.201</v>
      </c>
      <c r="B9">
        <v>-155.8</v>
      </c>
      <c r="C9">
        <v>27</v>
      </c>
      <c r="E9">
        <v>0.167</v>
      </c>
      <c r="F9">
        <v>-156</v>
      </c>
      <c r="G9">
        <v>26.7</v>
      </c>
      <c r="I9">
        <f t="shared" si="0"/>
        <v>0.15</v>
      </c>
      <c r="J9">
        <f t="shared" si="1"/>
        <v>-6</v>
      </c>
      <c r="K9">
        <f t="shared" si="2"/>
        <v>-5.5</v>
      </c>
    </row>
    <row r="10" spans="1:11">
      <c r="A10">
        <v>0.234</v>
      </c>
      <c r="B10">
        <v>-155.4</v>
      </c>
      <c r="C10">
        <v>26.5</v>
      </c>
      <c r="E10">
        <v>0.201</v>
      </c>
      <c r="F10">
        <v>-155.8</v>
      </c>
      <c r="G10">
        <v>27</v>
      </c>
      <c r="I10">
        <f t="shared" si="0"/>
        <v>0.2</v>
      </c>
      <c r="J10">
        <f t="shared" si="1"/>
        <v>-5.80000000000001</v>
      </c>
      <c r="K10">
        <f t="shared" si="2"/>
        <v>-5.5</v>
      </c>
    </row>
    <row r="11" spans="1:11">
      <c r="A11">
        <v>0.267</v>
      </c>
      <c r="B11">
        <v>-155.2</v>
      </c>
      <c r="C11">
        <v>26.5</v>
      </c>
      <c r="E11">
        <v>0.234</v>
      </c>
      <c r="F11">
        <v>-155.4</v>
      </c>
      <c r="G11">
        <v>26.5</v>
      </c>
      <c r="I11">
        <f t="shared" si="0"/>
        <v>0.2</v>
      </c>
      <c r="J11">
        <f t="shared" si="1"/>
        <v>-5.40000000000001</v>
      </c>
      <c r="K11">
        <f t="shared" si="2"/>
        <v>-5.5</v>
      </c>
    </row>
    <row r="12" spans="1:11">
      <c r="A12">
        <v>0.301</v>
      </c>
      <c r="B12">
        <v>-155.1</v>
      </c>
      <c r="C12">
        <v>26.7</v>
      </c>
      <c r="E12">
        <v>0.267</v>
      </c>
      <c r="F12">
        <v>-155.2</v>
      </c>
      <c r="G12">
        <v>26.5</v>
      </c>
      <c r="I12">
        <f t="shared" si="0"/>
        <v>0.25</v>
      </c>
      <c r="J12">
        <f t="shared" si="1"/>
        <v>-5.19999999999999</v>
      </c>
      <c r="K12">
        <f t="shared" si="2"/>
        <v>-5.5</v>
      </c>
    </row>
    <row r="13" spans="1:11">
      <c r="A13">
        <v>0.334</v>
      </c>
      <c r="B13">
        <v>-155</v>
      </c>
      <c r="C13">
        <v>26.7</v>
      </c>
      <c r="E13">
        <v>0.301</v>
      </c>
      <c r="F13">
        <v>-155.1</v>
      </c>
      <c r="G13">
        <v>26.7</v>
      </c>
      <c r="I13">
        <f t="shared" si="0"/>
        <v>0.3</v>
      </c>
      <c r="J13">
        <f t="shared" si="1"/>
        <v>-5.09999999999999</v>
      </c>
      <c r="K13">
        <f t="shared" si="2"/>
        <v>-5.5</v>
      </c>
    </row>
    <row r="14" spans="1:11">
      <c r="A14">
        <v>0.368</v>
      </c>
      <c r="B14">
        <v>-154.5</v>
      </c>
      <c r="C14">
        <v>26.8</v>
      </c>
      <c r="E14">
        <v>0.334</v>
      </c>
      <c r="F14">
        <v>-155</v>
      </c>
      <c r="G14">
        <v>26.7</v>
      </c>
      <c r="I14">
        <f t="shared" si="0"/>
        <v>0.3</v>
      </c>
      <c r="J14">
        <f t="shared" si="1"/>
        <v>-5</v>
      </c>
      <c r="K14">
        <f t="shared" si="2"/>
        <v>-5.5</v>
      </c>
    </row>
    <row r="15" spans="1:11">
      <c r="A15">
        <v>0.401</v>
      </c>
      <c r="B15">
        <v>-154.3</v>
      </c>
      <c r="C15">
        <v>26.8</v>
      </c>
      <c r="E15">
        <v>0.368</v>
      </c>
      <c r="F15">
        <v>-154.5</v>
      </c>
      <c r="G15">
        <v>26.8</v>
      </c>
      <c r="I15">
        <f t="shared" si="0"/>
        <v>0.35</v>
      </c>
      <c r="J15">
        <f t="shared" si="1"/>
        <v>-4.5</v>
      </c>
      <c r="K15">
        <f t="shared" si="2"/>
        <v>-5.5</v>
      </c>
    </row>
    <row r="16" spans="1:11">
      <c r="A16">
        <v>0.435</v>
      </c>
      <c r="B16">
        <v>-154.2</v>
      </c>
      <c r="C16">
        <v>27.3</v>
      </c>
      <c r="E16">
        <v>0.401</v>
      </c>
      <c r="F16">
        <v>-154.3</v>
      </c>
      <c r="G16">
        <v>26.8</v>
      </c>
      <c r="I16">
        <f t="shared" si="0"/>
        <v>0.4</v>
      </c>
      <c r="J16">
        <f t="shared" si="1"/>
        <v>-4.30000000000001</v>
      </c>
      <c r="K16">
        <f t="shared" si="2"/>
        <v>-5.5</v>
      </c>
    </row>
    <row r="17" spans="1:11">
      <c r="A17">
        <v>0.468</v>
      </c>
      <c r="B17">
        <v>-154.2</v>
      </c>
      <c r="C17">
        <v>27.3</v>
      </c>
      <c r="E17">
        <v>0.435</v>
      </c>
      <c r="F17">
        <v>-154.2</v>
      </c>
      <c r="G17">
        <v>27.3</v>
      </c>
      <c r="I17">
        <f t="shared" si="0"/>
        <v>0.4</v>
      </c>
      <c r="J17">
        <f t="shared" si="1"/>
        <v>-4.19999999999999</v>
      </c>
      <c r="K17">
        <f t="shared" si="2"/>
        <v>-5.5</v>
      </c>
    </row>
    <row r="18" spans="1:11">
      <c r="A18">
        <v>0.501</v>
      </c>
      <c r="B18">
        <v>-154.2</v>
      </c>
      <c r="C18">
        <v>26.7</v>
      </c>
      <c r="E18">
        <v>0.468</v>
      </c>
      <c r="F18">
        <v>-154.2</v>
      </c>
      <c r="G18">
        <v>27.3</v>
      </c>
      <c r="I18">
        <f t="shared" si="0"/>
        <v>0.45</v>
      </c>
      <c r="J18">
        <f t="shared" si="1"/>
        <v>-4.19999999999999</v>
      </c>
      <c r="K18">
        <f t="shared" si="2"/>
        <v>-5.5</v>
      </c>
    </row>
    <row r="19" spans="1:11">
      <c r="A19">
        <v>0.535</v>
      </c>
      <c r="B19">
        <v>-154.2</v>
      </c>
      <c r="C19">
        <v>27</v>
      </c>
      <c r="E19">
        <v>0.501</v>
      </c>
      <c r="F19">
        <v>-154.2</v>
      </c>
      <c r="G19">
        <v>26.7</v>
      </c>
      <c r="I19">
        <f t="shared" si="0"/>
        <v>0.5</v>
      </c>
      <c r="J19">
        <f t="shared" si="1"/>
        <v>-4.19999999999999</v>
      </c>
      <c r="K19">
        <f t="shared" si="2"/>
        <v>-5.5</v>
      </c>
    </row>
    <row r="20" spans="1:11">
      <c r="A20">
        <v>0.568</v>
      </c>
      <c r="B20">
        <v>-154.2</v>
      </c>
      <c r="C20">
        <v>26.7</v>
      </c>
      <c r="E20">
        <v>0.535</v>
      </c>
      <c r="F20">
        <v>-154.2</v>
      </c>
      <c r="G20">
        <v>27</v>
      </c>
      <c r="I20">
        <f t="shared" si="0"/>
        <v>0.5</v>
      </c>
      <c r="J20">
        <f t="shared" si="1"/>
        <v>-4.19999999999999</v>
      </c>
      <c r="K20">
        <f t="shared" si="2"/>
        <v>-5.5</v>
      </c>
    </row>
    <row r="21" spans="1:11">
      <c r="A21">
        <v>0.602</v>
      </c>
      <c r="B21">
        <v>-154.2</v>
      </c>
      <c r="C21">
        <v>27.2</v>
      </c>
      <c r="E21">
        <v>0.568</v>
      </c>
      <c r="F21">
        <v>-154.2</v>
      </c>
      <c r="G21">
        <v>26.7</v>
      </c>
      <c r="I21">
        <f t="shared" si="0"/>
        <v>0.55</v>
      </c>
      <c r="J21">
        <f t="shared" si="1"/>
        <v>-4.19999999999999</v>
      </c>
      <c r="K21">
        <f t="shared" si="2"/>
        <v>-5.5</v>
      </c>
    </row>
    <row r="22" spans="1:11">
      <c r="A22">
        <v>0.635</v>
      </c>
      <c r="B22">
        <v>-154.3</v>
      </c>
      <c r="C22">
        <v>27.1</v>
      </c>
      <c r="E22">
        <v>0.602</v>
      </c>
      <c r="F22">
        <v>-154.2</v>
      </c>
      <c r="G22">
        <v>27.2</v>
      </c>
      <c r="I22">
        <f t="shared" si="0"/>
        <v>0.6</v>
      </c>
      <c r="J22">
        <f t="shared" si="1"/>
        <v>-4.19999999999999</v>
      </c>
      <c r="K22">
        <f t="shared" si="2"/>
        <v>-5.5</v>
      </c>
    </row>
    <row r="23" spans="1:11">
      <c r="A23">
        <v>0.669</v>
      </c>
      <c r="B23">
        <v>-154.4</v>
      </c>
      <c r="C23">
        <v>26.7</v>
      </c>
      <c r="E23">
        <v>0.635</v>
      </c>
      <c r="F23">
        <v>-154.3</v>
      </c>
      <c r="G23">
        <v>27.1</v>
      </c>
      <c r="I23">
        <f t="shared" si="0"/>
        <v>0.6</v>
      </c>
      <c r="J23">
        <f t="shared" si="1"/>
        <v>-4.30000000000001</v>
      </c>
      <c r="K23">
        <f t="shared" si="2"/>
        <v>-5.5</v>
      </c>
    </row>
    <row r="24" spans="1:11">
      <c r="A24">
        <v>0.702</v>
      </c>
      <c r="B24">
        <v>-154.5</v>
      </c>
      <c r="C24">
        <v>26.7</v>
      </c>
      <c r="E24">
        <v>0.669</v>
      </c>
      <c r="F24">
        <v>-154.4</v>
      </c>
      <c r="G24">
        <v>26.7</v>
      </c>
      <c r="I24">
        <f t="shared" si="0"/>
        <v>0.65</v>
      </c>
      <c r="J24">
        <f t="shared" si="1"/>
        <v>-4.40000000000001</v>
      </c>
      <c r="K24">
        <f t="shared" si="2"/>
        <v>-5.5</v>
      </c>
    </row>
    <row r="25" spans="1:11">
      <c r="A25">
        <v>0.735</v>
      </c>
      <c r="B25">
        <v>-154.5</v>
      </c>
      <c r="C25">
        <v>26.8</v>
      </c>
      <c r="E25">
        <v>0.702</v>
      </c>
      <c r="F25">
        <v>-154.5</v>
      </c>
      <c r="G25">
        <v>26.7</v>
      </c>
      <c r="I25">
        <f t="shared" si="0"/>
        <v>0.7</v>
      </c>
      <c r="J25">
        <f t="shared" si="1"/>
        <v>-4.5</v>
      </c>
      <c r="K25">
        <f t="shared" si="2"/>
        <v>-5.5</v>
      </c>
    </row>
    <row r="26" spans="1:11">
      <c r="A26">
        <v>0.769</v>
      </c>
      <c r="B26">
        <v>-154.5</v>
      </c>
      <c r="C26">
        <v>26.3</v>
      </c>
      <c r="E26">
        <v>0.735</v>
      </c>
      <c r="F26">
        <v>-154.5</v>
      </c>
      <c r="G26">
        <v>26.8</v>
      </c>
      <c r="I26">
        <f t="shared" si="0"/>
        <v>0.7</v>
      </c>
      <c r="J26">
        <f t="shared" si="1"/>
        <v>-4.5</v>
      </c>
      <c r="K26">
        <f t="shared" si="2"/>
        <v>-5.5</v>
      </c>
    </row>
    <row r="27" spans="1:11">
      <c r="A27">
        <v>0.802</v>
      </c>
      <c r="B27">
        <v>-154.6</v>
      </c>
      <c r="C27">
        <v>27</v>
      </c>
      <c r="E27">
        <v>0.769</v>
      </c>
      <c r="F27">
        <v>-154.5</v>
      </c>
      <c r="G27">
        <v>26.3</v>
      </c>
      <c r="I27">
        <f t="shared" si="0"/>
        <v>0.75</v>
      </c>
      <c r="J27">
        <f t="shared" si="1"/>
        <v>-4.5</v>
      </c>
      <c r="K27">
        <f t="shared" si="2"/>
        <v>-5.5</v>
      </c>
    </row>
    <row r="28" spans="1:11">
      <c r="A28">
        <v>0.836</v>
      </c>
      <c r="B28">
        <v>-154.7</v>
      </c>
      <c r="C28">
        <v>27.4</v>
      </c>
      <c r="E28">
        <v>0.802</v>
      </c>
      <c r="F28">
        <v>-154.6</v>
      </c>
      <c r="G28">
        <v>27</v>
      </c>
      <c r="I28">
        <f t="shared" si="0"/>
        <v>0.8</v>
      </c>
      <c r="J28">
        <f t="shared" si="1"/>
        <v>-4.59999999999999</v>
      </c>
      <c r="K28">
        <f t="shared" si="2"/>
        <v>-5.5</v>
      </c>
    </row>
    <row r="29" spans="1:11">
      <c r="A29">
        <v>0.869</v>
      </c>
      <c r="B29">
        <v>-154.8</v>
      </c>
      <c r="C29">
        <v>27</v>
      </c>
      <c r="E29">
        <v>0.836</v>
      </c>
      <c r="F29">
        <v>-154.7</v>
      </c>
      <c r="G29">
        <v>27.4</v>
      </c>
      <c r="I29">
        <f t="shared" si="0"/>
        <v>0.8</v>
      </c>
      <c r="J29">
        <f t="shared" si="1"/>
        <v>-4.69999999999999</v>
      </c>
      <c r="K29">
        <f t="shared" si="2"/>
        <v>-5.5</v>
      </c>
    </row>
    <row r="30" spans="1:11">
      <c r="A30">
        <v>0.903</v>
      </c>
      <c r="B30">
        <v>-154.8</v>
      </c>
      <c r="C30">
        <v>27.2</v>
      </c>
      <c r="E30">
        <v>0.869</v>
      </c>
      <c r="F30">
        <v>-154.8</v>
      </c>
      <c r="G30">
        <v>27</v>
      </c>
      <c r="I30">
        <f t="shared" si="0"/>
        <v>0.85</v>
      </c>
      <c r="J30">
        <f t="shared" si="1"/>
        <v>-4.80000000000001</v>
      </c>
      <c r="K30">
        <f t="shared" si="2"/>
        <v>-5.5</v>
      </c>
    </row>
    <row r="31" spans="1:11">
      <c r="A31">
        <v>0.936</v>
      </c>
      <c r="B31">
        <v>-154.9</v>
      </c>
      <c r="C31">
        <v>26.9</v>
      </c>
      <c r="E31">
        <v>0.903</v>
      </c>
      <c r="F31">
        <v>-154.8</v>
      </c>
      <c r="G31">
        <v>27.2</v>
      </c>
      <c r="I31">
        <f t="shared" si="0"/>
        <v>0.9</v>
      </c>
      <c r="J31">
        <f t="shared" si="1"/>
        <v>-4.80000000000001</v>
      </c>
      <c r="K31">
        <f t="shared" si="2"/>
        <v>-5.5</v>
      </c>
    </row>
    <row r="32" spans="1:11">
      <c r="A32">
        <v>0.969</v>
      </c>
      <c r="B32">
        <v>-155</v>
      </c>
      <c r="C32">
        <v>26.7</v>
      </c>
      <c r="E32">
        <v>0.936</v>
      </c>
      <c r="F32">
        <v>-154.9</v>
      </c>
      <c r="G32">
        <v>26.9</v>
      </c>
      <c r="I32">
        <f t="shared" si="0"/>
        <v>0.9</v>
      </c>
      <c r="J32">
        <f t="shared" si="1"/>
        <v>-4.90000000000001</v>
      </c>
      <c r="K32">
        <f t="shared" si="2"/>
        <v>-5.5</v>
      </c>
    </row>
    <row r="33" spans="1:11">
      <c r="A33">
        <v>1.003</v>
      </c>
      <c r="B33">
        <v>-155.1</v>
      </c>
      <c r="C33">
        <v>26.8</v>
      </c>
      <c r="E33">
        <v>0.969</v>
      </c>
      <c r="F33">
        <v>-155</v>
      </c>
      <c r="G33">
        <v>26.7</v>
      </c>
      <c r="I33">
        <f t="shared" si="0"/>
        <v>0.95</v>
      </c>
      <c r="J33">
        <f t="shared" si="1"/>
        <v>-5</v>
      </c>
      <c r="K33">
        <f t="shared" si="2"/>
        <v>-5.5</v>
      </c>
    </row>
    <row r="34" spans="1:11">
      <c r="A34">
        <v>1.036</v>
      </c>
      <c r="B34">
        <v>-155.6</v>
      </c>
      <c r="C34">
        <v>27.1</v>
      </c>
      <c r="E34">
        <v>1.003</v>
      </c>
      <c r="F34">
        <v>-155.1</v>
      </c>
      <c r="G34">
        <v>26.8</v>
      </c>
      <c r="I34">
        <f t="shared" si="0"/>
        <v>1</v>
      </c>
      <c r="J34">
        <f t="shared" si="1"/>
        <v>-5.09999999999999</v>
      </c>
      <c r="K34">
        <f t="shared" si="2"/>
        <v>-5.5</v>
      </c>
    </row>
    <row r="35" spans="1:11">
      <c r="A35">
        <v>1.07</v>
      </c>
      <c r="B35">
        <v>-155.8</v>
      </c>
      <c r="C35">
        <v>26.4</v>
      </c>
      <c r="E35">
        <v>1.036</v>
      </c>
      <c r="F35">
        <v>-155.6</v>
      </c>
      <c r="G35">
        <v>27.1</v>
      </c>
      <c r="I35">
        <f t="shared" si="0"/>
        <v>1</v>
      </c>
      <c r="J35">
        <f t="shared" si="1"/>
        <v>-5.59999999999999</v>
      </c>
      <c r="K35">
        <f t="shared" si="2"/>
        <v>-5.5</v>
      </c>
    </row>
    <row r="36" spans="1:11">
      <c r="A36">
        <v>1.103</v>
      </c>
      <c r="B36">
        <v>-155.9</v>
      </c>
      <c r="C36">
        <v>26.9</v>
      </c>
      <c r="E36">
        <v>1.07</v>
      </c>
      <c r="F36">
        <v>-155.8</v>
      </c>
      <c r="G36">
        <v>26.4</v>
      </c>
      <c r="I36">
        <f t="shared" si="0"/>
        <v>1.05</v>
      </c>
      <c r="J36">
        <f t="shared" si="1"/>
        <v>-5.80000000000001</v>
      </c>
      <c r="K36">
        <f t="shared" si="2"/>
        <v>-5.5</v>
      </c>
    </row>
    <row r="37" spans="1:11">
      <c r="A37">
        <v>1.137</v>
      </c>
      <c r="B37">
        <v>-156</v>
      </c>
      <c r="C37">
        <v>27.4</v>
      </c>
      <c r="E37">
        <v>1.103</v>
      </c>
      <c r="F37">
        <v>-155.9</v>
      </c>
      <c r="G37">
        <v>26.9</v>
      </c>
      <c r="I37">
        <f t="shared" si="0"/>
        <v>1.1</v>
      </c>
      <c r="J37">
        <f t="shared" si="1"/>
        <v>-5.90000000000001</v>
      </c>
      <c r="K37">
        <f t="shared" si="2"/>
        <v>-5.5</v>
      </c>
    </row>
    <row r="38" spans="1:11">
      <c r="A38">
        <v>1.17</v>
      </c>
      <c r="B38">
        <v>-156.4</v>
      </c>
      <c r="C38">
        <v>27.1</v>
      </c>
      <c r="E38">
        <v>1.137</v>
      </c>
      <c r="F38">
        <v>-156</v>
      </c>
      <c r="G38">
        <v>27.4</v>
      </c>
      <c r="I38">
        <f t="shared" si="0"/>
        <v>1.1</v>
      </c>
      <c r="J38">
        <f t="shared" si="1"/>
        <v>-6</v>
      </c>
      <c r="K38">
        <f t="shared" si="2"/>
        <v>-5.5</v>
      </c>
    </row>
    <row r="39" spans="1:11">
      <c r="A39">
        <v>1.204</v>
      </c>
      <c r="B39">
        <v>-156.5</v>
      </c>
      <c r="C39">
        <v>26.8</v>
      </c>
      <c r="E39">
        <v>1.17</v>
      </c>
      <c r="F39">
        <v>-156.4</v>
      </c>
      <c r="G39">
        <v>27.1</v>
      </c>
      <c r="I39">
        <f t="shared" si="0"/>
        <v>1.15</v>
      </c>
      <c r="J39">
        <f t="shared" si="1"/>
        <v>-6.40000000000001</v>
      </c>
      <c r="K39">
        <f t="shared" si="2"/>
        <v>-5.5</v>
      </c>
    </row>
    <row r="40" spans="1:11">
      <c r="A40">
        <v>1.237</v>
      </c>
      <c r="B40">
        <v>-156.6</v>
      </c>
      <c r="C40">
        <v>26.8</v>
      </c>
      <c r="E40">
        <v>1.204</v>
      </c>
      <c r="F40">
        <v>-156.5</v>
      </c>
      <c r="G40">
        <v>26.8</v>
      </c>
      <c r="I40">
        <f t="shared" si="0"/>
        <v>1.2</v>
      </c>
      <c r="J40">
        <f t="shared" si="1"/>
        <v>-6.5</v>
      </c>
      <c r="K40">
        <f t="shared" si="2"/>
        <v>-5.5</v>
      </c>
    </row>
    <row r="41" spans="1:11">
      <c r="A41">
        <v>1.27</v>
      </c>
      <c r="B41">
        <v>-156.7</v>
      </c>
      <c r="C41">
        <v>26.9</v>
      </c>
      <c r="E41">
        <v>1.237</v>
      </c>
      <c r="F41">
        <v>-156.6</v>
      </c>
      <c r="G41">
        <v>26.8</v>
      </c>
      <c r="I41">
        <f t="shared" si="0"/>
        <v>1.2</v>
      </c>
      <c r="J41">
        <f t="shared" si="1"/>
        <v>-6.59999999999999</v>
      </c>
      <c r="K41">
        <f t="shared" si="2"/>
        <v>-5.5</v>
      </c>
    </row>
    <row r="42" spans="1:11">
      <c r="A42">
        <v>1.304</v>
      </c>
      <c r="B42">
        <v>-156.6</v>
      </c>
      <c r="C42">
        <v>27</v>
      </c>
      <c r="E42">
        <v>1.27</v>
      </c>
      <c r="F42">
        <v>-156.7</v>
      </c>
      <c r="G42">
        <v>26.9</v>
      </c>
      <c r="I42">
        <f t="shared" si="0"/>
        <v>1.25</v>
      </c>
      <c r="J42">
        <f t="shared" si="1"/>
        <v>-6.69999999999999</v>
      </c>
      <c r="K42">
        <f t="shared" si="2"/>
        <v>-5.5</v>
      </c>
    </row>
    <row r="43" spans="1:11">
      <c r="A43">
        <v>1.337</v>
      </c>
      <c r="B43">
        <v>-156.6</v>
      </c>
      <c r="C43">
        <v>26.8</v>
      </c>
      <c r="E43">
        <v>1.304</v>
      </c>
      <c r="F43">
        <v>-156.6</v>
      </c>
      <c r="G43">
        <v>27</v>
      </c>
      <c r="I43">
        <f t="shared" si="0"/>
        <v>1.3</v>
      </c>
      <c r="J43">
        <f t="shared" si="1"/>
        <v>-6.59999999999999</v>
      </c>
      <c r="K43">
        <f t="shared" si="2"/>
        <v>-5.5</v>
      </c>
    </row>
    <row r="44" spans="1:11">
      <c r="A44">
        <v>1.371</v>
      </c>
      <c r="B44">
        <v>-156.6</v>
      </c>
      <c r="C44">
        <v>26.8</v>
      </c>
      <c r="E44">
        <v>1.337</v>
      </c>
      <c r="F44">
        <v>-156.6</v>
      </c>
      <c r="G44">
        <v>26.8</v>
      </c>
      <c r="I44">
        <f t="shared" si="0"/>
        <v>1.3</v>
      </c>
      <c r="J44">
        <f t="shared" si="1"/>
        <v>-6.59999999999999</v>
      </c>
      <c r="K44">
        <f t="shared" si="2"/>
        <v>-5.5</v>
      </c>
    </row>
    <row r="45" spans="1:11">
      <c r="A45">
        <v>1.404</v>
      </c>
      <c r="B45">
        <v>-156.5</v>
      </c>
      <c r="C45">
        <v>26.8</v>
      </c>
      <c r="E45">
        <v>1.371</v>
      </c>
      <c r="F45">
        <v>-156.6</v>
      </c>
      <c r="G45">
        <v>26.8</v>
      </c>
      <c r="I45">
        <f t="shared" si="0"/>
        <v>1.35</v>
      </c>
      <c r="J45">
        <f t="shared" si="1"/>
        <v>-6.59999999999999</v>
      </c>
      <c r="K45">
        <f t="shared" si="2"/>
        <v>-5.5</v>
      </c>
    </row>
    <row r="46" spans="1:11">
      <c r="A46">
        <v>1.438</v>
      </c>
      <c r="B46">
        <v>-156.5</v>
      </c>
      <c r="C46">
        <v>26.6</v>
      </c>
      <c r="E46">
        <v>1.404</v>
      </c>
      <c r="F46">
        <v>-156.5</v>
      </c>
      <c r="G46">
        <v>26.8</v>
      </c>
      <c r="I46">
        <f t="shared" si="0"/>
        <v>1.4</v>
      </c>
      <c r="J46">
        <f t="shared" si="1"/>
        <v>-6.5</v>
      </c>
      <c r="K46">
        <f t="shared" si="2"/>
        <v>-5.5</v>
      </c>
    </row>
    <row r="47" spans="1:11">
      <c r="A47">
        <v>1.471</v>
      </c>
      <c r="B47">
        <v>-156.4</v>
      </c>
      <c r="C47">
        <v>26.5</v>
      </c>
      <c r="E47">
        <v>1.438</v>
      </c>
      <c r="F47">
        <v>-156.5</v>
      </c>
      <c r="G47">
        <v>26.6</v>
      </c>
      <c r="I47">
        <f t="shared" si="0"/>
        <v>1.4</v>
      </c>
      <c r="J47">
        <f t="shared" si="1"/>
        <v>-6.5</v>
      </c>
      <c r="K47">
        <f t="shared" si="2"/>
        <v>-5.5</v>
      </c>
    </row>
    <row r="48" spans="1:11">
      <c r="A48">
        <v>1.504</v>
      </c>
      <c r="B48">
        <v>-156.4</v>
      </c>
      <c r="C48">
        <v>26.9</v>
      </c>
      <c r="E48">
        <v>1.471</v>
      </c>
      <c r="F48">
        <v>-156.4</v>
      </c>
      <c r="G48">
        <v>26.5</v>
      </c>
      <c r="I48">
        <f t="shared" si="0"/>
        <v>1.45</v>
      </c>
      <c r="J48">
        <f t="shared" si="1"/>
        <v>-6.40000000000001</v>
      </c>
      <c r="K48">
        <f t="shared" si="2"/>
        <v>-5.5</v>
      </c>
    </row>
    <row r="49" spans="1:11">
      <c r="A49">
        <v>1.538</v>
      </c>
      <c r="B49">
        <v>-156.3</v>
      </c>
      <c r="C49">
        <v>26.7</v>
      </c>
      <c r="E49">
        <v>1.504</v>
      </c>
      <c r="F49">
        <v>-156.4</v>
      </c>
      <c r="G49">
        <v>26.9</v>
      </c>
      <c r="I49">
        <f t="shared" si="0"/>
        <v>1.5</v>
      </c>
      <c r="J49">
        <f t="shared" si="1"/>
        <v>-6.40000000000001</v>
      </c>
      <c r="K49">
        <f t="shared" si="2"/>
        <v>-5.5</v>
      </c>
    </row>
    <row r="50" spans="1:11">
      <c r="A50">
        <v>1.571</v>
      </c>
      <c r="B50">
        <v>-156.3</v>
      </c>
      <c r="C50">
        <v>26.7</v>
      </c>
      <c r="E50">
        <v>1.538</v>
      </c>
      <c r="F50">
        <v>-156.3</v>
      </c>
      <c r="G50">
        <v>26.7</v>
      </c>
      <c r="I50">
        <f t="shared" si="0"/>
        <v>1.5</v>
      </c>
      <c r="J50">
        <f t="shared" si="1"/>
        <v>-6.30000000000001</v>
      </c>
      <c r="K50">
        <f t="shared" si="2"/>
        <v>-5.5</v>
      </c>
    </row>
    <row r="51" spans="1:11">
      <c r="A51">
        <v>1.605</v>
      </c>
      <c r="B51">
        <v>-156.2</v>
      </c>
      <c r="C51">
        <v>27</v>
      </c>
      <c r="E51">
        <v>1.571</v>
      </c>
      <c r="F51">
        <v>-156.3</v>
      </c>
      <c r="G51">
        <v>26.7</v>
      </c>
      <c r="I51">
        <f t="shared" si="0"/>
        <v>1.55</v>
      </c>
      <c r="J51">
        <f t="shared" si="1"/>
        <v>-6.30000000000001</v>
      </c>
      <c r="K51">
        <f t="shared" si="2"/>
        <v>-5.5</v>
      </c>
    </row>
    <row r="52" spans="1:11">
      <c r="A52">
        <v>1.638</v>
      </c>
      <c r="B52">
        <v>-156.1</v>
      </c>
      <c r="C52">
        <v>26.7</v>
      </c>
      <c r="E52">
        <v>1.605</v>
      </c>
      <c r="F52">
        <v>-156.2</v>
      </c>
      <c r="G52">
        <v>27</v>
      </c>
      <c r="I52">
        <f t="shared" si="0"/>
        <v>1.6</v>
      </c>
      <c r="J52">
        <f t="shared" si="1"/>
        <v>-6.19999999999999</v>
      </c>
      <c r="K52">
        <f t="shared" si="2"/>
        <v>-5.5</v>
      </c>
    </row>
    <row r="53" spans="1:11">
      <c r="A53">
        <v>1.672</v>
      </c>
      <c r="B53">
        <v>-156</v>
      </c>
      <c r="C53">
        <v>26.7</v>
      </c>
      <c r="E53">
        <v>1.638</v>
      </c>
      <c r="F53">
        <v>-156.1</v>
      </c>
      <c r="G53">
        <v>26.7</v>
      </c>
      <c r="I53">
        <f t="shared" si="0"/>
        <v>1.6</v>
      </c>
      <c r="J53">
        <f t="shared" si="1"/>
        <v>-6.09999999999999</v>
      </c>
      <c r="K53">
        <f t="shared" si="2"/>
        <v>-5.5</v>
      </c>
    </row>
    <row r="54" spans="1:11">
      <c r="A54">
        <v>1.705</v>
      </c>
      <c r="B54">
        <v>-155.9</v>
      </c>
      <c r="C54">
        <v>26.7</v>
      </c>
      <c r="E54">
        <v>1.672</v>
      </c>
      <c r="F54">
        <v>-156</v>
      </c>
      <c r="G54">
        <v>26.7</v>
      </c>
      <c r="I54">
        <f t="shared" si="0"/>
        <v>1.65</v>
      </c>
      <c r="J54">
        <f t="shared" si="1"/>
        <v>-6</v>
      </c>
      <c r="K54">
        <f t="shared" si="2"/>
        <v>-5.5</v>
      </c>
    </row>
    <row r="55" spans="1:11">
      <c r="A55">
        <v>1.738</v>
      </c>
      <c r="B55">
        <v>-155.4</v>
      </c>
      <c r="C55">
        <v>27</v>
      </c>
      <c r="E55">
        <v>1.705</v>
      </c>
      <c r="F55">
        <v>-155.9</v>
      </c>
      <c r="G55">
        <v>26.7</v>
      </c>
      <c r="I55">
        <f t="shared" si="0"/>
        <v>1.7</v>
      </c>
      <c r="J55">
        <f t="shared" si="1"/>
        <v>-5.90000000000001</v>
      </c>
      <c r="K55">
        <f t="shared" si="2"/>
        <v>-5.5</v>
      </c>
    </row>
    <row r="56" spans="1:11">
      <c r="A56">
        <v>1.772</v>
      </c>
      <c r="B56">
        <v>-155.2</v>
      </c>
      <c r="C56">
        <v>26.6</v>
      </c>
      <c r="E56">
        <v>1.738</v>
      </c>
      <c r="F56">
        <v>-155.4</v>
      </c>
      <c r="G56">
        <v>27</v>
      </c>
      <c r="I56">
        <f t="shared" si="0"/>
        <v>1.7</v>
      </c>
      <c r="J56">
        <f t="shared" si="1"/>
        <v>-5.40000000000001</v>
      </c>
      <c r="K56">
        <f t="shared" si="2"/>
        <v>-5.5</v>
      </c>
    </row>
    <row r="57" spans="1:11">
      <c r="A57">
        <v>1.805</v>
      </c>
      <c r="B57">
        <v>-155.1</v>
      </c>
      <c r="C57">
        <v>26.8</v>
      </c>
      <c r="E57">
        <v>1.772</v>
      </c>
      <c r="F57">
        <v>-155.2</v>
      </c>
      <c r="G57">
        <v>26.6</v>
      </c>
      <c r="I57">
        <f t="shared" si="0"/>
        <v>1.75</v>
      </c>
      <c r="J57">
        <f t="shared" si="1"/>
        <v>-5.19999999999999</v>
      </c>
      <c r="K57">
        <f t="shared" si="2"/>
        <v>-5.5</v>
      </c>
    </row>
    <row r="58" spans="1:11">
      <c r="A58">
        <v>1.839</v>
      </c>
      <c r="B58">
        <v>-155</v>
      </c>
      <c r="C58">
        <v>27</v>
      </c>
      <c r="E58">
        <v>1.805</v>
      </c>
      <c r="F58">
        <v>-155.1</v>
      </c>
      <c r="G58">
        <v>26.8</v>
      </c>
      <c r="I58">
        <f t="shared" si="0"/>
        <v>1.8</v>
      </c>
      <c r="J58">
        <f t="shared" si="1"/>
        <v>-5.09999999999999</v>
      </c>
      <c r="K58">
        <f t="shared" si="2"/>
        <v>-5.5</v>
      </c>
    </row>
    <row r="59" spans="1:11">
      <c r="A59">
        <v>1.872</v>
      </c>
      <c r="B59">
        <v>-155</v>
      </c>
      <c r="C59">
        <v>27</v>
      </c>
      <c r="E59">
        <v>1.839</v>
      </c>
      <c r="F59">
        <v>-155</v>
      </c>
      <c r="G59">
        <v>27</v>
      </c>
      <c r="I59">
        <f t="shared" si="0"/>
        <v>1.8</v>
      </c>
      <c r="J59">
        <f t="shared" si="1"/>
        <v>-5</v>
      </c>
      <c r="K59">
        <f t="shared" si="2"/>
        <v>-5.5</v>
      </c>
    </row>
    <row r="60" spans="1:11">
      <c r="A60">
        <v>1.906</v>
      </c>
      <c r="B60">
        <v>-154.5</v>
      </c>
      <c r="C60">
        <v>27.3</v>
      </c>
      <c r="E60">
        <v>1.872</v>
      </c>
      <c r="F60">
        <v>-155</v>
      </c>
      <c r="G60">
        <v>27</v>
      </c>
      <c r="I60">
        <f t="shared" si="0"/>
        <v>1.85</v>
      </c>
      <c r="J60">
        <f t="shared" si="1"/>
        <v>-5</v>
      </c>
      <c r="K60">
        <f t="shared" si="2"/>
        <v>-5.5</v>
      </c>
    </row>
    <row r="61" spans="1:11">
      <c r="A61">
        <v>1.939</v>
      </c>
      <c r="B61">
        <v>-154.3</v>
      </c>
      <c r="C61">
        <v>26.6</v>
      </c>
      <c r="E61">
        <v>1.906</v>
      </c>
      <c r="F61">
        <v>-154.5</v>
      </c>
      <c r="G61">
        <v>27.3</v>
      </c>
      <c r="I61">
        <f t="shared" si="0"/>
        <v>1.9</v>
      </c>
      <c r="J61">
        <f t="shared" si="1"/>
        <v>-4.5</v>
      </c>
      <c r="K61">
        <f t="shared" si="2"/>
        <v>-5.5</v>
      </c>
    </row>
    <row r="62" spans="1:11">
      <c r="A62">
        <v>1.972</v>
      </c>
      <c r="B62">
        <v>-154.2</v>
      </c>
      <c r="C62">
        <v>26.7</v>
      </c>
      <c r="E62">
        <v>1.939</v>
      </c>
      <c r="F62">
        <v>-154.3</v>
      </c>
      <c r="G62">
        <v>26.6</v>
      </c>
      <c r="I62">
        <f t="shared" si="0"/>
        <v>1.9</v>
      </c>
      <c r="J62">
        <f t="shared" si="1"/>
        <v>-4.30000000000001</v>
      </c>
      <c r="K62">
        <f t="shared" si="2"/>
        <v>-5.5</v>
      </c>
    </row>
    <row r="63" spans="1:11">
      <c r="A63">
        <v>2.006</v>
      </c>
      <c r="B63">
        <v>-154.1</v>
      </c>
      <c r="C63">
        <v>27.2</v>
      </c>
      <c r="E63">
        <v>1.972</v>
      </c>
      <c r="F63">
        <v>-154.2</v>
      </c>
      <c r="G63">
        <v>26.7</v>
      </c>
      <c r="I63">
        <f t="shared" si="0"/>
        <v>1.95</v>
      </c>
      <c r="J63">
        <f t="shared" si="1"/>
        <v>-4.19999999999999</v>
      </c>
      <c r="K63">
        <f t="shared" si="2"/>
        <v>-5.5</v>
      </c>
    </row>
    <row r="64" spans="1:11">
      <c r="A64">
        <v>2.039</v>
      </c>
      <c r="B64">
        <v>-154.2</v>
      </c>
      <c r="C64">
        <v>27.1</v>
      </c>
      <c r="E64">
        <v>2.006</v>
      </c>
      <c r="F64">
        <v>-154.1</v>
      </c>
      <c r="G64">
        <v>27.2</v>
      </c>
      <c r="I64">
        <f t="shared" si="0"/>
        <v>2</v>
      </c>
      <c r="J64">
        <f t="shared" si="1"/>
        <v>-4.09999999999999</v>
      </c>
      <c r="K64">
        <f t="shared" si="2"/>
        <v>-5.5</v>
      </c>
    </row>
    <row r="65" spans="1:11">
      <c r="A65">
        <v>2.073</v>
      </c>
      <c r="B65">
        <v>-154.2</v>
      </c>
      <c r="C65">
        <v>27.1</v>
      </c>
      <c r="E65">
        <v>2.039</v>
      </c>
      <c r="F65">
        <v>-154.2</v>
      </c>
      <c r="G65">
        <v>27.1</v>
      </c>
      <c r="I65">
        <f t="shared" si="0"/>
        <v>2</v>
      </c>
      <c r="J65">
        <f t="shared" si="1"/>
        <v>-4.19999999999999</v>
      </c>
      <c r="K65">
        <f t="shared" si="2"/>
        <v>-5.5</v>
      </c>
    </row>
    <row r="66" spans="1:11">
      <c r="A66">
        <v>2.106</v>
      </c>
      <c r="B66">
        <v>-154.3</v>
      </c>
      <c r="C66">
        <v>27.3</v>
      </c>
      <c r="E66">
        <v>2.073</v>
      </c>
      <c r="F66">
        <v>-154.2</v>
      </c>
      <c r="G66">
        <v>27.1</v>
      </c>
      <c r="I66">
        <f t="shared" si="0"/>
        <v>2.05</v>
      </c>
      <c r="J66">
        <f t="shared" si="1"/>
        <v>-4.19999999999999</v>
      </c>
      <c r="K66">
        <f t="shared" si="2"/>
        <v>-5.5</v>
      </c>
    </row>
    <row r="67" spans="1:11">
      <c r="A67">
        <v>2.14</v>
      </c>
      <c r="B67">
        <v>-154.3</v>
      </c>
      <c r="C67">
        <v>26.6</v>
      </c>
      <c r="E67">
        <v>2.106</v>
      </c>
      <c r="F67">
        <v>-154.3</v>
      </c>
      <c r="G67">
        <v>27.3</v>
      </c>
      <c r="I67">
        <f t="shared" si="0"/>
        <v>2.1</v>
      </c>
      <c r="J67">
        <f t="shared" si="1"/>
        <v>-4.30000000000001</v>
      </c>
      <c r="K67">
        <f t="shared" si="2"/>
        <v>-5.5</v>
      </c>
    </row>
    <row r="68" spans="1:11">
      <c r="A68">
        <v>2.173</v>
      </c>
      <c r="B68">
        <v>-154.3</v>
      </c>
      <c r="C68">
        <v>26.6</v>
      </c>
      <c r="E68">
        <v>2.14</v>
      </c>
      <c r="F68">
        <v>-154.3</v>
      </c>
      <c r="G68">
        <v>26.6</v>
      </c>
      <c r="I68">
        <f t="shared" ref="I68:I131" si="3">FLOOR(E68,0.05)</f>
        <v>2.1</v>
      </c>
      <c r="J68">
        <f t="shared" si="1"/>
        <v>-4.30000000000001</v>
      </c>
      <c r="K68">
        <f t="shared" si="2"/>
        <v>-5.5</v>
      </c>
    </row>
    <row r="69" spans="1:11">
      <c r="A69">
        <v>2.206</v>
      </c>
      <c r="B69">
        <v>-154.4</v>
      </c>
      <c r="C69">
        <v>26.6</v>
      </c>
      <c r="E69">
        <v>2.173</v>
      </c>
      <c r="F69">
        <v>-154.3</v>
      </c>
      <c r="G69">
        <v>26.6</v>
      </c>
      <c r="I69">
        <f t="shared" si="3"/>
        <v>2.15</v>
      </c>
      <c r="J69">
        <f t="shared" ref="J69:J132" si="4">F69+150</f>
        <v>-4.30000000000001</v>
      </c>
      <c r="K69">
        <f t="shared" ref="K69:K132" si="5">IF(G69&lt;230,-5.5,5)</f>
        <v>-5.5</v>
      </c>
    </row>
    <row r="70" spans="1:11">
      <c r="A70">
        <v>2.24</v>
      </c>
      <c r="B70">
        <v>-154.5</v>
      </c>
      <c r="C70">
        <v>26.6</v>
      </c>
      <c r="E70">
        <v>2.206</v>
      </c>
      <c r="F70">
        <v>-154.4</v>
      </c>
      <c r="G70">
        <v>26.6</v>
      </c>
      <c r="I70">
        <f t="shared" si="3"/>
        <v>2.2</v>
      </c>
      <c r="J70">
        <f t="shared" si="4"/>
        <v>-4.40000000000001</v>
      </c>
      <c r="K70">
        <f t="shared" si="5"/>
        <v>-5.5</v>
      </c>
    </row>
    <row r="71" spans="1:11">
      <c r="A71">
        <v>2.273</v>
      </c>
      <c r="B71">
        <v>-154.5</v>
      </c>
      <c r="C71">
        <v>26.8</v>
      </c>
      <c r="E71">
        <v>2.24</v>
      </c>
      <c r="F71">
        <v>-154.5</v>
      </c>
      <c r="G71">
        <v>26.6</v>
      </c>
      <c r="I71">
        <f t="shared" si="3"/>
        <v>2.2</v>
      </c>
      <c r="J71">
        <f t="shared" si="4"/>
        <v>-4.5</v>
      </c>
      <c r="K71">
        <f t="shared" si="5"/>
        <v>-5.5</v>
      </c>
    </row>
    <row r="72" spans="1:11">
      <c r="A72">
        <v>2.307</v>
      </c>
      <c r="B72">
        <v>-154.6</v>
      </c>
      <c r="C72">
        <v>27.1</v>
      </c>
      <c r="E72">
        <v>2.273</v>
      </c>
      <c r="F72">
        <v>-154.5</v>
      </c>
      <c r="G72">
        <v>26.8</v>
      </c>
      <c r="I72">
        <f t="shared" si="3"/>
        <v>2.25</v>
      </c>
      <c r="J72">
        <f t="shared" si="4"/>
        <v>-4.5</v>
      </c>
      <c r="K72">
        <f t="shared" si="5"/>
        <v>-5.5</v>
      </c>
    </row>
    <row r="73" spans="1:11">
      <c r="A73">
        <v>2.34</v>
      </c>
      <c r="B73">
        <v>-154.7</v>
      </c>
      <c r="C73">
        <v>27.2</v>
      </c>
      <c r="E73">
        <v>2.307</v>
      </c>
      <c r="F73">
        <v>-154.6</v>
      </c>
      <c r="G73">
        <v>27.1</v>
      </c>
      <c r="I73">
        <f t="shared" si="3"/>
        <v>2.3</v>
      </c>
      <c r="J73">
        <f t="shared" si="4"/>
        <v>-4.59999999999999</v>
      </c>
      <c r="K73">
        <f t="shared" si="5"/>
        <v>-5.5</v>
      </c>
    </row>
    <row r="74" spans="1:11">
      <c r="A74">
        <v>2.374</v>
      </c>
      <c r="B74">
        <v>-154.7</v>
      </c>
      <c r="C74">
        <v>26.6</v>
      </c>
      <c r="E74">
        <v>2.34</v>
      </c>
      <c r="F74">
        <v>-154.7</v>
      </c>
      <c r="G74">
        <v>27.2</v>
      </c>
      <c r="I74">
        <f t="shared" si="3"/>
        <v>2.3</v>
      </c>
      <c r="J74">
        <f t="shared" si="4"/>
        <v>-4.69999999999999</v>
      </c>
      <c r="K74">
        <f t="shared" si="5"/>
        <v>-5.5</v>
      </c>
    </row>
    <row r="75" spans="1:11">
      <c r="A75">
        <v>2.407</v>
      </c>
      <c r="B75">
        <v>-154.8</v>
      </c>
      <c r="C75">
        <v>26.8</v>
      </c>
      <c r="E75">
        <v>2.374</v>
      </c>
      <c r="F75">
        <v>-154.7</v>
      </c>
      <c r="G75">
        <v>26.6</v>
      </c>
      <c r="I75">
        <f t="shared" si="3"/>
        <v>2.35</v>
      </c>
      <c r="J75">
        <f t="shared" si="4"/>
        <v>-4.69999999999999</v>
      </c>
      <c r="K75">
        <f t="shared" si="5"/>
        <v>-5.5</v>
      </c>
    </row>
    <row r="76" spans="1:11">
      <c r="A76">
        <v>2.44</v>
      </c>
      <c r="B76">
        <v>-154.9</v>
      </c>
      <c r="C76">
        <v>26.7</v>
      </c>
      <c r="E76">
        <v>2.407</v>
      </c>
      <c r="F76">
        <v>-154.8</v>
      </c>
      <c r="G76">
        <v>26.8</v>
      </c>
      <c r="I76">
        <f t="shared" si="3"/>
        <v>2.4</v>
      </c>
      <c r="J76">
        <f t="shared" si="4"/>
        <v>-4.80000000000001</v>
      </c>
      <c r="K76">
        <f t="shared" si="5"/>
        <v>-5.5</v>
      </c>
    </row>
    <row r="77" spans="1:11">
      <c r="A77">
        <v>2.474</v>
      </c>
      <c r="B77">
        <v>-155</v>
      </c>
      <c r="C77">
        <v>26.9</v>
      </c>
      <c r="E77">
        <v>2.44</v>
      </c>
      <c r="F77">
        <v>-154.9</v>
      </c>
      <c r="G77">
        <v>26.7</v>
      </c>
      <c r="I77">
        <f t="shared" si="3"/>
        <v>2.4</v>
      </c>
      <c r="J77">
        <f t="shared" si="4"/>
        <v>-4.90000000000001</v>
      </c>
      <c r="K77">
        <f t="shared" si="5"/>
        <v>-5.5</v>
      </c>
    </row>
    <row r="78" spans="1:11">
      <c r="A78">
        <v>2.507</v>
      </c>
      <c r="B78">
        <v>-155</v>
      </c>
      <c r="C78">
        <v>26.8</v>
      </c>
      <c r="E78">
        <v>2.474</v>
      </c>
      <c r="F78">
        <v>-155</v>
      </c>
      <c r="G78">
        <v>26.9</v>
      </c>
      <c r="I78">
        <f t="shared" si="3"/>
        <v>2.45</v>
      </c>
      <c r="J78">
        <f t="shared" si="4"/>
        <v>-5</v>
      </c>
      <c r="K78">
        <f t="shared" si="5"/>
        <v>-5.5</v>
      </c>
    </row>
    <row r="79" spans="1:11">
      <c r="A79">
        <v>2.541</v>
      </c>
      <c r="B79">
        <v>-155.1</v>
      </c>
      <c r="C79">
        <v>26.8</v>
      </c>
      <c r="E79">
        <v>2.507</v>
      </c>
      <c r="F79">
        <v>-155</v>
      </c>
      <c r="G79">
        <v>26.8</v>
      </c>
      <c r="I79">
        <f t="shared" si="3"/>
        <v>2.5</v>
      </c>
      <c r="J79">
        <f t="shared" si="4"/>
        <v>-5</v>
      </c>
      <c r="K79">
        <f t="shared" si="5"/>
        <v>-5.5</v>
      </c>
    </row>
    <row r="80" spans="1:11">
      <c r="A80">
        <v>2.574</v>
      </c>
      <c r="B80">
        <v>-155.6</v>
      </c>
      <c r="C80">
        <v>27</v>
      </c>
      <c r="E80">
        <v>2.541</v>
      </c>
      <c r="F80">
        <v>-155.1</v>
      </c>
      <c r="G80">
        <v>26.8</v>
      </c>
      <c r="I80">
        <f t="shared" si="3"/>
        <v>2.5</v>
      </c>
      <c r="J80">
        <f t="shared" si="4"/>
        <v>-5.09999999999999</v>
      </c>
      <c r="K80">
        <f t="shared" si="5"/>
        <v>-5.5</v>
      </c>
    </row>
    <row r="81" spans="1:11">
      <c r="A81">
        <v>2.608</v>
      </c>
      <c r="B81">
        <v>-155.8</v>
      </c>
      <c r="C81">
        <v>27</v>
      </c>
      <c r="E81">
        <v>2.574</v>
      </c>
      <c r="F81">
        <v>-155.6</v>
      </c>
      <c r="G81">
        <v>27</v>
      </c>
      <c r="I81">
        <f t="shared" si="3"/>
        <v>2.55</v>
      </c>
      <c r="J81">
        <f t="shared" si="4"/>
        <v>-5.59999999999999</v>
      </c>
      <c r="K81">
        <f t="shared" si="5"/>
        <v>-5.5</v>
      </c>
    </row>
    <row r="82" spans="1:11">
      <c r="A82">
        <v>2.641</v>
      </c>
      <c r="B82">
        <v>-155.9</v>
      </c>
      <c r="C82">
        <v>26.9</v>
      </c>
      <c r="E82">
        <v>2.608</v>
      </c>
      <c r="F82">
        <v>-155.8</v>
      </c>
      <c r="G82">
        <v>27</v>
      </c>
      <c r="I82">
        <f t="shared" si="3"/>
        <v>2.6</v>
      </c>
      <c r="J82">
        <f t="shared" si="4"/>
        <v>-5.80000000000001</v>
      </c>
      <c r="K82">
        <f t="shared" si="5"/>
        <v>-5.5</v>
      </c>
    </row>
    <row r="83" spans="1:11">
      <c r="A83">
        <v>2.674</v>
      </c>
      <c r="B83">
        <v>-156</v>
      </c>
      <c r="C83">
        <v>26.9</v>
      </c>
      <c r="E83">
        <v>2.641</v>
      </c>
      <c r="F83">
        <v>-155.9</v>
      </c>
      <c r="G83">
        <v>26.9</v>
      </c>
      <c r="I83">
        <f t="shared" si="3"/>
        <v>2.6</v>
      </c>
      <c r="J83">
        <f t="shared" si="4"/>
        <v>-5.90000000000001</v>
      </c>
      <c r="K83">
        <f t="shared" si="5"/>
        <v>-5.5</v>
      </c>
    </row>
    <row r="84" spans="1:11">
      <c r="A84">
        <v>2.708</v>
      </c>
      <c r="B84">
        <v>-156.1</v>
      </c>
      <c r="C84">
        <v>26.9</v>
      </c>
      <c r="E84">
        <v>2.674</v>
      </c>
      <c r="F84">
        <v>-156</v>
      </c>
      <c r="G84">
        <v>26.9</v>
      </c>
      <c r="I84">
        <f t="shared" si="3"/>
        <v>2.65</v>
      </c>
      <c r="J84">
        <f t="shared" si="4"/>
        <v>-6</v>
      </c>
      <c r="K84">
        <f t="shared" si="5"/>
        <v>-5.5</v>
      </c>
    </row>
    <row r="85" spans="1:11">
      <c r="A85">
        <v>2.741</v>
      </c>
      <c r="B85">
        <v>-156.4</v>
      </c>
      <c r="C85">
        <v>26.7</v>
      </c>
      <c r="E85">
        <v>2.708</v>
      </c>
      <c r="F85">
        <v>-156.1</v>
      </c>
      <c r="G85">
        <v>26.9</v>
      </c>
      <c r="I85">
        <f t="shared" si="3"/>
        <v>2.7</v>
      </c>
      <c r="J85">
        <f t="shared" si="4"/>
        <v>-6.09999999999999</v>
      </c>
      <c r="K85">
        <f t="shared" si="5"/>
        <v>-5.5</v>
      </c>
    </row>
    <row r="86" spans="1:11">
      <c r="A86">
        <v>2.775</v>
      </c>
      <c r="B86">
        <v>-156.5</v>
      </c>
      <c r="C86">
        <v>26.9</v>
      </c>
      <c r="E86">
        <v>2.741</v>
      </c>
      <c r="F86">
        <v>-156.4</v>
      </c>
      <c r="G86">
        <v>26.7</v>
      </c>
      <c r="I86">
        <f t="shared" si="3"/>
        <v>2.7</v>
      </c>
      <c r="J86">
        <f t="shared" si="4"/>
        <v>-6.40000000000001</v>
      </c>
      <c r="K86">
        <f t="shared" si="5"/>
        <v>-5.5</v>
      </c>
    </row>
    <row r="87" spans="1:11">
      <c r="A87">
        <v>2.808</v>
      </c>
      <c r="B87">
        <v>-156.5</v>
      </c>
      <c r="C87">
        <v>26.9</v>
      </c>
      <c r="E87">
        <v>2.775</v>
      </c>
      <c r="F87">
        <v>-156.5</v>
      </c>
      <c r="G87">
        <v>26.9</v>
      </c>
      <c r="I87">
        <f t="shared" si="3"/>
        <v>2.75</v>
      </c>
      <c r="J87">
        <f t="shared" si="4"/>
        <v>-6.5</v>
      </c>
      <c r="K87">
        <f t="shared" si="5"/>
        <v>-5.5</v>
      </c>
    </row>
    <row r="88" spans="1:11">
      <c r="A88">
        <v>2.842</v>
      </c>
      <c r="B88">
        <v>-156.6</v>
      </c>
      <c r="C88">
        <v>26.7</v>
      </c>
      <c r="E88">
        <v>2.808</v>
      </c>
      <c r="F88">
        <v>-156.5</v>
      </c>
      <c r="G88">
        <v>26.9</v>
      </c>
      <c r="I88">
        <f t="shared" si="3"/>
        <v>2.8</v>
      </c>
      <c r="J88">
        <f t="shared" si="4"/>
        <v>-6.5</v>
      </c>
      <c r="K88">
        <f t="shared" si="5"/>
        <v>-5.5</v>
      </c>
    </row>
    <row r="89" spans="1:11">
      <c r="A89">
        <v>2.875</v>
      </c>
      <c r="B89">
        <v>-156.5</v>
      </c>
      <c r="C89">
        <v>27.1</v>
      </c>
      <c r="E89">
        <v>2.842</v>
      </c>
      <c r="F89">
        <v>-156.6</v>
      </c>
      <c r="G89">
        <v>26.7</v>
      </c>
      <c r="I89">
        <f t="shared" si="3"/>
        <v>2.8</v>
      </c>
      <c r="J89">
        <f t="shared" si="4"/>
        <v>-6.59999999999999</v>
      </c>
      <c r="K89">
        <f t="shared" si="5"/>
        <v>-5.5</v>
      </c>
    </row>
    <row r="90" spans="1:11">
      <c r="A90">
        <v>2.908</v>
      </c>
      <c r="B90">
        <v>-156.5</v>
      </c>
      <c r="C90">
        <v>27</v>
      </c>
      <c r="E90">
        <v>2.875</v>
      </c>
      <c r="F90">
        <v>-156.5</v>
      </c>
      <c r="G90">
        <v>27.1</v>
      </c>
      <c r="I90">
        <f t="shared" si="3"/>
        <v>2.85</v>
      </c>
      <c r="J90">
        <f t="shared" si="4"/>
        <v>-6.5</v>
      </c>
      <c r="K90">
        <f t="shared" si="5"/>
        <v>-5.5</v>
      </c>
    </row>
    <row r="91" spans="1:11">
      <c r="A91">
        <v>2.942</v>
      </c>
      <c r="B91">
        <v>-156.5</v>
      </c>
      <c r="C91">
        <v>26.8</v>
      </c>
      <c r="E91">
        <v>2.908</v>
      </c>
      <c r="F91">
        <v>-156.5</v>
      </c>
      <c r="G91">
        <v>27</v>
      </c>
      <c r="I91">
        <f t="shared" si="3"/>
        <v>2.9</v>
      </c>
      <c r="J91">
        <f t="shared" si="4"/>
        <v>-6.5</v>
      </c>
      <c r="K91">
        <f t="shared" si="5"/>
        <v>-5.5</v>
      </c>
    </row>
    <row r="92" spans="1:11">
      <c r="A92">
        <v>2.975</v>
      </c>
      <c r="B92">
        <v>-156.5</v>
      </c>
      <c r="C92">
        <v>27</v>
      </c>
      <c r="E92">
        <v>2.942</v>
      </c>
      <c r="F92">
        <v>-156.5</v>
      </c>
      <c r="G92">
        <v>26.8</v>
      </c>
      <c r="I92">
        <f t="shared" si="3"/>
        <v>2.9</v>
      </c>
      <c r="J92">
        <f t="shared" si="4"/>
        <v>-6.5</v>
      </c>
      <c r="K92">
        <f t="shared" si="5"/>
        <v>-5.5</v>
      </c>
    </row>
    <row r="93" spans="1:11">
      <c r="A93">
        <v>3.009</v>
      </c>
      <c r="B93">
        <v>-156.4</v>
      </c>
      <c r="C93">
        <v>27</v>
      </c>
      <c r="E93">
        <v>2.975</v>
      </c>
      <c r="F93">
        <v>-156.5</v>
      </c>
      <c r="G93">
        <v>27</v>
      </c>
      <c r="I93">
        <f t="shared" si="3"/>
        <v>2.95</v>
      </c>
      <c r="J93">
        <f t="shared" si="4"/>
        <v>-6.5</v>
      </c>
      <c r="K93">
        <f t="shared" si="5"/>
        <v>-5.5</v>
      </c>
    </row>
    <row r="94" spans="1:11">
      <c r="A94">
        <v>3.042</v>
      </c>
      <c r="B94">
        <v>-156.3</v>
      </c>
      <c r="C94">
        <v>26.8</v>
      </c>
      <c r="E94">
        <v>3.009</v>
      </c>
      <c r="F94">
        <v>-156.4</v>
      </c>
      <c r="G94">
        <v>27</v>
      </c>
      <c r="I94">
        <f t="shared" si="3"/>
        <v>3</v>
      </c>
      <c r="J94">
        <f t="shared" si="4"/>
        <v>-6.40000000000001</v>
      </c>
      <c r="K94">
        <f t="shared" si="5"/>
        <v>-5.5</v>
      </c>
    </row>
    <row r="95" spans="1:11">
      <c r="A95">
        <v>3.076</v>
      </c>
      <c r="B95">
        <v>-156.3</v>
      </c>
      <c r="C95">
        <v>27.1</v>
      </c>
      <c r="E95">
        <v>3.042</v>
      </c>
      <c r="F95">
        <v>-156.3</v>
      </c>
      <c r="G95">
        <v>26.8</v>
      </c>
      <c r="I95">
        <f t="shared" si="3"/>
        <v>3</v>
      </c>
      <c r="J95">
        <f t="shared" si="4"/>
        <v>-6.30000000000001</v>
      </c>
      <c r="K95">
        <f t="shared" si="5"/>
        <v>-5.5</v>
      </c>
    </row>
    <row r="96" spans="1:11">
      <c r="A96">
        <v>3.109</v>
      </c>
      <c r="B96">
        <v>-156.2</v>
      </c>
      <c r="C96">
        <v>27</v>
      </c>
      <c r="E96">
        <v>3.076</v>
      </c>
      <c r="F96">
        <v>-156.3</v>
      </c>
      <c r="G96">
        <v>27.1</v>
      </c>
      <c r="I96">
        <f t="shared" si="3"/>
        <v>3.05</v>
      </c>
      <c r="J96">
        <f t="shared" si="4"/>
        <v>-6.30000000000001</v>
      </c>
      <c r="K96">
        <f t="shared" si="5"/>
        <v>-5.5</v>
      </c>
    </row>
    <row r="97" spans="1:11">
      <c r="A97">
        <v>3.143</v>
      </c>
      <c r="B97">
        <v>-156.1</v>
      </c>
      <c r="C97">
        <v>26.9</v>
      </c>
      <c r="E97">
        <v>3.109</v>
      </c>
      <c r="F97">
        <v>-156.2</v>
      </c>
      <c r="G97">
        <v>27</v>
      </c>
      <c r="I97">
        <f t="shared" si="3"/>
        <v>3.1</v>
      </c>
      <c r="J97">
        <f t="shared" si="4"/>
        <v>-6.19999999999999</v>
      </c>
      <c r="K97">
        <f t="shared" si="5"/>
        <v>-5.5</v>
      </c>
    </row>
    <row r="98" spans="1:11">
      <c r="A98">
        <v>3.176</v>
      </c>
      <c r="B98">
        <v>-156</v>
      </c>
      <c r="C98">
        <v>26.9</v>
      </c>
      <c r="E98">
        <v>3.143</v>
      </c>
      <c r="F98">
        <v>-156.1</v>
      </c>
      <c r="G98">
        <v>26.9</v>
      </c>
      <c r="I98">
        <f t="shared" si="3"/>
        <v>3.1</v>
      </c>
      <c r="J98">
        <f t="shared" si="4"/>
        <v>-6.09999999999999</v>
      </c>
      <c r="K98">
        <f t="shared" si="5"/>
        <v>-5.5</v>
      </c>
    </row>
    <row r="99" spans="1:11">
      <c r="A99">
        <v>3.209</v>
      </c>
      <c r="B99">
        <v>-156</v>
      </c>
      <c r="C99">
        <v>26.9</v>
      </c>
      <c r="E99">
        <v>3.176</v>
      </c>
      <c r="F99">
        <v>-156</v>
      </c>
      <c r="G99">
        <v>26.9</v>
      </c>
      <c r="I99">
        <f t="shared" si="3"/>
        <v>3.15</v>
      </c>
      <c r="J99">
        <f t="shared" si="4"/>
        <v>-6</v>
      </c>
      <c r="K99">
        <f t="shared" si="5"/>
        <v>-5.5</v>
      </c>
    </row>
    <row r="100" spans="1:11">
      <c r="A100">
        <v>3.243</v>
      </c>
      <c r="B100">
        <v>-155.5</v>
      </c>
      <c r="C100">
        <v>26.8</v>
      </c>
      <c r="E100">
        <v>3.209</v>
      </c>
      <c r="F100">
        <v>-156</v>
      </c>
      <c r="G100">
        <v>26.9</v>
      </c>
      <c r="I100">
        <f t="shared" si="3"/>
        <v>3.2</v>
      </c>
      <c r="J100">
        <f t="shared" si="4"/>
        <v>-6</v>
      </c>
      <c r="K100">
        <f t="shared" si="5"/>
        <v>-5.5</v>
      </c>
    </row>
    <row r="101" spans="1:11">
      <c r="A101">
        <v>3.276</v>
      </c>
      <c r="B101">
        <v>-155.2</v>
      </c>
      <c r="C101">
        <v>26.6</v>
      </c>
      <c r="E101">
        <v>3.243</v>
      </c>
      <c r="F101">
        <v>-155.5</v>
      </c>
      <c r="G101">
        <v>26.8</v>
      </c>
      <c r="I101">
        <f t="shared" si="3"/>
        <v>3.2</v>
      </c>
      <c r="J101">
        <f t="shared" si="4"/>
        <v>-5.5</v>
      </c>
      <c r="K101">
        <f t="shared" si="5"/>
        <v>-5.5</v>
      </c>
    </row>
    <row r="102" spans="1:11">
      <c r="A102">
        <v>3.31</v>
      </c>
      <c r="B102">
        <v>-155.1</v>
      </c>
      <c r="C102">
        <v>27.1</v>
      </c>
      <c r="E102">
        <v>3.276</v>
      </c>
      <c r="F102">
        <v>-155.2</v>
      </c>
      <c r="G102">
        <v>26.6</v>
      </c>
      <c r="I102">
        <f t="shared" si="3"/>
        <v>3.25</v>
      </c>
      <c r="J102">
        <f t="shared" si="4"/>
        <v>-5.19999999999999</v>
      </c>
      <c r="K102">
        <f t="shared" si="5"/>
        <v>-5.5</v>
      </c>
    </row>
    <row r="103" spans="1:11">
      <c r="A103">
        <v>3.343</v>
      </c>
      <c r="B103">
        <v>-154.9</v>
      </c>
      <c r="C103">
        <v>26.9</v>
      </c>
      <c r="E103">
        <v>3.31</v>
      </c>
      <c r="F103">
        <v>-155.1</v>
      </c>
      <c r="G103">
        <v>27.1</v>
      </c>
      <c r="I103">
        <f t="shared" si="3"/>
        <v>3.3</v>
      </c>
      <c r="J103">
        <f t="shared" si="4"/>
        <v>-5.09999999999999</v>
      </c>
      <c r="K103">
        <f t="shared" si="5"/>
        <v>-5.5</v>
      </c>
    </row>
    <row r="104" spans="1:11">
      <c r="A104">
        <v>3.377</v>
      </c>
      <c r="B104">
        <v>-154.5</v>
      </c>
      <c r="C104">
        <v>26.9</v>
      </c>
      <c r="E104">
        <v>3.343</v>
      </c>
      <c r="F104">
        <v>-154.9</v>
      </c>
      <c r="G104">
        <v>26.9</v>
      </c>
      <c r="I104">
        <f t="shared" si="3"/>
        <v>3.3</v>
      </c>
      <c r="J104">
        <f t="shared" si="4"/>
        <v>-4.90000000000001</v>
      </c>
      <c r="K104">
        <f t="shared" si="5"/>
        <v>-5.5</v>
      </c>
    </row>
    <row r="105" spans="1:11">
      <c r="A105">
        <v>3.41</v>
      </c>
      <c r="B105">
        <v>-154.2</v>
      </c>
      <c r="C105">
        <v>27</v>
      </c>
      <c r="E105">
        <v>3.377</v>
      </c>
      <c r="F105">
        <v>-154.5</v>
      </c>
      <c r="G105">
        <v>26.9</v>
      </c>
      <c r="I105">
        <f t="shared" si="3"/>
        <v>3.35</v>
      </c>
      <c r="J105">
        <f t="shared" si="4"/>
        <v>-4.5</v>
      </c>
      <c r="K105">
        <f t="shared" si="5"/>
        <v>-5.5</v>
      </c>
    </row>
    <row r="106" spans="1:11">
      <c r="A106">
        <v>3.443</v>
      </c>
      <c r="B106">
        <v>-154.1</v>
      </c>
      <c r="C106">
        <v>27.2</v>
      </c>
      <c r="E106">
        <v>3.41</v>
      </c>
      <c r="F106">
        <v>-154.2</v>
      </c>
      <c r="G106">
        <v>27</v>
      </c>
      <c r="I106">
        <f t="shared" si="3"/>
        <v>3.4</v>
      </c>
      <c r="J106">
        <f t="shared" si="4"/>
        <v>-4.19999999999999</v>
      </c>
      <c r="K106">
        <f t="shared" si="5"/>
        <v>-5.5</v>
      </c>
    </row>
    <row r="107" spans="1:11">
      <c r="A107">
        <v>3.477</v>
      </c>
      <c r="B107">
        <v>-154.1</v>
      </c>
      <c r="C107">
        <v>27</v>
      </c>
      <c r="E107">
        <v>3.443</v>
      </c>
      <c r="F107">
        <v>-154.1</v>
      </c>
      <c r="G107">
        <v>27.2</v>
      </c>
      <c r="I107">
        <f t="shared" si="3"/>
        <v>3.4</v>
      </c>
      <c r="J107">
        <f t="shared" si="4"/>
        <v>-4.09999999999999</v>
      </c>
      <c r="K107">
        <f t="shared" si="5"/>
        <v>-5.5</v>
      </c>
    </row>
    <row r="108" spans="1:11">
      <c r="A108">
        <v>3.51</v>
      </c>
      <c r="B108">
        <v>-154.1</v>
      </c>
      <c r="C108">
        <v>27.2</v>
      </c>
      <c r="E108">
        <v>3.477</v>
      </c>
      <c r="F108">
        <v>-154.1</v>
      </c>
      <c r="G108">
        <v>27</v>
      </c>
      <c r="I108">
        <f t="shared" si="3"/>
        <v>3.45</v>
      </c>
      <c r="J108">
        <f t="shared" si="4"/>
        <v>-4.09999999999999</v>
      </c>
      <c r="K108">
        <f t="shared" si="5"/>
        <v>-5.5</v>
      </c>
    </row>
    <row r="109" spans="1:11">
      <c r="A109">
        <v>3.544</v>
      </c>
      <c r="B109">
        <v>-154.1</v>
      </c>
      <c r="C109">
        <v>27.2</v>
      </c>
      <c r="E109">
        <v>3.51</v>
      </c>
      <c r="F109">
        <v>-154.1</v>
      </c>
      <c r="G109">
        <v>27.2</v>
      </c>
      <c r="I109">
        <f t="shared" si="3"/>
        <v>3.5</v>
      </c>
      <c r="J109">
        <f t="shared" si="4"/>
        <v>-4.09999999999999</v>
      </c>
      <c r="K109">
        <f t="shared" si="5"/>
        <v>-5.5</v>
      </c>
    </row>
    <row r="110" spans="1:11">
      <c r="A110">
        <v>3.577</v>
      </c>
      <c r="B110">
        <v>-154.1</v>
      </c>
      <c r="C110">
        <v>27.2</v>
      </c>
      <c r="E110">
        <v>3.544</v>
      </c>
      <c r="F110">
        <v>-154.1</v>
      </c>
      <c r="G110">
        <v>27.2</v>
      </c>
      <c r="I110">
        <f t="shared" si="3"/>
        <v>3.5</v>
      </c>
      <c r="J110">
        <f t="shared" si="4"/>
        <v>-4.09999999999999</v>
      </c>
      <c r="K110">
        <f t="shared" si="5"/>
        <v>-5.5</v>
      </c>
    </row>
    <row r="111" spans="1:11">
      <c r="A111">
        <v>3.611</v>
      </c>
      <c r="B111">
        <v>-154.2</v>
      </c>
      <c r="C111">
        <v>27.2</v>
      </c>
      <c r="E111">
        <v>3.577</v>
      </c>
      <c r="F111">
        <v>-154.1</v>
      </c>
      <c r="G111">
        <v>27.2</v>
      </c>
      <c r="I111">
        <f t="shared" si="3"/>
        <v>3.55</v>
      </c>
      <c r="J111">
        <f t="shared" si="4"/>
        <v>-4.09999999999999</v>
      </c>
      <c r="K111">
        <f t="shared" si="5"/>
        <v>-5.5</v>
      </c>
    </row>
    <row r="112" spans="1:11">
      <c r="A112">
        <v>3.644</v>
      </c>
      <c r="B112">
        <v>-154.3</v>
      </c>
      <c r="C112">
        <v>27.1</v>
      </c>
      <c r="E112">
        <v>3.611</v>
      </c>
      <c r="F112">
        <v>-154.2</v>
      </c>
      <c r="G112">
        <v>27.2</v>
      </c>
      <c r="I112">
        <f t="shared" si="3"/>
        <v>3.6</v>
      </c>
      <c r="J112">
        <f t="shared" si="4"/>
        <v>-4.19999999999999</v>
      </c>
      <c r="K112">
        <f t="shared" si="5"/>
        <v>-5.5</v>
      </c>
    </row>
    <row r="113" spans="1:11">
      <c r="A113">
        <v>3.677</v>
      </c>
      <c r="B113">
        <v>-154.3</v>
      </c>
      <c r="C113">
        <v>26.8</v>
      </c>
      <c r="E113">
        <v>3.644</v>
      </c>
      <c r="F113">
        <v>-154.3</v>
      </c>
      <c r="G113">
        <v>27.1</v>
      </c>
      <c r="I113">
        <f t="shared" si="3"/>
        <v>3.6</v>
      </c>
      <c r="J113">
        <f t="shared" si="4"/>
        <v>-4.30000000000001</v>
      </c>
      <c r="K113">
        <f t="shared" si="5"/>
        <v>-5.5</v>
      </c>
    </row>
    <row r="114" spans="1:11">
      <c r="A114">
        <v>3.711</v>
      </c>
      <c r="B114">
        <v>-154.4</v>
      </c>
      <c r="C114">
        <v>27</v>
      </c>
      <c r="E114">
        <v>3.677</v>
      </c>
      <c r="F114">
        <v>-154.3</v>
      </c>
      <c r="G114">
        <v>26.8</v>
      </c>
      <c r="I114">
        <f t="shared" si="3"/>
        <v>3.65</v>
      </c>
      <c r="J114">
        <f t="shared" si="4"/>
        <v>-4.30000000000001</v>
      </c>
      <c r="K114">
        <f t="shared" si="5"/>
        <v>-5.5</v>
      </c>
    </row>
    <row r="115" spans="1:11">
      <c r="A115">
        <v>3.744</v>
      </c>
      <c r="B115">
        <v>-154.4</v>
      </c>
      <c r="C115">
        <v>26.6</v>
      </c>
      <c r="E115">
        <v>3.711</v>
      </c>
      <c r="F115">
        <v>-154.4</v>
      </c>
      <c r="G115">
        <v>27</v>
      </c>
      <c r="I115">
        <f t="shared" si="3"/>
        <v>3.7</v>
      </c>
      <c r="J115">
        <f t="shared" si="4"/>
        <v>-4.40000000000001</v>
      </c>
      <c r="K115">
        <f t="shared" si="5"/>
        <v>-5.5</v>
      </c>
    </row>
    <row r="116" spans="1:11">
      <c r="A116">
        <v>3.778</v>
      </c>
      <c r="B116">
        <v>-154.5</v>
      </c>
      <c r="C116">
        <v>26.9</v>
      </c>
      <c r="E116">
        <v>3.744</v>
      </c>
      <c r="F116">
        <v>-154.4</v>
      </c>
      <c r="G116">
        <v>26.6</v>
      </c>
      <c r="I116">
        <f t="shared" si="3"/>
        <v>3.7</v>
      </c>
      <c r="J116">
        <f t="shared" si="4"/>
        <v>-4.40000000000001</v>
      </c>
      <c r="K116">
        <f t="shared" si="5"/>
        <v>-5.5</v>
      </c>
    </row>
    <row r="117" spans="1:11">
      <c r="A117">
        <v>3.811</v>
      </c>
      <c r="B117">
        <v>-154.6</v>
      </c>
      <c r="C117">
        <v>26.9</v>
      </c>
      <c r="E117">
        <v>3.778</v>
      </c>
      <c r="F117">
        <v>-154.5</v>
      </c>
      <c r="G117">
        <v>26.9</v>
      </c>
      <c r="I117">
        <f t="shared" si="3"/>
        <v>3.75</v>
      </c>
      <c r="J117">
        <f t="shared" si="4"/>
        <v>-4.5</v>
      </c>
      <c r="K117">
        <f t="shared" si="5"/>
        <v>-5.5</v>
      </c>
    </row>
    <row r="118" spans="1:11">
      <c r="A118">
        <v>3.845</v>
      </c>
      <c r="B118">
        <v>-154.7</v>
      </c>
      <c r="C118">
        <v>27.3</v>
      </c>
      <c r="E118">
        <v>3.811</v>
      </c>
      <c r="F118">
        <v>-154.6</v>
      </c>
      <c r="G118">
        <v>26.9</v>
      </c>
      <c r="I118">
        <f t="shared" si="3"/>
        <v>3.8</v>
      </c>
      <c r="J118">
        <f t="shared" si="4"/>
        <v>-4.59999999999999</v>
      </c>
      <c r="K118">
        <f t="shared" si="5"/>
        <v>-5.5</v>
      </c>
    </row>
    <row r="119" spans="1:11">
      <c r="A119">
        <v>3.878</v>
      </c>
      <c r="B119">
        <v>-154.7</v>
      </c>
      <c r="C119">
        <v>27.3</v>
      </c>
      <c r="E119">
        <v>3.845</v>
      </c>
      <c r="F119">
        <v>-154.7</v>
      </c>
      <c r="G119">
        <v>27.3</v>
      </c>
      <c r="I119">
        <f t="shared" si="3"/>
        <v>3.8</v>
      </c>
      <c r="J119">
        <f t="shared" si="4"/>
        <v>-4.69999999999999</v>
      </c>
      <c r="K119">
        <f t="shared" si="5"/>
        <v>-5.5</v>
      </c>
    </row>
    <row r="120" spans="1:11">
      <c r="A120">
        <v>3.911</v>
      </c>
      <c r="B120">
        <v>-154.8</v>
      </c>
      <c r="C120">
        <v>27.5</v>
      </c>
      <c r="E120">
        <v>3.878</v>
      </c>
      <c r="F120">
        <v>-154.7</v>
      </c>
      <c r="G120">
        <v>27.3</v>
      </c>
      <c r="I120">
        <f t="shared" si="3"/>
        <v>3.85</v>
      </c>
      <c r="J120">
        <f t="shared" si="4"/>
        <v>-4.69999999999999</v>
      </c>
      <c r="K120">
        <f t="shared" si="5"/>
        <v>-5.5</v>
      </c>
    </row>
    <row r="121" spans="1:11">
      <c r="A121">
        <v>3.945</v>
      </c>
      <c r="B121">
        <v>-154.8</v>
      </c>
      <c r="C121">
        <v>27.6</v>
      </c>
      <c r="E121">
        <v>3.911</v>
      </c>
      <c r="F121">
        <v>-154.8</v>
      </c>
      <c r="G121">
        <v>27.5</v>
      </c>
      <c r="I121">
        <f t="shared" si="3"/>
        <v>3.9</v>
      </c>
      <c r="J121">
        <f t="shared" si="4"/>
        <v>-4.80000000000001</v>
      </c>
      <c r="K121">
        <f t="shared" si="5"/>
        <v>-5.5</v>
      </c>
    </row>
    <row r="122" spans="1:11">
      <c r="A122">
        <v>3.978</v>
      </c>
      <c r="B122">
        <v>-154.9</v>
      </c>
      <c r="C122">
        <v>27.2</v>
      </c>
      <c r="E122">
        <v>3.945</v>
      </c>
      <c r="F122">
        <v>-154.8</v>
      </c>
      <c r="G122">
        <v>27.6</v>
      </c>
      <c r="I122">
        <f t="shared" si="3"/>
        <v>3.9</v>
      </c>
      <c r="J122">
        <f t="shared" si="4"/>
        <v>-4.80000000000001</v>
      </c>
      <c r="K122">
        <f t="shared" si="5"/>
        <v>-5.5</v>
      </c>
    </row>
    <row r="123" spans="1:11">
      <c r="A123">
        <v>4.012</v>
      </c>
      <c r="B123">
        <v>-155</v>
      </c>
      <c r="C123">
        <v>27</v>
      </c>
      <c r="E123">
        <v>3.978</v>
      </c>
      <c r="F123">
        <v>-154.9</v>
      </c>
      <c r="G123">
        <v>27.2</v>
      </c>
      <c r="I123">
        <f t="shared" si="3"/>
        <v>3.95</v>
      </c>
      <c r="J123">
        <f t="shared" si="4"/>
        <v>-4.90000000000001</v>
      </c>
      <c r="K123">
        <f t="shared" si="5"/>
        <v>-5.5</v>
      </c>
    </row>
    <row r="124" spans="1:11">
      <c r="A124">
        <v>4.045</v>
      </c>
      <c r="B124">
        <v>-155</v>
      </c>
      <c r="C124">
        <v>26.8</v>
      </c>
      <c r="E124">
        <v>4.012</v>
      </c>
      <c r="F124">
        <v>-155</v>
      </c>
      <c r="G124">
        <v>27</v>
      </c>
      <c r="I124">
        <f t="shared" si="3"/>
        <v>4</v>
      </c>
      <c r="J124">
        <f t="shared" si="4"/>
        <v>-5</v>
      </c>
      <c r="K124">
        <f t="shared" si="5"/>
        <v>-5.5</v>
      </c>
    </row>
    <row r="125" spans="1:11">
      <c r="A125">
        <v>4.079</v>
      </c>
      <c r="B125">
        <v>-155.5</v>
      </c>
      <c r="C125">
        <v>26.8</v>
      </c>
      <c r="E125">
        <v>4.045</v>
      </c>
      <c r="F125">
        <v>-155</v>
      </c>
      <c r="G125">
        <v>26.8</v>
      </c>
      <c r="I125">
        <f t="shared" si="3"/>
        <v>4</v>
      </c>
      <c r="J125">
        <f t="shared" si="4"/>
        <v>-5</v>
      </c>
      <c r="K125">
        <f t="shared" si="5"/>
        <v>-5.5</v>
      </c>
    </row>
    <row r="126" spans="1:11">
      <c r="A126">
        <v>4.112</v>
      </c>
      <c r="B126">
        <v>-155.8</v>
      </c>
      <c r="C126">
        <v>26.6</v>
      </c>
      <c r="E126">
        <v>4.079</v>
      </c>
      <c r="F126">
        <v>-155.5</v>
      </c>
      <c r="G126">
        <v>26.8</v>
      </c>
      <c r="I126">
        <f t="shared" si="3"/>
        <v>4.05</v>
      </c>
      <c r="J126">
        <f t="shared" si="4"/>
        <v>-5.5</v>
      </c>
      <c r="K126">
        <f t="shared" si="5"/>
        <v>-5.5</v>
      </c>
    </row>
    <row r="127" spans="1:11">
      <c r="A127">
        <v>4.145</v>
      </c>
      <c r="B127">
        <v>-155.9</v>
      </c>
      <c r="C127">
        <v>26.6</v>
      </c>
      <c r="E127">
        <v>4.112</v>
      </c>
      <c r="F127">
        <v>-155.8</v>
      </c>
      <c r="G127">
        <v>26.6</v>
      </c>
      <c r="I127">
        <f t="shared" si="3"/>
        <v>4.1</v>
      </c>
      <c r="J127">
        <f t="shared" si="4"/>
        <v>-5.80000000000001</v>
      </c>
      <c r="K127">
        <f t="shared" si="5"/>
        <v>-5.5</v>
      </c>
    </row>
    <row r="128" spans="1:11">
      <c r="A128">
        <v>4.179</v>
      </c>
      <c r="B128">
        <v>-156</v>
      </c>
      <c r="C128">
        <v>26.5</v>
      </c>
      <c r="E128">
        <v>4.145</v>
      </c>
      <c r="F128">
        <v>-155.9</v>
      </c>
      <c r="G128">
        <v>26.6</v>
      </c>
      <c r="I128">
        <f t="shared" si="3"/>
        <v>4.1</v>
      </c>
      <c r="J128">
        <f t="shared" si="4"/>
        <v>-5.90000000000001</v>
      </c>
      <c r="K128">
        <f t="shared" si="5"/>
        <v>-5.5</v>
      </c>
    </row>
    <row r="129" spans="1:11">
      <c r="A129">
        <v>4.212</v>
      </c>
      <c r="B129">
        <v>-156</v>
      </c>
      <c r="C129">
        <v>27.6</v>
      </c>
      <c r="E129">
        <v>4.179</v>
      </c>
      <c r="F129">
        <v>-156</v>
      </c>
      <c r="G129">
        <v>26.5</v>
      </c>
      <c r="I129">
        <f t="shared" si="3"/>
        <v>4.15</v>
      </c>
      <c r="J129">
        <f t="shared" si="4"/>
        <v>-6</v>
      </c>
      <c r="K129">
        <f t="shared" si="5"/>
        <v>-5.5</v>
      </c>
    </row>
    <row r="130" spans="1:11">
      <c r="A130">
        <v>4.246</v>
      </c>
      <c r="B130">
        <v>-156.4</v>
      </c>
      <c r="C130">
        <v>26.6</v>
      </c>
      <c r="E130">
        <v>4.212</v>
      </c>
      <c r="F130">
        <v>-156</v>
      </c>
      <c r="G130">
        <v>27.6</v>
      </c>
      <c r="I130">
        <f t="shared" si="3"/>
        <v>4.2</v>
      </c>
      <c r="J130">
        <f t="shared" si="4"/>
        <v>-6</v>
      </c>
      <c r="K130">
        <f t="shared" si="5"/>
        <v>-5.5</v>
      </c>
    </row>
    <row r="131" spans="1:11">
      <c r="A131">
        <v>4.279</v>
      </c>
      <c r="B131">
        <v>-156.5</v>
      </c>
      <c r="C131">
        <v>26.9</v>
      </c>
      <c r="E131">
        <v>4.246</v>
      </c>
      <c r="F131">
        <v>-156.4</v>
      </c>
      <c r="G131">
        <v>26.6</v>
      </c>
      <c r="I131">
        <f t="shared" si="3"/>
        <v>4.2</v>
      </c>
      <c r="J131">
        <f t="shared" si="4"/>
        <v>-6.40000000000001</v>
      </c>
      <c r="K131">
        <f t="shared" si="5"/>
        <v>-5.5</v>
      </c>
    </row>
    <row r="132" spans="1:11">
      <c r="A132">
        <v>4.313</v>
      </c>
      <c r="B132">
        <v>-156.6</v>
      </c>
      <c r="C132">
        <v>26.9</v>
      </c>
      <c r="E132">
        <v>4.279</v>
      </c>
      <c r="F132">
        <v>-156.5</v>
      </c>
      <c r="G132">
        <v>26.9</v>
      </c>
      <c r="I132">
        <f t="shared" ref="I132:I192" si="6">FLOOR(E132,0.05)</f>
        <v>4.25</v>
      </c>
      <c r="J132">
        <f t="shared" si="4"/>
        <v>-6.5</v>
      </c>
      <c r="K132">
        <f t="shared" si="5"/>
        <v>-5.5</v>
      </c>
    </row>
    <row r="133" spans="1:11">
      <c r="A133">
        <v>4.346</v>
      </c>
      <c r="B133">
        <v>-156.6</v>
      </c>
      <c r="C133">
        <v>26.9</v>
      </c>
      <c r="E133">
        <v>4.313</v>
      </c>
      <c r="F133">
        <v>-156.6</v>
      </c>
      <c r="G133">
        <v>26.9</v>
      </c>
      <c r="I133">
        <f t="shared" si="6"/>
        <v>4.3</v>
      </c>
      <c r="J133">
        <f t="shared" ref="J133:J196" si="7">F133+150</f>
        <v>-6.59999999999999</v>
      </c>
      <c r="K133">
        <f t="shared" ref="K133:K196" si="8">IF(G133&lt;230,-5.5,5)</f>
        <v>-5.5</v>
      </c>
    </row>
    <row r="134" spans="1:11">
      <c r="A134">
        <v>4.379</v>
      </c>
      <c r="B134">
        <v>-156.6</v>
      </c>
      <c r="C134">
        <v>26.9</v>
      </c>
      <c r="E134">
        <v>4.346</v>
      </c>
      <c r="F134">
        <v>-156.6</v>
      </c>
      <c r="G134">
        <v>26.9</v>
      </c>
      <c r="I134">
        <f t="shared" si="6"/>
        <v>4.3</v>
      </c>
      <c r="J134">
        <f t="shared" si="7"/>
        <v>-6.59999999999999</v>
      </c>
      <c r="K134">
        <f t="shared" si="8"/>
        <v>-5.5</v>
      </c>
    </row>
    <row r="135" spans="1:11">
      <c r="A135">
        <v>4.413</v>
      </c>
      <c r="B135">
        <v>-156.5</v>
      </c>
      <c r="C135">
        <v>26.9</v>
      </c>
      <c r="E135">
        <v>4.379</v>
      </c>
      <c r="F135">
        <v>-156.6</v>
      </c>
      <c r="G135">
        <v>26.9</v>
      </c>
      <c r="I135">
        <f t="shared" si="6"/>
        <v>4.35</v>
      </c>
      <c r="J135">
        <f t="shared" si="7"/>
        <v>-6.59999999999999</v>
      </c>
      <c r="K135">
        <f t="shared" si="8"/>
        <v>-5.5</v>
      </c>
    </row>
    <row r="136" spans="1:11">
      <c r="A136">
        <v>4.446</v>
      </c>
      <c r="B136">
        <v>-156.5</v>
      </c>
      <c r="C136">
        <v>26.7</v>
      </c>
      <c r="E136">
        <v>4.413</v>
      </c>
      <c r="F136">
        <v>-156.5</v>
      </c>
      <c r="G136">
        <v>26.9</v>
      </c>
      <c r="I136">
        <f t="shared" si="6"/>
        <v>4.4</v>
      </c>
      <c r="J136">
        <f t="shared" si="7"/>
        <v>-6.5</v>
      </c>
      <c r="K136">
        <f t="shared" si="8"/>
        <v>-5.5</v>
      </c>
    </row>
    <row r="137" spans="1:11">
      <c r="A137">
        <v>4.48</v>
      </c>
      <c r="B137">
        <v>-156.5</v>
      </c>
      <c r="C137">
        <v>26.9</v>
      </c>
      <c r="E137">
        <v>4.446</v>
      </c>
      <c r="F137">
        <v>-156.5</v>
      </c>
      <c r="G137">
        <v>26.7</v>
      </c>
      <c r="I137">
        <f t="shared" si="6"/>
        <v>4.4</v>
      </c>
      <c r="J137">
        <f t="shared" si="7"/>
        <v>-6.5</v>
      </c>
      <c r="K137">
        <f t="shared" si="8"/>
        <v>-5.5</v>
      </c>
    </row>
    <row r="138" spans="1:11">
      <c r="A138">
        <v>4.513</v>
      </c>
      <c r="B138">
        <v>-156.4</v>
      </c>
      <c r="C138">
        <v>26.9</v>
      </c>
      <c r="E138">
        <v>4.48</v>
      </c>
      <c r="F138">
        <v>-156.5</v>
      </c>
      <c r="G138">
        <v>26.9</v>
      </c>
      <c r="I138">
        <f t="shared" si="6"/>
        <v>4.45</v>
      </c>
      <c r="J138">
        <f t="shared" si="7"/>
        <v>-6.5</v>
      </c>
      <c r="K138">
        <f t="shared" si="8"/>
        <v>-5.5</v>
      </c>
    </row>
    <row r="139" spans="1:11">
      <c r="A139">
        <v>4.547</v>
      </c>
      <c r="B139">
        <v>-156.3</v>
      </c>
      <c r="C139">
        <v>26.7</v>
      </c>
      <c r="E139">
        <v>4.513</v>
      </c>
      <c r="F139">
        <v>-156.4</v>
      </c>
      <c r="G139">
        <v>26.9</v>
      </c>
      <c r="I139">
        <f t="shared" si="6"/>
        <v>4.5</v>
      </c>
      <c r="J139">
        <f t="shared" si="7"/>
        <v>-6.40000000000001</v>
      </c>
      <c r="K139">
        <f t="shared" si="8"/>
        <v>-5.5</v>
      </c>
    </row>
    <row r="140" spans="1:11">
      <c r="A140">
        <v>4.58</v>
      </c>
      <c r="B140">
        <v>-156.3</v>
      </c>
      <c r="C140">
        <v>26.7</v>
      </c>
      <c r="E140">
        <v>4.547</v>
      </c>
      <c r="F140">
        <v>-156.3</v>
      </c>
      <c r="G140">
        <v>26.7</v>
      </c>
      <c r="I140">
        <f t="shared" si="6"/>
        <v>4.5</v>
      </c>
      <c r="J140">
        <f t="shared" si="7"/>
        <v>-6.30000000000001</v>
      </c>
      <c r="K140">
        <f t="shared" si="8"/>
        <v>-5.5</v>
      </c>
    </row>
    <row r="141" spans="1:11">
      <c r="A141">
        <v>4.613</v>
      </c>
      <c r="B141">
        <v>-156.2</v>
      </c>
      <c r="C141">
        <v>27</v>
      </c>
      <c r="E141">
        <v>4.58</v>
      </c>
      <c r="F141">
        <v>-156.3</v>
      </c>
      <c r="G141">
        <v>26.7</v>
      </c>
      <c r="I141">
        <f t="shared" si="6"/>
        <v>4.55</v>
      </c>
      <c r="J141">
        <f t="shared" si="7"/>
        <v>-6.30000000000001</v>
      </c>
      <c r="K141">
        <f t="shared" si="8"/>
        <v>-5.5</v>
      </c>
    </row>
    <row r="142" spans="1:11">
      <c r="A142">
        <v>4.647</v>
      </c>
      <c r="B142">
        <v>-156.1</v>
      </c>
      <c r="C142">
        <v>27.1</v>
      </c>
      <c r="E142">
        <v>4.613</v>
      </c>
      <c r="F142">
        <v>-156.2</v>
      </c>
      <c r="G142">
        <v>27</v>
      </c>
      <c r="I142">
        <f t="shared" si="6"/>
        <v>4.6</v>
      </c>
      <c r="J142">
        <f t="shared" si="7"/>
        <v>-6.19999999999999</v>
      </c>
      <c r="K142">
        <f t="shared" si="8"/>
        <v>-5.5</v>
      </c>
    </row>
    <row r="143" spans="1:11">
      <c r="A143">
        <v>4.68</v>
      </c>
      <c r="B143">
        <v>-156</v>
      </c>
      <c r="C143">
        <v>26.8</v>
      </c>
      <c r="E143">
        <v>4.647</v>
      </c>
      <c r="F143">
        <v>-156.1</v>
      </c>
      <c r="G143">
        <v>27.1</v>
      </c>
      <c r="I143">
        <f t="shared" si="6"/>
        <v>4.6</v>
      </c>
      <c r="J143">
        <f t="shared" si="7"/>
        <v>-6.09999999999999</v>
      </c>
      <c r="K143">
        <f t="shared" si="8"/>
        <v>-5.5</v>
      </c>
    </row>
    <row r="144" spans="1:11">
      <c r="A144">
        <v>4.714</v>
      </c>
      <c r="B144">
        <v>-155.9</v>
      </c>
      <c r="C144">
        <v>27</v>
      </c>
      <c r="E144">
        <v>4.68</v>
      </c>
      <c r="F144">
        <v>-156</v>
      </c>
      <c r="G144">
        <v>26.8</v>
      </c>
      <c r="I144">
        <f t="shared" si="6"/>
        <v>4.65</v>
      </c>
      <c r="J144">
        <f t="shared" si="7"/>
        <v>-6</v>
      </c>
      <c r="K144">
        <f t="shared" si="8"/>
        <v>-5.5</v>
      </c>
    </row>
    <row r="145" spans="1:11">
      <c r="A145">
        <v>4.747</v>
      </c>
      <c r="B145">
        <v>-155.5</v>
      </c>
      <c r="C145">
        <v>26.6</v>
      </c>
      <c r="E145">
        <v>4.714</v>
      </c>
      <c r="F145">
        <v>-155.9</v>
      </c>
      <c r="G145">
        <v>27</v>
      </c>
      <c r="I145">
        <f t="shared" si="6"/>
        <v>4.7</v>
      </c>
      <c r="J145">
        <f t="shared" si="7"/>
        <v>-5.90000000000001</v>
      </c>
      <c r="K145">
        <f t="shared" si="8"/>
        <v>-5.5</v>
      </c>
    </row>
    <row r="146" spans="1:11">
      <c r="A146">
        <v>4.781</v>
      </c>
      <c r="B146">
        <v>-155.2</v>
      </c>
      <c r="C146">
        <v>26.6</v>
      </c>
      <c r="E146">
        <v>4.747</v>
      </c>
      <c r="F146">
        <v>-155.5</v>
      </c>
      <c r="G146">
        <v>26.6</v>
      </c>
      <c r="I146">
        <f t="shared" si="6"/>
        <v>4.7</v>
      </c>
      <c r="J146">
        <f t="shared" si="7"/>
        <v>-5.5</v>
      </c>
      <c r="K146">
        <f t="shared" si="8"/>
        <v>-5.5</v>
      </c>
    </row>
    <row r="147" spans="1:11">
      <c r="A147">
        <v>4.814</v>
      </c>
      <c r="B147">
        <v>-155.1</v>
      </c>
      <c r="C147">
        <v>26.6</v>
      </c>
      <c r="E147">
        <v>4.781</v>
      </c>
      <c r="F147">
        <v>-155.2</v>
      </c>
      <c r="G147">
        <v>26.6</v>
      </c>
      <c r="I147">
        <f t="shared" si="6"/>
        <v>4.75</v>
      </c>
      <c r="J147">
        <f t="shared" si="7"/>
        <v>-5.19999999999999</v>
      </c>
      <c r="K147">
        <f t="shared" si="8"/>
        <v>-5.5</v>
      </c>
    </row>
    <row r="148" spans="1:11">
      <c r="A148">
        <v>4.847</v>
      </c>
      <c r="B148">
        <v>-155</v>
      </c>
      <c r="C148">
        <v>27.4</v>
      </c>
      <c r="E148">
        <v>4.814</v>
      </c>
      <c r="F148">
        <v>-155.1</v>
      </c>
      <c r="G148">
        <v>26.6</v>
      </c>
      <c r="I148">
        <f t="shared" si="6"/>
        <v>4.8</v>
      </c>
      <c r="J148">
        <f t="shared" si="7"/>
        <v>-5.09999999999999</v>
      </c>
      <c r="K148">
        <f t="shared" si="8"/>
        <v>-5.5</v>
      </c>
    </row>
    <row r="149" spans="1:11">
      <c r="A149">
        <v>4.881</v>
      </c>
      <c r="B149">
        <v>-154.9</v>
      </c>
      <c r="C149">
        <v>26.6</v>
      </c>
      <c r="E149">
        <v>4.847</v>
      </c>
      <c r="F149">
        <v>-155</v>
      </c>
      <c r="G149">
        <v>27.4</v>
      </c>
      <c r="I149">
        <f t="shared" si="6"/>
        <v>4.8</v>
      </c>
      <c r="J149">
        <f t="shared" si="7"/>
        <v>-5</v>
      </c>
      <c r="K149">
        <f t="shared" si="8"/>
        <v>-5.5</v>
      </c>
    </row>
    <row r="150" spans="1:11">
      <c r="A150">
        <v>4.914</v>
      </c>
      <c r="B150">
        <v>-154.5</v>
      </c>
      <c r="C150">
        <v>26.9</v>
      </c>
      <c r="E150">
        <v>4.881</v>
      </c>
      <c r="F150">
        <v>-154.9</v>
      </c>
      <c r="G150">
        <v>26.6</v>
      </c>
      <c r="I150">
        <f t="shared" si="6"/>
        <v>4.85</v>
      </c>
      <c r="J150">
        <f t="shared" si="7"/>
        <v>-4.90000000000001</v>
      </c>
      <c r="K150">
        <f t="shared" si="8"/>
        <v>-5.5</v>
      </c>
    </row>
    <row r="151" spans="1:11">
      <c r="A151">
        <v>4.948</v>
      </c>
      <c r="B151">
        <v>-154.3</v>
      </c>
      <c r="C151">
        <v>26.4</v>
      </c>
      <c r="E151">
        <v>4.914</v>
      </c>
      <c r="F151">
        <v>-154.5</v>
      </c>
      <c r="G151">
        <v>26.9</v>
      </c>
      <c r="I151">
        <f t="shared" si="6"/>
        <v>4.9</v>
      </c>
      <c r="J151">
        <f t="shared" si="7"/>
        <v>-4.5</v>
      </c>
      <c r="K151">
        <f t="shared" si="8"/>
        <v>-5.5</v>
      </c>
    </row>
    <row r="152" spans="1:11">
      <c r="A152">
        <v>4.981</v>
      </c>
      <c r="B152">
        <v>-154.2</v>
      </c>
      <c r="C152">
        <v>27.2</v>
      </c>
      <c r="E152">
        <v>4.948</v>
      </c>
      <c r="F152">
        <v>-154.3</v>
      </c>
      <c r="G152">
        <v>26.4</v>
      </c>
      <c r="I152">
        <f t="shared" si="6"/>
        <v>4.9</v>
      </c>
      <c r="J152">
        <f t="shared" si="7"/>
        <v>-4.30000000000001</v>
      </c>
      <c r="K152">
        <f t="shared" si="8"/>
        <v>-5.5</v>
      </c>
    </row>
    <row r="153" spans="1:11">
      <c r="A153">
        <v>5.015</v>
      </c>
      <c r="B153">
        <v>-154.1</v>
      </c>
      <c r="C153">
        <v>27.2</v>
      </c>
      <c r="E153">
        <v>4.981</v>
      </c>
      <c r="F153">
        <v>-154.2</v>
      </c>
      <c r="G153">
        <v>27.2</v>
      </c>
      <c r="I153">
        <f t="shared" si="6"/>
        <v>4.95</v>
      </c>
      <c r="J153">
        <f t="shared" si="7"/>
        <v>-4.19999999999999</v>
      </c>
      <c r="K153">
        <f t="shared" si="8"/>
        <v>-5.5</v>
      </c>
    </row>
    <row r="154" spans="1:11">
      <c r="A154">
        <v>5.048</v>
      </c>
      <c r="B154">
        <v>-154.1</v>
      </c>
      <c r="C154">
        <v>27.1</v>
      </c>
      <c r="E154">
        <v>5.015</v>
      </c>
      <c r="F154">
        <v>-154.1</v>
      </c>
      <c r="G154">
        <v>27.2</v>
      </c>
      <c r="I154">
        <f t="shared" si="6"/>
        <v>5</v>
      </c>
      <c r="J154">
        <f t="shared" si="7"/>
        <v>-4.09999999999999</v>
      </c>
      <c r="K154">
        <f t="shared" si="8"/>
        <v>-5.5</v>
      </c>
    </row>
    <row r="155" spans="1:11">
      <c r="A155">
        <v>5.081</v>
      </c>
      <c r="B155">
        <v>-154.1</v>
      </c>
      <c r="C155">
        <v>27</v>
      </c>
      <c r="E155">
        <v>5.048</v>
      </c>
      <c r="F155">
        <v>-154.1</v>
      </c>
      <c r="G155">
        <v>27.1</v>
      </c>
      <c r="I155">
        <f t="shared" si="6"/>
        <v>5</v>
      </c>
      <c r="J155">
        <f t="shared" si="7"/>
        <v>-4.09999999999999</v>
      </c>
      <c r="K155">
        <f t="shared" si="8"/>
        <v>-5.5</v>
      </c>
    </row>
    <row r="156" spans="1:11">
      <c r="A156">
        <v>5.115</v>
      </c>
      <c r="B156">
        <v>-154.2</v>
      </c>
      <c r="C156">
        <v>27.2</v>
      </c>
      <c r="E156">
        <v>5.081</v>
      </c>
      <c r="F156">
        <v>-154.1</v>
      </c>
      <c r="G156">
        <v>27</v>
      </c>
      <c r="I156">
        <f t="shared" si="6"/>
        <v>5.05</v>
      </c>
      <c r="J156">
        <f t="shared" si="7"/>
        <v>-4.09999999999999</v>
      </c>
      <c r="K156">
        <f t="shared" si="8"/>
        <v>-5.5</v>
      </c>
    </row>
    <row r="157" spans="1:11">
      <c r="A157">
        <v>5.148</v>
      </c>
      <c r="B157">
        <v>-154.2</v>
      </c>
      <c r="C157">
        <v>26.8</v>
      </c>
      <c r="E157">
        <v>5.115</v>
      </c>
      <c r="F157">
        <v>-154.2</v>
      </c>
      <c r="G157">
        <v>27.2</v>
      </c>
      <c r="I157">
        <f t="shared" si="6"/>
        <v>5.1</v>
      </c>
      <c r="J157">
        <f t="shared" si="7"/>
        <v>-4.19999999999999</v>
      </c>
      <c r="K157">
        <f t="shared" si="8"/>
        <v>-5.5</v>
      </c>
    </row>
    <row r="158" spans="1:11">
      <c r="A158">
        <v>5.182</v>
      </c>
      <c r="B158">
        <v>-154.3</v>
      </c>
      <c r="C158">
        <v>26.8</v>
      </c>
      <c r="E158">
        <v>5.148</v>
      </c>
      <c r="F158">
        <v>-154.2</v>
      </c>
      <c r="G158">
        <v>26.8</v>
      </c>
      <c r="I158">
        <f t="shared" si="6"/>
        <v>5.1</v>
      </c>
      <c r="J158">
        <f t="shared" si="7"/>
        <v>-4.19999999999999</v>
      </c>
      <c r="K158">
        <f t="shared" si="8"/>
        <v>-5.5</v>
      </c>
    </row>
    <row r="159" spans="1:11">
      <c r="A159">
        <v>5.215</v>
      </c>
      <c r="B159">
        <v>-154.3</v>
      </c>
      <c r="C159">
        <v>26.6</v>
      </c>
      <c r="E159">
        <v>5.182</v>
      </c>
      <c r="F159">
        <v>-154.3</v>
      </c>
      <c r="G159">
        <v>26.8</v>
      </c>
      <c r="I159">
        <f t="shared" si="6"/>
        <v>5.15</v>
      </c>
      <c r="J159">
        <f t="shared" si="7"/>
        <v>-4.30000000000001</v>
      </c>
      <c r="K159">
        <f t="shared" si="8"/>
        <v>-5.5</v>
      </c>
    </row>
    <row r="160" spans="1:11">
      <c r="A160">
        <v>5.249</v>
      </c>
      <c r="B160">
        <v>-154.4</v>
      </c>
      <c r="C160">
        <v>27.1</v>
      </c>
      <c r="E160">
        <v>5.215</v>
      </c>
      <c r="F160">
        <v>-154.3</v>
      </c>
      <c r="G160">
        <v>26.6</v>
      </c>
      <c r="I160">
        <f t="shared" si="6"/>
        <v>5.2</v>
      </c>
      <c r="J160">
        <f t="shared" si="7"/>
        <v>-4.30000000000001</v>
      </c>
      <c r="K160">
        <f t="shared" si="8"/>
        <v>-5.5</v>
      </c>
    </row>
    <row r="161" spans="1:11">
      <c r="A161">
        <v>5.282</v>
      </c>
      <c r="B161">
        <v>-154.5</v>
      </c>
      <c r="C161">
        <v>27.3</v>
      </c>
      <c r="E161">
        <v>5.249</v>
      </c>
      <c r="F161">
        <v>-154.4</v>
      </c>
      <c r="G161">
        <v>27.1</v>
      </c>
      <c r="I161">
        <f t="shared" si="6"/>
        <v>5.2</v>
      </c>
      <c r="J161">
        <f t="shared" si="7"/>
        <v>-4.40000000000001</v>
      </c>
      <c r="K161">
        <f t="shared" si="8"/>
        <v>-5.5</v>
      </c>
    </row>
    <row r="162" spans="1:11">
      <c r="A162">
        <v>5.316</v>
      </c>
      <c r="B162">
        <v>-154.5</v>
      </c>
      <c r="C162">
        <v>26.8</v>
      </c>
      <c r="E162">
        <v>5.282</v>
      </c>
      <c r="F162">
        <v>-154.5</v>
      </c>
      <c r="G162">
        <v>27.3</v>
      </c>
      <c r="I162">
        <f t="shared" si="6"/>
        <v>5.25</v>
      </c>
      <c r="J162">
        <f t="shared" si="7"/>
        <v>-4.5</v>
      </c>
      <c r="K162">
        <f t="shared" si="8"/>
        <v>-5.5</v>
      </c>
    </row>
    <row r="163" spans="1:11">
      <c r="A163">
        <v>5.349</v>
      </c>
      <c r="B163">
        <v>-154.6</v>
      </c>
      <c r="C163">
        <v>238.2</v>
      </c>
      <c r="E163">
        <v>5.316</v>
      </c>
      <c r="F163">
        <v>-154.5</v>
      </c>
      <c r="G163">
        <v>26.8</v>
      </c>
      <c r="I163">
        <f t="shared" si="6"/>
        <v>5.3</v>
      </c>
      <c r="J163">
        <f t="shared" si="7"/>
        <v>-4.5</v>
      </c>
      <c r="K163">
        <f t="shared" si="8"/>
        <v>-5.5</v>
      </c>
    </row>
    <row r="164" spans="1:11">
      <c r="A164">
        <v>5.382</v>
      </c>
      <c r="B164">
        <v>-154.7</v>
      </c>
      <c r="C164">
        <v>238.2</v>
      </c>
      <c r="E164">
        <v>5.349</v>
      </c>
      <c r="F164">
        <v>-154.6</v>
      </c>
      <c r="G164">
        <v>238.2</v>
      </c>
      <c r="I164">
        <f t="shared" si="6"/>
        <v>5.3</v>
      </c>
      <c r="J164">
        <f t="shared" si="7"/>
        <v>-4.59999999999999</v>
      </c>
      <c r="K164">
        <f t="shared" si="8"/>
        <v>5</v>
      </c>
    </row>
    <row r="165" spans="1:11">
      <c r="A165">
        <v>5.416</v>
      </c>
      <c r="B165">
        <v>-154.8</v>
      </c>
      <c r="C165">
        <v>238.2</v>
      </c>
      <c r="E165">
        <v>5.382</v>
      </c>
      <c r="F165">
        <v>-154.7</v>
      </c>
      <c r="G165">
        <v>238.2</v>
      </c>
      <c r="I165">
        <f t="shared" si="6"/>
        <v>5.35</v>
      </c>
      <c r="J165">
        <f t="shared" si="7"/>
        <v>-4.69999999999999</v>
      </c>
      <c r="K165">
        <f t="shared" si="8"/>
        <v>5</v>
      </c>
    </row>
    <row r="166" spans="1:11">
      <c r="A166">
        <v>5.449</v>
      </c>
      <c r="B166">
        <v>-154.8</v>
      </c>
      <c r="C166">
        <v>238.2</v>
      </c>
      <c r="E166">
        <v>5.416</v>
      </c>
      <c r="F166">
        <v>-154.8</v>
      </c>
      <c r="G166">
        <v>238.2</v>
      </c>
      <c r="I166">
        <f t="shared" si="6"/>
        <v>5.4</v>
      </c>
      <c r="J166">
        <f t="shared" si="7"/>
        <v>-4.80000000000001</v>
      </c>
      <c r="K166">
        <f t="shared" si="8"/>
        <v>5</v>
      </c>
    </row>
    <row r="167" spans="1:11">
      <c r="A167">
        <v>5.483</v>
      </c>
      <c r="B167">
        <v>-154.9</v>
      </c>
      <c r="C167">
        <v>238.2</v>
      </c>
      <c r="E167">
        <v>5.449</v>
      </c>
      <c r="F167">
        <v>-154.8</v>
      </c>
      <c r="G167">
        <v>238.2</v>
      </c>
      <c r="I167">
        <f t="shared" si="6"/>
        <v>5.4</v>
      </c>
      <c r="J167">
        <f t="shared" si="7"/>
        <v>-4.80000000000001</v>
      </c>
      <c r="K167">
        <f t="shared" si="8"/>
        <v>5</v>
      </c>
    </row>
    <row r="168" spans="1:11">
      <c r="A168">
        <v>5.516</v>
      </c>
      <c r="B168">
        <v>-154.9</v>
      </c>
      <c r="C168">
        <v>238.2</v>
      </c>
      <c r="E168">
        <v>5.483</v>
      </c>
      <c r="F168">
        <v>-154.9</v>
      </c>
      <c r="G168">
        <v>238.2</v>
      </c>
      <c r="I168">
        <f t="shared" si="6"/>
        <v>5.45</v>
      </c>
      <c r="J168">
        <f t="shared" si="7"/>
        <v>-4.90000000000001</v>
      </c>
      <c r="K168">
        <f t="shared" si="8"/>
        <v>5</v>
      </c>
    </row>
    <row r="169" spans="1:11">
      <c r="A169">
        <v>5.55</v>
      </c>
      <c r="B169">
        <v>-154.9</v>
      </c>
      <c r="C169">
        <v>238.2</v>
      </c>
      <c r="E169">
        <v>5.516</v>
      </c>
      <c r="F169">
        <v>-154.9</v>
      </c>
      <c r="G169">
        <v>238.2</v>
      </c>
      <c r="I169">
        <f t="shared" si="6"/>
        <v>5.5</v>
      </c>
      <c r="J169">
        <f t="shared" si="7"/>
        <v>-4.90000000000001</v>
      </c>
      <c r="K169">
        <f t="shared" si="8"/>
        <v>5</v>
      </c>
    </row>
    <row r="170" spans="1:11">
      <c r="A170">
        <v>5.583</v>
      </c>
      <c r="B170">
        <v>-154.9</v>
      </c>
      <c r="C170">
        <v>238.2</v>
      </c>
      <c r="E170">
        <v>5.55</v>
      </c>
      <c r="F170">
        <v>-154.9</v>
      </c>
      <c r="G170">
        <v>238.2</v>
      </c>
      <c r="I170">
        <f t="shared" si="6"/>
        <v>5.55</v>
      </c>
      <c r="J170">
        <f t="shared" si="7"/>
        <v>-4.90000000000001</v>
      </c>
      <c r="K170">
        <f t="shared" si="8"/>
        <v>5</v>
      </c>
    </row>
    <row r="171" spans="1:11">
      <c r="A171">
        <v>5.616</v>
      </c>
      <c r="B171">
        <v>-154.9</v>
      </c>
      <c r="C171">
        <v>238.2</v>
      </c>
      <c r="E171">
        <v>5.583</v>
      </c>
      <c r="F171">
        <v>-154.9</v>
      </c>
      <c r="G171">
        <v>238.2</v>
      </c>
      <c r="I171">
        <f t="shared" si="6"/>
        <v>5.55</v>
      </c>
      <c r="J171">
        <f t="shared" si="7"/>
        <v>-4.90000000000001</v>
      </c>
      <c r="K171">
        <f t="shared" si="8"/>
        <v>5</v>
      </c>
    </row>
    <row r="172" spans="1:11">
      <c r="A172">
        <v>5.65</v>
      </c>
      <c r="B172">
        <v>-154.9</v>
      </c>
      <c r="C172">
        <v>238.2</v>
      </c>
      <c r="E172">
        <v>5.616</v>
      </c>
      <c r="F172">
        <v>-154.9</v>
      </c>
      <c r="G172">
        <v>238.2</v>
      </c>
      <c r="I172">
        <f t="shared" si="6"/>
        <v>5.6</v>
      </c>
      <c r="J172">
        <f t="shared" si="7"/>
        <v>-4.90000000000001</v>
      </c>
      <c r="K172">
        <f t="shared" si="8"/>
        <v>5</v>
      </c>
    </row>
    <row r="173" spans="1:11">
      <c r="A173">
        <v>5.683</v>
      </c>
      <c r="B173">
        <v>-154.8</v>
      </c>
      <c r="C173">
        <v>238.2</v>
      </c>
      <c r="E173">
        <v>5.65</v>
      </c>
      <c r="F173">
        <v>-154.9</v>
      </c>
      <c r="G173">
        <v>238.2</v>
      </c>
      <c r="I173">
        <f t="shared" si="6"/>
        <v>5.65</v>
      </c>
      <c r="J173">
        <f t="shared" si="7"/>
        <v>-4.90000000000001</v>
      </c>
      <c r="K173">
        <f t="shared" si="8"/>
        <v>5</v>
      </c>
    </row>
    <row r="174" spans="1:11">
      <c r="A174">
        <v>5.717</v>
      </c>
      <c r="B174">
        <v>-154.8</v>
      </c>
      <c r="C174">
        <v>238.2</v>
      </c>
      <c r="E174">
        <v>5.683</v>
      </c>
      <c r="F174">
        <v>-154.8</v>
      </c>
      <c r="G174">
        <v>238.2</v>
      </c>
      <c r="I174">
        <f t="shared" si="6"/>
        <v>5.65</v>
      </c>
      <c r="J174">
        <f t="shared" si="7"/>
        <v>-4.80000000000001</v>
      </c>
      <c r="K174">
        <f t="shared" si="8"/>
        <v>5</v>
      </c>
    </row>
    <row r="175" spans="1:11">
      <c r="A175">
        <v>5.75</v>
      </c>
      <c r="B175">
        <v>-154.7</v>
      </c>
      <c r="C175">
        <v>238.2</v>
      </c>
      <c r="E175">
        <v>5.717</v>
      </c>
      <c r="F175">
        <v>-154.8</v>
      </c>
      <c r="G175">
        <v>238.2</v>
      </c>
      <c r="I175">
        <f t="shared" si="6"/>
        <v>5.7</v>
      </c>
      <c r="J175">
        <f t="shared" si="7"/>
        <v>-4.80000000000001</v>
      </c>
      <c r="K175">
        <f t="shared" si="8"/>
        <v>5</v>
      </c>
    </row>
    <row r="176" spans="1:11">
      <c r="A176">
        <v>5.784</v>
      </c>
      <c r="B176">
        <v>-154.7</v>
      </c>
      <c r="C176">
        <v>238.2</v>
      </c>
      <c r="E176">
        <v>5.75</v>
      </c>
      <c r="F176">
        <v>-154.7</v>
      </c>
      <c r="G176">
        <v>238.2</v>
      </c>
      <c r="I176">
        <f t="shared" si="6"/>
        <v>5.75</v>
      </c>
      <c r="J176">
        <f t="shared" si="7"/>
        <v>-4.69999999999999</v>
      </c>
      <c r="K176">
        <f t="shared" si="8"/>
        <v>5</v>
      </c>
    </row>
    <row r="177" spans="1:11">
      <c r="A177">
        <v>5.817</v>
      </c>
      <c r="B177">
        <v>-154.6</v>
      </c>
      <c r="C177">
        <v>238.2</v>
      </c>
      <c r="E177">
        <v>5.784</v>
      </c>
      <c r="F177">
        <v>-154.7</v>
      </c>
      <c r="G177">
        <v>238.2</v>
      </c>
      <c r="I177">
        <f t="shared" si="6"/>
        <v>5.75</v>
      </c>
      <c r="J177">
        <f t="shared" si="7"/>
        <v>-4.69999999999999</v>
      </c>
      <c r="K177">
        <f t="shared" si="8"/>
        <v>5</v>
      </c>
    </row>
    <row r="178" spans="1:11">
      <c r="A178">
        <v>5.85</v>
      </c>
      <c r="B178">
        <v>-154.5</v>
      </c>
      <c r="C178">
        <v>238.2</v>
      </c>
      <c r="E178">
        <v>5.817</v>
      </c>
      <c r="F178">
        <v>-154.6</v>
      </c>
      <c r="G178">
        <v>238.2</v>
      </c>
      <c r="I178">
        <f t="shared" si="6"/>
        <v>5.8</v>
      </c>
      <c r="J178">
        <f t="shared" si="7"/>
        <v>-4.59999999999999</v>
      </c>
      <c r="K178">
        <f t="shared" si="8"/>
        <v>5</v>
      </c>
    </row>
    <row r="179" spans="1:11">
      <c r="A179">
        <v>5.884</v>
      </c>
      <c r="B179">
        <v>-154.5</v>
      </c>
      <c r="C179">
        <v>238.2</v>
      </c>
      <c r="E179">
        <v>5.85</v>
      </c>
      <c r="F179">
        <v>-154.5</v>
      </c>
      <c r="G179">
        <v>238.2</v>
      </c>
      <c r="I179">
        <f t="shared" si="6"/>
        <v>5.85</v>
      </c>
      <c r="J179">
        <f t="shared" si="7"/>
        <v>-4.5</v>
      </c>
      <c r="K179">
        <f t="shared" si="8"/>
        <v>5</v>
      </c>
    </row>
    <row r="180" spans="1:11">
      <c r="A180">
        <v>5.917</v>
      </c>
      <c r="B180">
        <v>-154.4</v>
      </c>
      <c r="C180">
        <v>238.2</v>
      </c>
      <c r="E180">
        <v>5.884</v>
      </c>
      <c r="F180">
        <v>-154.5</v>
      </c>
      <c r="G180">
        <v>238.2</v>
      </c>
      <c r="I180">
        <f t="shared" si="6"/>
        <v>5.85</v>
      </c>
      <c r="J180">
        <f t="shared" si="7"/>
        <v>-4.5</v>
      </c>
      <c r="K180">
        <f t="shared" si="8"/>
        <v>5</v>
      </c>
    </row>
    <row r="181" spans="1:11">
      <c r="A181">
        <v>5.951</v>
      </c>
      <c r="B181">
        <v>-154.3</v>
      </c>
      <c r="C181">
        <v>238.2</v>
      </c>
      <c r="E181">
        <v>5.917</v>
      </c>
      <c r="F181">
        <v>-154.4</v>
      </c>
      <c r="G181">
        <v>238.2</v>
      </c>
      <c r="I181">
        <f t="shared" si="6"/>
        <v>5.9</v>
      </c>
      <c r="J181">
        <f t="shared" si="7"/>
        <v>-4.40000000000001</v>
      </c>
      <c r="K181">
        <f t="shared" si="8"/>
        <v>5</v>
      </c>
    </row>
    <row r="182" spans="1:11">
      <c r="A182">
        <v>5.984</v>
      </c>
      <c r="B182">
        <v>-154.2</v>
      </c>
      <c r="C182">
        <v>238.2</v>
      </c>
      <c r="E182">
        <v>5.951</v>
      </c>
      <c r="F182">
        <v>-154.3</v>
      </c>
      <c r="G182">
        <v>238.2</v>
      </c>
      <c r="I182">
        <f t="shared" si="6"/>
        <v>5.95</v>
      </c>
      <c r="J182">
        <f t="shared" si="7"/>
        <v>-4.30000000000001</v>
      </c>
      <c r="K182">
        <f t="shared" si="8"/>
        <v>5</v>
      </c>
    </row>
    <row r="183" spans="1:11">
      <c r="A183">
        <v>6.018</v>
      </c>
      <c r="B183">
        <v>-154.1</v>
      </c>
      <c r="C183">
        <v>238.4</v>
      </c>
      <c r="E183">
        <v>5.984</v>
      </c>
      <c r="F183">
        <v>-154.2</v>
      </c>
      <c r="G183">
        <v>238.2</v>
      </c>
      <c r="I183">
        <f t="shared" si="6"/>
        <v>5.95</v>
      </c>
      <c r="J183">
        <f t="shared" si="7"/>
        <v>-4.19999999999999</v>
      </c>
      <c r="K183">
        <f t="shared" si="8"/>
        <v>5</v>
      </c>
    </row>
    <row r="184" spans="1:11">
      <c r="A184">
        <v>6.051</v>
      </c>
      <c r="B184">
        <v>-154.1</v>
      </c>
      <c r="C184">
        <v>238.4</v>
      </c>
      <c r="E184">
        <v>6.018</v>
      </c>
      <c r="F184">
        <v>-154.1</v>
      </c>
      <c r="G184">
        <v>238.4</v>
      </c>
      <c r="I184">
        <f t="shared" si="6"/>
        <v>6</v>
      </c>
      <c r="J184">
        <f t="shared" si="7"/>
        <v>-4.09999999999999</v>
      </c>
      <c r="K184">
        <f t="shared" si="8"/>
        <v>5</v>
      </c>
    </row>
    <row r="185" spans="1:11">
      <c r="A185">
        <v>6.084</v>
      </c>
      <c r="B185">
        <v>-154</v>
      </c>
      <c r="C185">
        <v>238.4</v>
      </c>
      <c r="E185">
        <v>6.051</v>
      </c>
      <c r="F185">
        <v>-154.1</v>
      </c>
      <c r="G185">
        <v>238.4</v>
      </c>
      <c r="I185">
        <f t="shared" si="6"/>
        <v>6.05</v>
      </c>
      <c r="J185">
        <f t="shared" si="7"/>
        <v>-4.09999999999999</v>
      </c>
      <c r="K185">
        <f t="shared" si="8"/>
        <v>5</v>
      </c>
    </row>
    <row r="186" spans="1:11">
      <c r="A186">
        <v>6.118</v>
      </c>
      <c r="B186">
        <v>-153.4</v>
      </c>
      <c r="C186">
        <v>238.4</v>
      </c>
      <c r="E186">
        <v>6.084</v>
      </c>
      <c r="F186">
        <v>-154</v>
      </c>
      <c r="G186">
        <v>238.4</v>
      </c>
      <c r="I186">
        <f t="shared" si="6"/>
        <v>6.05</v>
      </c>
      <c r="J186">
        <f t="shared" si="7"/>
        <v>-4</v>
      </c>
      <c r="K186">
        <f t="shared" si="8"/>
        <v>5</v>
      </c>
    </row>
    <row r="187" spans="1:11">
      <c r="A187">
        <v>6.151</v>
      </c>
      <c r="B187">
        <v>-153.2</v>
      </c>
      <c r="C187">
        <v>238.4</v>
      </c>
      <c r="E187">
        <v>6.118</v>
      </c>
      <c r="F187">
        <v>-153.4</v>
      </c>
      <c r="G187">
        <v>238.4</v>
      </c>
      <c r="I187">
        <f t="shared" si="6"/>
        <v>6.1</v>
      </c>
      <c r="J187">
        <f t="shared" si="7"/>
        <v>-3.40000000000001</v>
      </c>
      <c r="K187">
        <f t="shared" si="8"/>
        <v>5</v>
      </c>
    </row>
    <row r="188" spans="1:11">
      <c r="A188">
        <v>6.185</v>
      </c>
      <c r="B188">
        <v>-153.1</v>
      </c>
      <c r="C188">
        <v>28.3</v>
      </c>
      <c r="E188">
        <v>6.151</v>
      </c>
      <c r="F188">
        <v>-153.2</v>
      </c>
      <c r="G188">
        <v>238.4</v>
      </c>
      <c r="I188">
        <f t="shared" si="6"/>
        <v>6.15</v>
      </c>
      <c r="J188">
        <f t="shared" si="7"/>
        <v>-3.19999999999999</v>
      </c>
      <c r="K188">
        <f t="shared" si="8"/>
        <v>5</v>
      </c>
    </row>
    <row r="189" spans="1:11">
      <c r="A189">
        <v>6.218</v>
      </c>
      <c r="B189">
        <v>-152.9</v>
      </c>
      <c r="C189">
        <v>27.6</v>
      </c>
      <c r="E189">
        <v>6.185</v>
      </c>
      <c r="F189">
        <v>-153.1</v>
      </c>
      <c r="G189">
        <v>28.3</v>
      </c>
      <c r="I189">
        <f t="shared" si="6"/>
        <v>6.15</v>
      </c>
      <c r="J189">
        <f t="shared" si="7"/>
        <v>-3.09999999999999</v>
      </c>
      <c r="K189">
        <f t="shared" si="8"/>
        <v>-5.5</v>
      </c>
    </row>
    <row r="190" spans="1:11">
      <c r="A190">
        <v>6.252</v>
      </c>
      <c r="B190">
        <v>-152.5</v>
      </c>
      <c r="C190">
        <v>27.1</v>
      </c>
      <c r="E190">
        <v>6.218</v>
      </c>
      <c r="F190">
        <v>-152.9</v>
      </c>
      <c r="G190">
        <v>27.6</v>
      </c>
      <c r="I190">
        <f t="shared" si="6"/>
        <v>6.2</v>
      </c>
      <c r="J190">
        <f t="shared" si="7"/>
        <v>-2.90000000000001</v>
      </c>
      <c r="K190">
        <f t="shared" si="8"/>
        <v>-5.5</v>
      </c>
    </row>
    <row r="191" spans="1:11">
      <c r="A191">
        <v>6.285</v>
      </c>
      <c r="B191">
        <v>-152.3</v>
      </c>
      <c r="C191">
        <v>26.8</v>
      </c>
      <c r="E191">
        <v>6.252</v>
      </c>
      <c r="F191">
        <v>-152.5</v>
      </c>
      <c r="G191">
        <v>27.1</v>
      </c>
      <c r="I191">
        <f t="shared" si="6"/>
        <v>6.25</v>
      </c>
      <c r="J191">
        <f t="shared" si="7"/>
        <v>-2.5</v>
      </c>
      <c r="K191">
        <f t="shared" si="8"/>
        <v>-5.5</v>
      </c>
    </row>
    <row r="192" spans="1:11">
      <c r="A192">
        <v>6.318</v>
      </c>
      <c r="B192">
        <v>-152.2</v>
      </c>
      <c r="C192">
        <v>26.9</v>
      </c>
      <c r="E192">
        <v>6.285</v>
      </c>
      <c r="F192">
        <v>-152.3</v>
      </c>
      <c r="G192">
        <v>26.8</v>
      </c>
      <c r="I192">
        <f t="shared" si="6"/>
        <v>6.25</v>
      </c>
      <c r="J192">
        <f t="shared" si="7"/>
        <v>-2.30000000000001</v>
      </c>
      <c r="K192">
        <f t="shared" si="8"/>
        <v>-5.5</v>
      </c>
    </row>
    <row r="193" spans="1:11">
      <c r="A193">
        <v>6.352</v>
      </c>
      <c r="B193">
        <v>-152.2</v>
      </c>
      <c r="C193">
        <v>26.8</v>
      </c>
      <c r="E193">
        <v>6.318</v>
      </c>
      <c r="F193">
        <v>-152.2</v>
      </c>
      <c r="G193">
        <v>26.9</v>
      </c>
      <c r="I193">
        <f t="shared" ref="I193:I256" si="9">FLOOR(E193,0.05)</f>
        <v>6.3</v>
      </c>
      <c r="J193">
        <f t="shared" si="7"/>
        <v>-2.19999999999999</v>
      </c>
      <c r="K193">
        <f t="shared" si="8"/>
        <v>-5.5</v>
      </c>
    </row>
    <row r="194" spans="1:11">
      <c r="A194">
        <v>6.385</v>
      </c>
      <c r="B194">
        <v>-152.3</v>
      </c>
      <c r="C194">
        <v>26.8</v>
      </c>
      <c r="E194">
        <v>6.352</v>
      </c>
      <c r="F194">
        <v>-152.2</v>
      </c>
      <c r="G194">
        <v>26.8</v>
      </c>
      <c r="I194">
        <f t="shared" si="9"/>
        <v>6.35</v>
      </c>
      <c r="J194">
        <f t="shared" si="7"/>
        <v>-2.19999999999999</v>
      </c>
      <c r="K194">
        <f t="shared" si="8"/>
        <v>-5.5</v>
      </c>
    </row>
    <row r="195" spans="1:11">
      <c r="A195">
        <v>6.419</v>
      </c>
      <c r="B195">
        <v>-152.3</v>
      </c>
      <c r="C195">
        <v>26.9</v>
      </c>
      <c r="E195">
        <v>6.385</v>
      </c>
      <c r="F195">
        <v>-152.3</v>
      </c>
      <c r="G195">
        <v>26.8</v>
      </c>
      <c r="I195">
        <f t="shared" si="9"/>
        <v>6.35</v>
      </c>
      <c r="J195">
        <f t="shared" si="7"/>
        <v>-2.30000000000001</v>
      </c>
      <c r="K195">
        <f t="shared" si="8"/>
        <v>-5.5</v>
      </c>
    </row>
    <row r="196" spans="1:11">
      <c r="A196">
        <v>6.452</v>
      </c>
      <c r="B196">
        <v>-152.4</v>
      </c>
      <c r="C196">
        <v>26.9</v>
      </c>
      <c r="E196">
        <v>6.419</v>
      </c>
      <c r="F196">
        <v>-152.3</v>
      </c>
      <c r="G196">
        <v>26.9</v>
      </c>
      <c r="I196">
        <f t="shared" si="9"/>
        <v>6.4</v>
      </c>
      <c r="J196">
        <f t="shared" si="7"/>
        <v>-2.30000000000001</v>
      </c>
      <c r="K196">
        <f t="shared" si="8"/>
        <v>-5.5</v>
      </c>
    </row>
    <row r="197" spans="1:11">
      <c r="A197">
        <v>6.486</v>
      </c>
      <c r="B197">
        <v>-152.5</v>
      </c>
      <c r="C197">
        <v>26.9</v>
      </c>
      <c r="E197">
        <v>6.452</v>
      </c>
      <c r="F197">
        <v>-152.4</v>
      </c>
      <c r="G197">
        <v>26.9</v>
      </c>
      <c r="I197">
        <f t="shared" si="9"/>
        <v>6.45</v>
      </c>
      <c r="J197">
        <f t="shared" ref="J197:J260" si="10">F197+150</f>
        <v>-2.40000000000001</v>
      </c>
      <c r="K197">
        <f t="shared" ref="K197:K260" si="11">IF(G197&lt;230,-5.5,5)</f>
        <v>-5.5</v>
      </c>
    </row>
    <row r="198" spans="1:11">
      <c r="A198">
        <v>6.519</v>
      </c>
      <c r="B198">
        <v>-152.6</v>
      </c>
      <c r="C198">
        <v>26.7</v>
      </c>
      <c r="E198">
        <v>6.486</v>
      </c>
      <c r="F198">
        <v>-152.5</v>
      </c>
      <c r="G198">
        <v>26.9</v>
      </c>
      <c r="I198">
        <f t="shared" si="9"/>
        <v>6.45</v>
      </c>
      <c r="J198">
        <f t="shared" si="10"/>
        <v>-2.5</v>
      </c>
      <c r="K198">
        <f t="shared" si="11"/>
        <v>-5.5</v>
      </c>
    </row>
    <row r="199" spans="1:11">
      <c r="A199">
        <v>6.552</v>
      </c>
      <c r="B199">
        <v>-152.7</v>
      </c>
      <c r="C199">
        <v>27.1</v>
      </c>
      <c r="E199">
        <v>6.519</v>
      </c>
      <c r="F199">
        <v>-152.6</v>
      </c>
      <c r="G199">
        <v>26.7</v>
      </c>
      <c r="I199">
        <f t="shared" si="9"/>
        <v>6.5</v>
      </c>
      <c r="J199">
        <f t="shared" si="10"/>
        <v>-2.59999999999999</v>
      </c>
      <c r="K199">
        <f t="shared" si="11"/>
        <v>-5.5</v>
      </c>
    </row>
    <row r="200" spans="1:11">
      <c r="A200">
        <v>6.586</v>
      </c>
      <c r="B200">
        <v>-152.8</v>
      </c>
      <c r="C200">
        <v>26.9</v>
      </c>
      <c r="E200">
        <v>6.552</v>
      </c>
      <c r="F200">
        <v>-152.7</v>
      </c>
      <c r="G200">
        <v>27.1</v>
      </c>
      <c r="I200">
        <f t="shared" si="9"/>
        <v>6.55</v>
      </c>
      <c r="J200">
        <f t="shared" si="10"/>
        <v>-2.69999999999999</v>
      </c>
      <c r="K200">
        <f t="shared" si="11"/>
        <v>-5.5</v>
      </c>
    </row>
    <row r="201" spans="1:11">
      <c r="A201">
        <v>6.619</v>
      </c>
      <c r="B201">
        <v>-152.9</v>
      </c>
      <c r="C201">
        <v>26.7</v>
      </c>
      <c r="E201">
        <v>6.586</v>
      </c>
      <c r="F201">
        <v>-152.8</v>
      </c>
      <c r="G201">
        <v>26.9</v>
      </c>
      <c r="I201">
        <f t="shared" si="9"/>
        <v>6.55</v>
      </c>
      <c r="J201">
        <f t="shared" si="10"/>
        <v>-2.80000000000001</v>
      </c>
      <c r="K201">
        <f t="shared" si="11"/>
        <v>-5.5</v>
      </c>
    </row>
    <row r="202" spans="1:11">
      <c r="A202">
        <v>6.653</v>
      </c>
      <c r="B202">
        <v>-153</v>
      </c>
      <c r="C202">
        <v>26.9</v>
      </c>
      <c r="E202">
        <v>6.619</v>
      </c>
      <c r="F202">
        <v>-152.9</v>
      </c>
      <c r="G202">
        <v>26.7</v>
      </c>
      <c r="I202">
        <f t="shared" si="9"/>
        <v>6.6</v>
      </c>
      <c r="J202">
        <f t="shared" si="10"/>
        <v>-2.90000000000001</v>
      </c>
      <c r="K202">
        <f t="shared" si="11"/>
        <v>-5.5</v>
      </c>
    </row>
    <row r="203" spans="1:11">
      <c r="A203">
        <v>6.686</v>
      </c>
      <c r="B203">
        <v>-153.3</v>
      </c>
      <c r="C203">
        <v>26.8</v>
      </c>
      <c r="E203">
        <v>6.653</v>
      </c>
      <c r="F203">
        <v>-153</v>
      </c>
      <c r="G203">
        <v>26.9</v>
      </c>
      <c r="I203">
        <f t="shared" si="9"/>
        <v>6.65</v>
      </c>
      <c r="J203">
        <f t="shared" si="10"/>
        <v>-3</v>
      </c>
      <c r="K203">
        <f t="shared" si="11"/>
        <v>-5.5</v>
      </c>
    </row>
    <row r="204" spans="1:11">
      <c r="A204">
        <v>6.72</v>
      </c>
      <c r="B204">
        <v>-153.9</v>
      </c>
      <c r="C204">
        <v>27</v>
      </c>
      <c r="E204">
        <v>6.686</v>
      </c>
      <c r="F204">
        <v>-153.3</v>
      </c>
      <c r="G204">
        <v>26.8</v>
      </c>
      <c r="I204">
        <f t="shared" si="9"/>
        <v>6.65</v>
      </c>
      <c r="J204">
        <f t="shared" si="10"/>
        <v>-3.30000000000001</v>
      </c>
      <c r="K204">
        <f t="shared" si="11"/>
        <v>-5.5</v>
      </c>
    </row>
    <row r="205" spans="1:11">
      <c r="A205">
        <v>6.753</v>
      </c>
      <c r="B205">
        <v>-154.2</v>
      </c>
      <c r="C205">
        <v>27</v>
      </c>
      <c r="E205">
        <v>6.72</v>
      </c>
      <c r="F205">
        <v>-153.9</v>
      </c>
      <c r="G205">
        <v>27</v>
      </c>
      <c r="I205">
        <f t="shared" si="9"/>
        <v>6.7</v>
      </c>
      <c r="J205">
        <f t="shared" si="10"/>
        <v>-3.90000000000001</v>
      </c>
      <c r="K205">
        <f t="shared" si="11"/>
        <v>-5.5</v>
      </c>
    </row>
    <row r="206" spans="1:11">
      <c r="A206">
        <v>6.786</v>
      </c>
      <c r="B206">
        <v>-154.7</v>
      </c>
      <c r="C206">
        <v>27.2</v>
      </c>
      <c r="E206">
        <v>6.753</v>
      </c>
      <c r="F206">
        <v>-154.2</v>
      </c>
      <c r="G206">
        <v>27</v>
      </c>
      <c r="I206">
        <f t="shared" si="9"/>
        <v>6.75</v>
      </c>
      <c r="J206">
        <f t="shared" si="10"/>
        <v>-4.19999999999999</v>
      </c>
      <c r="K206">
        <f t="shared" si="11"/>
        <v>-5.5</v>
      </c>
    </row>
    <row r="207" spans="1:11">
      <c r="A207">
        <v>6.82</v>
      </c>
      <c r="B207">
        <v>-155</v>
      </c>
      <c r="C207">
        <v>27.1</v>
      </c>
      <c r="E207">
        <v>6.786</v>
      </c>
      <c r="F207">
        <v>-154.7</v>
      </c>
      <c r="G207">
        <v>27.2</v>
      </c>
      <c r="I207">
        <f t="shared" si="9"/>
        <v>6.75</v>
      </c>
      <c r="J207">
        <f t="shared" si="10"/>
        <v>-4.69999999999999</v>
      </c>
      <c r="K207">
        <f t="shared" si="11"/>
        <v>-5.5</v>
      </c>
    </row>
    <row r="208" spans="1:11">
      <c r="A208">
        <v>6.853</v>
      </c>
      <c r="B208">
        <v>-155.3</v>
      </c>
      <c r="C208">
        <v>27.2</v>
      </c>
      <c r="E208">
        <v>6.82</v>
      </c>
      <c r="F208">
        <v>-155</v>
      </c>
      <c r="G208">
        <v>27.1</v>
      </c>
      <c r="I208">
        <f t="shared" si="9"/>
        <v>6.8</v>
      </c>
      <c r="J208">
        <f t="shared" si="10"/>
        <v>-5</v>
      </c>
      <c r="K208">
        <f t="shared" si="11"/>
        <v>-5.5</v>
      </c>
    </row>
    <row r="209" spans="1:11">
      <c r="A209">
        <v>6.887</v>
      </c>
      <c r="B209">
        <v>-155.8</v>
      </c>
      <c r="C209">
        <v>27.2</v>
      </c>
      <c r="E209">
        <v>6.853</v>
      </c>
      <c r="F209">
        <v>-155.3</v>
      </c>
      <c r="G209">
        <v>27.2</v>
      </c>
      <c r="I209">
        <f t="shared" si="9"/>
        <v>6.85</v>
      </c>
      <c r="J209">
        <f t="shared" si="10"/>
        <v>-5.30000000000001</v>
      </c>
      <c r="K209">
        <f t="shared" si="11"/>
        <v>-5.5</v>
      </c>
    </row>
    <row r="210" spans="1:11">
      <c r="A210">
        <v>6.92</v>
      </c>
      <c r="B210">
        <v>-156.1</v>
      </c>
      <c r="C210">
        <v>27.3</v>
      </c>
      <c r="E210">
        <v>6.887</v>
      </c>
      <c r="F210">
        <v>-155.8</v>
      </c>
      <c r="G210">
        <v>27.2</v>
      </c>
      <c r="I210">
        <f t="shared" si="9"/>
        <v>6.85</v>
      </c>
      <c r="J210">
        <f t="shared" si="10"/>
        <v>-5.80000000000001</v>
      </c>
      <c r="K210">
        <f t="shared" si="11"/>
        <v>-5.5</v>
      </c>
    </row>
    <row r="211" spans="1:11">
      <c r="A211">
        <v>6.954</v>
      </c>
      <c r="B211">
        <v>-156.5</v>
      </c>
      <c r="C211">
        <v>185.6</v>
      </c>
      <c r="E211">
        <v>6.92</v>
      </c>
      <c r="F211">
        <v>-156.1</v>
      </c>
      <c r="G211">
        <v>27.3</v>
      </c>
      <c r="I211">
        <f t="shared" si="9"/>
        <v>6.9</v>
      </c>
      <c r="J211">
        <f t="shared" si="10"/>
        <v>-6.09999999999999</v>
      </c>
      <c r="K211">
        <f t="shared" si="11"/>
        <v>-5.5</v>
      </c>
    </row>
    <row r="212" spans="1:11">
      <c r="A212">
        <v>6.987</v>
      </c>
      <c r="B212">
        <v>-156.8</v>
      </c>
      <c r="C212">
        <v>238.4</v>
      </c>
      <c r="E212">
        <v>6.954</v>
      </c>
      <c r="F212">
        <v>-156.5</v>
      </c>
      <c r="G212">
        <v>185.6</v>
      </c>
      <c r="I212">
        <f t="shared" si="9"/>
        <v>6.95</v>
      </c>
      <c r="J212">
        <f t="shared" si="10"/>
        <v>-6.5</v>
      </c>
      <c r="K212">
        <f t="shared" si="11"/>
        <v>-5.5</v>
      </c>
    </row>
    <row r="213" spans="1:11">
      <c r="A213">
        <v>7.02</v>
      </c>
      <c r="B213">
        <v>-156.9</v>
      </c>
      <c r="C213">
        <v>238.4</v>
      </c>
      <c r="E213">
        <v>6.987</v>
      </c>
      <c r="F213">
        <v>-156.8</v>
      </c>
      <c r="G213">
        <v>238.4</v>
      </c>
      <c r="I213">
        <f t="shared" si="9"/>
        <v>6.95</v>
      </c>
      <c r="J213">
        <f t="shared" si="10"/>
        <v>-6.80000000000001</v>
      </c>
      <c r="K213">
        <f t="shared" si="11"/>
        <v>5</v>
      </c>
    </row>
    <row r="214" spans="1:11">
      <c r="A214">
        <v>7.054</v>
      </c>
      <c r="B214">
        <v>-156.9</v>
      </c>
      <c r="C214">
        <v>238.4</v>
      </c>
      <c r="E214">
        <v>7.02</v>
      </c>
      <c r="F214">
        <v>-156.9</v>
      </c>
      <c r="G214">
        <v>238.4</v>
      </c>
      <c r="I214">
        <f t="shared" si="9"/>
        <v>7</v>
      </c>
      <c r="J214">
        <f t="shared" si="10"/>
        <v>-6.90000000000001</v>
      </c>
      <c r="K214">
        <f t="shared" si="11"/>
        <v>5</v>
      </c>
    </row>
    <row r="215" spans="1:11">
      <c r="A215">
        <v>7.087</v>
      </c>
      <c r="B215">
        <v>-156.8</v>
      </c>
      <c r="C215">
        <v>238.4</v>
      </c>
      <c r="E215">
        <v>7.054</v>
      </c>
      <c r="F215">
        <v>-156.9</v>
      </c>
      <c r="G215">
        <v>238.4</v>
      </c>
      <c r="I215">
        <f t="shared" si="9"/>
        <v>7.05</v>
      </c>
      <c r="J215">
        <f t="shared" si="10"/>
        <v>-6.90000000000001</v>
      </c>
      <c r="K215">
        <f t="shared" si="11"/>
        <v>5</v>
      </c>
    </row>
    <row r="216" spans="1:11">
      <c r="A216">
        <v>7.121</v>
      </c>
      <c r="B216">
        <v>-156.8</v>
      </c>
      <c r="C216">
        <v>238.4</v>
      </c>
      <c r="E216">
        <v>7.087</v>
      </c>
      <c r="F216">
        <v>-156.8</v>
      </c>
      <c r="G216">
        <v>238.4</v>
      </c>
      <c r="I216">
        <f t="shared" si="9"/>
        <v>7.05</v>
      </c>
      <c r="J216">
        <f t="shared" si="10"/>
        <v>-6.80000000000001</v>
      </c>
      <c r="K216">
        <f t="shared" si="11"/>
        <v>5</v>
      </c>
    </row>
    <row r="217" spans="1:11">
      <c r="A217">
        <v>7.154</v>
      </c>
      <c r="B217">
        <v>-156.7</v>
      </c>
      <c r="C217">
        <v>238.4</v>
      </c>
      <c r="E217">
        <v>7.121</v>
      </c>
      <c r="F217">
        <v>-156.8</v>
      </c>
      <c r="G217">
        <v>238.4</v>
      </c>
      <c r="I217">
        <f t="shared" si="9"/>
        <v>7.1</v>
      </c>
      <c r="J217">
        <f t="shared" si="10"/>
        <v>-6.80000000000001</v>
      </c>
      <c r="K217">
        <f t="shared" si="11"/>
        <v>5</v>
      </c>
    </row>
    <row r="218" spans="1:11">
      <c r="A218">
        <v>7.188</v>
      </c>
      <c r="B218">
        <v>-156.6</v>
      </c>
      <c r="C218">
        <v>238.4</v>
      </c>
      <c r="E218">
        <v>7.154</v>
      </c>
      <c r="F218">
        <v>-156.7</v>
      </c>
      <c r="G218">
        <v>238.4</v>
      </c>
      <c r="I218">
        <f t="shared" si="9"/>
        <v>7.15</v>
      </c>
      <c r="J218">
        <f t="shared" si="10"/>
        <v>-6.69999999999999</v>
      </c>
      <c r="K218">
        <f t="shared" si="11"/>
        <v>5</v>
      </c>
    </row>
    <row r="219" spans="1:11">
      <c r="A219">
        <v>7.221</v>
      </c>
      <c r="B219">
        <v>-156.5</v>
      </c>
      <c r="C219">
        <v>238.4</v>
      </c>
      <c r="E219">
        <v>7.188</v>
      </c>
      <c r="F219">
        <v>-156.6</v>
      </c>
      <c r="G219">
        <v>238.4</v>
      </c>
      <c r="I219">
        <f t="shared" si="9"/>
        <v>7.15</v>
      </c>
      <c r="J219">
        <f t="shared" si="10"/>
        <v>-6.59999999999999</v>
      </c>
      <c r="K219">
        <f t="shared" si="11"/>
        <v>5</v>
      </c>
    </row>
    <row r="220" spans="1:11">
      <c r="A220">
        <v>7.255</v>
      </c>
      <c r="B220">
        <v>-156.4</v>
      </c>
      <c r="C220">
        <v>238.4</v>
      </c>
      <c r="E220">
        <v>7.221</v>
      </c>
      <c r="F220">
        <v>-156.5</v>
      </c>
      <c r="G220">
        <v>238.4</v>
      </c>
      <c r="I220">
        <f t="shared" si="9"/>
        <v>7.2</v>
      </c>
      <c r="J220">
        <f t="shared" si="10"/>
        <v>-6.5</v>
      </c>
      <c r="K220">
        <f t="shared" si="11"/>
        <v>5</v>
      </c>
    </row>
    <row r="221" spans="1:11">
      <c r="A221">
        <v>7.288</v>
      </c>
      <c r="B221">
        <v>-156.3</v>
      </c>
      <c r="C221">
        <v>238.4</v>
      </c>
      <c r="E221">
        <v>7.255</v>
      </c>
      <c r="F221">
        <v>-156.4</v>
      </c>
      <c r="G221">
        <v>238.4</v>
      </c>
      <c r="I221">
        <f t="shared" si="9"/>
        <v>7.25</v>
      </c>
      <c r="J221">
        <f t="shared" si="10"/>
        <v>-6.40000000000001</v>
      </c>
      <c r="K221">
        <f t="shared" si="11"/>
        <v>5</v>
      </c>
    </row>
    <row r="222" spans="1:11">
      <c r="A222">
        <v>7.321</v>
      </c>
      <c r="B222">
        <v>-156.1</v>
      </c>
      <c r="C222">
        <v>238.4</v>
      </c>
      <c r="E222">
        <v>7.288</v>
      </c>
      <c r="F222">
        <v>-156.3</v>
      </c>
      <c r="G222">
        <v>238.4</v>
      </c>
      <c r="I222">
        <f t="shared" si="9"/>
        <v>7.25</v>
      </c>
      <c r="J222">
        <f t="shared" si="10"/>
        <v>-6.30000000000001</v>
      </c>
      <c r="K222">
        <f t="shared" si="11"/>
        <v>5</v>
      </c>
    </row>
    <row r="223" spans="1:11">
      <c r="A223">
        <v>7.355</v>
      </c>
      <c r="B223">
        <v>-155.8</v>
      </c>
      <c r="C223">
        <v>238.4</v>
      </c>
      <c r="E223">
        <v>7.321</v>
      </c>
      <c r="F223">
        <v>-156.1</v>
      </c>
      <c r="G223">
        <v>238.4</v>
      </c>
      <c r="I223">
        <f t="shared" si="9"/>
        <v>7.3</v>
      </c>
      <c r="J223">
        <f t="shared" si="10"/>
        <v>-6.09999999999999</v>
      </c>
      <c r="K223">
        <f t="shared" si="11"/>
        <v>5</v>
      </c>
    </row>
    <row r="224" spans="1:11">
      <c r="A224">
        <v>7.388</v>
      </c>
      <c r="B224">
        <v>-155.2</v>
      </c>
      <c r="C224">
        <v>238.4</v>
      </c>
      <c r="E224">
        <v>7.355</v>
      </c>
      <c r="F224">
        <v>-155.8</v>
      </c>
      <c r="G224">
        <v>238.4</v>
      </c>
      <c r="I224">
        <f t="shared" si="9"/>
        <v>7.35</v>
      </c>
      <c r="J224">
        <f t="shared" si="10"/>
        <v>-5.80000000000001</v>
      </c>
      <c r="K224">
        <f t="shared" si="11"/>
        <v>5</v>
      </c>
    </row>
    <row r="225" spans="1:11">
      <c r="A225">
        <v>7.422</v>
      </c>
      <c r="B225">
        <v>-154.8</v>
      </c>
      <c r="C225">
        <v>238.4</v>
      </c>
      <c r="E225">
        <v>7.388</v>
      </c>
      <c r="F225">
        <v>-155.2</v>
      </c>
      <c r="G225">
        <v>238.4</v>
      </c>
      <c r="I225">
        <f t="shared" si="9"/>
        <v>7.35</v>
      </c>
      <c r="J225">
        <f t="shared" si="10"/>
        <v>-5.19999999999999</v>
      </c>
      <c r="K225">
        <f t="shared" si="11"/>
        <v>5</v>
      </c>
    </row>
    <row r="226" spans="1:11">
      <c r="A226">
        <v>7.455</v>
      </c>
      <c r="B226">
        <v>-154.2</v>
      </c>
      <c r="C226">
        <v>238.4</v>
      </c>
      <c r="E226">
        <v>7.422</v>
      </c>
      <c r="F226">
        <v>-154.8</v>
      </c>
      <c r="G226">
        <v>238.4</v>
      </c>
      <c r="I226">
        <f t="shared" si="9"/>
        <v>7.4</v>
      </c>
      <c r="J226">
        <f t="shared" si="10"/>
        <v>-4.80000000000001</v>
      </c>
      <c r="K226">
        <f t="shared" si="11"/>
        <v>5</v>
      </c>
    </row>
    <row r="227" spans="1:11">
      <c r="A227">
        <v>7.489</v>
      </c>
      <c r="B227">
        <v>-153.8</v>
      </c>
      <c r="C227">
        <v>238.4</v>
      </c>
      <c r="E227">
        <v>7.455</v>
      </c>
      <c r="F227">
        <v>-154.2</v>
      </c>
      <c r="G227">
        <v>238.4</v>
      </c>
      <c r="I227">
        <f t="shared" si="9"/>
        <v>7.45</v>
      </c>
      <c r="J227">
        <f t="shared" si="10"/>
        <v>-4.19999999999999</v>
      </c>
      <c r="K227">
        <f t="shared" si="11"/>
        <v>5</v>
      </c>
    </row>
    <row r="228" spans="1:11">
      <c r="A228">
        <v>7.522</v>
      </c>
      <c r="B228">
        <v>-153</v>
      </c>
      <c r="C228">
        <v>238.4</v>
      </c>
      <c r="E228">
        <v>7.489</v>
      </c>
      <c r="F228">
        <v>-153.8</v>
      </c>
      <c r="G228">
        <v>238.4</v>
      </c>
      <c r="I228">
        <f t="shared" si="9"/>
        <v>7.45</v>
      </c>
      <c r="J228">
        <f t="shared" si="10"/>
        <v>-3.80000000000001</v>
      </c>
      <c r="K228">
        <f t="shared" si="11"/>
        <v>5</v>
      </c>
    </row>
    <row r="229" spans="1:11">
      <c r="A229">
        <v>7.555</v>
      </c>
      <c r="B229">
        <v>-152.2</v>
      </c>
      <c r="C229">
        <v>238.4</v>
      </c>
      <c r="E229">
        <v>7.522</v>
      </c>
      <c r="F229">
        <v>-153</v>
      </c>
      <c r="G229">
        <v>238.4</v>
      </c>
      <c r="I229">
        <f t="shared" si="9"/>
        <v>7.5</v>
      </c>
      <c r="J229">
        <f t="shared" si="10"/>
        <v>-3</v>
      </c>
      <c r="K229">
        <f t="shared" si="11"/>
        <v>5</v>
      </c>
    </row>
    <row r="230" spans="1:11">
      <c r="A230">
        <v>7.589</v>
      </c>
      <c r="B230">
        <v>-151.5</v>
      </c>
      <c r="C230">
        <v>238.4</v>
      </c>
      <c r="E230">
        <v>7.555</v>
      </c>
      <c r="F230">
        <v>-152.2</v>
      </c>
      <c r="G230">
        <v>238.4</v>
      </c>
      <c r="I230">
        <f t="shared" si="9"/>
        <v>7.55</v>
      </c>
      <c r="J230">
        <f t="shared" si="10"/>
        <v>-2.19999999999999</v>
      </c>
      <c r="K230">
        <f t="shared" si="11"/>
        <v>5</v>
      </c>
    </row>
    <row r="231" spans="1:11">
      <c r="A231">
        <v>7.622</v>
      </c>
      <c r="B231">
        <v>-150.9</v>
      </c>
      <c r="C231">
        <v>238.4</v>
      </c>
      <c r="E231">
        <v>7.589</v>
      </c>
      <c r="F231">
        <v>-151.5</v>
      </c>
      <c r="G231">
        <v>238.4</v>
      </c>
      <c r="I231">
        <f t="shared" si="9"/>
        <v>7.55</v>
      </c>
      <c r="J231">
        <f t="shared" si="10"/>
        <v>-1.5</v>
      </c>
      <c r="K231">
        <f t="shared" si="11"/>
        <v>5</v>
      </c>
    </row>
    <row r="232" spans="1:11">
      <c r="A232">
        <v>7.656</v>
      </c>
      <c r="B232">
        <v>-150.3</v>
      </c>
      <c r="C232">
        <v>238.4</v>
      </c>
      <c r="E232">
        <v>7.622</v>
      </c>
      <c r="F232">
        <v>-150.9</v>
      </c>
      <c r="G232">
        <v>238.4</v>
      </c>
      <c r="I232">
        <f t="shared" si="9"/>
        <v>7.6</v>
      </c>
      <c r="J232">
        <f t="shared" si="10"/>
        <v>-0.900000000000006</v>
      </c>
      <c r="K232">
        <f t="shared" si="11"/>
        <v>5</v>
      </c>
    </row>
    <row r="233" spans="1:11">
      <c r="A233">
        <v>7.689</v>
      </c>
      <c r="B233">
        <v>-149.9</v>
      </c>
      <c r="C233">
        <v>238.4</v>
      </c>
      <c r="E233">
        <v>7.656</v>
      </c>
      <c r="F233">
        <v>-150.3</v>
      </c>
      <c r="G233">
        <v>238.4</v>
      </c>
      <c r="I233">
        <f t="shared" si="9"/>
        <v>7.65</v>
      </c>
      <c r="J233">
        <f t="shared" si="10"/>
        <v>-0.300000000000011</v>
      </c>
      <c r="K233">
        <f t="shared" si="11"/>
        <v>5</v>
      </c>
    </row>
    <row r="234" spans="1:11">
      <c r="A234">
        <v>7.723</v>
      </c>
      <c r="B234">
        <v>-149.3</v>
      </c>
      <c r="C234">
        <v>238.4</v>
      </c>
      <c r="E234">
        <v>7.689</v>
      </c>
      <c r="F234">
        <v>-149.9</v>
      </c>
      <c r="G234">
        <v>238.4</v>
      </c>
      <c r="I234">
        <f t="shared" si="9"/>
        <v>7.65</v>
      </c>
      <c r="J234">
        <f t="shared" si="10"/>
        <v>0.0999999999999943</v>
      </c>
      <c r="K234">
        <f t="shared" si="11"/>
        <v>5</v>
      </c>
    </row>
    <row r="235" spans="1:11">
      <c r="A235">
        <v>7.756</v>
      </c>
      <c r="B235">
        <v>-149.1</v>
      </c>
      <c r="C235">
        <v>238.4</v>
      </c>
      <c r="E235">
        <v>7.723</v>
      </c>
      <c r="F235">
        <v>-149.3</v>
      </c>
      <c r="G235">
        <v>238.4</v>
      </c>
      <c r="I235">
        <f t="shared" si="9"/>
        <v>7.7</v>
      </c>
      <c r="J235">
        <f t="shared" si="10"/>
        <v>0.699999999999989</v>
      </c>
      <c r="K235">
        <f t="shared" si="11"/>
        <v>5</v>
      </c>
    </row>
    <row r="236" spans="1:11">
      <c r="A236">
        <v>7.789</v>
      </c>
      <c r="B236">
        <v>-148.9</v>
      </c>
      <c r="C236">
        <v>238.4</v>
      </c>
      <c r="E236">
        <v>7.756</v>
      </c>
      <c r="F236">
        <v>-149.1</v>
      </c>
      <c r="G236">
        <v>238.4</v>
      </c>
      <c r="I236">
        <f t="shared" si="9"/>
        <v>7.75</v>
      </c>
      <c r="J236">
        <f t="shared" si="10"/>
        <v>0.900000000000006</v>
      </c>
      <c r="K236">
        <f t="shared" si="11"/>
        <v>5</v>
      </c>
    </row>
    <row r="237" spans="1:11">
      <c r="A237">
        <v>7.823</v>
      </c>
      <c r="B237">
        <v>-148.4</v>
      </c>
      <c r="C237">
        <v>68.8</v>
      </c>
      <c r="E237">
        <v>7.789</v>
      </c>
      <c r="F237">
        <v>-148.9</v>
      </c>
      <c r="G237">
        <v>238.4</v>
      </c>
      <c r="I237">
        <f t="shared" si="9"/>
        <v>7.75</v>
      </c>
      <c r="J237">
        <f t="shared" si="10"/>
        <v>1.09999999999999</v>
      </c>
      <c r="K237">
        <f t="shared" si="11"/>
        <v>5</v>
      </c>
    </row>
    <row r="238" spans="1:11">
      <c r="A238">
        <v>7.856</v>
      </c>
      <c r="B238">
        <v>-148.2</v>
      </c>
      <c r="C238">
        <v>69.9</v>
      </c>
      <c r="E238">
        <v>7.823</v>
      </c>
      <c r="F238">
        <v>-148.4</v>
      </c>
      <c r="G238">
        <v>68.8</v>
      </c>
      <c r="I238">
        <f t="shared" si="9"/>
        <v>7.8</v>
      </c>
      <c r="J238">
        <f t="shared" si="10"/>
        <v>1.59999999999999</v>
      </c>
      <c r="K238">
        <f t="shared" si="11"/>
        <v>-5.5</v>
      </c>
    </row>
    <row r="239" spans="1:11">
      <c r="A239">
        <v>7.89</v>
      </c>
      <c r="B239">
        <v>-148.2</v>
      </c>
      <c r="C239">
        <v>68.7</v>
      </c>
      <c r="E239">
        <v>7.856</v>
      </c>
      <c r="F239">
        <v>-148.2</v>
      </c>
      <c r="G239">
        <v>69.9</v>
      </c>
      <c r="I239">
        <f t="shared" si="9"/>
        <v>7.85</v>
      </c>
      <c r="J239">
        <f t="shared" si="10"/>
        <v>1.80000000000001</v>
      </c>
      <c r="K239">
        <f t="shared" si="11"/>
        <v>-5.5</v>
      </c>
    </row>
    <row r="240" spans="1:11">
      <c r="A240">
        <v>7.923</v>
      </c>
      <c r="B240">
        <v>-148.3</v>
      </c>
      <c r="C240">
        <v>68.7</v>
      </c>
      <c r="E240">
        <v>7.89</v>
      </c>
      <c r="F240">
        <v>-148.2</v>
      </c>
      <c r="G240">
        <v>68.7</v>
      </c>
      <c r="I240">
        <f t="shared" si="9"/>
        <v>7.85</v>
      </c>
      <c r="J240">
        <f t="shared" si="10"/>
        <v>1.80000000000001</v>
      </c>
      <c r="K240">
        <f t="shared" si="11"/>
        <v>-5.5</v>
      </c>
    </row>
    <row r="241" spans="1:11">
      <c r="A241">
        <v>7.957</v>
      </c>
      <c r="B241">
        <v>-148.5</v>
      </c>
      <c r="C241">
        <v>68</v>
      </c>
      <c r="E241">
        <v>7.923</v>
      </c>
      <c r="F241">
        <v>-148.3</v>
      </c>
      <c r="G241">
        <v>68.7</v>
      </c>
      <c r="I241">
        <f t="shared" si="9"/>
        <v>7.9</v>
      </c>
      <c r="J241">
        <f t="shared" si="10"/>
        <v>1.69999999999999</v>
      </c>
      <c r="K241">
        <f t="shared" si="11"/>
        <v>-5.5</v>
      </c>
    </row>
    <row r="242" spans="1:11">
      <c r="A242">
        <v>7.99</v>
      </c>
      <c r="B242">
        <v>-148.5</v>
      </c>
      <c r="C242">
        <v>66.9</v>
      </c>
      <c r="E242">
        <v>7.957</v>
      </c>
      <c r="F242">
        <v>-148.5</v>
      </c>
      <c r="G242">
        <v>68</v>
      </c>
      <c r="I242">
        <f t="shared" si="9"/>
        <v>7.95</v>
      </c>
      <c r="J242">
        <f t="shared" si="10"/>
        <v>1.5</v>
      </c>
      <c r="K242">
        <f t="shared" si="11"/>
        <v>-5.5</v>
      </c>
    </row>
    <row r="243" spans="1:11">
      <c r="A243">
        <v>8.023</v>
      </c>
      <c r="B243">
        <v>-148.7</v>
      </c>
      <c r="C243">
        <v>65.5</v>
      </c>
      <c r="E243">
        <v>7.99</v>
      </c>
      <c r="F243">
        <v>-148.5</v>
      </c>
      <c r="G243">
        <v>66.9</v>
      </c>
      <c r="I243">
        <f t="shared" si="9"/>
        <v>7.95</v>
      </c>
      <c r="J243">
        <f t="shared" si="10"/>
        <v>1.5</v>
      </c>
      <c r="K243">
        <f t="shared" si="11"/>
        <v>-5.5</v>
      </c>
    </row>
    <row r="244" spans="1:11">
      <c r="A244">
        <v>8.057</v>
      </c>
      <c r="B244">
        <v>-148.8</v>
      </c>
      <c r="C244">
        <v>64.3</v>
      </c>
      <c r="E244">
        <v>8.023</v>
      </c>
      <c r="F244">
        <v>-148.7</v>
      </c>
      <c r="G244">
        <v>65.5</v>
      </c>
      <c r="I244">
        <f t="shared" si="9"/>
        <v>8</v>
      </c>
      <c r="J244">
        <f t="shared" si="10"/>
        <v>1.30000000000001</v>
      </c>
      <c r="K244">
        <f t="shared" si="11"/>
        <v>-5.5</v>
      </c>
    </row>
    <row r="245" spans="1:11">
      <c r="A245">
        <v>8.09</v>
      </c>
      <c r="B245">
        <v>-149.1</v>
      </c>
      <c r="C245">
        <v>63.3</v>
      </c>
      <c r="E245">
        <v>8.057</v>
      </c>
      <c r="F245">
        <v>-148.8</v>
      </c>
      <c r="G245">
        <v>64.3</v>
      </c>
      <c r="I245">
        <f t="shared" si="9"/>
        <v>8.05</v>
      </c>
      <c r="J245">
        <f t="shared" si="10"/>
        <v>1.19999999999999</v>
      </c>
      <c r="K245">
        <f t="shared" si="11"/>
        <v>-5.5</v>
      </c>
    </row>
    <row r="246" spans="1:11">
      <c r="A246">
        <v>8.124</v>
      </c>
      <c r="B246">
        <v>-149.8</v>
      </c>
      <c r="C246">
        <v>61.9</v>
      </c>
      <c r="E246">
        <v>8.09</v>
      </c>
      <c r="F246">
        <v>-149.1</v>
      </c>
      <c r="G246">
        <v>63.3</v>
      </c>
      <c r="I246">
        <f t="shared" si="9"/>
        <v>8.05</v>
      </c>
      <c r="J246">
        <f t="shared" si="10"/>
        <v>0.900000000000006</v>
      </c>
      <c r="K246">
        <f t="shared" si="11"/>
        <v>-5.5</v>
      </c>
    </row>
    <row r="247" spans="1:11">
      <c r="A247">
        <v>8.157</v>
      </c>
      <c r="B247">
        <v>-150.3</v>
      </c>
      <c r="C247">
        <v>61.1</v>
      </c>
      <c r="E247">
        <v>8.124</v>
      </c>
      <c r="F247">
        <v>-149.8</v>
      </c>
      <c r="G247">
        <v>61.9</v>
      </c>
      <c r="I247">
        <f t="shared" si="9"/>
        <v>8.1</v>
      </c>
      <c r="J247">
        <f t="shared" si="10"/>
        <v>0.199999999999989</v>
      </c>
      <c r="K247">
        <f t="shared" si="11"/>
        <v>-5.5</v>
      </c>
    </row>
    <row r="248" spans="1:11">
      <c r="A248">
        <v>8.191</v>
      </c>
      <c r="B248">
        <v>-151.3</v>
      </c>
      <c r="C248">
        <v>60.4</v>
      </c>
      <c r="E248">
        <v>8.157</v>
      </c>
      <c r="F248">
        <v>-150.3</v>
      </c>
      <c r="G248">
        <v>61.1</v>
      </c>
      <c r="I248">
        <f t="shared" si="9"/>
        <v>8.15</v>
      </c>
      <c r="J248">
        <f t="shared" si="10"/>
        <v>-0.300000000000011</v>
      </c>
      <c r="K248">
        <f t="shared" si="11"/>
        <v>-5.5</v>
      </c>
    </row>
    <row r="249" spans="1:11">
      <c r="A249">
        <v>8.224</v>
      </c>
      <c r="B249">
        <v>-152.2</v>
      </c>
      <c r="C249">
        <v>60.5</v>
      </c>
      <c r="E249">
        <v>8.191</v>
      </c>
      <c r="F249">
        <v>-151.3</v>
      </c>
      <c r="G249">
        <v>60.4</v>
      </c>
      <c r="I249">
        <f t="shared" si="9"/>
        <v>8.15</v>
      </c>
      <c r="J249">
        <f t="shared" si="10"/>
        <v>-1.30000000000001</v>
      </c>
      <c r="K249">
        <f t="shared" si="11"/>
        <v>-5.5</v>
      </c>
    </row>
    <row r="250" spans="1:11">
      <c r="A250">
        <v>8.257</v>
      </c>
      <c r="B250">
        <v>-153.2</v>
      </c>
      <c r="C250">
        <v>60.4</v>
      </c>
      <c r="E250">
        <v>8.224</v>
      </c>
      <c r="F250">
        <v>-152.2</v>
      </c>
      <c r="G250">
        <v>60.5</v>
      </c>
      <c r="I250">
        <f t="shared" si="9"/>
        <v>8.2</v>
      </c>
      <c r="J250">
        <f t="shared" si="10"/>
        <v>-2.19999999999999</v>
      </c>
      <c r="K250">
        <f t="shared" si="11"/>
        <v>-5.5</v>
      </c>
    </row>
    <row r="251" spans="1:11">
      <c r="A251">
        <v>8.291</v>
      </c>
      <c r="B251">
        <v>-154.1</v>
      </c>
      <c r="C251">
        <v>60.5</v>
      </c>
      <c r="E251">
        <v>8.257</v>
      </c>
      <c r="F251">
        <v>-153.2</v>
      </c>
      <c r="G251">
        <v>60.4</v>
      </c>
      <c r="I251">
        <f t="shared" si="9"/>
        <v>8.25</v>
      </c>
      <c r="J251">
        <f t="shared" si="10"/>
        <v>-3.19999999999999</v>
      </c>
      <c r="K251">
        <f t="shared" si="11"/>
        <v>-5.5</v>
      </c>
    </row>
    <row r="252" spans="1:11">
      <c r="A252">
        <v>8.324</v>
      </c>
      <c r="B252">
        <v>-155</v>
      </c>
      <c r="C252">
        <v>60.5</v>
      </c>
      <c r="E252">
        <v>8.291</v>
      </c>
      <c r="F252">
        <v>-154.1</v>
      </c>
      <c r="G252">
        <v>60.5</v>
      </c>
      <c r="I252">
        <f t="shared" si="9"/>
        <v>8.25</v>
      </c>
      <c r="J252">
        <f t="shared" si="10"/>
        <v>-4.09999999999999</v>
      </c>
      <c r="K252">
        <f t="shared" si="11"/>
        <v>-5.5</v>
      </c>
    </row>
    <row r="253" spans="1:11">
      <c r="A253">
        <v>8.358</v>
      </c>
      <c r="B253">
        <v>-155.9</v>
      </c>
      <c r="C253">
        <v>60.4</v>
      </c>
      <c r="E253">
        <v>8.324</v>
      </c>
      <c r="F253">
        <v>-155</v>
      </c>
      <c r="G253">
        <v>60.5</v>
      </c>
      <c r="I253">
        <f t="shared" si="9"/>
        <v>8.3</v>
      </c>
      <c r="J253">
        <f t="shared" si="10"/>
        <v>-5</v>
      </c>
      <c r="K253">
        <f t="shared" si="11"/>
        <v>-5.5</v>
      </c>
    </row>
    <row r="254" spans="1:11">
      <c r="A254">
        <v>8.391</v>
      </c>
      <c r="B254">
        <v>-156.4</v>
      </c>
      <c r="C254">
        <v>60.4</v>
      </c>
      <c r="E254">
        <v>8.358</v>
      </c>
      <c r="F254">
        <v>-155.9</v>
      </c>
      <c r="G254">
        <v>60.4</v>
      </c>
      <c r="I254">
        <f t="shared" si="9"/>
        <v>8.35</v>
      </c>
      <c r="J254">
        <f t="shared" si="10"/>
        <v>-5.90000000000001</v>
      </c>
      <c r="K254">
        <f t="shared" si="11"/>
        <v>-5.5</v>
      </c>
    </row>
    <row r="255" spans="1:11">
      <c r="A255">
        <v>8.425</v>
      </c>
      <c r="B255">
        <v>-157.2</v>
      </c>
      <c r="C255">
        <v>60.3</v>
      </c>
      <c r="E255">
        <v>8.391</v>
      </c>
      <c r="F255">
        <v>-156.4</v>
      </c>
      <c r="G255">
        <v>60.4</v>
      </c>
      <c r="I255">
        <f t="shared" si="9"/>
        <v>8.35</v>
      </c>
      <c r="J255">
        <f t="shared" si="10"/>
        <v>-6.40000000000001</v>
      </c>
      <c r="K255">
        <f t="shared" si="11"/>
        <v>-5.5</v>
      </c>
    </row>
    <row r="256" spans="1:11">
      <c r="A256">
        <v>8.458</v>
      </c>
      <c r="B256">
        <v>-158</v>
      </c>
      <c r="C256">
        <v>60.5</v>
      </c>
      <c r="E256">
        <v>8.425</v>
      </c>
      <c r="F256">
        <v>-157.2</v>
      </c>
      <c r="G256">
        <v>60.3</v>
      </c>
      <c r="I256">
        <f t="shared" si="9"/>
        <v>8.4</v>
      </c>
      <c r="J256">
        <f t="shared" si="10"/>
        <v>-7.19999999999999</v>
      </c>
      <c r="K256">
        <f t="shared" si="11"/>
        <v>-5.5</v>
      </c>
    </row>
    <row r="257" spans="1:11">
      <c r="A257">
        <v>8.491</v>
      </c>
      <c r="B257">
        <v>-158.7</v>
      </c>
      <c r="C257">
        <v>60.5</v>
      </c>
      <c r="E257">
        <v>8.458</v>
      </c>
      <c r="F257">
        <v>-158</v>
      </c>
      <c r="G257">
        <v>60.5</v>
      </c>
      <c r="I257">
        <f t="shared" ref="I257:I320" si="12">FLOOR(E257,0.05)</f>
        <v>8.45</v>
      </c>
      <c r="J257">
        <f t="shared" si="10"/>
        <v>-8</v>
      </c>
      <c r="K257">
        <f t="shared" si="11"/>
        <v>-5.5</v>
      </c>
    </row>
    <row r="258" spans="1:11">
      <c r="A258">
        <v>8.525</v>
      </c>
      <c r="B258">
        <v>-158.9</v>
      </c>
      <c r="C258">
        <v>60.3</v>
      </c>
      <c r="E258">
        <v>8.491</v>
      </c>
      <c r="F258">
        <v>-158.7</v>
      </c>
      <c r="G258">
        <v>60.5</v>
      </c>
      <c r="I258">
        <f t="shared" si="12"/>
        <v>8.45</v>
      </c>
      <c r="J258">
        <f t="shared" si="10"/>
        <v>-8.69999999999999</v>
      </c>
      <c r="K258">
        <f t="shared" si="11"/>
        <v>-5.5</v>
      </c>
    </row>
    <row r="259" spans="1:11">
      <c r="A259">
        <v>8.558</v>
      </c>
      <c r="B259">
        <v>-159.1</v>
      </c>
      <c r="C259">
        <v>60.5</v>
      </c>
      <c r="E259">
        <v>8.525</v>
      </c>
      <c r="F259">
        <v>-158.9</v>
      </c>
      <c r="G259">
        <v>60.3</v>
      </c>
      <c r="I259">
        <f t="shared" si="12"/>
        <v>8.5</v>
      </c>
      <c r="J259">
        <f t="shared" si="10"/>
        <v>-8.90000000000001</v>
      </c>
      <c r="K259">
        <f t="shared" si="11"/>
        <v>-5.5</v>
      </c>
    </row>
    <row r="260" spans="1:11">
      <c r="A260">
        <v>8.592</v>
      </c>
      <c r="B260">
        <v>-159.6</v>
      </c>
      <c r="C260">
        <v>238.4</v>
      </c>
      <c r="E260">
        <v>8.558</v>
      </c>
      <c r="F260">
        <v>-159.1</v>
      </c>
      <c r="G260">
        <v>60.5</v>
      </c>
      <c r="I260">
        <f t="shared" si="12"/>
        <v>8.55</v>
      </c>
      <c r="J260">
        <f t="shared" si="10"/>
        <v>-9.09999999999999</v>
      </c>
      <c r="K260">
        <f t="shared" si="11"/>
        <v>-5.5</v>
      </c>
    </row>
    <row r="261" spans="1:11">
      <c r="A261">
        <v>8.625</v>
      </c>
      <c r="B261">
        <v>-159.7</v>
      </c>
      <c r="C261">
        <v>238.4</v>
      </c>
      <c r="E261">
        <v>8.592</v>
      </c>
      <c r="F261">
        <v>-159.6</v>
      </c>
      <c r="G261">
        <v>238.4</v>
      </c>
      <c r="I261">
        <f t="shared" si="12"/>
        <v>8.55</v>
      </c>
      <c r="J261">
        <f t="shared" ref="J261:J324" si="13">F261+150</f>
        <v>-9.59999999999999</v>
      </c>
      <c r="K261">
        <f t="shared" ref="K261:K324" si="14">IF(G261&lt;230,-5.5,5)</f>
        <v>5</v>
      </c>
    </row>
    <row r="262" spans="1:11">
      <c r="A262">
        <v>8.659</v>
      </c>
      <c r="B262">
        <v>-159.7</v>
      </c>
      <c r="C262">
        <v>238.4</v>
      </c>
      <c r="E262">
        <v>8.625</v>
      </c>
      <c r="F262">
        <v>-159.7</v>
      </c>
      <c r="G262">
        <v>238.4</v>
      </c>
      <c r="I262">
        <f t="shared" si="12"/>
        <v>8.6</v>
      </c>
      <c r="J262">
        <f t="shared" si="13"/>
        <v>-9.69999999999999</v>
      </c>
      <c r="K262">
        <f t="shared" si="14"/>
        <v>5</v>
      </c>
    </row>
    <row r="263" spans="1:11">
      <c r="A263">
        <v>8.692</v>
      </c>
      <c r="B263">
        <v>-159.7</v>
      </c>
      <c r="C263">
        <v>238.4</v>
      </c>
      <c r="E263">
        <v>8.659</v>
      </c>
      <c r="F263">
        <v>-159.7</v>
      </c>
      <c r="G263">
        <v>238.4</v>
      </c>
      <c r="I263">
        <f t="shared" si="12"/>
        <v>8.65</v>
      </c>
      <c r="J263">
        <f t="shared" si="13"/>
        <v>-9.69999999999999</v>
      </c>
      <c r="K263">
        <f t="shared" si="14"/>
        <v>5</v>
      </c>
    </row>
    <row r="264" spans="1:11">
      <c r="A264">
        <v>8.725</v>
      </c>
      <c r="B264">
        <v>-159.6</v>
      </c>
      <c r="C264">
        <v>238.4</v>
      </c>
      <c r="E264">
        <v>8.692</v>
      </c>
      <c r="F264">
        <v>-159.7</v>
      </c>
      <c r="G264">
        <v>238.4</v>
      </c>
      <c r="I264">
        <f t="shared" si="12"/>
        <v>8.65</v>
      </c>
      <c r="J264">
        <f t="shared" si="13"/>
        <v>-9.69999999999999</v>
      </c>
      <c r="K264">
        <f t="shared" si="14"/>
        <v>5</v>
      </c>
    </row>
    <row r="265" spans="1:11">
      <c r="A265">
        <v>8.759</v>
      </c>
      <c r="B265">
        <v>-159.4</v>
      </c>
      <c r="C265">
        <v>238.4</v>
      </c>
      <c r="E265">
        <v>8.725</v>
      </c>
      <c r="F265">
        <v>-159.6</v>
      </c>
      <c r="G265">
        <v>238.4</v>
      </c>
      <c r="I265">
        <f t="shared" si="12"/>
        <v>8.7</v>
      </c>
      <c r="J265">
        <f t="shared" si="13"/>
        <v>-9.59999999999999</v>
      </c>
      <c r="K265">
        <f t="shared" si="14"/>
        <v>5</v>
      </c>
    </row>
    <row r="266" spans="1:11">
      <c r="A266">
        <v>8.792</v>
      </c>
      <c r="B266">
        <v>-159.3</v>
      </c>
      <c r="C266">
        <v>238.4</v>
      </c>
      <c r="E266">
        <v>8.759</v>
      </c>
      <c r="F266">
        <v>-159.4</v>
      </c>
      <c r="G266">
        <v>238.4</v>
      </c>
      <c r="I266">
        <f t="shared" si="12"/>
        <v>8.75</v>
      </c>
      <c r="J266">
        <f t="shared" si="13"/>
        <v>-9.40000000000001</v>
      </c>
      <c r="K266">
        <f t="shared" si="14"/>
        <v>5</v>
      </c>
    </row>
    <row r="267" spans="1:11">
      <c r="A267">
        <v>8.826</v>
      </c>
      <c r="B267">
        <v>-159.1</v>
      </c>
      <c r="C267">
        <v>238.4</v>
      </c>
      <c r="E267">
        <v>8.792</v>
      </c>
      <c r="F267">
        <v>-159.3</v>
      </c>
      <c r="G267">
        <v>238.4</v>
      </c>
      <c r="I267">
        <f t="shared" si="12"/>
        <v>8.75</v>
      </c>
      <c r="J267">
        <f t="shared" si="13"/>
        <v>-9.30000000000001</v>
      </c>
      <c r="K267">
        <f t="shared" si="14"/>
        <v>5</v>
      </c>
    </row>
    <row r="268" spans="1:11">
      <c r="A268">
        <v>8.859</v>
      </c>
      <c r="B268">
        <v>-158.8</v>
      </c>
      <c r="C268">
        <v>238.4</v>
      </c>
      <c r="E268">
        <v>8.826</v>
      </c>
      <c r="F268">
        <v>-159.1</v>
      </c>
      <c r="G268">
        <v>238.4</v>
      </c>
      <c r="I268">
        <f t="shared" si="12"/>
        <v>8.8</v>
      </c>
      <c r="J268">
        <f t="shared" si="13"/>
        <v>-9.09999999999999</v>
      </c>
      <c r="K268">
        <f t="shared" si="14"/>
        <v>5</v>
      </c>
    </row>
    <row r="269" spans="1:11">
      <c r="A269">
        <v>8.893</v>
      </c>
      <c r="B269">
        <v>-157.9</v>
      </c>
      <c r="C269">
        <v>238.4</v>
      </c>
      <c r="E269">
        <v>8.859</v>
      </c>
      <c r="F269">
        <v>-158.8</v>
      </c>
      <c r="G269">
        <v>238.4</v>
      </c>
      <c r="I269">
        <f t="shared" si="12"/>
        <v>8.85</v>
      </c>
      <c r="J269">
        <f t="shared" si="13"/>
        <v>-8.80000000000001</v>
      </c>
      <c r="K269">
        <f t="shared" si="14"/>
        <v>5</v>
      </c>
    </row>
    <row r="270" spans="1:11">
      <c r="A270">
        <v>8.926</v>
      </c>
      <c r="B270">
        <v>-156.9</v>
      </c>
      <c r="C270">
        <v>238.4</v>
      </c>
      <c r="E270">
        <v>8.893</v>
      </c>
      <c r="F270">
        <v>-157.9</v>
      </c>
      <c r="G270">
        <v>238.4</v>
      </c>
      <c r="I270">
        <f t="shared" si="12"/>
        <v>8.85</v>
      </c>
      <c r="J270">
        <f t="shared" si="13"/>
        <v>-7.90000000000001</v>
      </c>
      <c r="K270">
        <f t="shared" si="14"/>
        <v>5</v>
      </c>
    </row>
    <row r="271" spans="1:11">
      <c r="A271">
        <v>8.959</v>
      </c>
      <c r="B271">
        <v>-156.1</v>
      </c>
      <c r="C271">
        <v>238.4</v>
      </c>
      <c r="E271">
        <v>8.926</v>
      </c>
      <c r="F271">
        <v>-156.9</v>
      </c>
      <c r="G271">
        <v>238.4</v>
      </c>
      <c r="I271">
        <f t="shared" si="12"/>
        <v>8.9</v>
      </c>
      <c r="J271">
        <f t="shared" si="13"/>
        <v>-6.90000000000001</v>
      </c>
      <c r="K271">
        <f t="shared" si="14"/>
        <v>5</v>
      </c>
    </row>
    <row r="272" spans="1:11">
      <c r="A272">
        <v>8.993</v>
      </c>
      <c r="B272">
        <v>-155.4</v>
      </c>
      <c r="C272">
        <v>238.4</v>
      </c>
      <c r="E272">
        <v>8.959</v>
      </c>
      <c r="F272">
        <v>-156.1</v>
      </c>
      <c r="G272">
        <v>238.4</v>
      </c>
      <c r="I272">
        <f t="shared" si="12"/>
        <v>8.95</v>
      </c>
      <c r="J272">
        <f t="shared" si="13"/>
        <v>-6.09999999999999</v>
      </c>
      <c r="K272">
        <f t="shared" si="14"/>
        <v>5</v>
      </c>
    </row>
    <row r="273" spans="1:11">
      <c r="A273">
        <v>9.026</v>
      </c>
      <c r="B273">
        <v>-154.6</v>
      </c>
      <c r="C273">
        <v>238.4</v>
      </c>
      <c r="E273">
        <v>8.993</v>
      </c>
      <c r="F273">
        <v>-155.4</v>
      </c>
      <c r="G273">
        <v>238.4</v>
      </c>
      <c r="I273">
        <f t="shared" si="12"/>
        <v>8.95</v>
      </c>
      <c r="J273">
        <f t="shared" si="13"/>
        <v>-5.40000000000001</v>
      </c>
      <c r="K273">
        <f t="shared" si="14"/>
        <v>5</v>
      </c>
    </row>
    <row r="274" spans="1:11">
      <c r="A274">
        <v>9.06</v>
      </c>
      <c r="B274">
        <v>-153.6</v>
      </c>
      <c r="C274">
        <v>238.4</v>
      </c>
      <c r="E274">
        <v>9.026</v>
      </c>
      <c r="F274">
        <v>-154.6</v>
      </c>
      <c r="G274">
        <v>238.4</v>
      </c>
      <c r="I274">
        <f t="shared" si="12"/>
        <v>9</v>
      </c>
      <c r="J274">
        <f t="shared" si="13"/>
        <v>-4.59999999999999</v>
      </c>
      <c r="K274">
        <f t="shared" si="14"/>
        <v>5</v>
      </c>
    </row>
    <row r="275" spans="1:11">
      <c r="A275">
        <v>9.093</v>
      </c>
      <c r="B275">
        <v>-152.2</v>
      </c>
      <c r="C275">
        <v>238.4</v>
      </c>
      <c r="E275">
        <v>9.06</v>
      </c>
      <c r="F275">
        <v>-153.6</v>
      </c>
      <c r="G275">
        <v>238.4</v>
      </c>
      <c r="I275">
        <f t="shared" si="12"/>
        <v>9.05</v>
      </c>
      <c r="J275">
        <f t="shared" si="13"/>
        <v>-3.59999999999999</v>
      </c>
      <c r="K275">
        <f t="shared" si="14"/>
        <v>5</v>
      </c>
    </row>
    <row r="276" spans="1:11">
      <c r="A276">
        <v>9.127</v>
      </c>
      <c r="B276">
        <v>-151.2</v>
      </c>
      <c r="C276">
        <v>238.4</v>
      </c>
      <c r="E276">
        <v>9.093</v>
      </c>
      <c r="F276">
        <v>-152.2</v>
      </c>
      <c r="G276">
        <v>238.4</v>
      </c>
      <c r="I276">
        <f t="shared" si="12"/>
        <v>9.05</v>
      </c>
      <c r="J276">
        <f t="shared" si="13"/>
        <v>-2.19999999999999</v>
      </c>
      <c r="K276">
        <f t="shared" si="14"/>
        <v>5</v>
      </c>
    </row>
    <row r="277" spans="1:11">
      <c r="A277">
        <v>9.16</v>
      </c>
      <c r="B277">
        <v>-150.3</v>
      </c>
      <c r="C277">
        <v>238.4</v>
      </c>
      <c r="E277">
        <v>9.127</v>
      </c>
      <c r="F277">
        <v>-151.2</v>
      </c>
      <c r="G277">
        <v>238.4</v>
      </c>
      <c r="I277">
        <f t="shared" si="12"/>
        <v>9.1</v>
      </c>
      <c r="J277">
        <f t="shared" si="13"/>
        <v>-1.19999999999999</v>
      </c>
      <c r="K277">
        <f t="shared" si="14"/>
        <v>5</v>
      </c>
    </row>
    <row r="278" spans="1:11">
      <c r="A278">
        <v>9.193</v>
      </c>
      <c r="B278">
        <v>-149.6</v>
      </c>
      <c r="C278">
        <v>238.4</v>
      </c>
      <c r="E278">
        <v>9.16</v>
      </c>
      <c r="F278">
        <v>-150.3</v>
      </c>
      <c r="G278">
        <v>238.4</v>
      </c>
      <c r="I278">
        <f t="shared" si="12"/>
        <v>9.15</v>
      </c>
      <c r="J278">
        <f t="shared" si="13"/>
        <v>-0.300000000000011</v>
      </c>
      <c r="K278">
        <f t="shared" si="14"/>
        <v>5</v>
      </c>
    </row>
    <row r="279" spans="1:11">
      <c r="A279">
        <v>9.227</v>
      </c>
      <c r="B279">
        <v>-148.6</v>
      </c>
      <c r="C279">
        <v>238.4</v>
      </c>
      <c r="E279">
        <v>9.193</v>
      </c>
      <c r="F279">
        <v>-149.6</v>
      </c>
      <c r="G279">
        <v>238.4</v>
      </c>
      <c r="I279">
        <f t="shared" si="12"/>
        <v>9.15</v>
      </c>
      <c r="J279">
        <f t="shared" si="13"/>
        <v>0.400000000000006</v>
      </c>
      <c r="K279">
        <f t="shared" si="14"/>
        <v>5</v>
      </c>
    </row>
    <row r="280" spans="1:11">
      <c r="A280">
        <v>9.26</v>
      </c>
      <c r="B280">
        <v>-147.8</v>
      </c>
      <c r="C280">
        <v>238.4</v>
      </c>
      <c r="E280">
        <v>9.227</v>
      </c>
      <c r="F280">
        <v>-148.6</v>
      </c>
      <c r="G280">
        <v>238.4</v>
      </c>
      <c r="I280">
        <f t="shared" si="12"/>
        <v>9.2</v>
      </c>
      <c r="J280">
        <f t="shared" si="13"/>
        <v>1.40000000000001</v>
      </c>
      <c r="K280">
        <f t="shared" si="14"/>
        <v>5</v>
      </c>
    </row>
    <row r="281" spans="1:11">
      <c r="A281">
        <v>9.294</v>
      </c>
      <c r="B281">
        <v>-147.2</v>
      </c>
      <c r="C281">
        <v>238.4</v>
      </c>
      <c r="E281">
        <v>9.26</v>
      </c>
      <c r="F281">
        <v>-147.8</v>
      </c>
      <c r="G281">
        <v>238.4</v>
      </c>
      <c r="I281">
        <f t="shared" si="12"/>
        <v>9.25</v>
      </c>
      <c r="J281">
        <f t="shared" si="13"/>
        <v>2.19999999999999</v>
      </c>
      <c r="K281">
        <f t="shared" si="14"/>
        <v>5</v>
      </c>
    </row>
    <row r="282" spans="1:11">
      <c r="A282">
        <v>9.327</v>
      </c>
      <c r="B282">
        <v>-146.8</v>
      </c>
      <c r="C282">
        <v>238.4</v>
      </c>
      <c r="E282">
        <v>9.294</v>
      </c>
      <c r="F282">
        <v>-147.2</v>
      </c>
      <c r="G282">
        <v>238.4</v>
      </c>
      <c r="I282">
        <f t="shared" si="12"/>
        <v>9.25</v>
      </c>
      <c r="J282">
        <f t="shared" si="13"/>
        <v>2.80000000000001</v>
      </c>
      <c r="K282">
        <f t="shared" si="14"/>
        <v>5</v>
      </c>
    </row>
    <row r="283" spans="1:11">
      <c r="A283">
        <v>9.361</v>
      </c>
      <c r="B283">
        <v>-146.3</v>
      </c>
      <c r="C283">
        <v>238.4</v>
      </c>
      <c r="E283">
        <v>9.327</v>
      </c>
      <c r="F283">
        <v>-146.8</v>
      </c>
      <c r="G283">
        <v>238.4</v>
      </c>
      <c r="I283">
        <f t="shared" si="12"/>
        <v>9.3</v>
      </c>
      <c r="J283">
        <f t="shared" si="13"/>
        <v>3.19999999999999</v>
      </c>
      <c r="K283">
        <f t="shared" si="14"/>
        <v>5</v>
      </c>
    </row>
    <row r="284" spans="1:11">
      <c r="A284">
        <v>9.394</v>
      </c>
      <c r="B284">
        <v>-146.2</v>
      </c>
      <c r="C284">
        <v>238.4</v>
      </c>
      <c r="E284">
        <v>9.361</v>
      </c>
      <c r="F284">
        <v>-146.3</v>
      </c>
      <c r="G284">
        <v>238.4</v>
      </c>
      <c r="I284">
        <f t="shared" si="12"/>
        <v>9.35</v>
      </c>
      <c r="J284">
        <f t="shared" si="13"/>
        <v>3.69999999999999</v>
      </c>
      <c r="K284">
        <f t="shared" si="14"/>
        <v>5</v>
      </c>
    </row>
    <row r="285" spans="1:11">
      <c r="A285">
        <v>9.428</v>
      </c>
      <c r="B285">
        <v>-146.1</v>
      </c>
      <c r="C285">
        <v>133.1</v>
      </c>
      <c r="E285">
        <v>9.394</v>
      </c>
      <c r="F285">
        <v>-146.2</v>
      </c>
      <c r="G285">
        <v>238.4</v>
      </c>
      <c r="I285">
        <f t="shared" si="12"/>
        <v>9.35</v>
      </c>
      <c r="J285">
        <f t="shared" si="13"/>
        <v>3.80000000000001</v>
      </c>
      <c r="K285">
        <f t="shared" si="14"/>
        <v>5</v>
      </c>
    </row>
    <row r="286" spans="1:11">
      <c r="A286">
        <v>9.461</v>
      </c>
      <c r="B286">
        <v>-146.2</v>
      </c>
      <c r="C286">
        <v>147.6</v>
      </c>
      <c r="E286">
        <v>9.428</v>
      </c>
      <c r="F286">
        <v>-146.1</v>
      </c>
      <c r="G286">
        <v>133.1</v>
      </c>
      <c r="I286">
        <f t="shared" si="12"/>
        <v>9.4</v>
      </c>
      <c r="J286">
        <f t="shared" si="13"/>
        <v>3.90000000000001</v>
      </c>
      <c r="K286">
        <f t="shared" si="14"/>
        <v>-5.5</v>
      </c>
    </row>
    <row r="287" spans="1:11">
      <c r="A287">
        <v>9.494</v>
      </c>
      <c r="B287">
        <v>-146.3</v>
      </c>
      <c r="C287">
        <v>146.2</v>
      </c>
      <c r="E287">
        <v>9.461</v>
      </c>
      <c r="F287">
        <v>-146.2</v>
      </c>
      <c r="G287">
        <v>147.6</v>
      </c>
      <c r="I287">
        <f t="shared" si="12"/>
        <v>9.45</v>
      </c>
      <c r="J287">
        <f t="shared" si="13"/>
        <v>3.80000000000001</v>
      </c>
      <c r="K287">
        <f t="shared" si="14"/>
        <v>-5.5</v>
      </c>
    </row>
    <row r="288" spans="1:11">
      <c r="A288">
        <v>9.528</v>
      </c>
      <c r="B288">
        <v>-146.4</v>
      </c>
      <c r="C288">
        <v>143.7</v>
      </c>
      <c r="E288">
        <v>9.494</v>
      </c>
      <c r="F288">
        <v>-146.3</v>
      </c>
      <c r="G288">
        <v>146.2</v>
      </c>
      <c r="I288">
        <f t="shared" si="12"/>
        <v>9.45</v>
      </c>
      <c r="J288">
        <f t="shared" si="13"/>
        <v>3.69999999999999</v>
      </c>
      <c r="K288">
        <f t="shared" si="14"/>
        <v>-5.5</v>
      </c>
    </row>
    <row r="289" spans="1:11">
      <c r="A289">
        <v>9.561</v>
      </c>
      <c r="B289">
        <v>-146.6</v>
      </c>
      <c r="C289">
        <v>141.7</v>
      </c>
      <c r="E289">
        <v>9.528</v>
      </c>
      <c r="F289">
        <v>-146.4</v>
      </c>
      <c r="G289">
        <v>143.7</v>
      </c>
      <c r="I289">
        <f t="shared" si="12"/>
        <v>9.5</v>
      </c>
      <c r="J289">
        <f t="shared" si="13"/>
        <v>3.59999999999999</v>
      </c>
      <c r="K289">
        <f t="shared" si="14"/>
        <v>-5.5</v>
      </c>
    </row>
    <row r="290" spans="1:11">
      <c r="A290">
        <v>9.595</v>
      </c>
      <c r="B290">
        <v>-146.7</v>
      </c>
      <c r="C290">
        <v>140.5</v>
      </c>
      <c r="E290">
        <v>9.561</v>
      </c>
      <c r="F290">
        <v>-146.6</v>
      </c>
      <c r="G290">
        <v>141.7</v>
      </c>
      <c r="I290">
        <f t="shared" si="12"/>
        <v>9.55</v>
      </c>
      <c r="J290">
        <f t="shared" si="13"/>
        <v>3.40000000000001</v>
      </c>
      <c r="K290">
        <f t="shared" si="14"/>
        <v>-5.5</v>
      </c>
    </row>
    <row r="291" spans="1:11">
      <c r="A291">
        <v>9.628</v>
      </c>
      <c r="B291">
        <v>-147</v>
      </c>
      <c r="C291">
        <v>137.6</v>
      </c>
      <c r="E291">
        <v>9.595</v>
      </c>
      <c r="F291">
        <v>-146.7</v>
      </c>
      <c r="G291">
        <v>140.5</v>
      </c>
      <c r="I291">
        <f t="shared" si="12"/>
        <v>9.55</v>
      </c>
      <c r="J291">
        <f t="shared" si="13"/>
        <v>3.30000000000001</v>
      </c>
      <c r="K291">
        <f t="shared" si="14"/>
        <v>-5.5</v>
      </c>
    </row>
    <row r="292" spans="1:11">
      <c r="A292">
        <v>9.662</v>
      </c>
      <c r="B292">
        <v>-147.9</v>
      </c>
      <c r="C292">
        <v>136.8</v>
      </c>
      <c r="E292">
        <v>9.628</v>
      </c>
      <c r="F292">
        <v>-147</v>
      </c>
      <c r="G292">
        <v>137.6</v>
      </c>
      <c r="I292">
        <f t="shared" si="12"/>
        <v>9.6</v>
      </c>
      <c r="J292">
        <f t="shared" si="13"/>
        <v>3</v>
      </c>
      <c r="K292">
        <f t="shared" si="14"/>
        <v>-5.5</v>
      </c>
    </row>
    <row r="293" spans="1:11">
      <c r="A293">
        <v>9.695</v>
      </c>
      <c r="B293">
        <v>-148.7</v>
      </c>
      <c r="C293">
        <v>134.3</v>
      </c>
      <c r="E293">
        <v>9.662</v>
      </c>
      <c r="F293">
        <v>-147.9</v>
      </c>
      <c r="G293">
        <v>136.8</v>
      </c>
      <c r="I293">
        <f t="shared" si="12"/>
        <v>9.65</v>
      </c>
      <c r="J293">
        <f t="shared" si="13"/>
        <v>2.09999999999999</v>
      </c>
      <c r="K293">
        <f t="shared" si="14"/>
        <v>-5.5</v>
      </c>
    </row>
    <row r="294" spans="1:11">
      <c r="A294">
        <v>9.728</v>
      </c>
      <c r="B294">
        <v>-149.7</v>
      </c>
      <c r="C294">
        <v>131.9</v>
      </c>
      <c r="E294">
        <v>9.695</v>
      </c>
      <c r="F294">
        <v>-148.7</v>
      </c>
      <c r="G294">
        <v>134.3</v>
      </c>
      <c r="I294">
        <f t="shared" si="12"/>
        <v>9.65</v>
      </c>
      <c r="J294">
        <f t="shared" si="13"/>
        <v>1.30000000000001</v>
      </c>
      <c r="K294">
        <f t="shared" si="14"/>
        <v>-5.5</v>
      </c>
    </row>
    <row r="295" spans="1:11">
      <c r="A295">
        <v>9.762</v>
      </c>
      <c r="B295">
        <v>-150.6</v>
      </c>
      <c r="C295">
        <v>131</v>
      </c>
      <c r="E295">
        <v>9.728</v>
      </c>
      <c r="F295">
        <v>-149.7</v>
      </c>
      <c r="G295">
        <v>131.9</v>
      </c>
      <c r="I295">
        <f t="shared" si="12"/>
        <v>9.7</v>
      </c>
      <c r="J295">
        <f t="shared" si="13"/>
        <v>0.300000000000011</v>
      </c>
      <c r="K295">
        <f t="shared" si="14"/>
        <v>-5.5</v>
      </c>
    </row>
    <row r="296" spans="1:11">
      <c r="A296">
        <v>9.795</v>
      </c>
      <c r="B296">
        <v>-151.7</v>
      </c>
      <c r="C296">
        <v>130.2</v>
      </c>
      <c r="E296">
        <v>9.762</v>
      </c>
      <c r="F296">
        <v>-150.6</v>
      </c>
      <c r="G296">
        <v>131</v>
      </c>
      <c r="I296">
        <f t="shared" si="12"/>
        <v>9.75</v>
      </c>
      <c r="J296">
        <f t="shared" si="13"/>
        <v>-0.599999999999994</v>
      </c>
      <c r="K296">
        <f t="shared" si="14"/>
        <v>-5.5</v>
      </c>
    </row>
    <row r="297" spans="1:11">
      <c r="A297">
        <v>9.829</v>
      </c>
      <c r="B297">
        <v>-152.8</v>
      </c>
      <c r="C297">
        <v>127.2</v>
      </c>
      <c r="E297">
        <v>9.795</v>
      </c>
      <c r="F297">
        <v>-151.7</v>
      </c>
      <c r="G297">
        <v>130.2</v>
      </c>
      <c r="I297">
        <f t="shared" si="12"/>
        <v>9.75</v>
      </c>
      <c r="J297">
        <f t="shared" si="13"/>
        <v>-1.69999999999999</v>
      </c>
      <c r="K297">
        <f t="shared" si="14"/>
        <v>-5.5</v>
      </c>
    </row>
    <row r="298" spans="1:11">
      <c r="A298">
        <v>9.862</v>
      </c>
      <c r="B298">
        <v>-153.9</v>
      </c>
      <c r="C298">
        <v>125.2</v>
      </c>
      <c r="E298">
        <v>9.829</v>
      </c>
      <c r="F298">
        <v>-152.8</v>
      </c>
      <c r="G298">
        <v>127.2</v>
      </c>
      <c r="I298">
        <f t="shared" si="12"/>
        <v>9.8</v>
      </c>
      <c r="J298">
        <f t="shared" si="13"/>
        <v>-2.80000000000001</v>
      </c>
      <c r="K298">
        <f t="shared" si="14"/>
        <v>-5.5</v>
      </c>
    </row>
    <row r="299" spans="1:11">
      <c r="A299">
        <v>9.896</v>
      </c>
      <c r="B299">
        <v>-155.2</v>
      </c>
      <c r="C299">
        <v>123.6</v>
      </c>
      <c r="E299">
        <v>9.862</v>
      </c>
      <c r="F299">
        <v>-153.9</v>
      </c>
      <c r="G299">
        <v>125.2</v>
      </c>
      <c r="I299">
        <f t="shared" si="12"/>
        <v>9.85</v>
      </c>
      <c r="J299">
        <f t="shared" si="13"/>
        <v>-3.90000000000001</v>
      </c>
      <c r="K299">
        <f t="shared" si="14"/>
        <v>-5.5</v>
      </c>
    </row>
    <row r="300" spans="1:11">
      <c r="A300">
        <v>9.929</v>
      </c>
      <c r="B300">
        <v>-156.3</v>
      </c>
      <c r="C300">
        <v>121.6</v>
      </c>
      <c r="E300">
        <v>9.896</v>
      </c>
      <c r="F300">
        <v>-155.2</v>
      </c>
      <c r="G300">
        <v>123.6</v>
      </c>
      <c r="I300">
        <f t="shared" si="12"/>
        <v>9.85</v>
      </c>
      <c r="J300">
        <f t="shared" si="13"/>
        <v>-5.19999999999999</v>
      </c>
      <c r="K300">
        <f t="shared" si="14"/>
        <v>-5.5</v>
      </c>
    </row>
    <row r="301" spans="1:11">
      <c r="A301">
        <v>9.962</v>
      </c>
      <c r="B301">
        <v>-157.2</v>
      </c>
      <c r="C301">
        <v>121.2</v>
      </c>
      <c r="E301">
        <v>9.929</v>
      </c>
      <c r="F301">
        <v>-156.3</v>
      </c>
      <c r="G301">
        <v>121.6</v>
      </c>
      <c r="I301">
        <f t="shared" si="12"/>
        <v>9.9</v>
      </c>
      <c r="J301">
        <f t="shared" si="13"/>
        <v>-6.30000000000001</v>
      </c>
      <c r="K301">
        <f t="shared" si="14"/>
        <v>-5.5</v>
      </c>
    </row>
    <row r="302" spans="1:11">
      <c r="A302">
        <v>9.996</v>
      </c>
      <c r="B302">
        <v>-158.3</v>
      </c>
      <c r="C302">
        <v>117.3</v>
      </c>
      <c r="E302">
        <v>9.962</v>
      </c>
      <c r="F302">
        <v>-157.2</v>
      </c>
      <c r="G302">
        <v>121.2</v>
      </c>
      <c r="I302">
        <f t="shared" si="12"/>
        <v>9.95</v>
      </c>
      <c r="J302">
        <f t="shared" si="13"/>
        <v>-7.19999999999999</v>
      </c>
      <c r="K302">
        <f t="shared" si="14"/>
        <v>-5.5</v>
      </c>
    </row>
    <row r="303" spans="1:11">
      <c r="A303">
        <v>10.029</v>
      </c>
      <c r="B303">
        <v>-159.2</v>
      </c>
      <c r="C303">
        <v>115.1</v>
      </c>
      <c r="E303">
        <v>9.996</v>
      </c>
      <c r="F303">
        <v>-158.3</v>
      </c>
      <c r="G303">
        <v>117.3</v>
      </c>
      <c r="I303">
        <f t="shared" si="12"/>
        <v>9.95</v>
      </c>
      <c r="J303">
        <f t="shared" si="13"/>
        <v>-8.30000000000001</v>
      </c>
      <c r="K303">
        <f t="shared" si="14"/>
        <v>-5.5</v>
      </c>
    </row>
    <row r="304" spans="1:11">
      <c r="A304">
        <v>10.063</v>
      </c>
      <c r="B304">
        <v>-160</v>
      </c>
      <c r="C304">
        <v>112.8</v>
      </c>
      <c r="E304">
        <v>10.029</v>
      </c>
      <c r="F304">
        <v>-159.2</v>
      </c>
      <c r="G304">
        <v>115.1</v>
      </c>
      <c r="I304">
        <f t="shared" si="12"/>
        <v>10</v>
      </c>
      <c r="J304">
        <f t="shared" si="13"/>
        <v>-9.19999999999999</v>
      </c>
      <c r="K304">
        <f t="shared" si="14"/>
        <v>-5.5</v>
      </c>
    </row>
    <row r="305" spans="1:11">
      <c r="A305">
        <v>10.096</v>
      </c>
      <c r="B305">
        <v>-160.5</v>
      </c>
      <c r="C305">
        <v>111.7</v>
      </c>
      <c r="E305">
        <v>10.063</v>
      </c>
      <c r="F305">
        <v>-160</v>
      </c>
      <c r="G305">
        <v>112.8</v>
      </c>
      <c r="I305">
        <f t="shared" si="12"/>
        <v>10.05</v>
      </c>
      <c r="J305">
        <f t="shared" si="13"/>
        <v>-10</v>
      </c>
      <c r="K305">
        <f t="shared" si="14"/>
        <v>-5.5</v>
      </c>
    </row>
    <row r="306" spans="1:11">
      <c r="A306">
        <v>10.13</v>
      </c>
      <c r="B306">
        <v>-161</v>
      </c>
      <c r="C306">
        <v>108.6</v>
      </c>
      <c r="E306">
        <v>10.096</v>
      </c>
      <c r="F306">
        <v>-160.5</v>
      </c>
      <c r="G306">
        <v>111.7</v>
      </c>
      <c r="I306">
        <f t="shared" si="12"/>
        <v>10.05</v>
      </c>
      <c r="J306">
        <f t="shared" si="13"/>
        <v>-10.5</v>
      </c>
      <c r="K306">
        <f t="shared" si="14"/>
        <v>-5.5</v>
      </c>
    </row>
    <row r="307" spans="1:11">
      <c r="A307">
        <v>10.163</v>
      </c>
      <c r="B307">
        <v>-161.1</v>
      </c>
      <c r="C307">
        <v>108.2</v>
      </c>
      <c r="E307">
        <v>10.13</v>
      </c>
      <c r="F307">
        <v>-161</v>
      </c>
      <c r="G307">
        <v>108.6</v>
      </c>
      <c r="I307">
        <f t="shared" si="12"/>
        <v>10.1</v>
      </c>
      <c r="J307">
        <f t="shared" si="13"/>
        <v>-11</v>
      </c>
      <c r="K307">
        <f t="shared" si="14"/>
        <v>-5.5</v>
      </c>
    </row>
    <row r="308" spans="1:11">
      <c r="A308">
        <v>10.196</v>
      </c>
      <c r="B308">
        <v>-161.6</v>
      </c>
      <c r="C308">
        <v>228.7</v>
      </c>
      <c r="E308">
        <v>10.163</v>
      </c>
      <c r="F308">
        <v>-161.1</v>
      </c>
      <c r="G308">
        <v>108.2</v>
      </c>
      <c r="I308">
        <f t="shared" si="12"/>
        <v>10.15</v>
      </c>
      <c r="J308">
        <f t="shared" si="13"/>
        <v>-11.1</v>
      </c>
      <c r="K308">
        <f t="shared" si="14"/>
        <v>-5.5</v>
      </c>
    </row>
    <row r="309" spans="1:11">
      <c r="A309">
        <v>10.23</v>
      </c>
      <c r="B309">
        <v>-161.6</v>
      </c>
      <c r="C309">
        <v>238.4</v>
      </c>
      <c r="E309">
        <v>10.196</v>
      </c>
      <c r="F309">
        <v>-161.6</v>
      </c>
      <c r="G309">
        <v>228.7</v>
      </c>
      <c r="I309">
        <f t="shared" si="12"/>
        <v>10.15</v>
      </c>
      <c r="J309">
        <f t="shared" si="13"/>
        <v>-11.6</v>
      </c>
      <c r="K309">
        <f t="shared" si="14"/>
        <v>-5.5</v>
      </c>
    </row>
    <row r="310" spans="1:11">
      <c r="A310">
        <v>10.263</v>
      </c>
      <c r="B310">
        <v>-161.6</v>
      </c>
      <c r="C310">
        <v>238.4</v>
      </c>
      <c r="E310">
        <v>10.23</v>
      </c>
      <c r="F310">
        <v>-161.6</v>
      </c>
      <c r="G310">
        <v>238.4</v>
      </c>
      <c r="I310">
        <f t="shared" si="12"/>
        <v>10.2</v>
      </c>
      <c r="J310">
        <f t="shared" si="13"/>
        <v>-11.6</v>
      </c>
      <c r="K310">
        <f t="shared" si="14"/>
        <v>5</v>
      </c>
    </row>
    <row r="311" spans="1:11">
      <c r="A311">
        <v>10.297</v>
      </c>
      <c r="B311">
        <v>-161.4</v>
      </c>
      <c r="C311">
        <v>238.4</v>
      </c>
      <c r="E311">
        <v>10.263</v>
      </c>
      <c r="F311">
        <v>-161.6</v>
      </c>
      <c r="G311">
        <v>238.4</v>
      </c>
      <c r="I311">
        <f t="shared" si="12"/>
        <v>10.25</v>
      </c>
      <c r="J311">
        <f t="shared" si="13"/>
        <v>-11.6</v>
      </c>
      <c r="K311">
        <f t="shared" si="14"/>
        <v>5</v>
      </c>
    </row>
    <row r="312" spans="1:11">
      <c r="A312">
        <v>10.33</v>
      </c>
      <c r="B312">
        <v>-161.3</v>
      </c>
      <c r="C312">
        <v>238.4</v>
      </c>
      <c r="E312">
        <v>10.297</v>
      </c>
      <c r="F312">
        <v>-161.4</v>
      </c>
      <c r="G312">
        <v>238.4</v>
      </c>
      <c r="I312">
        <f t="shared" si="12"/>
        <v>10.25</v>
      </c>
      <c r="J312">
        <f t="shared" si="13"/>
        <v>-11.4</v>
      </c>
      <c r="K312">
        <f t="shared" si="14"/>
        <v>5</v>
      </c>
    </row>
    <row r="313" spans="1:11">
      <c r="A313">
        <v>10.364</v>
      </c>
      <c r="B313">
        <v>-161.1</v>
      </c>
      <c r="C313">
        <v>238.4</v>
      </c>
      <c r="E313">
        <v>10.33</v>
      </c>
      <c r="F313">
        <v>-161.3</v>
      </c>
      <c r="G313">
        <v>238.4</v>
      </c>
      <c r="I313">
        <f t="shared" si="12"/>
        <v>10.3</v>
      </c>
      <c r="J313">
        <f t="shared" si="13"/>
        <v>-11.3</v>
      </c>
      <c r="K313">
        <f t="shared" si="14"/>
        <v>5</v>
      </c>
    </row>
    <row r="314" spans="1:11">
      <c r="A314">
        <v>10.397</v>
      </c>
      <c r="B314">
        <v>-160.7</v>
      </c>
      <c r="C314">
        <v>238.4</v>
      </c>
      <c r="E314">
        <v>10.364</v>
      </c>
      <c r="F314">
        <v>-161.1</v>
      </c>
      <c r="G314">
        <v>238.4</v>
      </c>
      <c r="I314">
        <f t="shared" si="12"/>
        <v>10.35</v>
      </c>
      <c r="J314">
        <f t="shared" si="13"/>
        <v>-11.1</v>
      </c>
      <c r="K314">
        <f t="shared" si="14"/>
        <v>5</v>
      </c>
    </row>
    <row r="315" spans="1:11">
      <c r="A315">
        <v>10.43</v>
      </c>
      <c r="B315">
        <v>-159.9</v>
      </c>
      <c r="C315">
        <v>238.4</v>
      </c>
      <c r="E315">
        <v>10.397</v>
      </c>
      <c r="F315">
        <v>-160.7</v>
      </c>
      <c r="G315">
        <v>238.4</v>
      </c>
      <c r="I315">
        <f t="shared" si="12"/>
        <v>10.35</v>
      </c>
      <c r="J315">
        <f t="shared" si="13"/>
        <v>-10.7</v>
      </c>
      <c r="K315">
        <f t="shared" si="14"/>
        <v>5</v>
      </c>
    </row>
    <row r="316" spans="1:11">
      <c r="A316">
        <v>10.464</v>
      </c>
      <c r="B316">
        <v>-159</v>
      </c>
      <c r="C316">
        <v>238.4</v>
      </c>
      <c r="E316">
        <v>10.43</v>
      </c>
      <c r="F316">
        <v>-159.9</v>
      </c>
      <c r="G316">
        <v>238.4</v>
      </c>
      <c r="I316">
        <f t="shared" si="12"/>
        <v>10.4</v>
      </c>
      <c r="J316">
        <f t="shared" si="13"/>
        <v>-9.90000000000001</v>
      </c>
      <c r="K316">
        <f t="shared" si="14"/>
        <v>5</v>
      </c>
    </row>
    <row r="317" spans="1:11">
      <c r="A317">
        <v>10.497</v>
      </c>
      <c r="B317">
        <v>-157.7</v>
      </c>
      <c r="C317">
        <v>238.4</v>
      </c>
      <c r="E317">
        <v>10.464</v>
      </c>
      <c r="F317">
        <v>-159</v>
      </c>
      <c r="G317">
        <v>238.4</v>
      </c>
      <c r="I317">
        <f t="shared" si="12"/>
        <v>10.45</v>
      </c>
      <c r="J317">
        <f t="shared" si="13"/>
        <v>-9</v>
      </c>
      <c r="K317">
        <f t="shared" si="14"/>
        <v>5</v>
      </c>
    </row>
    <row r="318" spans="1:11">
      <c r="A318">
        <v>10.531</v>
      </c>
      <c r="B318">
        <v>-156.5</v>
      </c>
      <c r="C318">
        <v>238.4</v>
      </c>
      <c r="E318">
        <v>10.497</v>
      </c>
      <c r="F318">
        <v>-157.7</v>
      </c>
      <c r="G318">
        <v>238.4</v>
      </c>
      <c r="I318">
        <f t="shared" si="12"/>
        <v>10.45</v>
      </c>
      <c r="J318">
        <f t="shared" si="13"/>
        <v>-7.69999999999999</v>
      </c>
      <c r="K318">
        <f t="shared" si="14"/>
        <v>5</v>
      </c>
    </row>
    <row r="319" spans="1:11">
      <c r="A319">
        <v>10.564</v>
      </c>
      <c r="B319">
        <v>-155.5</v>
      </c>
      <c r="C319">
        <v>238.4</v>
      </c>
      <c r="E319">
        <v>10.531</v>
      </c>
      <c r="F319">
        <v>-156.5</v>
      </c>
      <c r="G319">
        <v>238.4</v>
      </c>
      <c r="I319">
        <f t="shared" si="12"/>
        <v>10.5</v>
      </c>
      <c r="J319">
        <f t="shared" si="13"/>
        <v>-6.5</v>
      </c>
      <c r="K319">
        <f t="shared" si="14"/>
        <v>5</v>
      </c>
    </row>
    <row r="320" spans="1:11">
      <c r="A320">
        <v>10.598</v>
      </c>
      <c r="B320">
        <v>-154.4</v>
      </c>
      <c r="C320">
        <v>238.4</v>
      </c>
      <c r="E320">
        <v>10.564</v>
      </c>
      <c r="F320">
        <v>-155.5</v>
      </c>
      <c r="G320">
        <v>238.4</v>
      </c>
      <c r="I320">
        <f t="shared" si="12"/>
        <v>10.55</v>
      </c>
      <c r="J320">
        <f t="shared" si="13"/>
        <v>-5.5</v>
      </c>
      <c r="K320">
        <f t="shared" si="14"/>
        <v>5</v>
      </c>
    </row>
    <row r="321" spans="1:11">
      <c r="A321">
        <v>10.631</v>
      </c>
      <c r="B321">
        <v>-152.9</v>
      </c>
      <c r="C321">
        <v>238.4</v>
      </c>
      <c r="E321">
        <v>10.598</v>
      </c>
      <c r="F321">
        <v>-154.4</v>
      </c>
      <c r="G321">
        <v>238.4</v>
      </c>
      <c r="I321">
        <f t="shared" ref="I321:I384" si="15">FLOOR(E321,0.05)</f>
        <v>10.55</v>
      </c>
      <c r="J321">
        <f t="shared" si="13"/>
        <v>-4.40000000000001</v>
      </c>
      <c r="K321">
        <f t="shared" si="14"/>
        <v>5</v>
      </c>
    </row>
    <row r="322" spans="1:11">
      <c r="A322">
        <v>10.664</v>
      </c>
      <c r="B322">
        <v>-151.4</v>
      </c>
      <c r="C322">
        <v>238.4</v>
      </c>
      <c r="E322">
        <v>10.631</v>
      </c>
      <c r="F322">
        <v>-152.9</v>
      </c>
      <c r="G322">
        <v>238.4</v>
      </c>
      <c r="I322">
        <f t="shared" si="15"/>
        <v>10.6</v>
      </c>
      <c r="J322">
        <f t="shared" si="13"/>
        <v>-2.90000000000001</v>
      </c>
      <c r="K322">
        <f t="shared" si="14"/>
        <v>5</v>
      </c>
    </row>
    <row r="323" spans="1:11">
      <c r="A323">
        <v>10.698</v>
      </c>
      <c r="B323">
        <v>-150.4</v>
      </c>
      <c r="C323">
        <v>238.4</v>
      </c>
      <c r="E323">
        <v>10.664</v>
      </c>
      <c r="F323">
        <v>-151.4</v>
      </c>
      <c r="G323">
        <v>238.4</v>
      </c>
      <c r="I323">
        <f t="shared" si="15"/>
        <v>10.65</v>
      </c>
      <c r="J323">
        <f t="shared" si="13"/>
        <v>-1.40000000000001</v>
      </c>
      <c r="K323">
        <f t="shared" si="14"/>
        <v>5</v>
      </c>
    </row>
    <row r="324" spans="1:11">
      <c r="A324">
        <v>10.731</v>
      </c>
      <c r="B324">
        <v>-149.4</v>
      </c>
      <c r="C324">
        <v>238.4</v>
      </c>
      <c r="E324">
        <v>10.698</v>
      </c>
      <c r="F324">
        <v>-150.4</v>
      </c>
      <c r="G324">
        <v>238.4</v>
      </c>
      <c r="I324">
        <f t="shared" si="15"/>
        <v>10.65</v>
      </c>
      <c r="J324">
        <f t="shared" si="13"/>
        <v>-0.400000000000006</v>
      </c>
      <c r="K324">
        <f t="shared" si="14"/>
        <v>5</v>
      </c>
    </row>
    <row r="325" spans="1:11">
      <c r="A325">
        <v>10.765</v>
      </c>
      <c r="B325">
        <v>-148.3</v>
      </c>
      <c r="C325">
        <v>238.4</v>
      </c>
      <c r="E325">
        <v>10.731</v>
      </c>
      <c r="F325">
        <v>-149.4</v>
      </c>
      <c r="G325">
        <v>238.4</v>
      </c>
      <c r="I325">
        <f t="shared" si="15"/>
        <v>10.7</v>
      </c>
      <c r="J325">
        <f t="shared" ref="J325:J388" si="16">F325+150</f>
        <v>0.599999999999994</v>
      </c>
      <c r="K325">
        <f t="shared" ref="K325:K388" si="17">IF(G325&lt;230,-5.5,5)</f>
        <v>5</v>
      </c>
    </row>
    <row r="326" spans="1:11">
      <c r="A326">
        <v>10.798</v>
      </c>
      <c r="B326">
        <v>-147.3</v>
      </c>
      <c r="C326">
        <v>238.4</v>
      </c>
      <c r="E326">
        <v>10.765</v>
      </c>
      <c r="F326">
        <v>-148.3</v>
      </c>
      <c r="G326">
        <v>238.4</v>
      </c>
      <c r="I326">
        <f t="shared" si="15"/>
        <v>10.75</v>
      </c>
      <c r="J326">
        <f t="shared" si="16"/>
        <v>1.69999999999999</v>
      </c>
      <c r="K326">
        <f t="shared" si="17"/>
        <v>5</v>
      </c>
    </row>
    <row r="327" spans="1:11">
      <c r="A327">
        <v>10.832</v>
      </c>
      <c r="B327">
        <v>-146.5</v>
      </c>
      <c r="C327">
        <v>238.4</v>
      </c>
      <c r="E327">
        <v>10.798</v>
      </c>
      <c r="F327">
        <v>-147.3</v>
      </c>
      <c r="G327">
        <v>238.4</v>
      </c>
      <c r="I327">
        <f t="shared" si="15"/>
        <v>10.75</v>
      </c>
      <c r="J327">
        <f t="shared" si="16"/>
        <v>2.69999999999999</v>
      </c>
      <c r="K327">
        <f t="shared" si="17"/>
        <v>5</v>
      </c>
    </row>
    <row r="328" spans="1:11">
      <c r="A328">
        <v>10.865</v>
      </c>
      <c r="B328">
        <v>-145.6</v>
      </c>
      <c r="C328">
        <v>238.4</v>
      </c>
      <c r="E328">
        <v>10.832</v>
      </c>
      <c r="F328">
        <v>-146.5</v>
      </c>
      <c r="G328">
        <v>238.4</v>
      </c>
      <c r="I328">
        <f t="shared" si="15"/>
        <v>10.8</v>
      </c>
      <c r="J328">
        <f t="shared" si="16"/>
        <v>3.5</v>
      </c>
      <c r="K328">
        <f t="shared" si="17"/>
        <v>5</v>
      </c>
    </row>
    <row r="329" spans="1:11">
      <c r="A329">
        <v>10.898</v>
      </c>
      <c r="B329">
        <v>-144.8</v>
      </c>
      <c r="C329">
        <v>238.4</v>
      </c>
      <c r="E329">
        <v>10.865</v>
      </c>
      <c r="F329">
        <v>-145.6</v>
      </c>
      <c r="G329">
        <v>238.4</v>
      </c>
      <c r="I329">
        <f t="shared" si="15"/>
        <v>10.85</v>
      </c>
      <c r="J329">
        <f t="shared" si="16"/>
        <v>4.40000000000001</v>
      </c>
      <c r="K329">
        <f t="shared" si="17"/>
        <v>5</v>
      </c>
    </row>
    <row r="330" spans="1:11">
      <c r="A330">
        <v>10.932</v>
      </c>
      <c r="B330">
        <v>-144.3</v>
      </c>
      <c r="C330">
        <v>238.4</v>
      </c>
      <c r="E330">
        <v>10.898</v>
      </c>
      <c r="F330">
        <v>-144.8</v>
      </c>
      <c r="G330">
        <v>238.4</v>
      </c>
      <c r="I330">
        <f t="shared" si="15"/>
        <v>10.85</v>
      </c>
      <c r="J330">
        <f t="shared" si="16"/>
        <v>5.19999999999999</v>
      </c>
      <c r="K330">
        <f t="shared" si="17"/>
        <v>5</v>
      </c>
    </row>
    <row r="331" spans="1:11">
      <c r="A331">
        <v>10.965</v>
      </c>
      <c r="B331">
        <v>-144.2</v>
      </c>
      <c r="C331">
        <v>238.4</v>
      </c>
      <c r="E331">
        <v>10.932</v>
      </c>
      <c r="F331">
        <v>-144.3</v>
      </c>
      <c r="G331">
        <v>238.4</v>
      </c>
      <c r="I331">
        <f t="shared" si="15"/>
        <v>10.9</v>
      </c>
      <c r="J331">
        <f t="shared" si="16"/>
        <v>5.69999999999999</v>
      </c>
      <c r="K331">
        <f t="shared" si="17"/>
        <v>5</v>
      </c>
    </row>
    <row r="332" spans="1:11">
      <c r="A332">
        <v>10.999</v>
      </c>
      <c r="B332">
        <v>-144.2</v>
      </c>
      <c r="C332">
        <v>238.4</v>
      </c>
      <c r="E332">
        <v>10.965</v>
      </c>
      <c r="F332">
        <v>-144.2</v>
      </c>
      <c r="G332">
        <v>238.4</v>
      </c>
      <c r="I332">
        <f t="shared" si="15"/>
        <v>10.95</v>
      </c>
      <c r="J332">
        <f t="shared" si="16"/>
        <v>5.80000000000001</v>
      </c>
      <c r="K332">
        <f t="shared" si="17"/>
        <v>5</v>
      </c>
    </row>
    <row r="333" spans="1:11">
      <c r="A333">
        <v>11.032</v>
      </c>
      <c r="B333">
        <v>-144.2</v>
      </c>
      <c r="C333">
        <v>238.3</v>
      </c>
      <c r="E333">
        <v>10.999</v>
      </c>
      <c r="F333">
        <v>-144.2</v>
      </c>
      <c r="G333">
        <v>238.4</v>
      </c>
      <c r="I333">
        <f t="shared" si="15"/>
        <v>10.95</v>
      </c>
      <c r="J333">
        <f t="shared" si="16"/>
        <v>5.80000000000001</v>
      </c>
      <c r="K333">
        <f t="shared" si="17"/>
        <v>5</v>
      </c>
    </row>
    <row r="334" spans="1:11">
      <c r="A334">
        <v>11.066</v>
      </c>
      <c r="B334">
        <v>-144.3</v>
      </c>
      <c r="C334">
        <v>160.3</v>
      </c>
      <c r="E334">
        <v>11.032</v>
      </c>
      <c r="F334">
        <v>-144.2</v>
      </c>
      <c r="G334">
        <v>238.3</v>
      </c>
      <c r="I334">
        <f t="shared" si="15"/>
        <v>11</v>
      </c>
      <c r="J334">
        <f t="shared" si="16"/>
        <v>5.80000000000001</v>
      </c>
      <c r="K334">
        <f t="shared" si="17"/>
        <v>5</v>
      </c>
    </row>
    <row r="335" spans="1:11">
      <c r="A335">
        <v>11.099</v>
      </c>
      <c r="B335">
        <v>-144.4</v>
      </c>
      <c r="C335">
        <v>173.5</v>
      </c>
      <c r="E335">
        <v>11.066</v>
      </c>
      <c r="F335">
        <v>-144.3</v>
      </c>
      <c r="G335">
        <v>160.3</v>
      </c>
      <c r="I335">
        <f t="shared" si="15"/>
        <v>11.05</v>
      </c>
      <c r="J335">
        <f t="shared" si="16"/>
        <v>5.69999999999999</v>
      </c>
      <c r="K335">
        <f t="shared" si="17"/>
        <v>-5.5</v>
      </c>
    </row>
    <row r="336" spans="1:11">
      <c r="A336">
        <v>11.132</v>
      </c>
      <c r="B336">
        <v>-144.6</v>
      </c>
      <c r="C336">
        <v>171.9</v>
      </c>
      <c r="E336">
        <v>11.099</v>
      </c>
      <c r="F336">
        <v>-144.4</v>
      </c>
      <c r="G336">
        <v>173.5</v>
      </c>
      <c r="I336">
        <f t="shared" si="15"/>
        <v>11.05</v>
      </c>
      <c r="J336">
        <f t="shared" si="16"/>
        <v>5.59999999999999</v>
      </c>
      <c r="K336">
        <f t="shared" si="17"/>
        <v>-5.5</v>
      </c>
    </row>
    <row r="337" spans="1:11">
      <c r="A337">
        <v>11.166</v>
      </c>
      <c r="B337">
        <v>-144.8</v>
      </c>
      <c r="C337">
        <v>170.7</v>
      </c>
      <c r="E337">
        <v>11.132</v>
      </c>
      <c r="F337">
        <v>-144.6</v>
      </c>
      <c r="G337">
        <v>171.9</v>
      </c>
      <c r="I337">
        <f t="shared" si="15"/>
        <v>11.1</v>
      </c>
      <c r="J337">
        <f t="shared" si="16"/>
        <v>5.40000000000001</v>
      </c>
      <c r="K337">
        <f t="shared" si="17"/>
        <v>-5.5</v>
      </c>
    </row>
    <row r="338" spans="1:11">
      <c r="A338">
        <v>11.199</v>
      </c>
      <c r="B338">
        <v>-145.5</v>
      </c>
      <c r="C338">
        <v>170.2</v>
      </c>
      <c r="E338">
        <v>11.166</v>
      </c>
      <c r="F338">
        <v>-144.8</v>
      </c>
      <c r="G338">
        <v>170.7</v>
      </c>
      <c r="I338">
        <f t="shared" si="15"/>
        <v>11.15</v>
      </c>
      <c r="J338">
        <f t="shared" si="16"/>
        <v>5.19999999999999</v>
      </c>
      <c r="K338">
        <f t="shared" si="17"/>
        <v>-5.5</v>
      </c>
    </row>
    <row r="339" spans="1:11">
      <c r="A339">
        <v>11.233</v>
      </c>
      <c r="B339">
        <v>-146.3</v>
      </c>
      <c r="C339">
        <v>168.9</v>
      </c>
      <c r="E339">
        <v>11.199</v>
      </c>
      <c r="F339">
        <v>-145.5</v>
      </c>
      <c r="G339">
        <v>170.2</v>
      </c>
      <c r="I339">
        <f t="shared" si="15"/>
        <v>11.15</v>
      </c>
      <c r="J339">
        <f t="shared" si="16"/>
        <v>4.5</v>
      </c>
      <c r="K339">
        <f t="shared" si="17"/>
        <v>-5.5</v>
      </c>
    </row>
    <row r="340" spans="1:11">
      <c r="A340">
        <v>11.266</v>
      </c>
      <c r="B340">
        <v>-147.4</v>
      </c>
      <c r="C340">
        <v>168.1</v>
      </c>
      <c r="E340">
        <v>11.233</v>
      </c>
      <c r="F340">
        <v>-146.3</v>
      </c>
      <c r="G340">
        <v>168.9</v>
      </c>
      <c r="I340">
        <f t="shared" si="15"/>
        <v>11.2</v>
      </c>
      <c r="J340">
        <f t="shared" si="16"/>
        <v>3.69999999999999</v>
      </c>
      <c r="K340">
        <f t="shared" si="17"/>
        <v>-5.5</v>
      </c>
    </row>
    <row r="341" spans="1:11">
      <c r="A341">
        <v>11.3</v>
      </c>
      <c r="B341">
        <v>-148.7</v>
      </c>
      <c r="C341">
        <v>167.2</v>
      </c>
      <c r="E341">
        <v>11.266</v>
      </c>
      <c r="F341">
        <v>-147.4</v>
      </c>
      <c r="G341">
        <v>168.1</v>
      </c>
      <c r="I341">
        <f t="shared" si="15"/>
        <v>11.25</v>
      </c>
      <c r="J341">
        <f t="shared" si="16"/>
        <v>2.59999999999999</v>
      </c>
      <c r="K341">
        <f t="shared" si="17"/>
        <v>-5.5</v>
      </c>
    </row>
    <row r="342" spans="1:11">
      <c r="A342">
        <v>11.333</v>
      </c>
      <c r="B342">
        <v>-150</v>
      </c>
      <c r="C342">
        <v>164.9</v>
      </c>
      <c r="E342">
        <v>11.3</v>
      </c>
      <c r="F342">
        <v>-148.7</v>
      </c>
      <c r="G342">
        <v>167.2</v>
      </c>
      <c r="I342">
        <f t="shared" si="15"/>
        <v>11.3</v>
      </c>
      <c r="J342">
        <f t="shared" si="16"/>
        <v>1.30000000000001</v>
      </c>
      <c r="K342">
        <f t="shared" si="17"/>
        <v>-5.5</v>
      </c>
    </row>
    <row r="343" spans="1:11">
      <c r="A343">
        <v>11.366</v>
      </c>
      <c r="B343">
        <v>-151.4</v>
      </c>
      <c r="C343">
        <v>162.8</v>
      </c>
      <c r="E343">
        <v>11.333</v>
      </c>
      <c r="F343">
        <v>-150</v>
      </c>
      <c r="G343">
        <v>164.9</v>
      </c>
      <c r="I343">
        <f t="shared" si="15"/>
        <v>11.3</v>
      </c>
      <c r="J343">
        <f t="shared" si="16"/>
        <v>0</v>
      </c>
      <c r="K343">
        <f t="shared" si="17"/>
        <v>-5.5</v>
      </c>
    </row>
    <row r="344" spans="1:11">
      <c r="A344">
        <v>11.4</v>
      </c>
      <c r="B344">
        <v>-152.7</v>
      </c>
      <c r="C344">
        <v>162.8</v>
      </c>
      <c r="E344">
        <v>11.366</v>
      </c>
      <c r="F344">
        <v>-151.4</v>
      </c>
      <c r="G344">
        <v>162.8</v>
      </c>
      <c r="I344">
        <f t="shared" si="15"/>
        <v>11.35</v>
      </c>
      <c r="J344">
        <f t="shared" si="16"/>
        <v>-1.40000000000001</v>
      </c>
      <c r="K344">
        <f t="shared" si="17"/>
        <v>-5.5</v>
      </c>
    </row>
    <row r="345" spans="1:11">
      <c r="A345">
        <v>11.433</v>
      </c>
      <c r="B345">
        <v>-154.1</v>
      </c>
      <c r="C345">
        <v>160.9</v>
      </c>
      <c r="E345">
        <v>11.4</v>
      </c>
      <c r="F345">
        <v>-152.7</v>
      </c>
      <c r="G345">
        <v>162.8</v>
      </c>
      <c r="I345">
        <f t="shared" si="15"/>
        <v>11.4</v>
      </c>
      <c r="J345">
        <f t="shared" si="16"/>
        <v>-2.69999999999999</v>
      </c>
      <c r="K345">
        <f t="shared" si="17"/>
        <v>-5.5</v>
      </c>
    </row>
    <row r="346" spans="1:11">
      <c r="A346">
        <v>11.467</v>
      </c>
      <c r="B346">
        <v>-155.7</v>
      </c>
      <c r="C346">
        <v>159.7</v>
      </c>
      <c r="E346">
        <v>11.433</v>
      </c>
      <c r="F346">
        <v>-154.1</v>
      </c>
      <c r="G346">
        <v>160.9</v>
      </c>
      <c r="I346">
        <f t="shared" si="15"/>
        <v>11.4</v>
      </c>
      <c r="J346">
        <f t="shared" si="16"/>
        <v>-4.09999999999999</v>
      </c>
      <c r="K346">
        <f t="shared" si="17"/>
        <v>-5.5</v>
      </c>
    </row>
    <row r="347" spans="1:11">
      <c r="A347">
        <v>11.5</v>
      </c>
      <c r="B347">
        <v>-156.7</v>
      </c>
      <c r="C347">
        <v>158.3</v>
      </c>
      <c r="E347">
        <v>11.467</v>
      </c>
      <c r="F347">
        <v>-155.7</v>
      </c>
      <c r="G347">
        <v>159.7</v>
      </c>
      <c r="I347">
        <f t="shared" si="15"/>
        <v>11.45</v>
      </c>
      <c r="J347">
        <f t="shared" si="16"/>
        <v>-5.69999999999999</v>
      </c>
      <c r="K347">
        <f t="shared" si="17"/>
        <v>-5.5</v>
      </c>
    </row>
    <row r="348" spans="1:11">
      <c r="A348">
        <v>11.534</v>
      </c>
      <c r="B348">
        <v>-158</v>
      </c>
      <c r="C348">
        <v>156.3</v>
      </c>
      <c r="E348">
        <v>11.5</v>
      </c>
      <c r="F348">
        <v>-156.7</v>
      </c>
      <c r="G348">
        <v>158.3</v>
      </c>
      <c r="I348">
        <f t="shared" si="15"/>
        <v>11.5</v>
      </c>
      <c r="J348">
        <f t="shared" si="16"/>
        <v>-6.69999999999999</v>
      </c>
      <c r="K348">
        <f t="shared" si="17"/>
        <v>-5.5</v>
      </c>
    </row>
    <row r="349" spans="1:11">
      <c r="A349">
        <v>11.567</v>
      </c>
      <c r="B349">
        <v>-159</v>
      </c>
      <c r="C349">
        <v>155.5</v>
      </c>
      <c r="E349">
        <v>11.534</v>
      </c>
      <c r="F349">
        <v>-158</v>
      </c>
      <c r="G349">
        <v>156.3</v>
      </c>
      <c r="I349">
        <f t="shared" si="15"/>
        <v>11.5</v>
      </c>
      <c r="J349">
        <f t="shared" si="16"/>
        <v>-8</v>
      </c>
      <c r="K349">
        <f t="shared" si="17"/>
        <v>-5.5</v>
      </c>
    </row>
    <row r="350" spans="1:11">
      <c r="A350">
        <v>11.601</v>
      </c>
      <c r="B350">
        <v>-160.2</v>
      </c>
      <c r="C350">
        <v>155</v>
      </c>
      <c r="E350">
        <v>11.567</v>
      </c>
      <c r="F350">
        <v>-159</v>
      </c>
      <c r="G350">
        <v>155.5</v>
      </c>
      <c r="I350">
        <f t="shared" si="15"/>
        <v>11.55</v>
      </c>
      <c r="J350">
        <f t="shared" si="16"/>
        <v>-9</v>
      </c>
      <c r="K350">
        <f t="shared" si="17"/>
        <v>-5.5</v>
      </c>
    </row>
    <row r="351" spans="1:11">
      <c r="A351">
        <v>11.634</v>
      </c>
      <c r="B351">
        <v>-161.1</v>
      </c>
      <c r="C351">
        <v>152.9</v>
      </c>
      <c r="E351">
        <v>11.601</v>
      </c>
      <c r="F351">
        <v>-160.2</v>
      </c>
      <c r="G351">
        <v>155</v>
      </c>
      <c r="I351">
        <f t="shared" si="15"/>
        <v>11.6</v>
      </c>
      <c r="J351">
        <f t="shared" si="16"/>
        <v>-10.2</v>
      </c>
      <c r="K351">
        <f t="shared" si="17"/>
        <v>-5.5</v>
      </c>
    </row>
    <row r="352" spans="1:11">
      <c r="A352">
        <v>11.667</v>
      </c>
      <c r="B352">
        <v>-162</v>
      </c>
      <c r="C352">
        <v>151.6</v>
      </c>
      <c r="E352">
        <v>11.634</v>
      </c>
      <c r="F352">
        <v>-161.1</v>
      </c>
      <c r="G352">
        <v>152.9</v>
      </c>
      <c r="I352">
        <f t="shared" si="15"/>
        <v>11.6</v>
      </c>
      <c r="J352">
        <f t="shared" si="16"/>
        <v>-11.1</v>
      </c>
      <c r="K352">
        <f t="shared" si="17"/>
        <v>-5.5</v>
      </c>
    </row>
    <row r="353" spans="1:11">
      <c r="A353">
        <v>11.701</v>
      </c>
      <c r="B353">
        <v>-162.5</v>
      </c>
      <c r="C353">
        <v>150</v>
      </c>
      <c r="E353">
        <v>11.667</v>
      </c>
      <c r="F353">
        <v>-162</v>
      </c>
      <c r="G353">
        <v>151.6</v>
      </c>
      <c r="I353">
        <f t="shared" si="15"/>
        <v>11.65</v>
      </c>
      <c r="J353">
        <f t="shared" si="16"/>
        <v>-12</v>
      </c>
      <c r="K353">
        <f t="shared" si="17"/>
        <v>-5.5</v>
      </c>
    </row>
    <row r="354" spans="1:11">
      <c r="A354">
        <v>11.734</v>
      </c>
      <c r="B354">
        <v>-162.9</v>
      </c>
      <c r="C354">
        <v>149.2</v>
      </c>
      <c r="E354">
        <v>11.701</v>
      </c>
      <c r="F354">
        <v>-162.5</v>
      </c>
      <c r="G354">
        <v>150</v>
      </c>
      <c r="I354">
        <f t="shared" si="15"/>
        <v>11.7</v>
      </c>
      <c r="J354">
        <f t="shared" si="16"/>
        <v>-12.5</v>
      </c>
      <c r="K354">
        <f t="shared" si="17"/>
        <v>-5.5</v>
      </c>
    </row>
    <row r="355" spans="1:11">
      <c r="A355">
        <v>11.768</v>
      </c>
      <c r="B355">
        <v>-162.9</v>
      </c>
      <c r="C355">
        <v>147</v>
      </c>
      <c r="E355">
        <v>11.734</v>
      </c>
      <c r="F355">
        <v>-162.9</v>
      </c>
      <c r="G355">
        <v>149.2</v>
      </c>
      <c r="I355">
        <f t="shared" si="15"/>
        <v>11.7</v>
      </c>
      <c r="J355">
        <f t="shared" si="16"/>
        <v>-12.9</v>
      </c>
      <c r="K355">
        <f t="shared" si="17"/>
        <v>-5.5</v>
      </c>
    </row>
    <row r="356" spans="1:11">
      <c r="A356">
        <v>11.801</v>
      </c>
      <c r="B356">
        <v>-162.9</v>
      </c>
      <c r="C356">
        <v>146.2</v>
      </c>
      <c r="E356">
        <v>11.768</v>
      </c>
      <c r="F356">
        <v>-162.9</v>
      </c>
      <c r="G356">
        <v>147</v>
      </c>
      <c r="I356">
        <f t="shared" si="15"/>
        <v>11.75</v>
      </c>
      <c r="J356">
        <f t="shared" si="16"/>
        <v>-12.9</v>
      </c>
      <c r="K356">
        <f t="shared" si="17"/>
        <v>-5.5</v>
      </c>
    </row>
    <row r="357" spans="1:11">
      <c r="A357">
        <v>11.835</v>
      </c>
      <c r="B357">
        <v>-162.8</v>
      </c>
      <c r="C357">
        <v>238.4</v>
      </c>
      <c r="E357">
        <v>11.801</v>
      </c>
      <c r="F357">
        <v>-162.9</v>
      </c>
      <c r="G357">
        <v>146.2</v>
      </c>
      <c r="I357">
        <f t="shared" si="15"/>
        <v>11.8</v>
      </c>
      <c r="J357">
        <f t="shared" si="16"/>
        <v>-12.9</v>
      </c>
      <c r="K357">
        <f t="shared" si="17"/>
        <v>-5.5</v>
      </c>
    </row>
    <row r="358" spans="1:11">
      <c r="A358">
        <v>11.868</v>
      </c>
      <c r="B358">
        <v>-162.6</v>
      </c>
      <c r="C358">
        <v>238.4</v>
      </c>
      <c r="E358">
        <v>11.835</v>
      </c>
      <c r="F358">
        <v>-162.8</v>
      </c>
      <c r="G358">
        <v>238.4</v>
      </c>
      <c r="I358">
        <f t="shared" si="15"/>
        <v>11.8</v>
      </c>
      <c r="J358">
        <f t="shared" si="16"/>
        <v>-12.8</v>
      </c>
      <c r="K358">
        <f t="shared" si="17"/>
        <v>5</v>
      </c>
    </row>
    <row r="359" spans="1:11">
      <c r="A359">
        <v>11.901</v>
      </c>
      <c r="B359">
        <v>-162.4</v>
      </c>
      <c r="C359">
        <v>238.4</v>
      </c>
      <c r="E359">
        <v>11.868</v>
      </c>
      <c r="F359">
        <v>-162.6</v>
      </c>
      <c r="G359">
        <v>238.4</v>
      </c>
      <c r="I359">
        <f t="shared" si="15"/>
        <v>11.85</v>
      </c>
      <c r="J359">
        <f t="shared" si="16"/>
        <v>-12.6</v>
      </c>
      <c r="K359">
        <f t="shared" si="17"/>
        <v>5</v>
      </c>
    </row>
    <row r="360" spans="1:11">
      <c r="A360">
        <v>11.935</v>
      </c>
      <c r="B360">
        <v>-162.1</v>
      </c>
      <c r="C360">
        <v>238.4</v>
      </c>
      <c r="E360">
        <v>11.901</v>
      </c>
      <c r="F360">
        <v>-162.4</v>
      </c>
      <c r="G360">
        <v>238.4</v>
      </c>
      <c r="I360">
        <f t="shared" si="15"/>
        <v>11.9</v>
      </c>
      <c r="J360">
        <f t="shared" si="16"/>
        <v>-12.4</v>
      </c>
      <c r="K360">
        <f t="shared" si="17"/>
        <v>5</v>
      </c>
    </row>
    <row r="361" spans="1:11">
      <c r="A361">
        <v>11.968</v>
      </c>
      <c r="B361">
        <v>-161.5</v>
      </c>
      <c r="C361">
        <v>238.4</v>
      </c>
      <c r="E361">
        <v>11.935</v>
      </c>
      <c r="F361">
        <v>-162.1</v>
      </c>
      <c r="G361">
        <v>238.4</v>
      </c>
      <c r="I361">
        <f t="shared" si="15"/>
        <v>11.9</v>
      </c>
      <c r="J361">
        <f t="shared" si="16"/>
        <v>-12.1</v>
      </c>
      <c r="K361">
        <f t="shared" si="17"/>
        <v>5</v>
      </c>
    </row>
    <row r="362" spans="1:11">
      <c r="A362">
        <v>12.002</v>
      </c>
      <c r="B362">
        <v>-160.8</v>
      </c>
      <c r="C362">
        <v>238.4</v>
      </c>
      <c r="E362">
        <v>11.968</v>
      </c>
      <c r="F362">
        <v>-161.5</v>
      </c>
      <c r="G362">
        <v>238.4</v>
      </c>
      <c r="I362">
        <f t="shared" si="15"/>
        <v>11.95</v>
      </c>
      <c r="J362">
        <f t="shared" si="16"/>
        <v>-11.5</v>
      </c>
      <c r="K362">
        <f t="shared" si="17"/>
        <v>5</v>
      </c>
    </row>
    <row r="363" spans="1:11">
      <c r="A363">
        <v>12.035</v>
      </c>
      <c r="B363">
        <v>-159.6</v>
      </c>
      <c r="C363">
        <v>238.4</v>
      </c>
      <c r="E363">
        <v>12.002</v>
      </c>
      <c r="F363">
        <v>-160.8</v>
      </c>
      <c r="G363">
        <v>238.4</v>
      </c>
      <c r="I363">
        <f t="shared" si="15"/>
        <v>12</v>
      </c>
      <c r="J363">
        <f t="shared" si="16"/>
        <v>-10.8</v>
      </c>
      <c r="K363">
        <f t="shared" si="17"/>
        <v>5</v>
      </c>
    </row>
    <row r="364" spans="1:11">
      <c r="A364">
        <v>12.069</v>
      </c>
      <c r="B364">
        <v>-158.2</v>
      </c>
      <c r="C364">
        <v>238.4</v>
      </c>
      <c r="E364">
        <v>12.035</v>
      </c>
      <c r="F364">
        <v>-159.6</v>
      </c>
      <c r="G364">
        <v>238.4</v>
      </c>
      <c r="I364">
        <f t="shared" si="15"/>
        <v>12</v>
      </c>
      <c r="J364">
        <f t="shared" si="16"/>
        <v>-9.59999999999999</v>
      </c>
      <c r="K364">
        <f t="shared" si="17"/>
        <v>5</v>
      </c>
    </row>
    <row r="365" spans="1:11">
      <c r="A365">
        <v>12.102</v>
      </c>
      <c r="B365">
        <v>-157.1</v>
      </c>
      <c r="C365">
        <v>238.4</v>
      </c>
      <c r="E365">
        <v>12.069</v>
      </c>
      <c r="F365">
        <v>-158.2</v>
      </c>
      <c r="G365">
        <v>238.4</v>
      </c>
      <c r="I365">
        <f t="shared" si="15"/>
        <v>12.05</v>
      </c>
      <c r="J365">
        <f t="shared" si="16"/>
        <v>-8.19999999999999</v>
      </c>
      <c r="K365">
        <f t="shared" si="17"/>
        <v>5</v>
      </c>
    </row>
    <row r="366" spans="1:11">
      <c r="A366">
        <v>12.135</v>
      </c>
      <c r="B366">
        <v>-155.6</v>
      </c>
      <c r="C366">
        <v>238.4</v>
      </c>
      <c r="E366">
        <v>12.102</v>
      </c>
      <c r="F366">
        <v>-157.1</v>
      </c>
      <c r="G366">
        <v>238.4</v>
      </c>
      <c r="I366">
        <f t="shared" si="15"/>
        <v>12.1</v>
      </c>
      <c r="J366">
        <f t="shared" si="16"/>
        <v>-7.09999999999999</v>
      </c>
      <c r="K366">
        <f t="shared" si="17"/>
        <v>5</v>
      </c>
    </row>
    <row r="367" spans="1:11">
      <c r="A367">
        <v>12.169</v>
      </c>
      <c r="B367">
        <v>-154.3</v>
      </c>
      <c r="C367">
        <v>238.4</v>
      </c>
      <c r="E367">
        <v>12.135</v>
      </c>
      <c r="F367">
        <v>-155.6</v>
      </c>
      <c r="G367">
        <v>238.4</v>
      </c>
      <c r="I367">
        <f t="shared" si="15"/>
        <v>12.1</v>
      </c>
      <c r="J367">
        <f t="shared" si="16"/>
        <v>-5.59999999999999</v>
      </c>
      <c r="K367">
        <f t="shared" si="17"/>
        <v>5</v>
      </c>
    </row>
    <row r="368" spans="1:11">
      <c r="A368">
        <v>12.202</v>
      </c>
      <c r="B368">
        <v>-152.7</v>
      </c>
      <c r="C368">
        <v>238.4</v>
      </c>
      <c r="E368">
        <v>12.169</v>
      </c>
      <c r="F368">
        <v>-154.3</v>
      </c>
      <c r="G368">
        <v>238.4</v>
      </c>
      <c r="I368">
        <f t="shared" si="15"/>
        <v>12.15</v>
      </c>
      <c r="J368">
        <f t="shared" si="16"/>
        <v>-4.30000000000001</v>
      </c>
      <c r="K368">
        <f t="shared" si="17"/>
        <v>5</v>
      </c>
    </row>
    <row r="369" spans="1:11">
      <c r="A369">
        <v>12.236</v>
      </c>
      <c r="B369">
        <v>-151.2</v>
      </c>
      <c r="C369">
        <v>238.4</v>
      </c>
      <c r="E369">
        <v>12.202</v>
      </c>
      <c r="F369">
        <v>-152.7</v>
      </c>
      <c r="G369">
        <v>238.4</v>
      </c>
      <c r="I369">
        <f t="shared" si="15"/>
        <v>12.2</v>
      </c>
      <c r="J369">
        <f t="shared" si="16"/>
        <v>-2.69999999999999</v>
      </c>
      <c r="K369">
        <f t="shared" si="17"/>
        <v>5</v>
      </c>
    </row>
    <row r="370" spans="1:11">
      <c r="A370">
        <v>12.269</v>
      </c>
      <c r="B370">
        <v>-150</v>
      </c>
      <c r="C370">
        <v>238.4</v>
      </c>
      <c r="E370">
        <v>12.236</v>
      </c>
      <c r="F370">
        <v>-151.2</v>
      </c>
      <c r="G370">
        <v>238.4</v>
      </c>
      <c r="I370">
        <f t="shared" si="15"/>
        <v>12.2</v>
      </c>
      <c r="J370">
        <f t="shared" si="16"/>
        <v>-1.19999999999999</v>
      </c>
      <c r="K370">
        <f t="shared" si="17"/>
        <v>5</v>
      </c>
    </row>
    <row r="371" spans="1:11">
      <c r="A371">
        <v>12.303</v>
      </c>
      <c r="B371">
        <v>-148.8</v>
      </c>
      <c r="C371">
        <v>238.4</v>
      </c>
      <c r="E371">
        <v>12.269</v>
      </c>
      <c r="F371">
        <v>-150</v>
      </c>
      <c r="G371">
        <v>238.4</v>
      </c>
      <c r="I371">
        <f t="shared" si="15"/>
        <v>12.25</v>
      </c>
      <c r="J371">
        <f t="shared" si="16"/>
        <v>0</v>
      </c>
      <c r="K371">
        <f t="shared" si="17"/>
        <v>5</v>
      </c>
    </row>
    <row r="372" spans="1:11">
      <c r="A372">
        <v>12.336</v>
      </c>
      <c r="B372">
        <v>-147.2</v>
      </c>
      <c r="C372">
        <v>238.4</v>
      </c>
      <c r="E372">
        <v>12.303</v>
      </c>
      <c r="F372">
        <v>-148.8</v>
      </c>
      <c r="G372">
        <v>238.4</v>
      </c>
      <c r="I372">
        <f t="shared" si="15"/>
        <v>12.3</v>
      </c>
      <c r="J372">
        <f t="shared" si="16"/>
        <v>1.19999999999999</v>
      </c>
      <c r="K372">
        <f t="shared" si="17"/>
        <v>5</v>
      </c>
    </row>
    <row r="373" spans="1:11">
      <c r="A373">
        <v>12.369</v>
      </c>
      <c r="B373">
        <v>-146.2</v>
      </c>
      <c r="C373">
        <v>238.4</v>
      </c>
      <c r="E373">
        <v>12.336</v>
      </c>
      <c r="F373">
        <v>-147.2</v>
      </c>
      <c r="G373">
        <v>238.4</v>
      </c>
      <c r="I373">
        <f t="shared" si="15"/>
        <v>12.3</v>
      </c>
      <c r="J373">
        <f t="shared" si="16"/>
        <v>2.80000000000001</v>
      </c>
      <c r="K373">
        <f t="shared" si="17"/>
        <v>5</v>
      </c>
    </row>
    <row r="374" spans="1:11">
      <c r="A374">
        <v>12.403</v>
      </c>
      <c r="B374">
        <v>-145.3</v>
      </c>
      <c r="C374">
        <v>238.4</v>
      </c>
      <c r="E374">
        <v>12.369</v>
      </c>
      <c r="F374">
        <v>-146.2</v>
      </c>
      <c r="G374">
        <v>238.4</v>
      </c>
      <c r="I374">
        <f t="shared" si="15"/>
        <v>12.35</v>
      </c>
      <c r="J374">
        <f t="shared" si="16"/>
        <v>3.80000000000001</v>
      </c>
      <c r="K374">
        <f t="shared" si="17"/>
        <v>5</v>
      </c>
    </row>
    <row r="375" spans="1:11">
      <c r="A375">
        <v>12.436</v>
      </c>
      <c r="B375">
        <v>-144.6</v>
      </c>
      <c r="C375">
        <v>238.4</v>
      </c>
      <c r="E375">
        <v>12.403</v>
      </c>
      <c r="F375">
        <v>-145.3</v>
      </c>
      <c r="G375">
        <v>238.4</v>
      </c>
      <c r="I375">
        <f t="shared" si="15"/>
        <v>12.4</v>
      </c>
      <c r="J375">
        <f t="shared" si="16"/>
        <v>4.69999999999999</v>
      </c>
      <c r="K375">
        <f t="shared" si="17"/>
        <v>5</v>
      </c>
    </row>
    <row r="376" spans="1:11">
      <c r="A376">
        <v>12.47</v>
      </c>
      <c r="B376">
        <v>-143.9</v>
      </c>
      <c r="C376">
        <v>238.4</v>
      </c>
      <c r="E376">
        <v>12.436</v>
      </c>
      <c r="F376">
        <v>-144.6</v>
      </c>
      <c r="G376">
        <v>238.4</v>
      </c>
      <c r="I376">
        <f t="shared" si="15"/>
        <v>12.4</v>
      </c>
      <c r="J376">
        <f t="shared" si="16"/>
        <v>5.40000000000001</v>
      </c>
      <c r="K376">
        <f t="shared" si="17"/>
        <v>5</v>
      </c>
    </row>
    <row r="377" spans="1:11">
      <c r="A377">
        <v>12.503</v>
      </c>
      <c r="B377">
        <v>-143.2</v>
      </c>
      <c r="C377">
        <v>238.4</v>
      </c>
      <c r="E377">
        <v>12.47</v>
      </c>
      <c r="F377">
        <v>-143.9</v>
      </c>
      <c r="G377">
        <v>238.4</v>
      </c>
      <c r="I377">
        <f t="shared" si="15"/>
        <v>12.45</v>
      </c>
      <c r="J377">
        <f t="shared" si="16"/>
        <v>6.09999999999999</v>
      </c>
      <c r="K377">
        <f t="shared" si="17"/>
        <v>5</v>
      </c>
    </row>
    <row r="378" spans="1:11">
      <c r="A378">
        <v>12.537</v>
      </c>
      <c r="B378">
        <v>-143</v>
      </c>
      <c r="C378">
        <v>238.4</v>
      </c>
      <c r="E378">
        <v>12.503</v>
      </c>
      <c r="F378">
        <v>-143.2</v>
      </c>
      <c r="G378">
        <v>238.4</v>
      </c>
      <c r="I378">
        <f t="shared" si="15"/>
        <v>12.5</v>
      </c>
      <c r="J378">
        <f t="shared" si="16"/>
        <v>6.80000000000001</v>
      </c>
      <c r="K378">
        <f t="shared" si="17"/>
        <v>5</v>
      </c>
    </row>
    <row r="379" spans="1:11">
      <c r="A379">
        <v>12.57</v>
      </c>
      <c r="B379">
        <v>-143.1</v>
      </c>
      <c r="C379">
        <v>238.4</v>
      </c>
      <c r="E379">
        <v>12.537</v>
      </c>
      <c r="F379">
        <v>-143</v>
      </c>
      <c r="G379">
        <v>238.4</v>
      </c>
      <c r="I379">
        <f t="shared" si="15"/>
        <v>12.5</v>
      </c>
      <c r="J379">
        <f t="shared" si="16"/>
        <v>7</v>
      </c>
      <c r="K379">
        <f t="shared" si="17"/>
        <v>5</v>
      </c>
    </row>
    <row r="380" spans="1:11">
      <c r="A380">
        <v>12.603</v>
      </c>
      <c r="B380">
        <v>-143.2</v>
      </c>
      <c r="C380">
        <v>238.4</v>
      </c>
      <c r="E380">
        <v>12.57</v>
      </c>
      <c r="F380">
        <v>-143.1</v>
      </c>
      <c r="G380">
        <v>238.4</v>
      </c>
      <c r="I380">
        <f t="shared" si="15"/>
        <v>12.55</v>
      </c>
      <c r="J380">
        <f t="shared" si="16"/>
        <v>6.90000000000001</v>
      </c>
      <c r="K380">
        <f t="shared" si="17"/>
        <v>5</v>
      </c>
    </row>
    <row r="381" spans="1:11">
      <c r="A381">
        <v>12.637</v>
      </c>
      <c r="B381">
        <v>-143.3</v>
      </c>
      <c r="C381">
        <v>238.4</v>
      </c>
      <c r="E381">
        <v>12.603</v>
      </c>
      <c r="F381">
        <v>-143.2</v>
      </c>
      <c r="G381">
        <v>238.4</v>
      </c>
      <c r="I381">
        <f t="shared" si="15"/>
        <v>12.6</v>
      </c>
      <c r="J381">
        <f t="shared" si="16"/>
        <v>6.80000000000001</v>
      </c>
      <c r="K381">
        <f t="shared" si="17"/>
        <v>5</v>
      </c>
    </row>
    <row r="382" spans="1:11">
      <c r="A382">
        <v>12.67</v>
      </c>
      <c r="B382">
        <v>-143.4</v>
      </c>
      <c r="C382">
        <v>177.2</v>
      </c>
      <c r="E382">
        <v>12.637</v>
      </c>
      <c r="F382">
        <v>-143.3</v>
      </c>
      <c r="G382">
        <v>238.4</v>
      </c>
      <c r="I382">
        <f t="shared" si="15"/>
        <v>12.6</v>
      </c>
      <c r="J382">
        <f t="shared" si="16"/>
        <v>6.69999999999999</v>
      </c>
      <c r="K382">
        <f t="shared" si="17"/>
        <v>5</v>
      </c>
    </row>
    <row r="383" spans="1:11">
      <c r="A383">
        <v>12.704</v>
      </c>
      <c r="B383">
        <v>-143.6</v>
      </c>
      <c r="C383">
        <v>189.3</v>
      </c>
      <c r="E383">
        <v>12.67</v>
      </c>
      <c r="F383">
        <v>-143.4</v>
      </c>
      <c r="G383">
        <v>177.2</v>
      </c>
      <c r="I383">
        <f t="shared" si="15"/>
        <v>12.65</v>
      </c>
      <c r="J383">
        <f t="shared" si="16"/>
        <v>6.59999999999999</v>
      </c>
      <c r="K383">
        <f t="shared" si="17"/>
        <v>-5.5</v>
      </c>
    </row>
    <row r="384" spans="1:11">
      <c r="A384">
        <v>12.737</v>
      </c>
      <c r="B384">
        <v>-143.9</v>
      </c>
      <c r="C384">
        <v>187.5</v>
      </c>
      <c r="E384">
        <v>12.704</v>
      </c>
      <c r="F384">
        <v>-143.6</v>
      </c>
      <c r="G384">
        <v>189.3</v>
      </c>
      <c r="I384">
        <f t="shared" si="15"/>
        <v>12.7</v>
      </c>
      <c r="J384">
        <f t="shared" si="16"/>
        <v>6.40000000000001</v>
      </c>
      <c r="K384">
        <f t="shared" si="17"/>
        <v>-5.5</v>
      </c>
    </row>
    <row r="385" spans="1:11">
      <c r="A385">
        <v>12.771</v>
      </c>
      <c r="B385">
        <v>-144.5</v>
      </c>
      <c r="C385">
        <v>185.8</v>
      </c>
      <c r="E385">
        <v>12.737</v>
      </c>
      <c r="F385">
        <v>-143.9</v>
      </c>
      <c r="G385">
        <v>187.5</v>
      </c>
      <c r="I385">
        <f t="shared" ref="I385:I448" si="18">FLOOR(E385,0.05)</f>
        <v>12.7</v>
      </c>
      <c r="J385">
        <f t="shared" si="16"/>
        <v>6.09999999999999</v>
      </c>
      <c r="K385">
        <f t="shared" si="17"/>
        <v>-5.5</v>
      </c>
    </row>
    <row r="386" spans="1:11">
      <c r="A386">
        <v>12.804</v>
      </c>
      <c r="B386">
        <v>-145.4</v>
      </c>
      <c r="C386">
        <v>184.8</v>
      </c>
      <c r="E386">
        <v>12.771</v>
      </c>
      <c r="F386">
        <v>-144.5</v>
      </c>
      <c r="G386">
        <v>185.8</v>
      </c>
      <c r="I386">
        <f t="shared" si="18"/>
        <v>12.75</v>
      </c>
      <c r="J386">
        <f t="shared" si="16"/>
        <v>5.5</v>
      </c>
      <c r="K386">
        <f t="shared" si="17"/>
        <v>-5.5</v>
      </c>
    </row>
    <row r="387" spans="1:11">
      <c r="A387">
        <v>12.837</v>
      </c>
      <c r="B387">
        <v>-146.7</v>
      </c>
      <c r="C387">
        <v>184</v>
      </c>
      <c r="E387">
        <v>12.804</v>
      </c>
      <c r="F387">
        <v>-145.4</v>
      </c>
      <c r="G387">
        <v>184.8</v>
      </c>
      <c r="I387">
        <f t="shared" si="18"/>
        <v>12.8</v>
      </c>
      <c r="J387">
        <f t="shared" si="16"/>
        <v>4.59999999999999</v>
      </c>
      <c r="K387">
        <f t="shared" si="17"/>
        <v>-5.5</v>
      </c>
    </row>
    <row r="388" spans="1:11">
      <c r="A388">
        <v>12.871</v>
      </c>
      <c r="B388">
        <v>-148</v>
      </c>
      <c r="C388">
        <v>182.3</v>
      </c>
      <c r="E388">
        <v>12.837</v>
      </c>
      <c r="F388">
        <v>-146.7</v>
      </c>
      <c r="G388">
        <v>184</v>
      </c>
      <c r="I388">
        <f t="shared" si="18"/>
        <v>12.8</v>
      </c>
      <c r="J388">
        <f t="shared" si="16"/>
        <v>3.30000000000001</v>
      </c>
      <c r="K388">
        <f t="shared" si="17"/>
        <v>-5.5</v>
      </c>
    </row>
    <row r="389" spans="1:11">
      <c r="A389">
        <v>12.904</v>
      </c>
      <c r="B389">
        <v>-149.6</v>
      </c>
      <c r="C389">
        <v>180.9</v>
      </c>
      <c r="E389">
        <v>12.871</v>
      </c>
      <c r="F389">
        <v>-148</v>
      </c>
      <c r="G389">
        <v>182.3</v>
      </c>
      <c r="I389">
        <f t="shared" si="18"/>
        <v>12.85</v>
      </c>
      <c r="J389">
        <f t="shared" ref="J389:J452" si="19">F389+150</f>
        <v>2</v>
      </c>
      <c r="K389">
        <f t="shared" ref="K389:K452" si="20">IF(G389&lt;230,-5.5,5)</f>
        <v>-5.5</v>
      </c>
    </row>
    <row r="390" spans="1:11">
      <c r="A390">
        <v>12.938</v>
      </c>
      <c r="B390">
        <v>-150.9</v>
      </c>
      <c r="C390">
        <v>180.7</v>
      </c>
      <c r="E390">
        <v>12.904</v>
      </c>
      <c r="F390">
        <v>-149.6</v>
      </c>
      <c r="G390">
        <v>180.9</v>
      </c>
      <c r="I390">
        <f t="shared" si="18"/>
        <v>12.9</v>
      </c>
      <c r="J390">
        <f t="shared" si="19"/>
        <v>0.400000000000006</v>
      </c>
      <c r="K390">
        <f t="shared" si="20"/>
        <v>-5.5</v>
      </c>
    </row>
    <row r="391" spans="1:11">
      <c r="A391">
        <v>12.971</v>
      </c>
      <c r="B391">
        <v>-152.5</v>
      </c>
      <c r="C391">
        <v>178.7</v>
      </c>
      <c r="E391">
        <v>12.938</v>
      </c>
      <c r="F391">
        <v>-150.9</v>
      </c>
      <c r="G391">
        <v>180.7</v>
      </c>
      <c r="I391">
        <f t="shared" si="18"/>
        <v>12.9</v>
      </c>
      <c r="J391">
        <f t="shared" si="19"/>
        <v>-0.900000000000006</v>
      </c>
      <c r="K391">
        <f t="shared" si="20"/>
        <v>-5.5</v>
      </c>
    </row>
    <row r="392" spans="1:11">
      <c r="A392">
        <v>13.005</v>
      </c>
      <c r="B392">
        <v>-154.1</v>
      </c>
      <c r="C392">
        <v>177.9</v>
      </c>
      <c r="E392">
        <v>12.971</v>
      </c>
      <c r="F392">
        <v>-152.5</v>
      </c>
      <c r="G392">
        <v>178.7</v>
      </c>
      <c r="I392">
        <f t="shared" si="18"/>
        <v>12.95</v>
      </c>
      <c r="J392">
        <f t="shared" si="19"/>
        <v>-2.5</v>
      </c>
      <c r="K392">
        <f t="shared" si="20"/>
        <v>-5.5</v>
      </c>
    </row>
    <row r="393" spans="1:11">
      <c r="A393">
        <v>13.038</v>
      </c>
      <c r="B393">
        <v>-155.6</v>
      </c>
      <c r="C393">
        <v>177.2</v>
      </c>
      <c r="E393">
        <v>13.005</v>
      </c>
      <c r="F393">
        <v>-154.1</v>
      </c>
      <c r="G393">
        <v>177.9</v>
      </c>
      <c r="I393">
        <f t="shared" si="18"/>
        <v>13</v>
      </c>
      <c r="J393">
        <f t="shared" si="19"/>
        <v>-4.09999999999999</v>
      </c>
      <c r="K393">
        <f t="shared" si="20"/>
        <v>-5.5</v>
      </c>
    </row>
    <row r="394" spans="1:11">
      <c r="A394">
        <v>13.071</v>
      </c>
      <c r="B394">
        <v>-156.9</v>
      </c>
      <c r="C394">
        <v>175.8</v>
      </c>
      <c r="E394">
        <v>13.038</v>
      </c>
      <c r="F394">
        <v>-155.6</v>
      </c>
      <c r="G394">
        <v>177.2</v>
      </c>
      <c r="I394">
        <f t="shared" si="18"/>
        <v>13</v>
      </c>
      <c r="J394">
        <f t="shared" si="19"/>
        <v>-5.59999999999999</v>
      </c>
      <c r="K394">
        <f t="shared" si="20"/>
        <v>-5.5</v>
      </c>
    </row>
    <row r="395" spans="1:11">
      <c r="A395">
        <v>13.105</v>
      </c>
      <c r="B395">
        <v>-158.3</v>
      </c>
      <c r="C395">
        <v>175.3</v>
      </c>
      <c r="E395">
        <v>13.071</v>
      </c>
      <c r="F395">
        <v>-156.9</v>
      </c>
      <c r="G395">
        <v>175.8</v>
      </c>
      <c r="I395">
        <f t="shared" si="18"/>
        <v>13.05</v>
      </c>
      <c r="J395">
        <f t="shared" si="19"/>
        <v>-6.90000000000001</v>
      </c>
      <c r="K395">
        <f t="shared" si="20"/>
        <v>-5.5</v>
      </c>
    </row>
    <row r="396" spans="1:11">
      <c r="A396">
        <v>13.138</v>
      </c>
      <c r="B396">
        <v>-159.7</v>
      </c>
      <c r="C396">
        <v>173.8</v>
      </c>
      <c r="E396">
        <v>13.105</v>
      </c>
      <c r="F396">
        <v>-158.3</v>
      </c>
      <c r="G396">
        <v>175.3</v>
      </c>
      <c r="I396">
        <f t="shared" si="18"/>
        <v>13.1</v>
      </c>
      <c r="J396">
        <f t="shared" si="19"/>
        <v>-8.30000000000001</v>
      </c>
      <c r="K396">
        <f t="shared" si="20"/>
        <v>-5.5</v>
      </c>
    </row>
    <row r="397" spans="1:11">
      <c r="A397">
        <v>13.172</v>
      </c>
      <c r="B397">
        <v>-160.8</v>
      </c>
      <c r="C397">
        <v>172.3</v>
      </c>
      <c r="E397">
        <v>13.138</v>
      </c>
      <c r="F397">
        <v>-159.7</v>
      </c>
      <c r="G397">
        <v>173.8</v>
      </c>
      <c r="I397">
        <f t="shared" si="18"/>
        <v>13.1</v>
      </c>
      <c r="J397">
        <f t="shared" si="19"/>
        <v>-9.69999999999999</v>
      </c>
      <c r="K397">
        <f t="shared" si="20"/>
        <v>-5.5</v>
      </c>
    </row>
    <row r="398" spans="1:11">
      <c r="A398">
        <v>13.205</v>
      </c>
      <c r="B398">
        <v>-161.8</v>
      </c>
      <c r="C398">
        <v>171.6</v>
      </c>
      <c r="E398">
        <v>13.172</v>
      </c>
      <c r="F398">
        <v>-160.8</v>
      </c>
      <c r="G398">
        <v>172.3</v>
      </c>
      <c r="I398">
        <f t="shared" si="18"/>
        <v>13.15</v>
      </c>
      <c r="J398">
        <f t="shared" si="19"/>
        <v>-10.8</v>
      </c>
      <c r="K398">
        <f t="shared" si="20"/>
        <v>-5.5</v>
      </c>
    </row>
    <row r="399" spans="1:11">
      <c r="A399">
        <v>13.239</v>
      </c>
      <c r="B399">
        <v>-162.6</v>
      </c>
      <c r="C399">
        <v>171</v>
      </c>
      <c r="E399">
        <v>13.205</v>
      </c>
      <c r="F399">
        <v>-161.8</v>
      </c>
      <c r="G399">
        <v>171.6</v>
      </c>
      <c r="I399">
        <f t="shared" si="18"/>
        <v>13.2</v>
      </c>
      <c r="J399">
        <f t="shared" si="19"/>
        <v>-11.8</v>
      </c>
      <c r="K399">
        <f t="shared" si="20"/>
        <v>-5.5</v>
      </c>
    </row>
    <row r="400" spans="1:11">
      <c r="A400">
        <v>13.272</v>
      </c>
      <c r="B400">
        <v>-163.2</v>
      </c>
      <c r="C400">
        <v>170.1</v>
      </c>
      <c r="E400">
        <v>13.239</v>
      </c>
      <c r="F400">
        <v>-162.6</v>
      </c>
      <c r="G400">
        <v>171</v>
      </c>
      <c r="I400">
        <f t="shared" si="18"/>
        <v>13.2</v>
      </c>
      <c r="J400">
        <f t="shared" si="19"/>
        <v>-12.6</v>
      </c>
      <c r="K400">
        <f t="shared" si="20"/>
        <v>-5.5</v>
      </c>
    </row>
    <row r="401" spans="1:11">
      <c r="A401">
        <v>13.305</v>
      </c>
      <c r="B401">
        <v>-163.7</v>
      </c>
      <c r="C401">
        <v>168.8</v>
      </c>
      <c r="E401">
        <v>13.272</v>
      </c>
      <c r="F401">
        <v>-163.2</v>
      </c>
      <c r="G401">
        <v>170.1</v>
      </c>
      <c r="I401">
        <f t="shared" si="18"/>
        <v>13.25</v>
      </c>
      <c r="J401">
        <f t="shared" si="19"/>
        <v>-13.2</v>
      </c>
      <c r="K401">
        <f t="shared" si="20"/>
        <v>-5.5</v>
      </c>
    </row>
    <row r="402" spans="1:11">
      <c r="A402">
        <v>13.339</v>
      </c>
      <c r="B402">
        <v>-163.9</v>
      </c>
      <c r="C402">
        <v>168.7</v>
      </c>
      <c r="E402">
        <v>13.305</v>
      </c>
      <c r="F402">
        <v>-163.7</v>
      </c>
      <c r="G402">
        <v>168.8</v>
      </c>
      <c r="I402">
        <f t="shared" si="18"/>
        <v>13.3</v>
      </c>
      <c r="J402">
        <f t="shared" si="19"/>
        <v>-13.7</v>
      </c>
      <c r="K402">
        <f t="shared" si="20"/>
        <v>-5.5</v>
      </c>
    </row>
    <row r="403" spans="1:11">
      <c r="A403">
        <v>13.372</v>
      </c>
      <c r="B403">
        <v>-163.9</v>
      </c>
      <c r="C403">
        <v>167</v>
      </c>
      <c r="E403">
        <v>13.339</v>
      </c>
      <c r="F403">
        <v>-163.9</v>
      </c>
      <c r="G403">
        <v>168.7</v>
      </c>
      <c r="I403">
        <f t="shared" si="18"/>
        <v>13.3</v>
      </c>
      <c r="J403">
        <f t="shared" si="19"/>
        <v>-13.9</v>
      </c>
      <c r="K403">
        <f t="shared" si="20"/>
        <v>-5.5</v>
      </c>
    </row>
    <row r="404" spans="1:11">
      <c r="A404">
        <v>13.406</v>
      </c>
      <c r="B404">
        <v>-163.7</v>
      </c>
      <c r="C404">
        <v>165.3</v>
      </c>
      <c r="E404">
        <v>13.372</v>
      </c>
      <c r="F404">
        <v>-163.9</v>
      </c>
      <c r="G404">
        <v>167</v>
      </c>
      <c r="I404">
        <f t="shared" si="18"/>
        <v>13.35</v>
      </c>
      <c r="J404">
        <f t="shared" si="19"/>
        <v>-13.9</v>
      </c>
      <c r="K404">
        <f t="shared" si="20"/>
        <v>-5.5</v>
      </c>
    </row>
    <row r="405" spans="1:11">
      <c r="A405">
        <v>13.439</v>
      </c>
      <c r="B405">
        <v>-163.6</v>
      </c>
      <c r="C405">
        <v>238.3</v>
      </c>
      <c r="E405">
        <v>13.406</v>
      </c>
      <c r="F405">
        <v>-163.7</v>
      </c>
      <c r="G405">
        <v>165.3</v>
      </c>
      <c r="I405">
        <f t="shared" si="18"/>
        <v>13.4</v>
      </c>
      <c r="J405">
        <f t="shared" si="19"/>
        <v>-13.7</v>
      </c>
      <c r="K405">
        <f t="shared" si="20"/>
        <v>-5.5</v>
      </c>
    </row>
    <row r="406" spans="1:11">
      <c r="A406">
        <v>13.473</v>
      </c>
      <c r="B406">
        <v>-163.3</v>
      </c>
      <c r="C406">
        <v>238.4</v>
      </c>
      <c r="E406">
        <v>13.439</v>
      </c>
      <c r="F406">
        <v>-163.6</v>
      </c>
      <c r="G406">
        <v>238.3</v>
      </c>
      <c r="I406">
        <f t="shared" si="18"/>
        <v>13.4</v>
      </c>
      <c r="J406">
        <f t="shared" si="19"/>
        <v>-13.6</v>
      </c>
      <c r="K406">
        <f t="shared" si="20"/>
        <v>5</v>
      </c>
    </row>
    <row r="407" spans="1:11">
      <c r="A407">
        <v>13.506</v>
      </c>
      <c r="B407">
        <v>-163.1</v>
      </c>
      <c r="C407">
        <v>238.4</v>
      </c>
      <c r="E407">
        <v>13.473</v>
      </c>
      <c r="F407">
        <v>-163.3</v>
      </c>
      <c r="G407">
        <v>238.4</v>
      </c>
      <c r="I407">
        <f t="shared" si="18"/>
        <v>13.45</v>
      </c>
      <c r="J407">
        <f t="shared" si="19"/>
        <v>-13.3</v>
      </c>
      <c r="K407">
        <f t="shared" si="20"/>
        <v>5</v>
      </c>
    </row>
    <row r="408" spans="1:11">
      <c r="A408">
        <v>13.54</v>
      </c>
      <c r="B408">
        <v>-162.5</v>
      </c>
      <c r="C408">
        <v>238.4</v>
      </c>
      <c r="E408">
        <v>13.506</v>
      </c>
      <c r="F408">
        <v>-163.1</v>
      </c>
      <c r="G408">
        <v>238.4</v>
      </c>
      <c r="I408">
        <f t="shared" si="18"/>
        <v>13.5</v>
      </c>
      <c r="J408">
        <f t="shared" si="19"/>
        <v>-13.1</v>
      </c>
      <c r="K408">
        <f t="shared" si="20"/>
        <v>5</v>
      </c>
    </row>
    <row r="409" spans="1:11">
      <c r="A409">
        <v>13.573</v>
      </c>
      <c r="B409">
        <v>-161.4</v>
      </c>
      <c r="C409">
        <v>238.4</v>
      </c>
      <c r="E409">
        <v>13.54</v>
      </c>
      <c r="F409">
        <v>-162.5</v>
      </c>
      <c r="G409">
        <v>238.4</v>
      </c>
      <c r="I409">
        <f t="shared" si="18"/>
        <v>13.5</v>
      </c>
      <c r="J409">
        <f t="shared" si="19"/>
        <v>-12.5</v>
      </c>
      <c r="K409">
        <f t="shared" si="20"/>
        <v>5</v>
      </c>
    </row>
    <row r="410" spans="1:11">
      <c r="A410">
        <v>13.606</v>
      </c>
      <c r="B410">
        <v>-160.3</v>
      </c>
      <c r="C410">
        <v>238.4</v>
      </c>
      <c r="E410">
        <v>13.573</v>
      </c>
      <c r="F410">
        <v>-161.4</v>
      </c>
      <c r="G410">
        <v>238.4</v>
      </c>
      <c r="I410">
        <f t="shared" si="18"/>
        <v>13.55</v>
      </c>
      <c r="J410">
        <f t="shared" si="19"/>
        <v>-11.4</v>
      </c>
      <c r="K410">
        <f t="shared" si="20"/>
        <v>5</v>
      </c>
    </row>
    <row r="411" spans="1:11">
      <c r="A411">
        <v>13.64</v>
      </c>
      <c r="B411">
        <v>-158.9</v>
      </c>
      <c r="C411">
        <v>238.4</v>
      </c>
      <c r="E411">
        <v>13.606</v>
      </c>
      <c r="F411">
        <v>-160.3</v>
      </c>
      <c r="G411">
        <v>238.4</v>
      </c>
      <c r="I411">
        <f t="shared" si="18"/>
        <v>13.6</v>
      </c>
      <c r="J411">
        <f t="shared" si="19"/>
        <v>-10.3</v>
      </c>
      <c r="K411">
        <f t="shared" si="20"/>
        <v>5</v>
      </c>
    </row>
    <row r="412" spans="1:11">
      <c r="A412">
        <v>13.673</v>
      </c>
      <c r="B412">
        <v>-157.4</v>
      </c>
      <c r="C412">
        <v>238.4</v>
      </c>
      <c r="E412">
        <v>13.64</v>
      </c>
      <c r="F412">
        <v>-158.9</v>
      </c>
      <c r="G412">
        <v>238.4</v>
      </c>
      <c r="I412">
        <f t="shared" si="18"/>
        <v>13.6</v>
      </c>
      <c r="J412">
        <f t="shared" si="19"/>
        <v>-8.90000000000001</v>
      </c>
      <c r="K412">
        <f t="shared" si="20"/>
        <v>5</v>
      </c>
    </row>
    <row r="413" spans="1:11">
      <c r="A413">
        <v>13.707</v>
      </c>
      <c r="B413">
        <v>-155.8</v>
      </c>
      <c r="C413">
        <v>238.4</v>
      </c>
      <c r="E413">
        <v>13.673</v>
      </c>
      <c r="F413">
        <v>-157.4</v>
      </c>
      <c r="G413">
        <v>238.4</v>
      </c>
      <c r="I413">
        <f t="shared" si="18"/>
        <v>13.65</v>
      </c>
      <c r="J413">
        <f t="shared" si="19"/>
        <v>-7.40000000000001</v>
      </c>
      <c r="K413">
        <f t="shared" si="20"/>
        <v>5</v>
      </c>
    </row>
    <row r="414" spans="1:11">
      <c r="A414">
        <v>13.74</v>
      </c>
      <c r="B414">
        <v>-154.3</v>
      </c>
      <c r="C414">
        <v>238.4</v>
      </c>
      <c r="E414">
        <v>13.707</v>
      </c>
      <c r="F414">
        <v>-155.8</v>
      </c>
      <c r="G414">
        <v>238.4</v>
      </c>
      <c r="I414">
        <f t="shared" si="18"/>
        <v>13.7</v>
      </c>
      <c r="J414">
        <f t="shared" si="19"/>
        <v>-5.80000000000001</v>
      </c>
      <c r="K414">
        <f t="shared" si="20"/>
        <v>5</v>
      </c>
    </row>
    <row r="415" spans="1:11">
      <c r="A415">
        <v>13.774</v>
      </c>
      <c r="B415">
        <v>-152.8</v>
      </c>
      <c r="C415">
        <v>238.4</v>
      </c>
      <c r="E415">
        <v>13.74</v>
      </c>
      <c r="F415">
        <v>-154.3</v>
      </c>
      <c r="G415">
        <v>238.4</v>
      </c>
      <c r="I415">
        <f t="shared" si="18"/>
        <v>13.7</v>
      </c>
      <c r="J415">
        <f t="shared" si="19"/>
        <v>-4.30000000000001</v>
      </c>
      <c r="K415">
        <f t="shared" si="20"/>
        <v>5</v>
      </c>
    </row>
    <row r="416" spans="1:11">
      <c r="A416">
        <v>13.807</v>
      </c>
      <c r="B416">
        <v>-151.2</v>
      </c>
      <c r="C416">
        <v>238.4</v>
      </c>
      <c r="E416">
        <v>13.774</v>
      </c>
      <c r="F416">
        <v>-152.8</v>
      </c>
      <c r="G416">
        <v>238.4</v>
      </c>
      <c r="I416">
        <f t="shared" si="18"/>
        <v>13.75</v>
      </c>
      <c r="J416">
        <f t="shared" si="19"/>
        <v>-2.80000000000001</v>
      </c>
      <c r="K416">
        <f t="shared" si="20"/>
        <v>5</v>
      </c>
    </row>
    <row r="417" spans="1:11">
      <c r="A417">
        <v>13.84</v>
      </c>
      <c r="B417">
        <v>-149.7</v>
      </c>
      <c r="C417">
        <v>238.4</v>
      </c>
      <c r="E417">
        <v>13.807</v>
      </c>
      <c r="F417">
        <v>-151.2</v>
      </c>
      <c r="G417">
        <v>238.4</v>
      </c>
      <c r="I417">
        <f t="shared" si="18"/>
        <v>13.8</v>
      </c>
      <c r="J417">
        <f t="shared" si="19"/>
        <v>-1.19999999999999</v>
      </c>
      <c r="K417">
        <f t="shared" si="20"/>
        <v>5</v>
      </c>
    </row>
    <row r="418" spans="1:11">
      <c r="A418">
        <v>13.874</v>
      </c>
      <c r="B418">
        <v>-148.2</v>
      </c>
      <c r="C418">
        <v>238.4</v>
      </c>
      <c r="E418">
        <v>13.84</v>
      </c>
      <c r="F418">
        <v>-149.7</v>
      </c>
      <c r="G418">
        <v>238.4</v>
      </c>
      <c r="I418">
        <f t="shared" si="18"/>
        <v>13.8</v>
      </c>
      <c r="J418">
        <f t="shared" si="19"/>
        <v>0.300000000000011</v>
      </c>
      <c r="K418">
        <f t="shared" si="20"/>
        <v>5</v>
      </c>
    </row>
    <row r="419" spans="1:11">
      <c r="A419">
        <v>13.907</v>
      </c>
      <c r="B419">
        <v>-146.4</v>
      </c>
      <c r="C419">
        <v>238.4</v>
      </c>
      <c r="E419">
        <v>13.874</v>
      </c>
      <c r="F419">
        <v>-148.2</v>
      </c>
      <c r="G419">
        <v>238.4</v>
      </c>
      <c r="I419">
        <f t="shared" si="18"/>
        <v>13.85</v>
      </c>
      <c r="J419">
        <f t="shared" si="19"/>
        <v>1.80000000000001</v>
      </c>
      <c r="K419">
        <f t="shared" si="20"/>
        <v>5</v>
      </c>
    </row>
    <row r="420" spans="1:11">
      <c r="A420">
        <v>13.941</v>
      </c>
      <c r="B420">
        <v>-145.4</v>
      </c>
      <c r="C420">
        <v>238.4</v>
      </c>
      <c r="E420">
        <v>13.907</v>
      </c>
      <c r="F420">
        <v>-146.4</v>
      </c>
      <c r="G420">
        <v>238.4</v>
      </c>
      <c r="I420">
        <f t="shared" si="18"/>
        <v>13.9</v>
      </c>
      <c r="J420">
        <f t="shared" si="19"/>
        <v>3.59999999999999</v>
      </c>
      <c r="K420">
        <f t="shared" si="20"/>
        <v>5</v>
      </c>
    </row>
    <row r="421" spans="1:11">
      <c r="A421">
        <v>13.974</v>
      </c>
      <c r="B421">
        <v>-144.3</v>
      </c>
      <c r="C421">
        <v>238.4</v>
      </c>
      <c r="E421">
        <v>13.941</v>
      </c>
      <c r="F421">
        <v>-145.4</v>
      </c>
      <c r="G421">
        <v>238.4</v>
      </c>
      <c r="I421">
        <f t="shared" si="18"/>
        <v>13.9</v>
      </c>
      <c r="J421">
        <f t="shared" si="19"/>
        <v>4.59999999999999</v>
      </c>
      <c r="K421">
        <f t="shared" si="20"/>
        <v>5</v>
      </c>
    </row>
    <row r="422" spans="1:11">
      <c r="A422">
        <v>14.008</v>
      </c>
      <c r="B422">
        <v>-143.5</v>
      </c>
      <c r="C422">
        <v>238.4</v>
      </c>
      <c r="E422">
        <v>13.974</v>
      </c>
      <c r="F422">
        <v>-144.3</v>
      </c>
      <c r="G422">
        <v>238.4</v>
      </c>
      <c r="I422">
        <f t="shared" si="18"/>
        <v>13.95</v>
      </c>
      <c r="J422">
        <f t="shared" si="19"/>
        <v>5.69999999999999</v>
      </c>
      <c r="K422">
        <f t="shared" si="20"/>
        <v>5</v>
      </c>
    </row>
    <row r="423" spans="1:11">
      <c r="A423">
        <v>14.041</v>
      </c>
      <c r="B423">
        <v>-142.7</v>
      </c>
      <c r="C423">
        <v>238.4</v>
      </c>
      <c r="E423">
        <v>14.008</v>
      </c>
      <c r="F423">
        <v>-143.5</v>
      </c>
      <c r="G423">
        <v>238.4</v>
      </c>
      <c r="I423">
        <f t="shared" si="18"/>
        <v>14</v>
      </c>
      <c r="J423">
        <f t="shared" si="19"/>
        <v>6.5</v>
      </c>
      <c r="K423">
        <f t="shared" si="20"/>
        <v>5</v>
      </c>
    </row>
    <row r="424" spans="1:11">
      <c r="A424">
        <v>14.074</v>
      </c>
      <c r="B424">
        <v>-142.1</v>
      </c>
      <c r="C424">
        <v>238.4</v>
      </c>
      <c r="E424">
        <v>14.041</v>
      </c>
      <c r="F424">
        <v>-142.7</v>
      </c>
      <c r="G424">
        <v>238.4</v>
      </c>
      <c r="I424">
        <f t="shared" si="18"/>
        <v>14</v>
      </c>
      <c r="J424">
        <f t="shared" si="19"/>
        <v>7.30000000000001</v>
      </c>
      <c r="K424">
        <f t="shared" si="20"/>
        <v>5</v>
      </c>
    </row>
    <row r="425" spans="1:11">
      <c r="A425">
        <v>14.108</v>
      </c>
      <c r="B425">
        <v>-142</v>
      </c>
      <c r="C425">
        <v>238.4</v>
      </c>
      <c r="E425">
        <v>14.074</v>
      </c>
      <c r="F425">
        <v>-142.1</v>
      </c>
      <c r="G425">
        <v>238.4</v>
      </c>
      <c r="I425">
        <f t="shared" si="18"/>
        <v>14.05</v>
      </c>
      <c r="J425">
        <f t="shared" si="19"/>
        <v>7.90000000000001</v>
      </c>
      <c r="K425">
        <f t="shared" si="20"/>
        <v>5</v>
      </c>
    </row>
    <row r="426" spans="1:11">
      <c r="A426">
        <v>14.141</v>
      </c>
      <c r="B426">
        <v>-141.5</v>
      </c>
      <c r="C426">
        <v>238.4</v>
      </c>
      <c r="E426">
        <v>14.108</v>
      </c>
      <c r="F426">
        <v>-142</v>
      </c>
      <c r="G426">
        <v>238.4</v>
      </c>
      <c r="I426">
        <f t="shared" si="18"/>
        <v>14.1</v>
      </c>
      <c r="J426">
        <f t="shared" si="19"/>
        <v>8</v>
      </c>
      <c r="K426">
        <f t="shared" si="20"/>
        <v>5</v>
      </c>
    </row>
    <row r="427" spans="1:11">
      <c r="A427">
        <v>14.175</v>
      </c>
      <c r="B427">
        <v>-141.5</v>
      </c>
      <c r="C427">
        <v>238.4</v>
      </c>
      <c r="E427">
        <v>14.141</v>
      </c>
      <c r="F427">
        <v>-141.5</v>
      </c>
      <c r="G427">
        <v>238.4</v>
      </c>
      <c r="I427">
        <f t="shared" si="18"/>
        <v>14.1</v>
      </c>
      <c r="J427">
        <f t="shared" si="19"/>
        <v>8.5</v>
      </c>
      <c r="K427">
        <f t="shared" si="20"/>
        <v>5</v>
      </c>
    </row>
    <row r="428" spans="1:11">
      <c r="A428">
        <v>14.208</v>
      </c>
      <c r="B428">
        <v>-141.6</v>
      </c>
      <c r="C428">
        <v>238.4</v>
      </c>
      <c r="E428">
        <v>14.175</v>
      </c>
      <c r="F428">
        <v>-141.5</v>
      </c>
      <c r="G428">
        <v>238.4</v>
      </c>
      <c r="I428">
        <f t="shared" si="18"/>
        <v>14.15</v>
      </c>
      <c r="J428">
        <f t="shared" si="19"/>
        <v>8.5</v>
      </c>
      <c r="K428">
        <f t="shared" si="20"/>
        <v>5</v>
      </c>
    </row>
    <row r="429" spans="1:11">
      <c r="A429">
        <v>14.242</v>
      </c>
      <c r="B429">
        <v>-141.7</v>
      </c>
      <c r="C429">
        <v>238.4</v>
      </c>
      <c r="E429">
        <v>14.208</v>
      </c>
      <c r="F429">
        <v>-141.6</v>
      </c>
      <c r="G429">
        <v>238.4</v>
      </c>
      <c r="I429">
        <f t="shared" si="18"/>
        <v>14.2</v>
      </c>
      <c r="J429">
        <f t="shared" si="19"/>
        <v>8.40000000000001</v>
      </c>
      <c r="K429">
        <f t="shared" si="20"/>
        <v>5</v>
      </c>
    </row>
    <row r="430" spans="1:11">
      <c r="A430">
        <v>14.275</v>
      </c>
      <c r="B430">
        <v>-141.9</v>
      </c>
      <c r="C430">
        <v>238.3</v>
      </c>
      <c r="E430">
        <v>14.242</v>
      </c>
      <c r="F430">
        <v>-141.7</v>
      </c>
      <c r="G430">
        <v>238.4</v>
      </c>
      <c r="I430">
        <f t="shared" si="18"/>
        <v>14.2</v>
      </c>
      <c r="J430">
        <f t="shared" si="19"/>
        <v>8.30000000000001</v>
      </c>
      <c r="K430">
        <f t="shared" si="20"/>
        <v>5</v>
      </c>
    </row>
    <row r="431" spans="1:11">
      <c r="A431">
        <v>14.308</v>
      </c>
      <c r="B431">
        <v>-142.3</v>
      </c>
      <c r="C431">
        <v>188.3</v>
      </c>
      <c r="E431">
        <v>14.275</v>
      </c>
      <c r="F431">
        <v>-141.9</v>
      </c>
      <c r="G431">
        <v>238.3</v>
      </c>
      <c r="I431">
        <f t="shared" si="18"/>
        <v>14.25</v>
      </c>
      <c r="J431">
        <f t="shared" si="19"/>
        <v>8.09999999999999</v>
      </c>
      <c r="K431">
        <f t="shared" si="20"/>
        <v>5</v>
      </c>
    </row>
    <row r="432" spans="1:11">
      <c r="A432">
        <v>14.342</v>
      </c>
      <c r="B432">
        <v>-143.2</v>
      </c>
      <c r="C432">
        <v>196.4</v>
      </c>
      <c r="E432">
        <v>14.308</v>
      </c>
      <c r="F432">
        <v>-142.3</v>
      </c>
      <c r="G432">
        <v>188.3</v>
      </c>
      <c r="I432">
        <f t="shared" si="18"/>
        <v>14.3</v>
      </c>
      <c r="J432">
        <f t="shared" si="19"/>
        <v>7.69999999999999</v>
      </c>
      <c r="K432">
        <f t="shared" si="20"/>
        <v>-5.5</v>
      </c>
    </row>
    <row r="433" spans="1:11">
      <c r="A433">
        <v>14.375</v>
      </c>
      <c r="B433">
        <v>-144.6</v>
      </c>
      <c r="C433">
        <v>196.1</v>
      </c>
      <c r="E433">
        <v>14.342</v>
      </c>
      <c r="F433">
        <v>-143.2</v>
      </c>
      <c r="G433">
        <v>196.4</v>
      </c>
      <c r="I433">
        <f t="shared" si="18"/>
        <v>14.3</v>
      </c>
      <c r="J433">
        <f t="shared" si="19"/>
        <v>6.80000000000001</v>
      </c>
      <c r="K433">
        <f t="shared" si="20"/>
        <v>-5.5</v>
      </c>
    </row>
    <row r="434" spans="1:11">
      <c r="A434">
        <v>14.409</v>
      </c>
      <c r="B434">
        <v>-145.8</v>
      </c>
      <c r="C434">
        <v>193.8</v>
      </c>
      <c r="E434">
        <v>14.375</v>
      </c>
      <c r="F434">
        <v>-144.6</v>
      </c>
      <c r="G434">
        <v>196.1</v>
      </c>
      <c r="I434">
        <f t="shared" si="18"/>
        <v>14.35</v>
      </c>
      <c r="J434">
        <f t="shared" si="19"/>
        <v>5.40000000000001</v>
      </c>
      <c r="K434">
        <f t="shared" si="20"/>
        <v>-5.5</v>
      </c>
    </row>
    <row r="435" spans="1:11">
      <c r="A435">
        <v>14.442</v>
      </c>
      <c r="B435">
        <v>-147</v>
      </c>
      <c r="C435">
        <v>193</v>
      </c>
      <c r="E435">
        <v>14.409</v>
      </c>
      <c r="F435">
        <v>-145.8</v>
      </c>
      <c r="G435">
        <v>193.8</v>
      </c>
      <c r="I435">
        <f t="shared" si="18"/>
        <v>14.4</v>
      </c>
      <c r="J435">
        <f t="shared" si="19"/>
        <v>4.19999999999999</v>
      </c>
      <c r="K435">
        <f t="shared" si="20"/>
        <v>-5.5</v>
      </c>
    </row>
    <row r="436" spans="1:11">
      <c r="A436">
        <v>14.476</v>
      </c>
      <c r="B436">
        <v>-148.8</v>
      </c>
      <c r="C436">
        <v>192.1</v>
      </c>
      <c r="E436">
        <v>14.442</v>
      </c>
      <c r="F436">
        <v>-147</v>
      </c>
      <c r="G436">
        <v>193</v>
      </c>
      <c r="I436">
        <f t="shared" si="18"/>
        <v>14.4</v>
      </c>
      <c r="J436">
        <f t="shared" si="19"/>
        <v>3</v>
      </c>
      <c r="K436">
        <f t="shared" si="20"/>
        <v>-5.5</v>
      </c>
    </row>
    <row r="437" spans="1:11">
      <c r="A437">
        <v>14.509</v>
      </c>
      <c r="B437">
        <v>-150.4</v>
      </c>
      <c r="C437">
        <v>190.7</v>
      </c>
      <c r="E437">
        <v>14.476</v>
      </c>
      <c r="F437">
        <v>-148.8</v>
      </c>
      <c r="G437">
        <v>192.1</v>
      </c>
      <c r="I437">
        <f t="shared" si="18"/>
        <v>14.45</v>
      </c>
      <c r="J437">
        <f t="shared" si="19"/>
        <v>1.19999999999999</v>
      </c>
      <c r="K437">
        <f t="shared" si="20"/>
        <v>-5.5</v>
      </c>
    </row>
    <row r="438" spans="1:11">
      <c r="A438">
        <v>14.542</v>
      </c>
      <c r="B438">
        <v>-152.1</v>
      </c>
      <c r="C438">
        <v>189.9</v>
      </c>
      <c r="E438">
        <v>14.509</v>
      </c>
      <c r="F438">
        <v>-150.4</v>
      </c>
      <c r="G438">
        <v>190.7</v>
      </c>
      <c r="I438">
        <f t="shared" si="18"/>
        <v>14.5</v>
      </c>
      <c r="J438">
        <f t="shared" si="19"/>
        <v>-0.400000000000006</v>
      </c>
      <c r="K438">
        <f t="shared" si="20"/>
        <v>-5.5</v>
      </c>
    </row>
    <row r="439" spans="1:11">
      <c r="A439">
        <v>14.576</v>
      </c>
      <c r="B439">
        <v>-153.9</v>
      </c>
      <c r="C439">
        <v>189.7</v>
      </c>
      <c r="E439">
        <v>14.542</v>
      </c>
      <c r="F439">
        <v>-152.1</v>
      </c>
      <c r="G439">
        <v>189.9</v>
      </c>
      <c r="I439">
        <f t="shared" si="18"/>
        <v>14.5</v>
      </c>
      <c r="J439">
        <f t="shared" si="19"/>
        <v>-2.09999999999999</v>
      </c>
      <c r="K439">
        <f t="shared" si="20"/>
        <v>-5.5</v>
      </c>
    </row>
    <row r="440" spans="1:11">
      <c r="A440">
        <v>14.609</v>
      </c>
      <c r="B440">
        <v>-155.2</v>
      </c>
      <c r="C440">
        <v>188.1</v>
      </c>
      <c r="E440">
        <v>14.576</v>
      </c>
      <c r="F440">
        <v>-153.9</v>
      </c>
      <c r="G440">
        <v>189.7</v>
      </c>
      <c r="I440">
        <f t="shared" si="18"/>
        <v>14.55</v>
      </c>
      <c r="J440">
        <f t="shared" si="19"/>
        <v>-3.90000000000001</v>
      </c>
      <c r="K440">
        <f t="shared" si="20"/>
        <v>-5.5</v>
      </c>
    </row>
    <row r="441" spans="1:11">
      <c r="A441">
        <v>14.643</v>
      </c>
      <c r="B441">
        <v>-157</v>
      </c>
      <c r="C441">
        <v>186.6</v>
      </c>
      <c r="E441">
        <v>14.609</v>
      </c>
      <c r="F441">
        <v>-155.2</v>
      </c>
      <c r="G441">
        <v>188.1</v>
      </c>
      <c r="I441">
        <f t="shared" si="18"/>
        <v>14.6</v>
      </c>
      <c r="J441">
        <f t="shared" si="19"/>
        <v>-5.19999999999999</v>
      </c>
      <c r="K441">
        <f t="shared" si="20"/>
        <v>-5.5</v>
      </c>
    </row>
    <row r="442" spans="1:11">
      <c r="A442">
        <v>14.676</v>
      </c>
      <c r="B442">
        <v>-158.7</v>
      </c>
      <c r="C442">
        <v>186.2</v>
      </c>
      <c r="E442">
        <v>14.643</v>
      </c>
      <c r="F442">
        <v>-157</v>
      </c>
      <c r="G442">
        <v>186.6</v>
      </c>
      <c r="I442">
        <f t="shared" si="18"/>
        <v>14.6</v>
      </c>
      <c r="J442">
        <f t="shared" si="19"/>
        <v>-7</v>
      </c>
      <c r="K442">
        <f t="shared" si="20"/>
        <v>-5.5</v>
      </c>
    </row>
    <row r="443" spans="1:11">
      <c r="A443">
        <v>14.71</v>
      </c>
      <c r="B443">
        <v>-160</v>
      </c>
      <c r="C443">
        <v>185.2</v>
      </c>
      <c r="E443">
        <v>14.676</v>
      </c>
      <c r="F443">
        <v>-158.7</v>
      </c>
      <c r="G443">
        <v>186.2</v>
      </c>
      <c r="I443">
        <f t="shared" si="18"/>
        <v>14.65</v>
      </c>
      <c r="J443">
        <f t="shared" si="19"/>
        <v>-8.69999999999999</v>
      </c>
      <c r="K443">
        <f t="shared" si="20"/>
        <v>-5.5</v>
      </c>
    </row>
    <row r="444" spans="1:11">
      <c r="A444">
        <v>14.743</v>
      </c>
      <c r="B444">
        <v>-161.1</v>
      </c>
      <c r="C444">
        <v>184.1</v>
      </c>
      <c r="E444">
        <v>14.71</v>
      </c>
      <c r="F444">
        <v>-160</v>
      </c>
      <c r="G444">
        <v>185.2</v>
      </c>
      <c r="I444">
        <f t="shared" si="18"/>
        <v>14.7</v>
      </c>
      <c r="J444">
        <f t="shared" si="19"/>
        <v>-10</v>
      </c>
      <c r="K444">
        <f t="shared" si="20"/>
        <v>-5.5</v>
      </c>
    </row>
    <row r="445" spans="1:11">
      <c r="A445">
        <v>14.776</v>
      </c>
      <c r="B445">
        <v>-162.3</v>
      </c>
      <c r="C445">
        <v>183.5</v>
      </c>
      <c r="E445">
        <v>14.743</v>
      </c>
      <c r="F445">
        <v>-161.1</v>
      </c>
      <c r="G445">
        <v>184.1</v>
      </c>
      <c r="I445">
        <f t="shared" si="18"/>
        <v>14.7</v>
      </c>
      <c r="J445">
        <f t="shared" si="19"/>
        <v>-11.1</v>
      </c>
      <c r="K445">
        <f t="shared" si="20"/>
        <v>-5.5</v>
      </c>
    </row>
    <row r="446" spans="1:11">
      <c r="A446">
        <v>14.81</v>
      </c>
      <c r="B446">
        <v>-163.3</v>
      </c>
      <c r="C446">
        <v>182.8</v>
      </c>
      <c r="E446">
        <v>14.776</v>
      </c>
      <c r="F446">
        <v>-162.3</v>
      </c>
      <c r="G446">
        <v>183.5</v>
      </c>
      <c r="I446">
        <f t="shared" si="18"/>
        <v>14.75</v>
      </c>
      <c r="J446">
        <f t="shared" si="19"/>
        <v>-12.3</v>
      </c>
      <c r="K446">
        <f t="shared" si="20"/>
        <v>-5.5</v>
      </c>
    </row>
    <row r="447" spans="1:11">
      <c r="A447">
        <v>14.843</v>
      </c>
      <c r="B447">
        <v>-164</v>
      </c>
      <c r="C447">
        <v>181.9</v>
      </c>
      <c r="E447">
        <v>14.81</v>
      </c>
      <c r="F447">
        <v>-163.3</v>
      </c>
      <c r="G447">
        <v>182.8</v>
      </c>
      <c r="I447">
        <f t="shared" si="18"/>
        <v>14.8</v>
      </c>
      <c r="J447">
        <f t="shared" si="19"/>
        <v>-13.3</v>
      </c>
      <c r="K447">
        <f t="shared" si="20"/>
        <v>-5.5</v>
      </c>
    </row>
    <row r="448" spans="1:11">
      <c r="A448">
        <v>14.877</v>
      </c>
      <c r="B448">
        <v>-164.4</v>
      </c>
      <c r="C448">
        <v>180.1</v>
      </c>
      <c r="E448">
        <v>14.843</v>
      </c>
      <c r="F448">
        <v>-164</v>
      </c>
      <c r="G448">
        <v>181.9</v>
      </c>
      <c r="I448">
        <f t="shared" si="18"/>
        <v>14.8</v>
      </c>
      <c r="J448">
        <f t="shared" si="19"/>
        <v>-14</v>
      </c>
      <c r="K448">
        <f t="shared" si="20"/>
        <v>-5.5</v>
      </c>
    </row>
    <row r="449" spans="1:11">
      <c r="A449">
        <v>14.91</v>
      </c>
      <c r="B449">
        <v>-164.7</v>
      </c>
      <c r="C449">
        <v>179</v>
      </c>
      <c r="E449">
        <v>14.877</v>
      </c>
      <c r="F449">
        <v>-164.4</v>
      </c>
      <c r="G449">
        <v>180.1</v>
      </c>
      <c r="I449">
        <f t="shared" ref="I449:I512" si="21">FLOOR(E449,0.05)</f>
        <v>14.85</v>
      </c>
      <c r="J449">
        <f t="shared" si="19"/>
        <v>-14.4</v>
      </c>
      <c r="K449">
        <f t="shared" si="20"/>
        <v>-5.5</v>
      </c>
    </row>
    <row r="450" spans="1:11">
      <c r="A450">
        <v>14.944</v>
      </c>
      <c r="B450">
        <v>-164.8</v>
      </c>
      <c r="C450">
        <v>177.6</v>
      </c>
      <c r="E450">
        <v>14.91</v>
      </c>
      <c r="F450">
        <v>-164.7</v>
      </c>
      <c r="G450">
        <v>179</v>
      </c>
      <c r="I450">
        <f t="shared" si="21"/>
        <v>14.9</v>
      </c>
      <c r="J450">
        <f t="shared" si="19"/>
        <v>-14.7</v>
      </c>
      <c r="K450">
        <f t="shared" si="20"/>
        <v>-5.5</v>
      </c>
    </row>
    <row r="451" spans="1:11">
      <c r="A451">
        <v>14.977</v>
      </c>
      <c r="B451">
        <v>-164.6</v>
      </c>
      <c r="C451">
        <v>177.4</v>
      </c>
      <c r="E451">
        <v>14.944</v>
      </c>
      <c r="F451">
        <v>-164.8</v>
      </c>
      <c r="G451">
        <v>177.6</v>
      </c>
      <c r="I451">
        <f t="shared" si="21"/>
        <v>14.9</v>
      </c>
      <c r="J451">
        <f t="shared" si="19"/>
        <v>-14.8</v>
      </c>
      <c r="K451">
        <f t="shared" si="20"/>
        <v>-5.5</v>
      </c>
    </row>
    <row r="452" spans="1:11">
      <c r="A452">
        <v>15.01</v>
      </c>
      <c r="B452">
        <v>-164.5</v>
      </c>
      <c r="C452">
        <v>175</v>
      </c>
      <c r="E452">
        <v>14.977</v>
      </c>
      <c r="F452">
        <v>-164.6</v>
      </c>
      <c r="G452">
        <v>177.4</v>
      </c>
      <c r="I452">
        <f t="shared" si="21"/>
        <v>14.95</v>
      </c>
      <c r="J452">
        <f t="shared" si="19"/>
        <v>-14.6</v>
      </c>
      <c r="K452">
        <f t="shared" si="20"/>
        <v>-5.5</v>
      </c>
    </row>
    <row r="453" spans="1:11">
      <c r="A453">
        <v>15.044</v>
      </c>
      <c r="B453">
        <v>-164.2</v>
      </c>
      <c r="C453">
        <v>174.1</v>
      </c>
      <c r="E453">
        <v>15.01</v>
      </c>
      <c r="F453">
        <v>-164.5</v>
      </c>
      <c r="G453">
        <v>175</v>
      </c>
      <c r="I453">
        <f t="shared" si="21"/>
        <v>15</v>
      </c>
      <c r="J453">
        <f t="shared" ref="J453:J516" si="22">F453+150</f>
        <v>-14.5</v>
      </c>
      <c r="K453">
        <f t="shared" ref="K453:K516" si="23">IF(G453&lt;230,-5.5,5)</f>
        <v>-5.5</v>
      </c>
    </row>
    <row r="454" spans="1:11">
      <c r="A454">
        <v>15.077</v>
      </c>
      <c r="B454">
        <v>-163.8</v>
      </c>
      <c r="C454">
        <v>238.4</v>
      </c>
      <c r="E454">
        <v>15.044</v>
      </c>
      <c r="F454">
        <v>-164.2</v>
      </c>
      <c r="G454">
        <v>174.1</v>
      </c>
      <c r="I454">
        <f t="shared" si="21"/>
        <v>15</v>
      </c>
      <c r="J454">
        <f t="shared" si="22"/>
        <v>-14.2</v>
      </c>
      <c r="K454">
        <f t="shared" si="23"/>
        <v>-5.5</v>
      </c>
    </row>
    <row r="455" spans="1:11">
      <c r="A455">
        <v>15.111</v>
      </c>
      <c r="B455">
        <v>-162.9</v>
      </c>
      <c r="C455">
        <v>238.4</v>
      </c>
      <c r="E455">
        <v>15.077</v>
      </c>
      <c r="F455">
        <v>-163.8</v>
      </c>
      <c r="G455">
        <v>238.4</v>
      </c>
      <c r="I455">
        <f t="shared" si="21"/>
        <v>15.05</v>
      </c>
      <c r="J455">
        <f t="shared" si="22"/>
        <v>-13.8</v>
      </c>
      <c r="K455">
        <f t="shared" si="23"/>
        <v>5</v>
      </c>
    </row>
    <row r="456" spans="1:11">
      <c r="A456">
        <v>15.144</v>
      </c>
      <c r="B456">
        <v>-161.9</v>
      </c>
      <c r="C456">
        <v>238.4</v>
      </c>
      <c r="E456">
        <v>15.111</v>
      </c>
      <c r="F456">
        <v>-162.9</v>
      </c>
      <c r="G456">
        <v>238.4</v>
      </c>
      <c r="I456">
        <f t="shared" si="21"/>
        <v>15.1</v>
      </c>
      <c r="J456">
        <f t="shared" si="22"/>
        <v>-12.9</v>
      </c>
      <c r="K456">
        <f t="shared" si="23"/>
        <v>5</v>
      </c>
    </row>
    <row r="457" spans="1:11">
      <c r="A457">
        <v>15.178</v>
      </c>
      <c r="B457">
        <v>-160.6</v>
      </c>
      <c r="C457">
        <v>238.4</v>
      </c>
      <c r="E457">
        <v>15.144</v>
      </c>
      <c r="F457">
        <v>-161.9</v>
      </c>
      <c r="G457">
        <v>238.4</v>
      </c>
      <c r="I457">
        <f t="shared" si="21"/>
        <v>15.1</v>
      </c>
      <c r="J457">
        <f t="shared" si="22"/>
        <v>-11.9</v>
      </c>
      <c r="K457">
        <f t="shared" si="23"/>
        <v>5</v>
      </c>
    </row>
    <row r="458" spans="1:11">
      <c r="A458">
        <v>15.211</v>
      </c>
      <c r="B458">
        <v>-159.1</v>
      </c>
      <c r="C458">
        <v>238.4</v>
      </c>
      <c r="E458">
        <v>15.178</v>
      </c>
      <c r="F458">
        <v>-160.6</v>
      </c>
      <c r="G458">
        <v>238.4</v>
      </c>
      <c r="I458">
        <f t="shared" si="21"/>
        <v>15.15</v>
      </c>
      <c r="J458">
        <f t="shared" si="22"/>
        <v>-10.6</v>
      </c>
      <c r="K458">
        <f t="shared" si="23"/>
        <v>5</v>
      </c>
    </row>
    <row r="459" spans="1:11">
      <c r="A459">
        <v>15.244</v>
      </c>
      <c r="B459">
        <v>-157.6</v>
      </c>
      <c r="C459">
        <v>238.4</v>
      </c>
      <c r="E459">
        <v>15.211</v>
      </c>
      <c r="F459">
        <v>-159.1</v>
      </c>
      <c r="G459">
        <v>238.4</v>
      </c>
      <c r="I459">
        <f t="shared" si="21"/>
        <v>15.2</v>
      </c>
      <c r="J459">
        <f t="shared" si="22"/>
        <v>-9.09999999999999</v>
      </c>
      <c r="K459">
        <f t="shared" si="23"/>
        <v>5</v>
      </c>
    </row>
    <row r="460" spans="1:11">
      <c r="A460">
        <v>15.278</v>
      </c>
      <c r="B460">
        <v>-155.9</v>
      </c>
      <c r="C460">
        <v>238.4</v>
      </c>
      <c r="E460">
        <v>15.244</v>
      </c>
      <c r="F460">
        <v>-157.6</v>
      </c>
      <c r="G460">
        <v>238.4</v>
      </c>
      <c r="I460">
        <f t="shared" si="21"/>
        <v>15.2</v>
      </c>
      <c r="J460">
        <f t="shared" si="22"/>
        <v>-7.59999999999999</v>
      </c>
      <c r="K460">
        <f t="shared" si="23"/>
        <v>5</v>
      </c>
    </row>
    <row r="461" spans="1:11">
      <c r="A461">
        <v>15.311</v>
      </c>
      <c r="B461">
        <v>-154.3</v>
      </c>
      <c r="C461">
        <v>238.4</v>
      </c>
      <c r="E461">
        <v>15.278</v>
      </c>
      <c r="F461">
        <v>-155.9</v>
      </c>
      <c r="G461">
        <v>238.4</v>
      </c>
      <c r="I461">
        <f t="shared" si="21"/>
        <v>15.25</v>
      </c>
      <c r="J461">
        <f t="shared" si="22"/>
        <v>-5.90000000000001</v>
      </c>
      <c r="K461">
        <f t="shared" si="23"/>
        <v>5</v>
      </c>
    </row>
    <row r="462" spans="1:11">
      <c r="A462">
        <v>15.345</v>
      </c>
      <c r="B462">
        <v>-152.8</v>
      </c>
      <c r="C462">
        <v>238.4</v>
      </c>
      <c r="E462">
        <v>15.311</v>
      </c>
      <c r="F462">
        <v>-154.3</v>
      </c>
      <c r="G462">
        <v>238.4</v>
      </c>
      <c r="I462">
        <f t="shared" si="21"/>
        <v>15.3</v>
      </c>
      <c r="J462">
        <f t="shared" si="22"/>
        <v>-4.30000000000001</v>
      </c>
      <c r="K462">
        <f t="shared" si="23"/>
        <v>5</v>
      </c>
    </row>
    <row r="463" spans="1:11">
      <c r="A463">
        <v>15.378</v>
      </c>
      <c r="B463">
        <v>-150.7</v>
      </c>
      <c r="C463">
        <v>238.4</v>
      </c>
      <c r="E463">
        <v>15.345</v>
      </c>
      <c r="F463">
        <v>-152.8</v>
      </c>
      <c r="G463">
        <v>238.4</v>
      </c>
      <c r="I463">
        <f t="shared" si="21"/>
        <v>15.3</v>
      </c>
      <c r="J463">
        <f t="shared" si="22"/>
        <v>-2.80000000000001</v>
      </c>
      <c r="K463">
        <f t="shared" si="23"/>
        <v>5</v>
      </c>
    </row>
    <row r="464" spans="1:11">
      <c r="A464">
        <v>15.412</v>
      </c>
      <c r="B464">
        <v>-149.1</v>
      </c>
      <c r="C464">
        <v>238.4</v>
      </c>
      <c r="E464">
        <v>15.378</v>
      </c>
      <c r="F464">
        <v>-150.7</v>
      </c>
      <c r="G464">
        <v>238.4</v>
      </c>
      <c r="I464">
        <f t="shared" si="21"/>
        <v>15.35</v>
      </c>
      <c r="J464">
        <f t="shared" si="22"/>
        <v>-0.699999999999989</v>
      </c>
      <c r="K464">
        <f t="shared" si="23"/>
        <v>5</v>
      </c>
    </row>
    <row r="465" spans="1:11">
      <c r="A465">
        <v>15.445</v>
      </c>
      <c r="B465">
        <v>-147.6</v>
      </c>
      <c r="C465">
        <v>238.4</v>
      </c>
      <c r="E465">
        <v>15.412</v>
      </c>
      <c r="F465">
        <v>-149.1</v>
      </c>
      <c r="G465">
        <v>238.4</v>
      </c>
      <c r="I465">
        <f t="shared" si="21"/>
        <v>15.4</v>
      </c>
      <c r="J465">
        <f t="shared" si="22"/>
        <v>0.900000000000006</v>
      </c>
      <c r="K465">
        <f t="shared" si="23"/>
        <v>5</v>
      </c>
    </row>
    <row r="466" spans="1:11">
      <c r="A466">
        <v>15.478</v>
      </c>
      <c r="B466">
        <v>-146.1</v>
      </c>
      <c r="C466">
        <v>238.4</v>
      </c>
      <c r="E466">
        <v>15.445</v>
      </c>
      <c r="F466">
        <v>-147.6</v>
      </c>
      <c r="G466">
        <v>238.4</v>
      </c>
      <c r="I466">
        <f t="shared" si="21"/>
        <v>15.4</v>
      </c>
      <c r="J466">
        <f t="shared" si="22"/>
        <v>2.40000000000001</v>
      </c>
      <c r="K466">
        <f t="shared" si="23"/>
        <v>5</v>
      </c>
    </row>
    <row r="467" spans="1:11">
      <c r="A467">
        <v>15.512</v>
      </c>
      <c r="B467">
        <v>-144.8</v>
      </c>
      <c r="C467">
        <v>238.4</v>
      </c>
      <c r="E467">
        <v>15.478</v>
      </c>
      <c r="F467">
        <v>-146.1</v>
      </c>
      <c r="G467">
        <v>238.4</v>
      </c>
      <c r="I467">
        <f t="shared" si="21"/>
        <v>15.45</v>
      </c>
      <c r="J467">
        <f t="shared" si="22"/>
        <v>3.90000000000001</v>
      </c>
      <c r="K467">
        <f t="shared" si="23"/>
        <v>5</v>
      </c>
    </row>
    <row r="468" spans="1:11">
      <c r="A468">
        <v>15.545</v>
      </c>
      <c r="B468">
        <v>-143.7</v>
      </c>
      <c r="C468">
        <v>238.4</v>
      </c>
      <c r="E468">
        <v>15.512</v>
      </c>
      <c r="F468">
        <v>-144.8</v>
      </c>
      <c r="G468">
        <v>238.4</v>
      </c>
      <c r="I468">
        <f t="shared" si="21"/>
        <v>15.5</v>
      </c>
      <c r="J468">
        <f t="shared" si="22"/>
        <v>5.19999999999999</v>
      </c>
      <c r="K468">
        <f t="shared" si="23"/>
        <v>5</v>
      </c>
    </row>
    <row r="469" spans="1:11">
      <c r="A469">
        <v>15.579</v>
      </c>
      <c r="B469">
        <v>-142.7</v>
      </c>
      <c r="C469">
        <v>238.4</v>
      </c>
      <c r="E469">
        <v>15.545</v>
      </c>
      <c r="F469">
        <v>-143.7</v>
      </c>
      <c r="G469">
        <v>238.4</v>
      </c>
      <c r="I469">
        <f t="shared" si="21"/>
        <v>15.5</v>
      </c>
      <c r="J469">
        <f t="shared" si="22"/>
        <v>6.30000000000001</v>
      </c>
      <c r="K469">
        <f t="shared" si="23"/>
        <v>5</v>
      </c>
    </row>
    <row r="470" spans="1:11">
      <c r="A470">
        <v>15.612</v>
      </c>
      <c r="B470">
        <v>-142.1</v>
      </c>
      <c r="C470">
        <v>238.4</v>
      </c>
      <c r="E470">
        <v>15.579</v>
      </c>
      <c r="F470">
        <v>-142.7</v>
      </c>
      <c r="G470">
        <v>238.4</v>
      </c>
      <c r="I470">
        <f t="shared" si="21"/>
        <v>15.55</v>
      </c>
      <c r="J470">
        <f t="shared" si="22"/>
        <v>7.30000000000001</v>
      </c>
      <c r="K470">
        <f t="shared" si="23"/>
        <v>5</v>
      </c>
    </row>
    <row r="471" spans="1:11">
      <c r="A471">
        <v>15.646</v>
      </c>
      <c r="B471">
        <v>-141.5</v>
      </c>
      <c r="C471">
        <v>238.4</v>
      </c>
      <c r="E471">
        <v>15.612</v>
      </c>
      <c r="F471">
        <v>-142.1</v>
      </c>
      <c r="G471">
        <v>238.4</v>
      </c>
      <c r="I471">
        <f t="shared" si="21"/>
        <v>15.6</v>
      </c>
      <c r="J471">
        <f t="shared" si="22"/>
        <v>7.90000000000001</v>
      </c>
      <c r="K471">
        <f t="shared" si="23"/>
        <v>5</v>
      </c>
    </row>
    <row r="472" spans="1:11">
      <c r="A472">
        <v>15.679</v>
      </c>
      <c r="B472">
        <v>-141.1</v>
      </c>
      <c r="C472">
        <v>238.4</v>
      </c>
      <c r="E472">
        <v>15.646</v>
      </c>
      <c r="F472">
        <v>-141.5</v>
      </c>
      <c r="G472">
        <v>238.4</v>
      </c>
      <c r="I472">
        <f t="shared" si="21"/>
        <v>15.6</v>
      </c>
      <c r="J472">
        <f t="shared" si="22"/>
        <v>8.5</v>
      </c>
      <c r="K472">
        <f t="shared" si="23"/>
        <v>5</v>
      </c>
    </row>
    <row r="473" spans="1:11">
      <c r="A473">
        <v>15.713</v>
      </c>
      <c r="B473">
        <v>-141.1</v>
      </c>
      <c r="C473">
        <v>238.4</v>
      </c>
      <c r="E473">
        <v>15.679</v>
      </c>
      <c r="F473">
        <v>-141.1</v>
      </c>
      <c r="G473">
        <v>238.4</v>
      </c>
      <c r="I473">
        <f t="shared" si="21"/>
        <v>15.65</v>
      </c>
      <c r="J473">
        <f t="shared" si="22"/>
        <v>8.90000000000001</v>
      </c>
      <c r="K473">
        <f t="shared" si="23"/>
        <v>5</v>
      </c>
    </row>
    <row r="474" spans="1:11">
      <c r="A474">
        <v>15.746</v>
      </c>
      <c r="B474">
        <v>-141.2</v>
      </c>
      <c r="C474">
        <v>238.4</v>
      </c>
      <c r="E474">
        <v>15.713</v>
      </c>
      <c r="F474">
        <v>-141.1</v>
      </c>
      <c r="G474">
        <v>238.4</v>
      </c>
      <c r="I474">
        <f t="shared" si="21"/>
        <v>15.7</v>
      </c>
      <c r="J474">
        <f t="shared" si="22"/>
        <v>8.90000000000001</v>
      </c>
      <c r="K474">
        <f t="shared" si="23"/>
        <v>5</v>
      </c>
    </row>
    <row r="475" spans="1:11">
      <c r="A475">
        <v>15.779</v>
      </c>
      <c r="B475">
        <v>-141.4</v>
      </c>
      <c r="C475">
        <v>238.4</v>
      </c>
      <c r="E475">
        <v>15.746</v>
      </c>
      <c r="F475">
        <v>-141.2</v>
      </c>
      <c r="G475">
        <v>238.4</v>
      </c>
      <c r="I475">
        <f t="shared" si="21"/>
        <v>15.7</v>
      </c>
      <c r="J475">
        <f t="shared" si="22"/>
        <v>8.80000000000001</v>
      </c>
      <c r="K475">
        <f t="shared" si="23"/>
        <v>5</v>
      </c>
    </row>
    <row r="476" spans="1:11">
      <c r="A476">
        <v>15.813</v>
      </c>
      <c r="B476">
        <v>-141.6</v>
      </c>
      <c r="C476">
        <v>238.4</v>
      </c>
      <c r="E476">
        <v>15.779</v>
      </c>
      <c r="F476">
        <v>-141.4</v>
      </c>
      <c r="G476">
        <v>238.4</v>
      </c>
      <c r="I476">
        <f t="shared" si="21"/>
        <v>15.75</v>
      </c>
      <c r="J476">
        <f t="shared" si="22"/>
        <v>8.59999999999999</v>
      </c>
      <c r="K476">
        <f t="shared" si="23"/>
        <v>5</v>
      </c>
    </row>
    <row r="477" spans="1:11">
      <c r="A477">
        <v>15.846</v>
      </c>
      <c r="B477">
        <v>-141.8</v>
      </c>
      <c r="C477">
        <v>238.4</v>
      </c>
      <c r="E477">
        <v>15.813</v>
      </c>
      <c r="F477">
        <v>-141.6</v>
      </c>
      <c r="G477">
        <v>238.4</v>
      </c>
      <c r="I477">
        <f t="shared" si="21"/>
        <v>15.8</v>
      </c>
      <c r="J477">
        <f t="shared" si="22"/>
        <v>8.40000000000001</v>
      </c>
      <c r="K477">
        <f t="shared" si="23"/>
        <v>5</v>
      </c>
    </row>
    <row r="478" spans="1:11">
      <c r="A478">
        <v>15.88</v>
      </c>
      <c r="B478">
        <v>-142.1</v>
      </c>
      <c r="C478">
        <v>238.4</v>
      </c>
      <c r="E478">
        <v>15.846</v>
      </c>
      <c r="F478">
        <v>-141.8</v>
      </c>
      <c r="G478">
        <v>238.4</v>
      </c>
      <c r="I478">
        <f t="shared" si="21"/>
        <v>15.8</v>
      </c>
      <c r="J478">
        <f t="shared" si="22"/>
        <v>8.19999999999999</v>
      </c>
      <c r="K478">
        <f t="shared" si="23"/>
        <v>5</v>
      </c>
    </row>
    <row r="479" spans="1:11">
      <c r="A479">
        <v>15.913</v>
      </c>
      <c r="B479">
        <v>-143</v>
      </c>
      <c r="C479">
        <v>196.7</v>
      </c>
      <c r="E479">
        <v>15.88</v>
      </c>
      <c r="F479">
        <v>-142.1</v>
      </c>
      <c r="G479">
        <v>238.4</v>
      </c>
      <c r="I479">
        <f t="shared" si="21"/>
        <v>15.85</v>
      </c>
      <c r="J479">
        <f t="shared" si="22"/>
        <v>7.90000000000001</v>
      </c>
      <c r="K479">
        <f t="shared" si="23"/>
        <v>5</v>
      </c>
    </row>
    <row r="480" spans="1:11">
      <c r="A480">
        <v>15.947</v>
      </c>
      <c r="B480">
        <v>-144.3</v>
      </c>
      <c r="C480">
        <v>205.4</v>
      </c>
      <c r="E480">
        <v>15.913</v>
      </c>
      <c r="F480">
        <v>-143</v>
      </c>
      <c r="G480">
        <v>196.7</v>
      </c>
      <c r="I480">
        <f t="shared" si="21"/>
        <v>15.9</v>
      </c>
      <c r="J480">
        <f t="shared" si="22"/>
        <v>7</v>
      </c>
      <c r="K480">
        <f t="shared" si="23"/>
        <v>-5.5</v>
      </c>
    </row>
    <row r="481" spans="1:11">
      <c r="A481">
        <v>15.98</v>
      </c>
      <c r="B481">
        <v>-145.8</v>
      </c>
      <c r="C481">
        <v>203.8</v>
      </c>
      <c r="E481">
        <v>15.947</v>
      </c>
      <c r="F481">
        <v>-144.3</v>
      </c>
      <c r="G481">
        <v>205.4</v>
      </c>
      <c r="I481">
        <f t="shared" si="21"/>
        <v>15.9</v>
      </c>
      <c r="J481">
        <f t="shared" si="22"/>
        <v>5.69999999999999</v>
      </c>
      <c r="K481">
        <f t="shared" si="23"/>
        <v>-5.5</v>
      </c>
    </row>
    <row r="482" spans="1:11">
      <c r="A482">
        <v>16.013</v>
      </c>
      <c r="B482">
        <v>-147.3</v>
      </c>
      <c r="C482">
        <v>202</v>
      </c>
      <c r="E482">
        <v>15.98</v>
      </c>
      <c r="F482">
        <v>-145.8</v>
      </c>
      <c r="G482">
        <v>203.8</v>
      </c>
      <c r="I482">
        <f t="shared" si="21"/>
        <v>15.95</v>
      </c>
      <c r="J482">
        <f t="shared" si="22"/>
        <v>4.19999999999999</v>
      </c>
      <c r="K482">
        <f t="shared" si="23"/>
        <v>-5.5</v>
      </c>
    </row>
    <row r="483" spans="1:11">
      <c r="A483">
        <v>16.047</v>
      </c>
      <c r="B483">
        <v>-149</v>
      </c>
      <c r="C483">
        <v>200.2</v>
      </c>
      <c r="E483">
        <v>16.013</v>
      </c>
      <c r="F483">
        <v>-147.3</v>
      </c>
      <c r="G483">
        <v>202</v>
      </c>
      <c r="I483">
        <f t="shared" si="21"/>
        <v>16</v>
      </c>
      <c r="J483">
        <f t="shared" si="22"/>
        <v>2.69999999999999</v>
      </c>
      <c r="K483">
        <f t="shared" si="23"/>
        <v>-5.5</v>
      </c>
    </row>
    <row r="484" spans="1:11">
      <c r="A484">
        <v>16.08</v>
      </c>
      <c r="B484">
        <v>-150.6</v>
      </c>
      <c r="C484">
        <v>198.9</v>
      </c>
      <c r="E484">
        <v>16.047</v>
      </c>
      <c r="F484">
        <v>-149</v>
      </c>
      <c r="G484">
        <v>200.2</v>
      </c>
      <c r="I484">
        <f t="shared" si="21"/>
        <v>16</v>
      </c>
      <c r="J484">
        <f t="shared" si="22"/>
        <v>1</v>
      </c>
      <c r="K484">
        <f t="shared" si="23"/>
        <v>-5.5</v>
      </c>
    </row>
    <row r="485" spans="1:11">
      <c r="A485">
        <v>16.114</v>
      </c>
      <c r="B485">
        <v>-152.3</v>
      </c>
      <c r="C485">
        <v>197.8</v>
      </c>
      <c r="E485">
        <v>16.08</v>
      </c>
      <c r="F485">
        <v>-150.6</v>
      </c>
      <c r="G485">
        <v>198.9</v>
      </c>
      <c r="I485">
        <f t="shared" si="21"/>
        <v>16.05</v>
      </c>
      <c r="J485">
        <f t="shared" si="22"/>
        <v>-0.599999999999994</v>
      </c>
      <c r="K485">
        <f t="shared" si="23"/>
        <v>-5.5</v>
      </c>
    </row>
    <row r="486" spans="1:11">
      <c r="A486">
        <v>16.147</v>
      </c>
      <c r="B486">
        <v>-154.1</v>
      </c>
      <c r="C486">
        <v>197.6</v>
      </c>
      <c r="E486">
        <v>16.114</v>
      </c>
      <c r="F486">
        <v>-152.3</v>
      </c>
      <c r="G486">
        <v>197.8</v>
      </c>
      <c r="I486">
        <f t="shared" si="21"/>
        <v>16.1</v>
      </c>
      <c r="J486">
        <f t="shared" si="22"/>
        <v>-2.30000000000001</v>
      </c>
      <c r="K486">
        <f t="shared" si="23"/>
        <v>-5.5</v>
      </c>
    </row>
    <row r="487" spans="1:11">
      <c r="A487">
        <v>16.181</v>
      </c>
      <c r="B487">
        <v>-155.7</v>
      </c>
      <c r="C487">
        <v>196.2</v>
      </c>
      <c r="E487">
        <v>16.147</v>
      </c>
      <c r="F487">
        <v>-154.1</v>
      </c>
      <c r="G487">
        <v>197.6</v>
      </c>
      <c r="I487">
        <f t="shared" si="21"/>
        <v>16.1</v>
      </c>
      <c r="J487">
        <f t="shared" si="22"/>
        <v>-4.09999999999999</v>
      </c>
      <c r="K487">
        <f t="shared" si="23"/>
        <v>-5.5</v>
      </c>
    </row>
    <row r="488" spans="1:11">
      <c r="A488">
        <v>16.214</v>
      </c>
      <c r="B488">
        <v>-157.5</v>
      </c>
      <c r="C488">
        <v>195.3</v>
      </c>
      <c r="E488">
        <v>16.181</v>
      </c>
      <c r="F488">
        <v>-155.7</v>
      </c>
      <c r="G488">
        <v>196.2</v>
      </c>
      <c r="I488">
        <f t="shared" si="21"/>
        <v>16.15</v>
      </c>
      <c r="J488">
        <f t="shared" si="22"/>
        <v>-5.69999999999999</v>
      </c>
      <c r="K488">
        <f t="shared" si="23"/>
        <v>-5.5</v>
      </c>
    </row>
    <row r="489" spans="1:11">
      <c r="A489">
        <v>16.247</v>
      </c>
      <c r="B489">
        <v>-159.3</v>
      </c>
      <c r="C489">
        <v>194.6</v>
      </c>
      <c r="E489">
        <v>16.214</v>
      </c>
      <c r="F489">
        <v>-157.5</v>
      </c>
      <c r="G489">
        <v>195.3</v>
      </c>
      <c r="I489">
        <f t="shared" si="21"/>
        <v>16.2</v>
      </c>
      <c r="J489">
        <f t="shared" si="22"/>
        <v>-7.5</v>
      </c>
      <c r="K489">
        <f t="shared" si="23"/>
        <v>-5.5</v>
      </c>
    </row>
    <row r="490" spans="1:11">
      <c r="A490">
        <v>16.281</v>
      </c>
      <c r="B490">
        <v>-160.8</v>
      </c>
      <c r="C490">
        <v>192.2</v>
      </c>
      <c r="E490">
        <v>16.247</v>
      </c>
      <c r="F490">
        <v>-159.3</v>
      </c>
      <c r="G490">
        <v>194.6</v>
      </c>
      <c r="I490">
        <f t="shared" si="21"/>
        <v>16.2</v>
      </c>
      <c r="J490">
        <f t="shared" si="22"/>
        <v>-9.30000000000001</v>
      </c>
      <c r="K490">
        <f t="shared" si="23"/>
        <v>-5.5</v>
      </c>
    </row>
    <row r="491" spans="1:11">
      <c r="A491">
        <v>16.314</v>
      </c>
      <c r="B491">
        <v>-162.1</v>
      </c>
      <c r="C491">
        <v>192.1</v>
      </c>
      <c r="E491">
        <v>16.281</v>
      </c>
      <c r="F491">
        <v>-160.8</v>
      </c>
      <c r="G491">
        <v>192.2</v>
      </c>
      <c r="I491">
        <f t="shared" si="21"/>
        <v>16.25</v>
      </c>
      <c r="J491">
        <f t="shared" si="22"/>
        <v>-10.8</v>
      </c>
      <c r="K491">
        <f t="shared" si="23"/>
        <v>-5.5</v>
      </c>
    </row>
    <row r="492" spans="1:11">
      <c r="A492">
        <v>16.348</v>
      </c>
      <c r="B492">
        <v>-163.2</v>
      </c>
      <c r="C492">
        <v>191.1</v>
      </c>
      <c r="E492">
        <v>16.314</v>
      </c>
      <c r="F492">
        <v>-162.1</v>
      </c>
      <c r="G492">
        <v>192.1</v>
      </c>
      <c r="I492">
        <f t="shared" si="21"/>
        <v>16.3</v>
      </c>
      <c r="J492">
        <f t="shared" si="22"/>
        <v>-12.1</v>
      </c>
      <c r="K492">
        <f t="shared" si="23"/>
        <v>-5.5</v>
      </c>
    </row>
    <row r="493" spans="1:11">
      <c r="A493">
        <v>16.381</v>
      </c>
      <c r="B493">
        <v>-164.3</v>
      </c>
      <c r="C493">
        <v>190.3</v>
      </c>
      <c r="E493">
        <v>16.348</v>
      </c>
      <c r="F493">
        <v>-163.2</v>
      </c>
      <c r="G493">
        <v>191.1</v>
      </c>
      <c r="I493">
        <f t="shared" si="21"/>
        <v>16.3</v>
      </c>
      <c r="J493">
        <f t="shared" si="22"/>
        <v>-13.2</v>
      </c>
      <c r="K493">
        <f t="shared" si="23"/>
        <v>-5.5</v>
      </c>
    </row>
    <row r="494" spans="1:11">
      <c r="A494">
        <v>16.415</v>
      </c>
      <c r="B494">
        <v>-164.9</v>
      </c>
      <c r="C494">
        <v>189.4</v>
      </c>
      <c r="E494">
        <v>16.381</v>
      </c>
      <c r="F494">
        <v>-164.3</v>
      </c>
      <c r="G494">
        <v>190.3</v>
      </c>
      <c r="I494">
        <f t="shared" si="21"/>
        <v>16.35</v>
      </c>
      <c r="J494">
        <f t="shared" si="22"/>
        <v>-14.3</v>
      </c>
      <c r="K494">
        <f t="shared" si="23"/>
        <v>-5.5</v>
      </c>
    </row>
    <row r="495" spans="1:11">
      <c r="A495">
        <v>16.448</v>
      </c>
      <c r="B495">
        <v>-165.3</v>
      </c>
      <c r="C495">
        <v>188</v>
      </c>
      <c r="E495">
        <v>16.415</v>
      </c>
      <c r="F495">
        <v>-164.9</v>
      </c>
      <c r="G495">
        <v>189.4</v>
      </c>
      <c r="I495">
        <f t="shared" si="21"/>
        <v>16.4</v>
      </c>
      <c r="J495">
        <f t="shared" si="22"/>
        <v>-14.9</v>
      </c>
      <c r="K495">
        <f t="shared" si="23"/>
        <v>-5.5</v>
      </c>
    </row>
    <row r="496" spans="1:11">
      <c r="A496">
        <v>16.481</v>
      </c>
      <c r="B496">
        <v>-165.8</v>
      </c>
      <c r="C496">
        <v>187.3</v>
      </c>
      <c r="E496">
        <v>16.448</v>
      </c>
      <c r="F496">
        <v>-165.3</v>
      </c>
      <c r="G496">
        <v>188</v>
      </c>
      <c r="I496">
        <f t="shared" si="21"/>
        <v>16.4</v>
      </c>
      <c r="J496">
        <f t="shared" si="22"/>
        <v>-15.3</v>
      </c>
      <c r="K496">
        <f t="shared" si="23"/>
        <v>-5.5</v>
      </c>
    </row>
    <row r="497" spans="1:11">
      <c r="A497">
        <v>16.515</v>
      </c>
      <c r="B497">
        <v>-165.8</v>
      </c>
      <c r="C497">
        <v>186.3</v>
      </c>
      <c r="E497">
        <v>16.481</v>
      </c>
      <c r="F497">
        <v>-165.8</v>
      </c>
      <c r="G497">
        <v>187.3</v>
      </c>
      <c r="I497">
        <f t="shared" si="21"/>
        <v>16.45</v>
      </c>
      <c r="J497">
        <f t="shared" si="22"/>
        <v>-15.8</v>
      </c>
      <c r="K497">
        <f t="shared" si="23"/>
        <v>-5.5</v>
      </c>
    </row>
    <row r="498" spans="1:11">
      <c r="A498">
        <v>16.548</v>
      </c>
      <c r="B498">
        <v>-165.7</v>
      </c>
      <c r="C498">
        <v>185.7</v>
      </c>
      <c r="E498">
        <v>16.515</v>
      </c>
      <c r="F498">
        <v>-165.8</v>
      </c>
      <c r="G498">
        <v>186.3</v>
      </c>
      <c r="I498">
        <f t="shared" si="21"/>
        <v>16.5</v>
      </c>
      <c r="J498">
        <f t="shared" si="22"/>
        <v>-15.8</v>
      </c>
      <c r="K498">
        <f t="shared" si="23"/>
        <v>-5.5</v>
      </c>
    </row>
    <row r="499" spans="1:11">
      <c r="A499">
        <v>16.582</v>
      </c>
      <c r="B499">
        <v>-165.5</v>
      </c>
      <c r="C499">
        <v>184.8</v>
      </c>
      <c r="E499">
        <v>16.548</v>
      </c>
      <c r="F499">
        <v>-165.7</v>
      </c>
      <c r="G499">
        <v>185.7</v>
      </c>
      <c r="I499">
        <f t="shared" si="21"/>
        <v>16.5</v>
      </c>
      <c r="J499">
        <f t="shared" si="22"/>
        <v>-15.7</v>
      </c>
      <c r="K499">
        <f t="shared" si="23"/>
        <v>-5.5</v>
      </c>
    </row>
    <row r="500" spans="1:11">
      <c r="A500">
        <v>16.615</v>
      </c>
      <c r="B500">
        <v>-165.2</v>
      </c>
      <c r="C500">
        <v>183.5</v>
      </c>
      <c r="E500">
        <v>16.582</v>
      </c>
      <c r="F500">
        <v>-165.5</v>
      </c>
      <c r="G500">
        <v>184.8</v>
      </c>
      <c r="I500">
        <f t="shared" si="21"/>
        <v>16.55</v>
      </c>
      <c r="J500">
        <f t="shared" si="22"/>
        <v>-15.5</v>
      </c>
      <c r="K500">
        <f t="shared" si="23"/>
        <v>-5.5</v>
      </c>
    </row>
    <row r="501" spans="1:11">
      <c r="A501">
        <v>16.649</v>
      </c>
      <c r="B501">
        <v>-164.8</v>
      </c>
      <c r="C501">
        <v>182.2</v>
      </c>
      <c r="E501">
        <v>16.615</v>
      </c>
      <c r="F501">
        <v>-165.2</v>
      </c>
      <c r="G501">
        <v>183.5</v>
      </c>
      <c r="I501">
        <f t="shared" si="21"/>
        <v>16.6</v>
      </c>
      <c r="J501">
        <f t="shared" si="22"/>
        <v>-15.2</v>
      </c>
      <c r="K501">
        <f t="shared" si="23"/>
        <v>-5.5</v>
      </c>
    </row>
    <row r="502" spans="1:11">
      <c r="A502">
        <v>16.682</v>
      </c>
      <c r="B502">
        <v>-163.9</v>
      </c>
      <c r="C502">
        <v>181.4</v>
      </c>
      <c r="E502">
        <v>16.649</v>
      </c>
      <c r="F502">
        <v>-164.8</v>
      </c>
      <c r="G502">
        <v>182.2</v>
      </c>
      <c r="I502">
        <f t="shared" si="21"/>
        <v>16.6</v>
      </c>
      <c r="J502">
        <f t="shared" si="22"/>
        <v>-14.8</v>
      </c>
      <c r="K502">
        <f t="shared" si="23"/>
        <v>-5.5</v>
      </c>
    </row>
    <row r="503" spans="1:11">
      <c r="A503">
        <v>16.715</v>
      </c>
      <c r="B503">
        <v>-162.7</v>
      </c>
      <c r="C503">
        <v>238.4</v>
      </c>
      <c r="E503">
        <v>16.682</v>
      </c>
      <c r="F503">
        <v>-163.9</v>
      </c>
      <c r="G503">
        <v>181.4</v>
      </c>
      <c r="I503">
        <f t="shared" si="21"/>
        <v>16.65</v>
      </c>
      <c r="J503">
        <f t="shared" si="22"/>
        <v>-13.9</v>
      </c>
      <c r="K503">
        <f t="shared" si="23"/>
        <v>-5.5</v>
      </c>
    </row>
    <row r="504" spans="1:11">
      <c r="A504">
        <v>16.749</v>
      </c>
      <c r="B504">
        <v>-161.3</v>
      </c>
      <c r="C504">
        <v>238.4</v>
      </c>
      <c r="E504">
        <v>16.715</v>
      </c>
      <c r="F504">
        <v>-162.7</v>
      </c>
      <c r="G504">
        <v>238.4</v>
      </c>
      <c r="I504">
        <f t="shared" si="21"/>
        <v>16.7</v>
      </c>
      <c r="J504">
        <f t="shared" si="22"/>
        <v>-12.7</v>
      </c>
      <c r="K504">
        <f t="shared" si="23"/>
        <v>5</v>
      </c>
    </row>
    <row r="505" spans="1:11">
      <c r="A505">
        <v>16.782</v>
      </c>
      <c r="B505">
        <v>-159.8</v>
      </c>
      <c r="C505">
        <v>238.4</v>
      </c>
      <c r="E505">
        <v>16.749</v>
      </c>
      <c r="F505">
        <v>-161.3</v>
      </c>
      <c r="G505">
        <v>238.4</v>
      </c>
      <c r="I505">
        <f t="shared" si="21"/>
        <v>16.7</v>
      </c>
      <c r="J505">
        <f t="shared" si="22"/>
        <v>-11.3</v>
      </c>
      <c r="K505">
        <f t="shared" si="23"/>
        <v>5</v>
      </c>
    </row>
    <row r="506" spans="1:11">
      <c r="A506">
        <v>16.816</v>
      </c>
      <c r="B506">
        <v>-158.2</v>
      </c>
      <c r="C506">
        <v>238.4</v>
      </c>
      <c r="E506">
        <v>16.782</v>
      </c>
      <c r="F506">
        <v>-159.8</v>
      </c>
      <c r="G506">
        <v>238.4</v>
      </c>
      <c r="I506">
        <f t="shared" si="21"/>
        <v>16.75</v>
      </c>
      <c r="J506">
        <f t="shared" si="22"/>
        <v>-9.80000000000001</v>
      </c>
      <c r="K506">
        <f t="shared" si="23"/>
        <v>5</v>
      </c>
    </row>
    <row r="507" spans="1:11">
      <c r="A507">
        <v>16.849</v>
      </c>
      <c r="B507">
        <v>-156.5</v>
      </c>
      <c r="C507">
        <v>238.4</v>
      </c>
      <c r="E507">
        <v>16.816</v>
      </c>
      <c r="F507">
        <v>-158.2</v>
      </c>
      <c r="G507">
        <v>238.4</v>
      </c>
      <c r="I507">
        <f t="shared" si="21"/>
        <v>16.8</v>
      </c>
      <c r="J507">
        <f t="shared" si="22"/>
        <v>-8.19999999999999</v>
      </c>
      <c r="K507">
        <f t="shared" si="23"/>
        <v>5</v>
      </c>
    </row>
    <row r="508" spans="1:11">
      <c r="A508">
        <v>16.883</v>
      </c>
      <c r="B508">
        <v>-154.7</v>
      </c>
      <c r="C508">
        <v>238.4</v>
      </c>
      <c r="E508">
        <v>16.849</v>
      </c>
      <c r="F508">
        <v>-156.5</v>
      </c>
      <c r="G508">
        <v>238.4</v>
      </c>
      <c r="I508">
        <f t="shared" si="21"/>
        <v>16.8</v>
      </c>
      <c r="J508">
        <f t="shared" si="22"/>
        <v>-6.5</v>
      </c>
      <c r="K508">
        <f t="shared" si="23"/>
        <v>5</v>
      </c>
    </row>
    <row r="509" spans="1:11">
      <c r="A509">
        <v>16.916</v>
      </c>
      <c r="B509">
        <v>-153</v>
      </c>
      <c r="C509">
        <v>238.4</v>
      </c>
      <c r="E509">
        <v>16.883</v>
      </c>
      <c r="F509">
        <v>-154.7</v>
      </c>
      <c r="G509">
        <v>238.4</v>
      </c>
      <c r="I509">
        <f t="shared" si="21"/>
        <v>16.85</v>
      </c>
      <c r="J509">
        <f t="shared" si="22"/>
        <v>-4.69999999999999</v>
      </c>
      <c r="K509">
        <f t="shared" si="23"/>
        <v>5</v>
      </c>
    </row>
    <row r="510" spans="1:11">
      <c r="A510">
        <v>16.949</v>
      </c>
      <c r="B510">
        <v>-151.2</v>
      </c>
      <c r="C510">
        <v>238.4</v>
      </c>
      <c r="E510">
        <v>16.916</v>
      </c>
      <c r="F510">
        <v>-153</v>
      </c>
      <c r="G510">
        <v>238.4</v>
      </c>
      <c r="I510">
        <f t="shared" si="21"/>
        <v>16.9</v>
      </c>
      <c r="J510">
        <f t="shared" si="22"/>
        <v>-3</v>
      </c>
      <c r="K510">
        <f t="shared" si="23"/>
        <v>5</v>
      </c>
    </row>
    <row r="511" spans="1:11">
      <c r="A511">
        <v>16.983</v>
      </c>
      <c r="B511">
        <v>-149.6</v>
      </c>
      <c r="C511">
        <v>238.4</v>
      </c>
      <c r="E511">
        <v>16.949</v>
      </c>
      <c r="F511">
        <v>-151.2</v>
      </c>
      <c r="G511">
        <v>238.4</v>
      </c>
      <c r="I511">
        <f t="shared" si="21"/>
        <v>16.9</v>
      </c>
      <c r="J511">
        <f t="shared" si="22"/>
        <v>-1.19999999999999</v>
      </c>
      <c r="K511">
        <f t="shared" si="23"/>
        <v>5</v>
      </c>
    </row>
    <row r="512" spans="1:11">
      <c r="A512">
        <v>17.016</v>
      </c>
      <c r="B512">
        <v>-147.8</v>
      </c>
      <c r="C512">
        <v>238.4</v>
      </c>
      <c r="E512">
        <v>16.983</v>
      </c>
      <c r="F512">
        <v>-149.6</v>
      </c>
      <c r="G512">
        <v>238.4</v>
      </c>
      <c r="I512">
        <f t="shared" si="21"/>
        <v>16.95</v>
      </c>
      <c r="J512">
        <f t="shared" si="22"/>
        <v>0.400000000000006</v>
      </c>
      <c r="K512">
        <f t="shared" si="23"/>
        <v>5</v>
      </c>
    </row>
    <row r="513" spans="1:11">
      <c r="A513">
        <v>17.05</v>
      </c>
      <c r="B513">
        <v>-146.2</v>
      </c>
      <c r="C513">
        <v>238.4</v>
      </c>
      <c r="E513">
        <v>17.016</v>
      </c>
      <c r="F513">
        <v>-147.8</v>
      </c>
      <c r="G513">
        <v>238.4</v>
      </c>
      <c r="I513">
        <f t="shared" ref="I513:I576" si="24">FLOOR(E513,0.05)</f>
        <v>17</v>
      </c>
      <c r="J513">
        <f t="shared" si="22"/>
        <v>2.19999999999999</v>
      </c>
      <c r="K513">
        <f t="shared" si="23"/>
        <v>5</v>
      </c>
    </row>
    <row r="514" spans="1:11">
      <c r="A514">
        <v>17.083</v>
      </c>
      <c r="B514">
        <v>-144.9</v>
      </c>
      <c r="C514">
        <v>238.4</v>
      </c>
      <c r="E514">
        <v>17.05</v>
      </c>
      <c r="F514">
        <v>-146.2</v>
      </c>
      <c r="G514">
        <v>238.4</v>
      </c>
      <c r="I514">
        <f t="shared" si="24"/>
        <v>17.05</v>
      </c>
      <c r="J514">
        <f t="shared" si="22"/>
        <v>3.80000000000001</v>
      </c>
      <c r="K514">
        <f t="shared" si="23"/>
        <v>5</v>
      </c>
    </row>
    <row r="515" spans="1:11">
      <c r="A515">
        <v>17.117</v>
      </c>
      <c r="B515">
        <v>-143.7</v>
      </c>
      <c r="C515">
        <v>238.4</v>
      </c>
      <c r="E515">
        <v>17.083</v>
      </c>
      <c r="F515">
        <v>-144.9</v>
      </c>
      <c r="G515">
        <v>238.4</v>
      </c>
      <c r="I515">
        <f t="shared" si="24"/>
        <v>17.05</v>
      </c>
      <c r="J515">
        <f t="shared" si="22"/>
        <v>5.09999999999999</v>
      </c>
      <c r="K515">
        <f t="shared" si="23"/>
        <v>5</v>
      </c>
    </row>
    <row r="516" spans="1:11">
      <c r="A516">
        <v>17.15</v>
      </c>
      <c r="B516">
        <v>-142.7</v>
      </c>
      <c r="C516">
        <v>238.4</v>
      </c>
      <c r="E516">
        <v>17.117</v>
      </c>
      <c r="F516">
        <v>-143.7</v>
      </c>
      <c r="G516">
        <v>238.4</v>
      </c>
      <c r="I516">
        <f t="shared" si="24"/>
        <v>17.1</v>
      </c>
      <c r="J516">
        <f t="shared" si="22"/>
        <v>6.30000000000001</v>
      </c>
      <c r="K516">
        <f t="shared" si="23"/>
        <v>5</v>
      </c>
    </row>
    <row r="517" spans="1:11">
      <c r="A517">
        <v>17.183</v>
      </c>
      <c r="B517">
        <v>-142</v>
      </c>
      <c r="C517">
        <v>238.4</v>
      </c>
      <c r="E517">
        <v>17.15</v>
      </c>
      <c r="F517">
        <v>-142.7</v>
      </c>
      <c r="G517">
        <v>238.4</v>
      </c>
      <c r="I517">
        <f t="shared" si="24"/>
        <v>17.15</v>
      </c>
      <c r="J517">
        <f t="shared" ref="J517:J580" si="25">F517+150</f>
        <v>7.30000000000001</v>
      </c>
      <c r="K517">
        <f t="shared" ref="K517:K580" si="26">IF(G517&lt;230,-5.5,5)</f>
        <v>5</v>
      </c>
    </row>
    <row r="518" spans="1:11">
      <c r="A518">
        <v>17.217</v>
      </c>
      <c r="B518">
        <v>-141.6</v>
      </c>
      <c r="C518">
        <v>238.4</v>
      </c>
      <c r="E518">
        <v>17.183</v>
      </c>
      <c r="F518">
        <v>-142</v>
      </c>
      <c r="G518">
        <v>238.4</v>
      </c>
      <c r="I518">
        <f t="shared" si="24"/>
        <v>17.15</v>
      </c>
      <c r="J518">
        <f t="shared" si="25"/>
        <v>8</v>
      </c>
      <c r="K518">
        <f t="shared" si="26"/>
        <v>5</v>
      </c>
    </row>
    <row r="519" spans="1:11">
      <c r="A519">
        <v>17.25</v>
      </c>
      <c r="B519">
        <v>-141.2</v>
      </c>
      <c r="C519">
        <v>238.4</v>
      </c>
      <c r="E519">
        <v>17.217</v>
      </c>
      <c r="F519">
        <v>-141.6</v>
      </c>
      <c r="G519">
        <v>238.4</v>
      </c>
      <c r="I519">
        <f t="shared" si="24"/>
        <v>17.2</v>
      </c>
      <c r="J519">
        <f t="shared" si="25"/>
        <v>8.40000000000001</v>
      </c>
      <c r="K519">
        <f t="shared" si="26"/>
        <v>5</v>
      </c>
    </row>
    <row r="520" spans="1:11">
      <c r="A520">
        <v>17.284</v>
      </c>
      <c r="B520">
        <v>-141.1</v>
      </c>
      <c r="C520">
        <v>238.4</v>
      </c>
      <c r="E520">
        <v>17.25</v>
      </c>
      <c r="F520">
        <v>-141.2</v>
      </c>
      <c r="G520">
        <v>238.4</v>
      </c>
      <c r="I520">
        <f t="shared" si="24"/>
        <v>17.25</v>
      </c>
      <c r="J520">
        <f t="shared" si="25"/>
        <v>8.80000000000001</v>
      </c>
      <c r="K520">
        <f t="shared" si="26"/>
        <v>5</v>
      </c>
    </row>
    <row r="521" spans="1:11">
      <c r="A521">
        <v>17.317</v>
      </c>
      <c r="B521">
        <v>-141.2</v>
      </c>
      <c r="C521">
        <v>238.4</v>
      </c>
      <c r="E521">
        <v>17.284</v>
      </c>
      <c r="F521">
        <v>-141.1</v>
      </c>
      <c r="G521">
        <v>238.4</v>
      </c>
      <c r="I521">
        <f t="shared" si="24"/>
        <v>17.25</v>
      </c>
      <c r="J521">
        <f t="shared" si="25"/>
        <v>8.90000000000001</v>
      </c>
      <c r="K521">
        <f t="shared" si="26"/>
        <v>5</v>
      </c>
    </row>
    <row r="522" spans="1:11">
      <c r="A522">
        <v>17.351</v>
      </c>
      <c r="B522">
        <v>-141.4</v>
      </c>
      <c r="C522">
        <v>238.4</v>
      </c>
      <c r="E522">
        <v>17.317</v>
      </c>
      <c r="F522">
        <v>-141.2</v>
      </c>
      <c r="G522">
        <v>238.4</v>
      </c>
      <c r="I522">
        <f t="shared" si="24"/>
        <v>17.3</v>
      </c>
      <c r="J522">
        <f t="shared" si="25"/>
        <v>8.80000000000001</v>
      </c>
      <c r="K522">
        <f t="shared" si="26"/>
        <v>5</v>
      </c>
    </row>
    <row r="523" spans="1:11">
      <c r="A523">
        <v>17.384</v>
      </c>
      <c r="B523">
        <v>-141.5</v>
      </c>
      <c r="C523">
        <v>238.4</v>
      </c>
      <c r="E523">
        <v>17.351</v>
      </c>
      <c r="F523">
        <v>-141.4</v>
      </c>
      <c r="G523">
        <v>238.4</v>
      </c>
      <c r="I523">
        <f t="shared" si="24"/>
        <v>17.35</v>
      </c>
      <c r="J523">
        <f t="shared" si="25"/>
        <v>8.59999999999999</v>
      </c>
      <c r="K523">
        <f t="shared" si="26"/>
        <v>5</v>
      </c>
    </row>
    <row r="524" spans="1:11">
      <c r="A524">
        <v>17.417</v>
      </c>
      <c r="B524">
        <v>-141.8</v>
      </c>
      <c r="C524">
        <v>238.4</v>
      </c>
      <c r="E524">
        <v>17.384</v>
      </c>
      <c r="F524">
        <v>-141.5</v>
      </c>
      <c r="G524">
        <v>238.4</v>
      </c>
      <c r="I524">
        <f t="shared" si="24"/>
        <v>17.35</v>
      </c>
      <c r="J524">
        <f t="shared" si="25"/>
        <v>8.5</v>
      </c>
      <c r="K524">
        <f t="shared" si="26"/>
        <v>5</v>
      </c>
    </row>
    <row r="525" spans="1:11">
      <c r="A525">
        <v>17.451</v>
      </c>
      <c r="B525">
        <v>-142.1</v>
      </c>
      <c r="C525">
        <v>238.4</v>
      </c>
      <c r="E525">
        <v>17.417</v>
      </c>
      <c r="F525">
        <v>-141.8</v>
      </c>
      <c r="G525">
        <v>238.4</v>
      </c>
      <c r="I525">
        <f t="shared" si="24"/>
        <v>17.4</v>
      </c>
      <c r="J525">
        <f t="shared" si="25"/>
        <v>8.19999999999999</v>
      </c>
      <c r="K525">
        <f t="shared" si="26"/>
        <v>5</v>
      </c>
    </row>
    <row r="526" spans="1:11">
      <c r="A526">
        <v>17.484</v>
      </c>
      <c r="B526">
        <v>-143.1</v>
      </c>
      <c r="C526">
        <v>238.4</v>
      </c>
      <c r="E526">
        <v>17.451</v>
      </c>
      <c r="F526">
        <v>-142.1</v>
      </c>
      <c r="G526">
        <v>238.4</v>
      </c>
      <c r="I526">
        <f t="shared" si="24"/>
        <v>17.45</v>
      </c>
      <c r="J526">
        <f t="shared" si="25"/>
        <v>7.90000000000001</v>
      </c>
      <c r="K526">
        <f t="shared" si="26"/>
        <v>5</v>
      </c>
    </row>
    <row r="527" spans="1:11">
      <c r="A527">
        <v>17.518</v>
      </c>
      <c r="B527">
        <v>-144.6</v>
      </c>
      <c r="C527">
        <v>238.4</v>
      </c>
      <c r="E527">
        <v>17.484</v>
      </c>
      <c r="F527">
        <v>-143.1</v>
      </c>
      <c r="G527">
        <v>238.4</v>
      </c>
      <c r="I527">
        <f t="shared" si="24"/>
        <v>17.45</v>
      </c>
      <c r="J527">
        <f t="shared" si="25"/>
        <v>6.90000000000001</v>
      </c>
      <c r="K527">
        <f t="shared" si="26"/>
        <v>5</v>
      </c>
    </row>
    <row r="528" spans="1:11">
      <c r="A528">
        <v>17.551</v>
      </c>
      <c r="B528">
        <v>-145.9</v>
      </c>
      <c r="C528">
        <v>203.8</v>
      </c>
      <c r="E528">
        <v>17.518</v>
      </c>
      <c r="F528">
        <v>-144.6</v>
      </c>
      <c r="G528">
        <v>238.4</v>
      </c>
      <c r="I528">
        <f t="shared" si="24"/>
        <v>17.5</v>
      </c>
      <c r="J528">
        <f t="shared" si="25"/>
        <v>5.40000000000001</v>
      </c>
      <c r="K528">
        <f t="shared" si="26"/>
        <v>5</v>
      </c>
    </row>
    <row r="529" spans="1:11">
      <c r="A529">
        <v>17.585</v>
      </c>
      <c r="B529">
        <v>-147.4</v>
      </c>
      <c r="C529">
        <v>210.6</v>
      </c>
      <c r="E529">
        <v>17.551</v>
      </c>
      <c r="F529">
        <v>-145.9</v>
      </c>
      <c r="G529">
        <v>203.8</v>
      </c>
      <c r="I529">
        <f t="shared" si="24"/>
        <v>17.55</v>
      </c>
      <c r="J529">
        <f t="shared" si="25"/>
        <v>4.09999999999999</v>
      </c>
      <c r="K529">
        <f t="shared" si="26"/>
        <v>-5.5</v>
      </c>
    </row>
    <row r="530" spans="1:11">
      <c r="A530">
        <v>17.618</v>
      </c>
      <c r="B530">
        <v>-149.2</v>
      </c>
      <c r="C530">
        <v>210</v>
      </c>
      <c r="E530">
        <v>17.585</v>
      </c>
      <c r="F530">
        <v>-147.4</v>
      </c>
      <c r="G530">
        <v>210.6</v>
      </c>
      <c r="I530">
        <f t="shared" si="24"/>
        <v>17.55</v>
      </c>
      <c r="J530">
        <f t="shared" si="25"/>
        <v>2.59999999999999</v>
      </c>
      <c r="K530">
        <f t="shared" si="26"/>
        <v>-5.5</v>
      </c>
    </row>
    <row r="531" spans="1:11">
      <c r="A531">
        <v>17.652</v>
      </c>
      <c r="B531">
        <v>-150.8</v>
      </c>
      <c r="C531">
        <v>206.9</v>
      </c>
      <c r="E531">
        <v>17.618</v>
      </c>
      <c r="F531">
        <v>-149.2</v>
      </c>
      <c r="G531">
        <v>210</v>
      </c>
      <c r="I531">
        <f t="shared" si="24"/>
        <v>17.6</v>
      </c>
      <c r="J531">
        <f t="shared" si="25"/>
        <v>0.800000000000011</v>
      </c>
      <c r="K531">
        <f t="shared" si="26"/>
        <v>-5.5</v>
      </c>
    </row>
    <row r="532" spans="1:11">
      <c r="A532">
        <v>17.685</v>
      </c>
      <c r="B532">
        <v>-152.4</v>
      </c>
      <c r="C532">
        <v>206</v>
      </c>
      <c r="E532">
        <v>17.652</v>
      </c>
      <c r="F532">
        <v>-150.8</v>
      </c>
      <c r="G532">
        <v>206.9</v>
      </c>
      <c r="I532">
        <f t="shared" si="24"/>
        <v>17.65</v>
      </c>
      <c r="J532">
        <f t="shared" si="25"/>
        <v>-0.800000000000011</v>
      </c>
      <c r="K532">
        <f t="shared" si="26"/>
        <v>-5.5</v>
      </c>
    </row>
    <row r="533" spans="1:11">
      <c r="A533">
        <v>17.718</v>
      </c>
      <c r="B533">
        <v>-154.4</v>
      </c>
      <c r="C533">
        <v>205</v>
      </c>
      <c r="E533">
        <v>17.685</v>
      </c>
      <c r="F533">
        <v>-152.4</v>
      </c>
      <c r="G533">
        <v>206</v>
      </c>
      <c r="I533">
        <f t="shared" si="24"/>
        <v>17.65</v>
      </c>
      <c r="J533">
        <f t="shared" si="25"/>
        <v>-2.40000000000001</v>
      </c>
      <c r="K533">
        <f t="shared" si="26"/>
        <v>-5.5</v>
      </c>
    </row>
    <row r="534" spans="1:11">
      <c r="A534">
        <v>17.752</v>
      </c>
      <c r="B534">
        <v>-156</v>
      </c>
      <c r="C534">
        <v>203.4</v>
      </c>
      <c r="E534">
        <v>17.718</v>
      </c>
      <c r="F534">
        <v>-154.4</v>
      </c>
      <c r="G534">
        <v>205</v>
      </c>
      <c r="I534">
        <f t="shared" si="24"/>
        <v>17.7</v>
      </c>
      <c r="J534">
        <f t="shared" si="25"/>
        <v>-4.40000000000001</v>
      </c>
      <c r="K534">
        <f t="shared" si="26"/>
        <v>-5.5</v>
      </c>
    </row>
    <row r="535" spans="1:11">
      <c r="A535">
        <v>17.785</v>
      </c>
      <c r="B535">
        <v>-158</v>
      </c>
      <c r="C535">
        <v>201.4</v>
      </c>
      <c r="E535">
        <v>17.752</v>
      </c>
      <c r="F535">
        <v>-156</v>
      </c>
      <c r="G535">
        <v>203.4</v>
      </c>
      <c r="I535">
        <f t="shared" si="24"/>
        <v>17.75</v>
      </c>
      <c r="J535">
        <f t="shared" si="25"/>
        <v>-6</v>
      </c>
      <c r="K535">
        <f t="shared" si="26"/>
        <v>-5.5</v>
      </c>
    </row>
    <row r="536" spans="1:11">
      <c r="A536">
        <v>17.819</v>
      </c>
      <c r="B536">
        <v>-159.4</v>
      </c>
      <c r="C536">
        <v>201.3</v>
      </c>
      <c r="E536">
        <v>17.785</v>
      </c>
      <c r="F536">
        <v>-158</v>
      </c>
      <c r="G536">
        <v>201.4</v>
      </c>
      <c r="I536">
        <f t="shared" si="24"/>
        <v>17.75</v>
      </c>
      <c r="J536">
        <f t="shared" si="25"/>
        <v>-8</v>
      </c>
      <c r="K536">
        <f t="shared" si="26"/>
        <v>-5.5</v>
      </c>
    </row>
    <row r="537" spans="1:11">
      <c r="A537">
        <v>17.852</v>
      </c>
      <c r="B537">
        <v>-161</v>
      </c>
      <c r="C537">
        <v>199.7</v>
      </c>
      <c r="E537">
        <v>17.819</v>
      </c>
      <c r="F537">
        <v>-159.4</v>
      </c>
      <c r="G537">
        <v>201.3</v>
      </c>
      <c r="I537">
        <f t="shared" si="24"/>
        <v>17.8</v>
      </c>
      <c r="J537">
        <f t="shared" si="25"/>
        <v>-9.40000000000001</v>
      </c>
      <c r="K537">
        <f t="shared" si="26"/>
        <v>-5.5</v>
      </c>
    </row>
    <row r="538" spans="1:11">
      <c r="A538">
        <v>17.886</v>
      </c>
      <c r="B538">
        <v>-162.6</v>
      </c>
      <c r="C538">
        <v>198.4</v>
      </c>
      <c r="E538">
        <v>17.852</v>
      </c>
      <c r="F538">
        <v>-161</v>
      </c>
      <c r="G538">
        <v>199.7</v>
      </c>
      <c r="I538">
        <f t="shared" si="24"/>
        <v>17.85</v>
      </c>
      <c r="J538">
        <f t="shared" si="25"/>
        <v>-11</v>
      </c>
      <c r="K538">
        <f t="shared" si="26"/>
        <v>-5.5</v>
      </c>
    </row>
    <row r="539" spans="1:11">
      <c r="A539">
        <v>17.919</v>
      </c>
      <c r="B539">
        <v>-163.5</v>
      </c>
      <c r="C539">
        <v>197.9</v>
      </c>
      <c r="E539">
        <v>17.886</v>
      </c>
      <c r="F539">
        <v>-162.6</v>
      </c>
      <c r="G539">
        <v>198.4</v>
      </c>
      <c r="I539">
        <f t="shared" si="24"/>
        <v>17.85</v>
      </c>
      <c r="J539">
        <f t="shared" si="25"/>
        <v>-12.6</v>
      </c>
      <c r="K539">
        <f t="shared" si="26"/>
        <v>-5.5</v>
      </c>
    </row>
    <row r="540" spans="1:11">
      <c r="A540">
        <v>17.952</v>
      </c>
      <c r="B540">
        <v>-164.5</v>
      </c>
      <c r="C540">
        <v>195.7</v>
      </c>
      <c r="E540">
        <v>17.919</v>
      </c>
      <c r="F540">
        <v>-163.5</v>
      </c>
      <c r="G540">
        <v>197.9</v>
      </c>
      <c r="I540">
        <f t="shared" si="24"/>
        <v>17.9</v>
      </c>
      <c r="J540">
        <f t="shared" si="25"/>
        <v>-13.5</v>
      </c>
      <c r="K540">
        <f t="shared" si="26"/>
        <v>-5.5</v>
      </c>
    </row>
    <row r="541" spans="1:11">
      <c r="A541">
        <v>17.986</v>
      </c>
      <c r="B541">
        <v>-165.2</v>
      </c>
      <c r="C541">
        <v>195.5</v>
      </c>
      <c r="E541">
        <v>17.952</v>
      </c>
      <c r="F541">
        <v>-164.5</v>
      </c>
      <c r="G541">
        <v>195.7</v>
      </c>
      <c r="I541">
        <f t="shared" si="24"/>
        <v>17.95</v>
      </c>
      <c r="J541">
        <f t="shared" si="25"/>
        <v>-14.5</v>
      </c>
      <c r="K541">
        <f t="shared" si="26"/>
        <v>-5.5</v>
      </c>
    </row>
    <row r="542" spans="1:11">
      <c r="A542">
        <v>18.019</v>
      </c>
      <c r="B542">
        <v>-165.9</v>
      </c>
      <c r="C542">
        <v>193.7</v>
      </c>
      <c r="E542">
        <v>17.986</v>
      </c>
      <c r="F542">
        <v>-165.2</v>
      </c>
      <c r="G542">
        <v>195.5</v>
      </c>
      <c r="I542">
        <f t="shared" si="24"/>
        <v>17.95</v>
      </c>
      <c r="J542">
        <f t="shared" si="25"/>
        <v>-15.2</v>
      </c>
      <c r="K542">
        <f t="shared" si="26"/>
        <v>-5.5</v>
      </c>
    </row>
    <row r="543" spans="1:11">
      <c r="A543">
        <v>18.053</v>
      </c>
      <c r="B543">
        <v>-166</v>
      </c>
      <c r="C543">
        <v>193</v>
      </c>
      <c r="E543">
        <v>18.019</v>
      </c>
      <c r="F543">
        <v>-165.9</v>
      </c>
      <c r="G543">
        <v>193.7</v>
      </c>
      <c r="I543">
        <f t="shared" si="24"/>
        <v>18</v>
      </c>
      <c r="J543">
        <f t="shared" si="25"/>
        <v>-15.9</v>
      </c>
      <c r="K543">
        <f t="shared" si="26"/>
        <v>-5.5</v>
      </c>
    </row>
    <row r="544" spans="1:11">
      <c r="A544">
        <v>18.086</v>
      </c>
      <c r="B544">
        <v>-166.4</v>
      </c>
      <c r="C544">
        <v>192.2</v>
      </c>
      <c r="E544">
        <v>18.053</v>
      </c>
      <c r="F544">
        <v>-166</v>
      </c>
      <c r="G544">
        <v>193</v>
      </c>
      <c r="I544">
        <f t="shared" si="24"/>
        <v>18.05</v>
      </c>
      <c r="J544">
        <f t="shared" si="25"/>
        <v>-16</v>
      </c>
      <c r="K544">
        <f t="shared" si="26"/>
        <v>-5.5</v>
      </c>
    </row>
    <row r="545" spans="1:11">
      <c r="A545">
        <v>18.12</v>
      </c>
      <c r="B545">
        <v>-166.5</v>
      </c>
      <c r="C545">
        <v>190.7</v>
      </c>
      <c r="E545">
        <v>18.086</v>
      </c>
      <c r="F545">
        <v>-166.4</v>
      </c>
      <c r="G545">
        <v>192.2</v>
      </c>
      <c r="I545">
        <f t="shared" si="24"/>
        <v>18.05</v>
      </c>
      <c r="J545">
        <f t="shared" si="25"/>
        <v>-16.4</v>
      </c>
      <c r="K545">
        <f t="shared" si="26"/>
        <v>-5.5</v>
      </c>
    </row>
    <row r="546" spans="1:11">
      <c r="A546">
        <v>18.153</v>
      </c>
      <c r="B546">
        <v>-166.3</v>
      </c>
      <c r="C546">
        <v>190.6</v>
      </c>
      <c r="E546">
        <v>18.12</v>
      </c>
      <c r="F546">
        <v>-166.5</v>
      </c>
      <c r="G546">
        <v>190.7</v>
      </c>
      <c r="I546">
        <f t="shared" si="24"/>
        <v>18.1</v>
      </c>
      <c r="J546">
        <f t="shared" si="25"/>
        <v>-16.5</v>
      </c>
      <c r="K546">
        <f t="shared" si="26"/>
        <v>-5.5</v>
      </c>
    </row>
    <row r="547" spans="1:11">
      <c r="A547">
        <v>18.186</v>
      </c>
      <c r="B547">
        <v>-166.1</v>
      </c>
      <c r="C547">
        <v>189.5</v>
      </c>
      <c r="E547">
        <v>18.153</v>
      </c>
      <c r="F547">
        <v>-166.3</v>
      </c>
      <c r="G547">
        <v>190.6</v>
      </c>
      <c r="I547">
        <f t="shared" si="24"/>
        <v>18.15</v>
      </c>
      <c r="J547">
        <f t="shared" si="25"/>
        <v>-16.3</v>
      </c>
      <c r="K547">
        <f t="shared" si="26"/>
        <v>-5.5</v>
      </c>
    </row>
    <row r="548" spans="1:11">
      <c r="A548">
        <v>18.22</v>
      </c>
      <c r="B548">
        <v>-165.6</v>
      </c>
      <c r="C548">
        <v>188.6</v>
      </c>
      <c r="E548">
        <v>18.186</v>
      </c>
      <c r="F548">
        <v>-166.1</v>
      </c>
      <c r="G548">
        <v>189.5</v>
      </c>
      <c r="I548">
        <f t="shared" si="24"/>
        <v>18.15</v>
      </c>
      <c r="J548">
        <f t="shared" si="25"/>
        <v>-16.1</v>
      </c>
      <c r="K548">
        <f t="shared" si="26"/>
        <v>-5.5</v>
      </c>
    </row>
    <row r="549" spans="1:11">
      <c r="A549">
        <v>18.253</v>
      </c>
      <c r="B549">
        <v>-164.6</v>
      </c>
      <c r="C549">
        <v>188.3</v>
      </c>
      <c r="E549">
        <v>18.22</v>
      </c>
      <c r="F549">
        <v>-165.6</v>
      </c>
      <c r="G549">
        <v>188.6</v>
      </c>
      <c r="I549">
        <f t="shared" si="24"/>
        <v>18.2</v>
      </c>
      <c r="J549">
        <f t="shared" si="25"/>
        <v>-15.6</v>
      </c>
      <c r="K549">
        <f t="shared" si="26"/>
        <v>-5.5</v>
      </c>
    </row>
    <row r="550" spans="1:11">
      <c r="A550">
        <v>18.287</v>
      </c>
      <c r="B550">
        <v>-163.4</v>
      </c>
      <c r="C550">
        <v>187</v>
      </c>
      <c r="E550">
        <v>18.253</v>
      </c>
      <c r="F550">
        <v>-164.6</v>
      </c>
      <c r="G550">
        <v>188.3</v>
      </c>
      <c r="I550">
        <f t="shared" si="24"/>
        <v>18.25</v>
      </c>
      <c r="J550">
        <f t="shared" si="25"/>
        <v>-14.6</v>
      </c>
      <c r="K550">
        <f t="shared" si="26"/>
        <v>-5.5</v>
      </c>
    </row>
    <row r="551" spans="1:11">
      <c r="A551">
        <v>18.32</v>
      </c>
      <c r="B551">
        <v>-162.2</v>
      </c>
      <c r="C551">
        <v>231.1</v>
      </c>
      <c r="E551">
        <v>18.287</v>
      </c>
      <c r="F551">
        <v>-163.4</v>
      </c>
      <c r="G551">
        <v>187</v>
      </c>
      <c r="I551">
        <f t="shared" si="24"/>
        <v>18.25</v>
      </c>
      <c r="J551">
        <f t="shared" si="25"/>
        <v>-13.4</v>
      </c>
      <c r="K551">
        <f t="shared" si="26"/>
        <v>-5.5</v>
      </c>
    </row>
    <row r="552" spans="1:11">
      <c r="A552">
        <v>18.354</v>
      </c>
      <c r="B552">
        <v>-160.7</v>
      </c>
      <c r="C552">
        <v>238.4</v>
      </c>
      <c r="E552">
        <v>18.32</v>
      </c>
      <c r="F552">
        <v>-162.2</v>
      </c>
      <c r="G552">
        <v>231.1</v>
      </c>
      <c r="I552">
        <f t="shared" si="24"/>
        <v>18.3</v>
      </c>
      <c r="J552">
        <f t="shared" si="25"/>
        <v>-12.2</v>
      </c>
      <c r="K552">
        <f t="shared" si="26"/>
        <v>5</v>
      </c>
    </row>
    <row r="553" spans="1:11">
      <c r="A553">
        <v>18.387</v>
      </c>
      <c r="B553">
        <v>-159.1</v>
      </c>
      <c r="C553">
        <v>238.4</v>
      </c>
      <c r="E553">
        <v>18.354</v>
      </c>
      <c r="F553">
        <v>-160.7</v>
      </c>
      <c r="G553">
        <v>238.4</v>
      </c>
      <c r="I553">
        <f t="shared" si="24"/>
        <v>18.35</v>
      </c>
      <c r="J553">
        <f t="shared" si="25"/>
        <v>-10.7</v>
      </c>
      <c r="K553">
        <f t="shared" si="26"/>
        <v>5</v>
      </c>
    </row>
    <row r="554" spans="1:11">
      <c r="A554">
        <v>18.42</v>
      </c>
      <c r="B554">
        <v>-157.4</v>
      </c>
      <c r="C554">
        <v>238.4</v>
      </c>
      <c r="E554">
        <v>18.387</v>
      </c>
      <c r="F554">
        <v>-159.1</v>
      </c>
      <c r="G554">
        <v>238.4</v>
      </c>
      <c r="I554">
        <f t="shared" si="24"/>
        <v>18.35</v>
      </c>
      <c r="J554">
        <f t="shared" si="25"/>
        <v>-9.09999999999999</v>
      </c>
      <c r="K554">
        <f t="shared" si="26"/>
        <v>5</v>
      </c>
    </row>
    <row r="555" spans="1:11">
      <c r="A555">
        <v>18.454</v>
      </c>
      <c r="B555">
        <v>-155.7</v>
      </c>
      <c r="C555">
        <v>238.4</v>
      </c>
      <c r="E555">
        <v>18.42</v>
      </c>
      <c r="F555">
        <v>-157.4</v>
      </c>
      <c r="G555">
        <v>238.4</v>
      </c>
      <c r="I555">
        <f t="shared" si="24"/>
        <v>18.4</v>
      </c>
      <c r="J555">
        <f t="shared" si="25"/>
        <v>-7.40000000000001</v>
      </c>
      <c r="K555">
        <f t="shared" si="26"/>
        <v>5</v>
      </c>
    </row>
    <row r="556" spans="1:11">
      <c r="A556">
        <v>18.487</v>
      </c>
      <c r="B556">
        <v>-153.9</v>
      </c>
      <c r="C556">
        <v>238.4</v>
      </c>
      <c r="E556">
        <v>18.454</v>
      </c>
      <c r="F556">
        <v>-155.7</v>
      </c>
      <c r="G556">
        <v>238.4</v>
      </c>
      <c r="I556">
        <f t="shared" si="24"/>
        <v>18.45</v>
      </c>
      <c r="J556">
        <f t="shared" si="25"/>
        <v>-5.69999999999999</v>
      </c>
      <c r="K556">
        <f t="shared" si="26"/>
        <v>5</v>
      </c>
    </row>
    <row r="557" spans="1:11">
      <c r="A557">
        <v>18.521</v>
      </c>
      <c r="B557">
        <v>-152</v>
      </c>
      <c r="C557">
        <v>238.4</v>
      </c>
      <c r="E557">
        <v>18.487</v>
      </c>
      <c r="F557">
        <v>-153.9</v>
      </c>
      <c r="G557">
        <v>238.4</v>
      </c>
      <c r="I557">
        <f t="shared" si="24"/>
        <v>18.45</v>
      </c>
      <c r="J557">
        <f t="shared" si="25"/>
        <v>-3.90000000000001</v>
      </c>
      <c r="K557">
        <f t="shared" si="26"/>
        <v>5</v>
      </c>
    </row>
    <row r="558" spans="1:11">
      <c r="A558">
        <v>18.554</v>
      </c>
      <c r="B558">
        <v>-150.3</v>
      </c>
      <c r="C558">
        <v>238.4</v>
      </c>
      <c r="E558">
        <v>18.521</v>
      </c>
      <c r="F558">
        <v>-152</v>
      </c>
      <c r="G558">
        <v>238.4</v>
      </c>
      <c r="I558">
        <f t="shared" si="24"/>
        <v>18.5</v>
      </c>
      <c r="J558">
        <f t="shared" si="25"/>
        <v>-2</v>
      </c>
      <c r="K558">
        <f t="shared" si="26"/>
        <v>5</v>
      </c>
    </row>
    <row r="559" spans="1:11">
      <c r="A559">
        <v>18.588</v>
      </c>
      <c r="B559">
        <v>-148.8</v>
      </c>
      <c r="C559">
        <v>238.4</v>
      </c>
      <c r="E559">
        <v>18.554</v>
      </c>
      <c r="F559">
        <v>-150.3</v>
      </c>
      <c r="G559">
        <v>238.4</v>
      </c>
      <c r="I559">
        <f t="shared" si="24"/>
        <v>18.55</v>
      </c>
      <c r="J559">
        <f t="shared" si="25"/>
        <v>-0.300000000000011</v>
      </c>
      <c r="K559">
        <f t="shared" si="26"/>
        <v>5</v>
      </c>
    </row>
    <row r="560" spans="1:11">
      <c r="A560">
        <v>18.621</v>
      </c>
      <c r="B560">
        <v>-146.7</v>
      </c>
      <c r="C560">
        <v>238.4</v>
      </c>
      <c r="E560">
        <v>18.588</v>
      </c>
      <c r="F560">
        <v>-148.8</v>
      </c>
      <c r="G560">
        <v>238.4</v>
      </c>
      <c r="I560">
        <f t="shared" si="24"/>
        <v>18.55</v>
      </c>
      <c r="J560">
        <f t="shared" si="25"/>
        <v>1.19999999999999</v>
      </c>
      <c r="K560">
        <f t="shared" si="26"/>
        <v>5</v>
      </c>
    </row>
    <row r="561" spans="1:11">
      <c r="A561">
        <v>18.654</v>
      </c>
      <c r="B561">
        <v>-145.4</v>
      </c>
      <c r="C561">
        <v>238.4</v>
      </c>
      <c r="E561">
        <v>18.621</v>
      </c>
      <c r="F561">
        <v>-146.7</v>
      </c>
      <c r="G561">
        <v>238.4</v>
      </c>
      <c r="I561">
        <f t="shared" si="24"/>
        <v>18.6</v>
      </c>
      <c r="J561">
        <f t="shared" si="25"/>
        <v>3.30000000000001</v>
      </c>
      <c r="K561">
        <f t="shared" si="26"/>
        <v>5</v>
      </c>
    </row>
    <row r="562" spans="1:11">
      <c r="A562">
        <v>18.688</v>
      </c>
      <c r="B562">
        <v>-144</v>
      </c>
      <c r="C562">
        <v>238.4</v>
      </c>
      <c r="E562">
        <v>18.654</v>
      </c>
      <c r="F562">
        <v>-145.4</v>
      </c>
      <c r="G562">
        <v>238.4</v>
      </c>
      <c r="I562">
        <f t="shared" si="24"/>
        <v>18.65</v>
      </c>
      <c r="J562">
        <f t="shared" si="25"/>
        <v>4.59999999999999</v>
      </c>
      <c r="K562">
        <f t="shared" si="26"/>
        <v>5</v>
      </c>
    </row>
    <row r="563" spans="1:11">
      <c r="A563">
        <v>18.721</v>
      </c>
      <c r="B563">
        <v>-143.2</v>
      </c>
      <c r="C563">
        <v>238.4</v>
      </c>
      <c r="E563">
        <v>18.688</v>
      </c>
      <c r="F563">
        <v>-144</v>
      </c>
      <c r="G563">
        <v>238.4</v>
      </c>
      <c r="I563">
        <f t="shared" si="24"/>
        <v>18.65</v>
      </c>
      <c r="J563">
        <f t="shared" si="25"/>
        <v>6</v>
      </c>
      <c r="K563">
        <f t="shared" si="26"/>
        <v>5</v>
      </c>
    </row>
    <row r="564" spans="1:11">
      <c r="A564">
        <v>18.755</v>
      </c>
      <c r="B564">
        <v>-142.6</v>
      </c>
      <c r="C564">
        <v>238.4</v>
      </c>
      <c r="E564">
        <v>18.721</v>
      </c>
      <c r="F564">
        <v>-143.2</v>
      </c>
      <c r="G564">
        <v>238.4</v>
      </c>
      <c r="I564">
        <f t="shared" si="24"/>
        <v>18.7</v>
      </c>
      <c r="J564">
        <f t="shared" si="25"/>
        <v>6.80000000000001</v>
      </c>
      <c r="K564">
        <f t="shared" si="26"/>
        <v>5</v>
      </c>
    </row>
    <row r="565" spans="1:11">
      <c r="A565">
        <v>18.788</v>
      </c>
      <c r="B565">
        <v>-142</v>
      </c>
      <c r="C565">
        <v>238.4</v>
      </c>
      <c r="E565">
        <v>18.755</v>
      </c>
      <c r="F565">
        <v>-142.6</v>
      </c>
      <c r="G565">
        <v>238.4</v>
      </c>
      <c r="I565">
        <f t="shared" si="24"/>
        <v>18.75</v>
      </c>
      <c r="J565">
        <f t="shared" si="25"/>
        <v>7.40000000000001</v>
      </c>
      <c r="K565">
        <f t="shared" si="26"/>
        <v>5</v>
      </c>
    </row>
    <row r="566" spans="1:11">
      <c r="A566">
        <v>18.822</v>
      </c>
      <c r="B566">
        <v>-141.9</v>
      </c>
      <c r="C566">
        <v>238.4</v>
      </c>
      <c r="E566">
        <v>18.788</v>
      </c>
      <c r="F566">
        <v>-142</v>
      </c>
      <c r="G566">
        <v>238.4</v>
      </c>
      <c r="I566">
        <f t="shared" si="24"/>
        <v>18.75</v>
      </c>
      <c r="J566">
        <f t="shared" si="25"/>
        <v>8</v>
      </c>
      <c r="K566">
        <f t="shared" si="26"/>
        <v>5</v>
      </c>
    </row>
    <row r="567" spans="1:11">
      <c r="A567">
        <v>18.855</v>
      </c>
      <c r="B567">
        <v>-141.4</v>
      </c>
      <c r="C567">
        <v>238.4</v>
      </c>
      <c r="E567">
        <v>18.822</v>
      </c>
      <c r="F567">
        <v>-141.9</v>
      </c>
      <c r="G567">
        <v>238.4</v>
      </c>
      <c r="I567">
        <f t="shared" si="24"/>
        <v>18.8</v>
      </c>
      <c r="J567">
        <f t="shared" si="25"/>
        <v>8.09999999999999</v>
      </c>
      <c r="K567">
        <f t="shared" si="26"/>
        <v>5</v>
      </c>
    </row>
    <row r="568" spans="1:11">
      <c r="A568">
        <v>18.888</v>
      </c>
      <c r="B568">
        <v>-141.3</v>
      </c>
      <c r="C568">
        <v>238.4</v>
      </c>
      <c r="E568">
        <v>18.855</v>
      </c>
      <c r="F568">
        <v>-141.4</v>
      </c>
      <c r="G568">
        <v>238.4</v>
      </c>
      <c r="I568">
        <f t="shared" si="24"/>
        <v>18.85</v>
      </c>
      <c r="J568">
        <f t="shared" si="25"/>
        <v>8.59999999999999</v>
      </c>
      <c r="K568">
        <f t="shared" si="26"/>
        <v>5</v>
      </c>
    </row>
    <row r="569" spans="1:11">
      <c r="A569">
        <v>18.922</v>
      </c>
      <c r="B569">
        <v>-141.5</v>
      </c>
      <c r="C569">
        <v>238.4</v>
      </c>
      <c r="E569">
        <v>18.888</v>
      </c>
      <c r="F569">
        <v>-141.3</v>
      </c>
      <c r="G569">
        <v>238.4</v>
      </c>
      <c r="I569">
        <f t="shared" si="24"/>
        <v>18.85</v>
      </c>
      <c r="J569">
        <f t="shared" si="25"/>
        <v>8.69999999999999</v>
      </c>
      <c r="K569">
        <f t="shared" si="26"/>
        <v>5</v>
      </c>
    </row>
    <row r="570" spans="1:11">
      <c r="A570">
        <v>18.955</v>
      </c>
      <c r="B570">
        <v>-141.7</v>
      </c>
      <c r="C570">
        <v>238.4</v>
      </c>
      <c r="E570">
        <v>18.922</v>
      </c>
      <c r="F570">
        <v>-141.5</v>
      </c>
      <c r="G570">
        <v>238.4</v>
      </c>
      <c r="I570">
        <f t="shared" si="24"/>
        <v>18.9</v>
      </c>
      <c r="J570">
        <f t="shared" si="25"/>
        <v>8.5</v>
      </c>
      <c r="K570">
        <f t="shared" si="26"/>
        <v>5</v>
      </c>
    </row>
    <row r="571" spans="1:11">
      <c r="A571">
        <v>18.989</v>
      </c>
      <c r="B571">
        <v>-141.9</v>
      </c>
      <c r="C571">
        <v>238.4</v>
      </c>
      <c r="E571">
        <v>18.955</v>
      </c>
      <c r="F571">
        <v>-141.7</v>
      </c>
      <c r="G571">
        <v>238.4</v>
      </c>
      <c r="I571">
        <f t="shared" si="24"/>
        <v>18.95</v>
      </c>
      <c r="J571">
        <f t="shared" si="25"/>
        <v>8.30000000000001</v>
      </c>
      <c r="K571">
        <f t="shared" si="26"/>
        <v>5</v>
      </c>
    </row>
    <row r="572" spans="1:11">
      <c r="A572">
        <v>19.022</v>
      </c>
      <c r="B572">
        <v>-142.3</v>
      </c>
      <c r="C572">
        <v>238.4</v>
      </c>
      <c r="E572">
        <v>18.989</v>
      </c>
      <c r="F572">
        <v>-141.9</v>
      </c>
      <c r="G572">
        <v>238.4</v>
      </c>
      <c r="I572">
        <f t="shared" si="24"/>
        <v>18.95</v>
      </c>
      <c r="J572">
        <f t="shared" si="25"/>
        <v>8.09999999999999</v>
      </c>
      <c r="K572">
        <f t="shared" si="26"/>
        <v>5</v>
      </c>
    </row>
    <row r="573" spans="1:11">
      <c r="A573">
        <v>19.056</v>
      </c>
      <c r="B573">
        <v>-143.3</v>
      </c>
      <c r="C573">
        <v>238.4</v>
      </c>
      <c r="E573">
        <v>19.022</v>
      </c>
      <c r="F573">
        <v>-142.3</v>
      </c>
      <c r="G573">
        <v>238.4</v>
      </c>
      <c r="I573">
        <f t="shared" si="24"/>
        <v>19</v>
      </c>
      <c r="J573">
        <f t="shared" si="25"/>
        <v>7.69999999999999</v>
      </c>
      <c r="K573">
        <f t="shared" si="26"/>
        <v>5</v>
      </c>
    </row>
    <row r="574" spans="1:11">
      <c r="A574">
        <v>19.089</v>
      </c>
      <c r="B574">
        <v>-144.7</v>
      </c>
      <c r="C574">
        <v>238.4</v>
      </c>
      <c r="E574">
        <v>19.056</v>
      </c>
      <c r="F574">
        <v>-143.3</v>
      </c>
      <c r="G574">
        <v>238.4</v>
      </c>
      <c r="I574">
        <f t="shared" si="24"/>
        <v>19.05</v>
      </c>
      <c r="J574">
        <f t="shared" si="25"/>
        <v>6.69999999999999</v>
      </c>
      <c r="K574">
        <f t="shared" si="26"/>
        <v>5</v>
      </c>
    </row>
    <row r="575" spans="1:11">
      <c r="A575">
        <v>19.122</v>
      </c>
      <c r="B575">
        <v>-146</v>
      </c>
      <c r="C575">
        <v>238.4</v>
      </c>
      <c r="E575">
        <v>19.089</v>
      </c>
      <c r="F575">
        <v>-144.7</v>
      </c>
      <c r="G575">
        <v>238.4</v>
      </c>
      <c r="I575">
        <f t="shared" si="24"/>
        <v>19.05</v>
      </c>
      <c r="J575">
        <f t="shared" si="25"/>
        <v>5.30000000000001</v>
      </c>
      <c r="K575">
        <f t="shared" si="26"/>
        <v>5</v>
      </c>
    </row>
    <row r="576" spans="1:11">
      <c r="A576">
        <v>19.156</v>
      </c>
      <c r="B576">
        <v>-147.4</v>
      </c>
      <c r="C576">
        <v>209.6</v>
      </c>
      <c r="E576">
        <v>19.122</v>
      </c>
      <c r="F576">
        <v>-146</v>
      </c>
      <c r="G576">
        <v>238.4</v>
      </c>
      <c r="I576">
        <f t="shared" si="24"/>
        <v>19.1</v>
      </c>
      <c r="J576">
        <f t="shared" si="25"/>
        <v>4</v>
      </c>
      <c r="K576">
        <f t="shared" si="26"/>
        <v>5</v>
      </c>
    </row>
    <row r="577" spans="1:11">
      <c r="A577">
        <v>19.189</v>
      </c>
      <c r="B577">
        <v>-149.1</v>
      </c>
      <c r="C577">
        <v>214.6</v>
      </c>
      <c r="E577">
        <v>19.156</v>
      </c>
      <c r="F577">
        <v>-147.4</v>
      </c>
      <c r="G577">
        <v>209.6</v>
      </c>
      <c r="I577">
        <f t="shared" ref="I577:I640" si="27">FLOOR(E577,0.05)</f>
        <v>19.15</v>
      </c>
      <c r="J577">
        <f t="shared" si="25"/>
        <v>2.59999999999999</v>
      </c>
      <c r="K577">
        <f t="shared" si="26"/>
        <v>-5.5</v>
      </c>
    </row>
    <row r="578" spans="1:11">
      <c r="A578">
        <v>19.223</v>
      </c>
      <c r="B578">
        <v>-150.9</v>
      </c>
      <c r="C578">
        <v>212.7</v>
      </c>
      <c r="E578">
        <v>19.189</v>
      </c>
      <c r="F578">
        <v>-149.1</v>
      </c>
      <c r="G578">
        <v>214.6</v>
      </c>
      <c r="I578">
        <f t="shared" si="27"/>
        <v>19.15</v>
      </c>
      <c r="J578">
        <f t="shared" si="25"/>
        <v>0.900000000000006</v>
      </c>
      <c r="K578">
        <f t="shared" si="26"/>
        <v>-5.5</v>
      </c>
    </row>
    <row r="579" spans="1:11">
      <c r="A579">
        <v>19.256</v>
      </c>
      <c r="B579">
        <v>-152.5</v>
      </c>
      <c r="C579">
        <v>211.2</v>
      </c>
      <c r="E579">
        <v>19.223</v>
      </c>
      <c r="F579">
        <v>-150.9</v>
      </c>
      <c r="G579">
        <v>212.7</v>
      </c>
      <c r="I579">
        <f t="shared" si="27"/>
        <v>19.2</v>
      </c>
      <c r="J579">
        <f t="shared" si="25"/>
        <v>-0.900000000000006</v>
      </c>
      <c r="K579">
        <f t="shared" si="26"/>
        <v>-5.5</v>
      </c>
    </row>
    <row r="580" spans="1:11">
      <c r="A580">
        <v>19.29</v>
      </c>
      <c r="B580">
        <v>-154.3</v>
      </c>
      <c r="C580">
        <v>210.7</v>
      </c>
      <c r="E580">
        <v>19.256</v>
      </c>
      <c r="F580">
        <v>-152.5</v>
      </c>
      <c r="G580">
        <v>211.2</v>
      </c>
      <c r="I580">
        <f t="shared" si="27"/>
        <v>19.25</v>
      </c>
      <c r="J580">
        <f t="shared" si="25"/>
        <v>-2.5</v>
      </c>
      <c r="K580">
        <f t="shared" si="26"/>
        <v>-5.5</v>
      </c>
    </row>
    <row r="581" spans="1:11">
      <c r="A581">
        <v>19.323</v>
      </c>
      <c r="B581">
        <v>-156</v>
      </c>
      <c r="C581">
        <v>209.3</v>
      </c>
      <c r="E581">
        <v>19.29</v>
      </c>
      <c r="F581">
        <v>-154.3</v>
      </c>
      <c r="G581">
        <v>210.7</v>
      </c>
      <c r="I581">
        <f t="shared" si="27"/>
        <v>19.25</v>
      </c>
      <c r="J581">
        <f t="shared" ref="J581:J644" si="28">F581+150</f>
        <v>-4.30000000000001</v>
      </c>
      <c r="K581">
        <f t="shared" ref="K581:K644" si="29">IF(G581&lt;230,-5.5,5)</f>
        <v>-5.5</v>
      </c>
    </row>
    <row r="582" spans="1:11">
      <c r="A582">
        <v>19.356</v>
      </c>
      <c r="B582">
        <v>-157.6</v>
      </c>
      <c r="C582">
        <v>206.9</v>
      </c>
      <c r="E582">
        <v>19.323</v>
      </c>
      <c r="F582">
        <v>-156</v>
      </c>
      <c r="G582">
        <v>209.3</v>
      </c>
      <c r="I582">
        <f t="shared" si="27"/>
        <v>19.3</v>
      </c>
      <c r="J582">
        <f t="shared" si="28"/>
        <v>-6</v>
      </c>
      <c r="K582">
        <f t="shared" si="29"/>
        <v>-5.5</v>
      </c>
    </row>
    <row r="583" spans="1:11">
      <c r="A583">
        <v>19.39</v>
      </c>
      <c r="B583">
        <v>-159.5</v>
      </c>
      <c r="C583">
        <v>204.4</v>
      </c>
      <c r="E583">
        <v>19.356</v>
      </c>
      <c r="F583">
        <v>-157.6</v>
      </c>
      <c r="G583">
        <v>206.9</v>
      </c>
      <c r="I583">
        <f t="shared" si="27"/>
        <v>19.35</v>
      </c>
      <c r="J583">
        <f t="shared" si="28"/>
        <v>-7.59999999999999</v>
      </c>
      <c r="K583">
        <f t="shared" si="29"/>
        <v>-5.5</v>
      </c>
    </row>
    <row r="584" spans="1:11">
      <c r="A584">
        <v>19.423</v>
      </c>
      <c r="B584">
        <v>-160.9</v>
      </c>
      <c r="C584">
        <v>205.4</v>
      </c>
      <c r="E584">
        <v>19.39</v>
      </c>
      <c r="F584">
        <v>-159.5</v>
      </c>
      <c r="G584">
        <v>204.4</v>
      </c>
      <c r="I584">
        <f t="shared" si="27"/>
        <v>19.35</v>
      </c>
      <c r="J584">
        <f t="shared" si="28"/>
        <v>-9.5</v>
      </c>
      <c r="K584">
        <f t="shared" si="29"/>
        <v>-5.5</v>
      </c>
    </row>
    <row r="585" spans="1:11">
      <c r="A585">
        <v>19.457</v>
      </c>
      <c r="B585">
        <v>-162.2</v>
      </c>
      <c r="C585">
        <v>203.9</v>
      </c>
      <c r="E585">
        <v>19.423</v>
      </c>
      <c r="F585">
        <v>-160.9</v>
      </c>
      <c r="G585">
        <v>205.4</v>
      </c>
      <c r="I585">
        <f t="shared" si="27"/>
        <v>19.4</v>
      </c>
      <c r="J585">
        <f t="shared" si="28"/>
        <v>-10.9</v>
      </c>
      <c r="K585">
        <f t="shared" si="29"/>
        <v>-5.5</v>
      </c>
    </row>
    <row r="586" spans="1:11">
      <c r="A586">
        <v>19.49</v>
      </c>
      <c r="B586">
        <v>-163.3</v>
      </c>
      <c r="C586">
        <v>202.3</v>
      </c>
      <c r="E586">
        <v>19.457</v>
      </c>
      <c r="F586">
        <v>-162.2</v>
      </c>
      <c r="G586">
        <v>203.9</v>
      </c>
      <c r="I586">
        <f t="shared" si="27"/>
        <v>19.45</v>
      </c>
      <c r="J586">
        <f t="shared" si="28"/>
        <v>-12.2</v>
      </c>
      <c r="K586">
        <f t="shared" si="29"/>
        <v>-5.5</v>
      </c>
    </row>
    <row r="587" spans="1:11">
      <c r="A587">
        <v>19.524</v>
      </c>
      <c r="B587">
        <v>-164.2</v>
      </c>
      <c r="C587">
        <v>201</v>
      </c>
      <c r="E587">
        <v>19.49</v>
      </c>
      <c r="F587">
        <v>-163.3</v>
      </c>
      <c r="G587">
        <v>202.3</v>
      </c>
      <c r="I587">
        <f t="shared" si="27"/>
        <v>19.45</v>
      </c>
      <c r="J587">
        <f t="shared" si="28"/>
        <v>-13.3</v>
      </c>
      <c r="K587">
        <f t="shared" si="29"/>
        <v>-5.5</v>
      </c>
    </row>
    <row r="588" spans="1:11">
      <c r="A588">
        <v>19.557</v>
      </c>
      <c r="B588">
        <v>-165</v>
      </c>
      <c r="C588">
        <v>199.1</v>
      </c>
      <c r="E588">
        <v>19.524</v>
      </c>
      <c r="F588">
        <v>-164.2</v>
      </c>
      <c r="G588">
        <v>201</v>
      </c>
      <c r="I588">
        <f t="shared" si="27"/>
        <v>19.5</v>
      </c>
      <c r="J588">
        <f t="shared" si="28"/>
        <v>-14.2</v>
      </c>
      <c r="K588">
        <f t="shared" si="29"/>
        <v>-5.5</v>
      </c>
    </row>
    <row r="589" spans="1:11">
      <c r="A589">
        <v>19.59</v>
      </c>
      <c r="B589">
        <v>-165.8</v>
      </c>
      <c r="C589">
        <v>198.9</v>
      </c>
      <c r="E589">
        <v>19.557</v>
      </c>
      <c r="F589">
        <v>-165</v>
      </c>
      <c r="G589">
        <v>199.1</v>
      </c>
      <c r="I589">
        <f t="shared" si="27"/>
        <v>19.55</v>
      </c>
      <c r="J589">
        <f t="shared" si="28"/>
        <v>-15</v>
      </c>
      <c r="K589">
        <f t="shared" si="29"/>
        <v>-5.5</v>
      </c>
    </row>
    <row r="590" spans="1:11">
      <c r="A590">
        <v>19.624</v>
      </c>
      <c r="B590">
        <v>-166.1</v>
      </c>
      <c r="C590">
        <v>196.8</v>
      </c>
      <c r="E590">
        <v>19.59</v>
      </c>
      <c r="F590">
        <v>-165.8</v>
      </c>
      <c r="G590">
        <v>198.9</v>
      </c>
      <c r="I590">
        <f t="shared" si="27"/>
        <v>19.55</v>
      </c>
      <c r="J590">
        <f t="shared" si="28"/>
        <v>-15.8</v>
      </c>
      <c r="K590">
        <f t="shared" si="29"/>
        <v>-5.5</v>
      </c>
    </row>
    <row r="591" spans="1:11">
      <c r="A591">
        <v>19.657</v>
      </c>
      <c r="B591">
        <v>-166.4</v>
      </c>
      <c r="C591">
        <v>196</v>
      </c>
      <c r="E591">
        <v>19.624</v>
      </c>
      <c r="F591">
        <v>-166.1</v>
      </c>
      <c r="G591">
        <v>196.8</v>
      </c>
      <c r="I591">
        <f t="shared" si="27"/>
        <v>19.6</v>
      </c>
      <c r="J591">
        <f t="shared" si="28"/>
        <v>-16.1</v>
      </c>
      <c r="K591">
        <f t="shared" si="29"/>
        <v>-5.5</v>
      </c>
    </row>
    <row r="592" spans="1:11">
      <c r="A592">
        <v>19.691</v>
      </c>
      <c r="B592">
        <v>-166.4</v>
      </c>
      <c r="C592">
        <v>195.3</v>
      </c>
      <c r="E592">
        <v>19.657</v>
      </c>
      <c r="F592">
        <v>-166.4</v>
      </c>
      <c r="G592">
        <v>196</v>
      </c>
      <c r="I592">
        <f t="shared" si="27"/>
        <v>19.65</v>
      </c>
      <c r="J592">
        <f t="shared" si="28"/>
        <v>-16.4</v>
      </c>
      <c r="K592">
        <f t="shared" si="29"/>
        <v>-5.5</v>
      </c>
    </row>
    <row r="593" spans="1:11">
      <c r="A593">
        <v>19.724</v>
      </c>
      <c r="B593">
        <v>-166.3</v>
      </c>
      <c r="C593">
        <v>194.2</v>
      </c>
      <c r="E593">
        <v>19.691</v>
      </c>
      <c r="F593">
        <v>-166.4</v>
      </c>
      <c r="G593">
        <v>195.3</v>
      </c>
      <c r="I593">
        <f t="shared" si="27"/>
        <v>19.65</v>
      </c>
      <c r="J593">
        <f t="shared" si="28"/>
        <v>-16.4</v>
      </c>
      <c r="K593">
        <f t="shared" si="29"/>
        <v>-5.5</v>
      </c>
    </row>
    <row r="594" spans="1:11">
      <c r="A594">
        <v>19.758</v>
      </c>
      <c r="B594">
        <v>-166</v>
      </c>
      <c r="C594">
        <v>193.8</v>
      </c>
      <c r="E594">
        <v>19.724</v>
      </c>
      <c r="F594">
        <v>-166.3</v>
      </c>
      <c r="G594">
        <v>194.2</v>
      </c>
      <c r="I594">
        <f t="shared" si="27"/>
        <v>19.7</v>
      </c>
      <c r="J594">
        <f t="shared" si="28"/>
        <v>-16.3</v>
      </c>
      <c r="K594">
        <f t="shared" si="29"/>
        <v>-5.5</v>
      </c>
    </row>
    <row r="595" spans="1:11">
      <c r="A595">
        <v>19.791</v>
      </c>
      <c r="B595">
        <v>-165.5</v>
      </c>
      <c r="C595">
        <v>192.7</v>
      </c>
      <c r="E595">
        <v>19.758</v>
      </c>
      <c r="F595">
        <v>-166</v>
      </c>
      <c r="G595">
        <v>193.8</v>
      </c>
      <c r="I595">
        <f t="shared" si="27"/>
        <v>19.75</v>
      </c>
      <c r="J595">
        <f t="shared" si="28"/>
        <v>-16</v>
      </c>
      <c r="K595">
        <f t="shared" si="29"/>
        <v>-5.5</v>
      </c>
    </row>
    <row r="596" spans="1:11">
      <c r="A596">
        <v>19.825</v>
      </c>
      <c r="B596">
        <v>-164.6</v>
      </c>
      <c r="C596">
        <v>192.6</v>
      </c>
      <c r="E596">
        <v>19.791</v>
      </c>
      <c r="F596">
        <v>-165.5</v>
      </c>
      <c r="G596">
        <v>192.7</v>
      </c>
      <c r="I596">
        <f t="shared" si="27"/>
        <v>19.75</v>
      </c>
      <c r="J596">
        <f t="shared" si="28"/>
        <v>-15.5</v>
      </c>
      <c r="K596">
        <f t="shared" si="29"/>
        <v>-5.5</v>
      </c>
    </row>
    <row r="597" spans="1:11">
      <c r="A597">
        <v>19.858</v>
      </c>
      <c r="B597">
        <v>-163.5</v>
      </c>
      <c r="C597">
        <v>189.8</v>
      </c>
      <c r="E597">
        <v>19.825</v>
      </c>
      <c r="F597">
        <v>-164.6</v>
      </c>
      <c r="G597">
        <v>192.6</v>
      </c>
      <c r="I597">
        <f t="shared" si="27"/>
        <v>19.8</v>
      </c>
      <c r="J597">
        <f t="shared" si="28"/>
        <v>-14.6</v>
      </c>
      <c r="K597">
        <f t="shared" si="29"/>
        <v>-5.5</v>
      </c>
    </row>
    <row r="598" spans="1:11">
      <c r="A598">
        <v>19.891</v>
      </c>
      <c r="B598">
        <v>-162.2</v>
      </c>
      <c r="C598">
        <v>189.7</v>
      </c>
      <c r="E598">
        <v>19.858</v>
      </c>
      <c r="F598">
        <v>-163.5</v>
      </c>
      <c r="G598">
        <v>189.8</v>
      </c>
      <c r="I598">
        <f t="shared" si="27"/>
        <v>19.85</v>
      </c>
      <c r="J598">
        <f t="shared" si="28"/>
        <v>-13.5</v>
      </c>
      <c r="K598">
        <f t="shared" si="29"/>
        <v>-5.5</v>
      </c>
    </row>
    <row r="599" spans="1:11">
      <c r="A599">
        <v>19.925</v>
      </c>
      <c r="B599">
        <v>-160.7</v>
      </c>
      <c r="C599">
        <v>189.5</v>
      </c>
      <c r="E599">
        <v>19.891</v>
      </c>
      <c r="F599">
        <v>-162.2</v>
      </c>
      <c r="G599">
        <v>189.7</v>
      </c>
      <c r="I599">
        <f t="shared" si="27"/>
        <v>19.85</v>
      </c>
      <c r="J599">
        <f t="shared" si="28"/>
        <v>-12.2</v>
      </c>
      <c r="K599">
        <f t="shared" si="29"/>
        <v>-5.5</v>
      </c>
    </row>
    <row r="600" spans="1:11">
      <c r="A600">
        <v>19.958</v>
      </c>
      <c r="B600">
        <v>-159</v>
      </c>
      <c r="C600">
        <v>238.4</v>
      </c>
      <c r="E600">
        <v>19.925</v>
      </c>
      <c r="F600">
        <v>-160.7</v>
      </c>
      <c r="G600">
        <v>189.5</v>
      </c>
      <c r="I600">
        <f t="shared" si="27"/>
        <v>19.9</v>
      </c>
      <c r="J600">
        <f t="shared" si="28"/>
        <v>-10.7</v>
      </c>
      <c r="K600">
        <f t="shared" si="29"/>
        <v>-5.5</v>
      </c>
    </row>
    <row r="601" spans="1:11">
      <c r="A601">
        <v>19.992</v>
      </c>
      <c r="B601">
        <v>-157.5</v>
      </c>
      <c r="C601">
        <v>238.4</v>
      </c>
      <c r="E601">
        <v>19.958</v>
      </c>
      <c r="F601">
        <v>-159</v>
      </c>
      <c r="G601">
        <v>238.4</v>
      </c>
      <c r="I601">
        <f t="shared" si="27"/>
        <v>19.95</v>
      </c>
      <c r="J601">
        <f t="shared" si="28"/>
        <v>-9</v>
      </c>
      <c r="K601">
        <f t="shared" si="29"/>
        <v>5</v>
      </c>
    </row>
    <row r="602" spans="1:11">
      <c r="A602">
        <v>20.025</v>
      </c>
      <c r="B602">
        <v>-155.8</v>
      </c>
      <c r="C602">
        <v>238.4</v>
      </c>
      <c r="E602">
        <v>19.992</v>
      </c>
      <c r="F602">
        <v>-157.5</v>
      </c>
      <c r="G602">
        <v>238.4</v>
      </c>
      <c r="I602">
        <f t="shared" si="27"/>
        <v>19.95</v>
      </c>
      <c r="J602">
        <f t="shared" si="28"/>
        <v>-7.5</v>
      </c>
      <c r="K602">
        <f t="shared" si="29"/>
        <v>5</v>
      </c>
    </row>
    <row r="603" spans="1:11">
      <c r="A603">
        <v>20.059</v>
      </c>
      <c r="B603">
        <v>-154.1</v>
      </c>
      <c r="C603">
        <v>238.4</v>
      </c>
      <c r="E603">
        <v>20.025</v>
      </c>
      <c r="F603">
        <v>-155.8</v>
      </c>
      <c r="G603">
        <v>238.4</v>
      </c>
      <c r="I603">
        <f t="shared" si="27"/>
        <v>20</v>
      </c>
      <c r="J603">
        <f t="shared" si="28"/>
        <v>-5.80000000000001</v>
      </c>
      <c r="K603">
        <f t="shared" si="29"/>
        <v>5</v>
      </c>
    </row>
    <row r="604" spans="1:11">
      <c r="A604">
        <v>20.092</v>
      </c>
      <c r="B604">
        <v>-152.4</v>
      </c>
      <c r="C604">
        <v>238.4</v>
      </c>
      <c r="E604">
        <v>20.059</v>
      </c>
      <c r="F604">
        <v>-154.1</v>
      </c>
      <c r="G604">
        <v>238.4</v>
      </c>
      <c r="I604">
        <f t="shared" si="27"/>
        <v>20.05</v>
      </c>
      <c r="J604">
        <f t="shared" si="28"/>
        <v>-4.09999999999999</v>
      </c>
      <c r="K604">
        <f t="shared" si="29"/>
        <v>5</v>
      </c>
    </row>
    <row r="605" spans="1:11">
      <c r="A605">
        <v>20.125</v>
      </c>
      <c r="B605">
        <v>-150.7</v>
      </c>
      <c r="C605">
        <v>238.4</v>
      </c>
      <c r="E605">
        <v>20.092</v>
      </c>
      <c r="F605">
        <v>-152.4</v>
      </c>
      <c r="G605">
        <v>238.4</v>
      </c>
      <c r="I605">
        <f t="shared" si="27"/>
        <v>20.05</v>
      </c>
      <c r="J605">
        <f t="shared" si="28"/>
        <v>-2.40000000000001</v>
      </c>
      <c r="K605">
        <f t="shared" si="29"/>
        <v>5</v>
      </c>
    </row>
    <row r="606" spans="1:11">
      <c r="A606">
        <v>20.159</v>
      </c>
      <c r="B606">
        <v>-149.2</v>
      </c>
      <c r="C606">
        <v>238.4</v>
      </c>
      <c r="E606">
        <v>20.125</v>
      </c>
      <c r="F606">
        <v>-150.7</v>
      </c>
      <c r="G606">
        <v>238.4</v>
      </c>
      <c r="I606">
        <f t="shared" si="27"/>
        <v>20.1</v>
      </c>
      <c r="J606">
        <f t="shared" si="28"/>
        <v>-0.699999999999989</v>
      </c>
      <c r="K606">
        <f t="shared" si="29"/>
        <v>5</v>
      </c>
    </row>
    <row r="607" spans="1:11">
      <c r="A607">
        <v>20.192</v>
      </c>
      <c r="B607">
        <v>-147.5</v>
      </c>
      <c r="C607">
        <v>238.4</v>
      </c>
      <c r="E607">
        <v>20.159</v>
      </c>
      <c r="F607">
        <v>-149.2</v>
      </c>
      <c r="G607">
        <v>238.4</v>
      </c>
      <c r="I607">
        <f t="shared" si="27"/>
        <v>20.15</v>
      </c>
      <c r="J607">
        <f t="shared" si="28"/>
        <v>0.800000000000011</v>
      </c>
      <c r="K607">
        <f t="shared" si="29"/>
        <v>5</v>
      </c>
    </row>
    <row r="608" spans="1:11">
      <c r="A608">
        <v>20.226</v>
      </c>
      <c r="B608">
        <v>-146.2</v>
      </c>
      <c r="C608">
        <v>238.4</v>
      </c>
      <c r="E608">
        <v>20.192</v>
      </c>
      <c r="F608">
        <v>-147.5</v>
      </c>
      <c r="G608">
        <v>238.4</v>
      </c>
      <c r="I608">
        <f t="shared" si="27"/>
        <v>20.15</v>
      </c>
      <c r="J608">
        <f t="shared" si="28"/>
        <v>2.5</v>
      </c>
      <c r="K608">
        <f t="shared" si="29"/>
        <v>5</v>
      </c>
    </row>
    <row r="609" spans="1:11">
      <c r="A609">
        <v>20.259</v>
      </c>
      <c r="B609">
        <v>-144.7</v>
      </c>
      <c r="C609">
        <v>238.4</v>
      </c>
      <c r="E609">
        <v>20.226</v>
      </c>
      <c r="F609">
        <v>-146.2</v>
      </c>
      <c r="G609">
        <v>238.4</v>
      </c>
      <c r="I609">
        <f t="shared" si="27"/>
        <v>20.2</v>
      </c>
      <c r="J609">
        <f t="shared" si="28"/>
        <v>3.80000000000001</v>
      </c>
      <c r="K609">
        <f t="shared" si="29"/>
        <v>5</v>
      </c>
    </row>
    <row r="610" spans="1:11">
      <c r="A610">
        <v>20.293</v>
      </c>
      <c r="B610">
        <v>-143.6</v>
      </c>
      <c r="C610">
        <v>238.4</v>
      </c>
      <c r="E610">
        <v>20.259</v>
      </c>
      <c r="F610">
        <v>-144.7</v>
      </c>
      <c r="G610">
        <v>238.4</v>
      </c>
      <c r="I610">
        <f t="shared" si="27"/>
        <v>20.25</v>
      </c>
      <c r="J610">
        <f t="shared" si="28"/>
        <v>5.30000000000001</v>
      </c>
      <c r="K610">
        <f t="shared" si="29"/>
        <v>5</v>
      </c>
    </row>
    <row r="611" spans="1:11">
      <c r="A611">
        <v>20.326</v>
      </c>
      <c r="B611">
        <v>-143</v>
      </c>
      <c r="C611">
        <v>238.4</v>
      </c>
      <c r="E611">
        <v>20.293</v>
      </c>
      <c r="F611">
        <v>-143.6</v>
      </c>
      <c r="G611">
        <v>238.4</v>
      </c>
      <c r="I611">
        <f t="shared" si="27"/>
        <v>20.25</v>
      </c>
      <c r="J611">
        <f t="shared" si="28"/>
        <v>6.40000000000001</v>
      </c>
      <c r="K611">
        <f t="shared" si="29"/>
        <v>5</v>
      </c>
    </row>
    <row r="612" spans="1:11">
      <c r="A612">
        <v>20.359</v>
      </c>
      <c r="B612">
        <v>-142.3</v>
      </c>
      <c r="C612">
        <v>238.4</v>
      </c>
      <c r="E612">
        <v>20.326</v>
      </c>
      <c r="F612">
        <v>-143</v>
      </c>
      <c r="G612">
        <v>238.4</v>
      </c>
      <c r="I612">
        <f t="shared" si="27"/>
        <v>20.3</v>
      </c>
      <c r="J612">
        <f t="shared" si="28"/>
        <v>7</v>
      </c>
      <c r="K612">
        <f t="shared" si="29"/>
        <v>5</v>
      </c>
    </row>
    <row r="613" spans="1:11">
      <c r="A613">
        <v>20.393</v>
      </c>
      <c r="B613">
        <v>-142</v>
      </c>
      <c r="C613">
        <v>238.4</v>
      </c>
      <c r="E613">
        <v>20.359</v>
      </c>
      <c r="F613">
        <v>-142.3</v>
      </c>
      <c r="G613">
        <v>238.4</v>
      </c>
      <c r="I613">
        <f t="shared" si="27"/>
        <v>20.35</v>
      </c>
      <c r="J613">
        <f t="shared" si="28"/>
        <v>7.69999999999999</v>
      </c>
      <c r="K613">
        <f t="shared" si="29"/>
        <v>5</v>
      </c>
    </row>
    <row r="614" spans="1:11">
      <c r="A614">
        <v>20.426</v>
      </c>
      <c r="B614">
        <v>-142</v>
      </c>
      <c r="C614">
        <v>238.4</v>
      </c>
      <c r="E614">
        <v>20.393</v>
      </c>
      <c r="F614">
        <v>-142</v>
      </c>
      <c r="G614">
        <v>238.4</v>
      </c>
      <c r="I614">
        <f t="shared" si="27"/>
        <v>20.35</v>
      </c>
      <c r="J614">
        <f t="shared" si="28"/>
        <v>8</v>
      </c>
      <c r="K614">
        <f t="shared" si="29"/>
        <v>5</v>
      </c>
    </row>
    <row r="615" spans="1:11">
      <c r="A615">
        <v>20.46</v>
      </c>
      <c r="B615">
        <v>-142.1</v>
      </c>
      <c r="C615">
        <v>238.4</v>
      </c>
      <c r="E615">
        <v>20.426</v>
      </c>
      <c r="F615">
        <v>-142</v>
      </c>
      <c r="G615">
        <v>238.4</v>
      </c>
      <c r="I615">
        <f t="shared" si="27"/>
        <v>20.4</v>
      </c>
      <c r="J615">
        <f t="shared" si="28"/>
        <v>8</v>
      </c>
      <c r="K615">
        <f t="shared" si="29"/>
        <v>5</v>
      </c>
    </row>
    <row r="616" spans="1:11">
      <c r="A616">
        <v>20.493</v>
      </c>
      <c r="B616">
        <v>-142.3</v>
      </c>
      <c r="C616">
        <v>238.4</v>
      </c>
      <c r="E616">
        <v>20.46</v>
      </c>
      <c r="F616">
        <v>-142.1</v>
      </c>
      <c r="G616">
        <v>238.4</v>
      </c>
      <c r="I616">
        <f t="shared" si="27"/>
        <v>20.45</v>
      </c>
      <c r="J616">
        <f t="shared" si="28"/>
        <v>7.90000000000001</v>
      </c>
      <c r="K616">
        <f t="shared" si="29"/>
        <v>5</v>
      </c>
    </row>
    <row r="617" spans="1:11">
      <c r="A617">
        <v>20.527</v>
      </c>
      <c r="B617">
        <v>-142.5</v>
      </c>
      <c r="C617">
        <v>238.4</v>
      </c>
      <c r="E617">
        <v>20.493</v>
      </c>
      <c r="F617">
        <v>-142.3</v>
      </c>
      <c r="G617">
        <v>238.4</v>
      </c>
      <c r="I617">
        <f t="shared" si="27"/>
        <v>20.45</v>
      </c>
      <c r="J617">
        <f t="shared" si="28"/>
        <v>7.69999999999999</v>
      </c>
      <c r="K617">
        <f t="shared" si="29"/>
        <v>5</v>
      </c>
    </row>
    <row r="618" spans="1:11">
      <c r="A618">
        <v>20.56</v>
      </c>
      <c r="B618">
        <v>-142.6</v>
      </c>
      <c r="C618">
        <v>238.4</v>
      </c>
      <c r="E618">
        <v>20.527</v>
      </c>
      <c r="F618">
        <v>-142.5</v>
      </c>
      <c r="G618">
        <v>238.4</v>
      </c>
      <c r="I618">
        <f t="shared" si="27"/>
        <v>20.5</v>
      </c>
      <c r="J618">
        <f t="shared" si="28"/>
        <v>7.5</v>
      </c>
      <c r="K618">
        <f t="shared" si="29"/>
        <v>5</v>
      </c>
    </row>
    <row r="619" spans="1:11">
      <c r="A619">
        <v>20.593</v>
      </c>
      <c r="B619">
        <v>-143</v>
      </c>
      <c r="C619">
        <v>238.4</v>
      </c>
      <c r="E619">
        <v>20.56</v>
      </c>
      <c r="F619">
        <v>-142.6</v>
      </c>
      <c r="G619">
        <v>238.4</v>
      </c>
      <c r="I619">
        <f t="shared" si="27"/>
        <v>20.55</v>
      </c>
      <c r="J619">
        <f t="shared" si="28"/>
        <v>7.40000000000001</v>
      </c>
      <c r="K619">
        <f t="shared" si="29"/>
        <v>5</v>
      </c>
    </row>
    <row r="620" spans="1:11">
      <c r="A620">
        <v>20.627</v>
      </c>
      <c r="B620">
        <v>-143.7</v>
      </c>
      <c r="C620">
        <v>238.4</v>
      </c>
      <c r="E620">
        <v>20.593</v>
      </c>
      <c r="F620">
        <v>-143</v>
      </c>
      <c r="G620">
        <v>238.4</v>
      </c>
      <c r="I620">
        <f t="shared" si="27"/>
        <v>20.55</v>
      </c>
      <c r="J620">
        <f t="shared" si="28"/>
        <v>7</v>
      </c>
      <c r="K620">
        <f t="shared" si="29"/>
        <v>5</v>
      </c>
    </row>
    <row r="621" spans="1:11">
      <c r="A621">
        <v>20.66</v>
      </c>
      <c r="B621">
        <v>-145</v>
      </c>
      <c r="C621">
        <v>238.4</v>
      </c>
      <c r="E621">
        <v>20.627</v>
      </c>
      <c r="F621">
        <v>-143.7</v>
      </c>
      <c r="G621">
        <v>238.4</v>
      </c>
      <c r="I621">
        <f t="shared" si="27"/>
        <v>20.6</v>
      </c>
      <c r="J621">
        <f t="shared" si="28"/>
        <v>6.30000000000001</v>
      </c>
      <c r="K621">
        <f t="shared" si="29"/>
        <v>5</v>
      </c>
    </row>
    <row r="622" spans="1:11">
      <c r="A622">
        <v>20.694</v>
      </c>
      <c r="B622">
        <v>-146.6</v>
      </c>
      <c r="C622">
        <v>238.4</v>
      </c>
      <c r="E622">
        <v>20.66</v>
      </c>
      <c r="F622">
        <v>-145</v>
      </c>
      <c r="G622">
        <v>238.4</v>
      </c>
      <c r="I622">
        <f t="shared" si="27"/>
        <v>20.65</v>
      </c>
      <c r="J622">
        <f t="shared" si="28"/>
        <v>5</v>
      </c>
      <c r="K622">
        <f t="shared" si="29"/>
        <v>5</v>
      </c>
    </row>
    <row r="623" spans="1:11">
      <c r="A623">
        <v>20.727</v>
      </c>
      <c r="B623">
        <v>-148</v>
      </c>
      <c r="C623">
        <v>238.4</v>
      </c>
      <c r="E623">
        <v>20.694</v>
      </c>
      <c r="F623">
        <v>-146.6</v>
      </c>
      <c r="G623">
        <v>238.4</v>
      </c>
      <c r="I623">
        <f t="shared" si="27"/>
        <v>20.65</v>
      </c>
      <c r="J623">
        <f t="shared" si="28"/>
        <v>3.40000000000001</v>
      </c>
      <c r="K623">
        <f t="shared" si="29"/>
        <v>5</v>
      </c>
    </row>
    <row r="624" spans="1:11">
      <c r="A624">
        <v>20.761</v>
      </c>
      <c r="B624">
        <v>-149.7</v>
      </c>
      <c r="C624">
        <v>238.4</v>
      </c>
      <c r="E624">
        <v>20.727</v>
      </c>
      <c r="F624">
        <v>-148</v>
      </c>
      <c r="G624">
        <v>238.4</v>
      </c>
      <c r="I624">
        <f t="shared" si="27"/>
        <v>20.7</v>
      </c>
      <c r="J624">
        <f t="shared" si="28"/>
        <v>2</v>
      </c>
      <c r="K624">
        <f t="shared" si="29"/>
        <v>5</v>
      </c>
    </row>
    <row r="625" spans="1:11">
      <c r="A625">
        <v>20.794</v>
      </c>
      <c r="B625">
        <v>-151.2</v>
      </c>
      <c r="C625">
        <v>212.8</v>
      </c>
      <c r="E625">
        <v>20.761</v>
      </c>
      <c r="F625">
        <v>-149.7</v>
      </c>
      <c r="G625">
        <v>238.4</v>
      </c>
      <c r="I625">
        <f t="shared" si="27"/>
        <v>20.75</v>
      </c>
      <c r="J625">
        <f t="shared" si="28"/>
        <v>0.300000000000011</v>
      </c>
      <c r="K625">
        <f t="shared" si="29"/>
        <v>5</v>
      </c>
    </row>
    <row r="626" spans="1:11">
      <c r="A626">
        <v>20.827</v>
      </c>
      <c r="B626">
        <v>-153.1</v>
      </c>
      <c r="C626">
        <v>216.7</v>
      </c>
      <c r="E626">
        <v>20.794</v>
      </c>
      <c r="F626">
        <v>-151.2</v>
      </c>
      <c r="G626">
        <v>212.8</v>
      </c>
      <c r="I626">
        <f t="shared" si="27"/>
        <v>20.75</v>
      </c>
      <c r="J626">
        <f t="shared" si="28"/>
        <v>-1.19999999999999</v>
      </c>
      <c r="K626">
        <f t="shared" si="29"/>
        <v>-5.5</v>
      </c>
    </row>
    <row r="627" spans="1:11">
      <c r="A627">
        <v>20.861</v>
      </c>
      <c r="B627">
        <v>-154.8</v>
      </c>
      <c r="C627">
        <v>216.5</v>
      </c>
      <c r="E627">
        <v>20.827</v>
      </c>
      <c r="F627">
        <v>-153.1</v>
      </c>
      <c r="G627">
        <v>216.7</v>
      </c>
      <c r="I627">
        <f t="shared" si="27"/>
        <v>20.8</v>
      </c>
      <c r="J627">
        <f t="shared" si="28"/>
        <v>-3.09999999999999</v>
      </c>
      <c r="K627">
        <f t="shared" si="29"/>
        <v>-5.5</v>
      </c>
    </row>
    <row r="628" spans="1:11">
      <c r="A628">
        <v>20.894</v>
      </c>
      <c r="B628">
        <v>-156.3</v>
      </c>
      <c r="C628">
        <v>214.3</v>
      </c>
      <c r="E628">
        <v>20.861</v>
      </c>
      <c r="F628">
        <v>-154.8</v>
      </c>
      <c r="G628">
        <v>216.5</v>
      </c>
      <c r="I628">
        <f t="shared" si="27"/>
        <v>20.85</v>
      </c>
      <c r="J628">
        <f t="shared" si="28"/>
        <v>-4.80000000000001</v>
      </c>
      <c r="K628">
        <f t="shared" si="29"/>
        <v>-5.5</v>
      </c>
    </row>
    <row r="629" spans="1:11">
      <c r="A629">
        <v>20.928</v>
      </c>
      <c r="B629">
        <v>-158.3</v>
      </c>
      <c r="C629">
        <v>212.9</v>
      </c>
      <c r="E629">
        <v>20.894</v>
      </c>
      <c r="F629">
        <v>-156.3</v>
      </c>
      <c r="G629">
        <v>214.3</v>
      </c>
      <c r="I629">
        <f t="shared" si="27"/>
        <v>20.85</v>
      </c>
      <c r="J629">
        <f t="shared" si="28"/>
        <v>-6.30000000000001</v>
      </c>
      <c r="K629">
        <f t="shared" si="29"/>
        <v>-5.5</v>
      </c>
    </row>
    <row r="630" spans="1:11">
      <c r="A630">
        <v>20.961</v>
      </c>
      <c r="B630">
        <v>-159.8</v>
      </c>
      <c r="C630">
        <v>211.1</v>
      </c>
      <c r="E630">
        <v>20.928</v>
      </c>
      <c r="F630">
        <v>-158.3</v>
      </c>
      <c r="G630">
        <v>212.9</v>
      </c>
      <c r="I630">
        <f t="shared" si="27"/>
        <v>20.9</v>
      </c>
      <c r="J630">
        <f t="shared" si="28"/>
        <v>-8.30000000000001</v>
      </c>
      <c r="K630">
        <f t="shared" si="29"/>
        <v>-5.5</v>
      </c>
    </row>
    <row r="631" spans="1:11">
      <c r="A631">
        <v>20.995</v>
      </c>
      <c r="B631">
        <v>-161.1</v>
      </c>
      <c r="C631">
        <v>210</v>
      </c>
      <c r="E631">
        <v>20.961</v>
      </c>
      <c r="F631">
        <v>-159.8</v>
      </c>
      <c r="G631">
        <v>211.1</v>
      </c>
      <c r="I631">
        <f t="shared" si="27"/>
        <v>20.95</v>
      </c>
      <c r="J631">
        <f t="shared" si="28"/>
        <v>-9.80000000000001</v>
      </c>
      <c r="K631">
        <f t="shared" si="29"/>
        <v>-5.5</v>
      </c>
    </row>
    <row r="632" spans="1:11">
      <c r="A632">
        <v>21.028</v>
      </c>
      <c r="B632">
        <v>-162.5</v>
      </c>
      <c r="C632">
        <v>208.4</v>
      </c>
      <c r="E632">
        <v>20.995</v>
      </c>
      <c r="F632">
        <v>-161.1</v>
      </c>
      <c r="G632">
        <v>210</v>
      </c>
      <c r="I632">
        <f t="shared" si="27"/>
        <v>20.95</v>
      </c>
      <c r="J632">
        <f t="shared" si="28"/>
        <v>-11.1</v>
      </c>
      <c r="K632">
        <f t="shared" si="29"/>
        <v>-5.5</v>
      </c>
    </row>
    <row r="633" spans="1:11">
      <c r="A633">
        <v>21.061</v>
      </c>
      <c r="B633">
        <v>-163.7</v>
      </c>
      <c r="C633">
        <v>206.5</v>
      </c>
      <c r="E633">
        <v>21.028</v>
      </c>
      <c r="F633">
        <v>-162.5</v>
      </c>
      <c r="G633">
        <v>208.4</v>
      </c>
      <c r="I633">
        <f t="shared" si="27"/>
        <v>21</v>
      </c>
      <c r="J633">
        <f t="shared" si="28"/>
        <v>-12.5</v>
      </c>
      <c r="K633">
        <f t="shared" si="29"/>
        <v>-5.5</v>
      </c>
    </row>
    <row r="634" spans="1:11">
      <c r="A634">
        <v>21.095</v>
      </c>
      <c r="B634">
        <v>-164.5</v>
      </c>
      <c r="C634">
        <v>206.1</v>
      </c>
      <c r="E634">
        <v>21.061</v>
      </c>
      <c r="F634">
        <v>-163.7</v>
      </c>
      <c r="G634">
        <v>206.5</v>
      </c>
      <c r="I634">
        <f t="shared" si="27"/>
        <v>21.05</v>
      </c>
      <c r="J634">
        <f t="shared" si="28"/>
        <v>-13.7</v>
      </c>
      <c r="K634">
        <f t="shared" si="29"/>
        <v>-5.5</v>
      </c>
    </row>
    <row r="635" spans="1:11">
      <c r="A635">
        <v>21.128</v>
      </c>
      <c r="B635">
        <v>-165.2</v>
      </c>
      <c r="C635">
        <v>204.9</v>
      </c>
      <c r="E635">
        <v>21.095</v>
      </c>
      <c r="F635">
        <v>-164.5</v>
      </c>
      <c r="G635">
        <v>206.1</v>
      </c>
      <c r="I635">
        <f t="shared" si="27"/>
        <v>21.05</v>
      </c>
      <c r="J635">
        <f t="shared" si="28"/>
        <v>-14.5</v>
      </c>
      <c r="K635">
        <f t="shared" si="29"/>
        <v>-5.5</v>
      </c>
    </row>
    <row r="636" spans="1:11">
      <c r="A636">
        <v>21.162</v>
      </c>
      <c r="B636">
        <v>-165.8</v>
      </c>
      <c r="C636">
        <v>203.9</v>
      </c>
      <c r="E636">
        <v>21.128</v>
      </c>
      <c r="F636">
        <v>-165.2</v>
      </c>
      <c r="G636">
        <v>204.9</v>
      </c>
      <c r="I636">
        <f t="shared" si="27"/>
        <v>21.1</v>
      </c>
      <c r="J636">
        <f t="shared" si="28"/>
        <v>-15.2</v>
      </c>
      <c r="K636">
        <f t="shared" si="29"/>
        <v>-5.5</v>
      </c>
    </row>
    <row r="637" spans="1:11">
      <c r="A637">
        <v>21.195</v>
      </c>
      <c r="B637">
        <v>-166</v>
      </c>
      <c r="C637">
        <v>202.2</v>
      </c>
      <c r="E637">
        <v>21.162</v>
      </c>
      <c r="F637">
        <v>-165.8</v>
      </c>
      <c r="G637">
        <v>203.9</v>
      </c>
      <c r="I637">
        <f t="shared" si="27"/>
        <v>21.15</v>
      </c>
      <c r="J637">
        <f t="shared" si="28"/>
        <v>-15.8</v>
      </c>
      <c r="K637">
        <f t="shared" si="29"/>
        <v>-5.5</v>
      </c>
    </row>
    <row r="638" spans="1:11">
      <c r="A638">
        <v>21.229</v>
      </c>
      <c r="B638">
        <v>-165.9</v>
      </c>
      <c r="C638">
        <v>201</v>
      </c>
      <c r="E638">
        <v>21.195</v>
      </c>
      <c r="F638">
        <v>-166</v>
      </c>
      <c r="G638">
        <v>202.2</v>
      </c>
      <c r="I638">
        <f t="shared" si="27"/>
        <v>21.15</v>
      </c>
      <c r="J638">
        <f t="shared" si="28"/>
        <v>-16</v>
      </c>
      <c r="K638">
        <f t="shared" si="29"/>
        <v>-5.5</v>
      </c>
    </row>
    <row r="639" spans="1:11">
      <c r="A639">
        <v>21.262</v>
      </c>
      <c r="B639">
        <v>-165.7</v>
      </c>
      <c r="C639">
        <v>200.6</v>
      </c>
      <c r="E639">
        <v>21.229</v>
      </c>
      <c r="F639">
        <v>-165.9</v>
      </c>
      <c r="G639">
        <v>201</v>
      </c>
      <c r="I639">
        <f t="shared" si="27"/>
        <v>21.2</v>
      </c>
      <c r="J639">
        <f t="shared" si="28"/>
        <v>-15.9</v>
      </c>
      <c r="K639">
        <f t="shared" si="29"/>
        <v>-5.5</v>
      </c>
    </row>
    <row r="640" spans="1:11">
      <c r="A640">
        <v>21.295</v>
      </c>
      <c r="B640">
        <v>-165.6</v>
      </c>
      <c r="C640">
        <v>199.6</v>
      </c>
      <c r="E640">
        <v>21.262</v>
      </c>
      <c r="F640">
        <v>-165.7</v>
      </c>
      <c r="G640">
        <v>200.6</v>
      </c>
      <c r="I640">
        <f t="shared" si="27"/>
        <v>21.25</v>
      </c>
      <c r="J640">
        <f t="shared" si="28"/>
        <v>-15.7</v>
      </c>
      <c r="K640">
        <f t="shared" si="29"/>
        <v>-5.5</v>
      </c>
    </row>
    <row r="641" spans="1:11">
      <c r="A641">
        <v>21.329</v>
      </c>
      <c r="B641">
        <v>-165.3</v>
      </c>
      <c r="C641">
        <v>196.8</v>
      </c>
      <c r="E641">
        <v>21.295</v>
      </c>
      <c r="F641">
        <v>-165.6</v>
      </c>
      <c r="G641">
        <v>199.6</v>
      </c>
      <c r="I641">
        <f t="shared" ref="I641:I704" si="30">FLOOR(E641,0.05)</f>
        <v>21.25</v>
      </c>
      <c r="J641">
        <f t="shared" si="28"/>
        <v>-15.6</v>
      </c>
      <c r="K641">
        <f t="shared" si="29"/>
        <v>-5.5</v>
      </c>
    </row>
    <row r="642" spans="1:11">
      <c r="A642">
        <v>21.362</v>
      </c>
      <c r="B642">
        <v>-165</v>
      </c>
      <c r="C642">
        <v>196.5</v>
      </c>
      <c r="E642">
        <v>21.329</v>
      </c>
      <c r="F642">
        <v>-165.3</v>
      </c>
      <c r="G642">
        <v>196.8</v>
      </c>
      <c r="I642">
        <f t="shared" si="30"/>
        <v>21.3</v>
      </c>
      <c r="J642">
        <f t="shared" si="28"/>
        <v>-15.3</v>
      </c>
      <c r="K642">
        <f t="shared" si="29"/>
        <v>-5.5</v>
      </c>
    </row>
    <row r="643" spans="1:11">
      <c r="A643">
        <v>21.396</v>
      </c>
      <c r="B643">
        <v>-164.1</v>
      </c>
      <c r="C643">
        <v>195.4</v>
      </c>
      <c r="E643">
        <v>21.362</v>
      </c>
      <c r="F643">
        <v>-165</v>
      </c>
      <c r="G643">
        <v>196.5</v>
      </c>
      <c r="I643">
        <f t="shared" si="30"/>
        <v>21.35</v>
      </c>
      <c r="J643">
        <f t="shared" si="28"/>
        <v>-15</v>
      </c>
      <c r="K643">
        <f t="shared" si="29"/>
        <v>-5.5</v>
      </c>
    </row>
    <row r="644" spans="1:11">
      <c r="A644">
        <v>21.429</v>
      </c>
      <c r="B644">
        <v>-163.2</v>
      </c>
      <c r="C644">
        <v>194.4</v>
      </c>
      <c r="E644">
        <v>21.396</v>
      </c>
      <c r="F644">
        <v>-164.1</v>
      </c>
      <c r="G644">
        <v>195.4</v>
      </c>
      <c r="I644">
        <f t="shared" si="30"/>
        <v>21.35</v>
      </c>
      <c r="J644">
        <f t="shared" si="28"/>
        <v>-14.1</v>
      </c>
      <c r="K644">
        <f t="shared" si="29"/>
        <v>-5.5</v>
      </c>
    </row>
    <row r="645" spans="1:11">
      <c r="A645">
        <v>21.463</v>
      </c>
      <c r="B645">
        <v>-161.9</v>
      </c>
      <c r="C645">
        <v>194.8</v>
      </c>
      <c r="E645">
        <v>21.429</v>
      </c>
      <c r="F645">
        <v>-163.2</v>
      </c>
      <c r="G645">
        <v>194.4</v>
      </c>
      <c r="I645">
        <f t="shared" si="30"/>
        <v>21.4</v>
      </c>
      <c r="J645">
        <f t="shared" ref="J645:J708" si="31">F645+150</f>
        <v>-13.2</v>
      </c>
      <c r="K645">
        <f t="shared" ref="K645:K708" si="32">IF(G645&lt;230,-5.5,5)</f>
        <v>-5.5</v>
      </c>
    </row>
    <row r="646" spans="1:11">
      <c r="A646">
        <v>21.496</v>
      </c>
      <c r="B646">
        <v>-160.3</v>
      </c>
      <c r="C646">
        <v>193.5</v>
      </c>
      <c r="E646">
        <v>21.463</v>
      </c>
      <c r="F646">
        <v>-161.9</v>
      </c>
      <c r="G646">
        <v>194.8</v>
      </c>
      <c r="I646">
        <f t="shared" si="30"/>
        <v>21.45</v>
      </c>
      <c r="J646">
        <f t="shared" si="31"/>
        <v>-11.9</v>
      </c>
      <c r="K646">
        <f t="shared" si="32"/>
        <v>-5.5</v>
      </c>
    </row>
    <row r="647" spans="1:11">
      <c r="A647">
        <v>21.529</v>
      </c>
      <c r="B647">
        <v>-158.9</v>
      </c>
      <c r="C647">
        <v>191.7</v>
      </c>
      <c r="E647">
        <v>21.496</v>
      </c>
      <c r="F647">
        <v>-160.3</v>
      </c>
      <c r="G647">
        <v>193.5</v>
      </c>
      <c r="I647">
        <f t="shared" si="30"/>
        <v>21.45</v>
      </c>
      <c r="J647">
        <f t="shared" si="31"/>
        <v>-10.3</v>
      </c>
      <c r="K647">
        <f t="shared" si="32"/>
        <v>-5.5</v>
      </c>
    </row>
    <row r="648" spans="1:11">
      <c r="A648">
        <v>21.563</v>
      </c>
      <c r="B648">
        <v>-157.2</v>
      </c>
      <c r="C648">
        <v>237.4</v>
      </c>
      <c r="E648">
        <v>21.529</v>
      </c>
      <c r="F648">
        <v>-158.9</v>
      </c>
      <c r="G648">
        <v>191.7</v>
      </c>
      <c r="I648">
        <f t="shared" si="30"/>
        <v>21.5</v>
      </c>
      <c r="J648">
        <f t="shared" si="31"/>
        <v>-8.90000000000001</v>
      </c>
      <c r="K648">
        <f t="shared" si="32"/>
        <v>-5.5</v>
      </c>
    </row>
    <row r="649" spans="1:11">
      <c r="A649">
        <v>21.596</v>
      </c>
      <c r="B649">
        <v>-155.7</v>
      </c>
      <c r="C649">
        <v>238.5</v>
      </c>
      <c r="E649">
        <v>21.563</v>
      </c>
      <c r="F649">
        <v>-157.2</v>
      </c>
      <c r="G649">
        <v>237.4</v>
      </c>
      <c r="I649">
        <f t="shared" si="30"/>
        <v>21.55</v>
      </c>
      <c r="J649">
        <f t="shared" si="31"/>
        <v>-7.19999999999999</v>
      </c>
      <c r="K649">
        <f t="shared" si="32"/>
        <v>5</v>
      </c>
    </row>
    <row r="650" spans="1:11">
      <c r="A650">
        <v>21.63</v>
      </c>
      <c r="B650">
        <v>-154.1</v>
      </c>
      <c r="C650">
        <v>238.5</v>
      </c>
      <c r="E650">
        <v>21.596</v>
      </c>
      <c r="F650">
        <v>-155.7</v>
      </c>
      <c r="G650">
        <v>238.5</v>
      </c>
      <c r="I650">
        <f t="shared" si="30"/>
        <v>21.55</v>
      </c>
      <c r="J650">
        <f t="shared" si="31"/>
        <v>-5.69999999999999</v>
      </c>
      <c r="K650">
        <f t="shared" si="32"/>
        <v>5</v>
      </c>
    </row>
    <row r="651" spans="1:11">
      <c r="A651">
        <v>21.663</v>
      </c>
      <c r="B651">
        <v>-152.6</v>
      </c>
      <c r="C651">
        <v>238.5</v>
      </c>
      <c r="E651">
        <v>21.63</v>
      </c>
      <c r="F651">
        <v>-154.1</v>
      </c>
      <c r="G651">
        <v>238.5</v>
      </c>
      <c r="I651">
        <f t="shared" si="30"/>
        <v>21.6</v>
      </c>
      <c r="J651">
        <f t="shared" si="31"/>
        <v>-4.09999999999999</v>
      </c>
      <c r="K651">
        <f t="shared" si="32"/>
        <v>5</v>
      </c>
    </row>
    <row r="652" spans="1:11">
      <c r="A652">
        <v>21.697</v>
      </c>
      <c r="B652">
        <v>-150.9</v>
      </c>
      <c r="C652">
        <v>238.5</v>
      </c>
      <c r="E652">
        <v>21.663</v>
      </c>
      <c r="F652">
        <v>-152.6</v>
      </c>
      <c r="G652">
        <v>238.5</v>
      </c>
      <c r="I652">
        <f t="shared" si="30"/>
        <v>21.65</v>
      </c>
      <c r="J652">
        <f t="shared" si="31"/>
        <v>-2.59999999999999</v>
      </c>
      <c r="K652">
        <f t="shared" si="32"/>
        <v>5</v>
      </c>
    </row>
    <row r="653" spans="1:11">
      <c r="A653">
        <v>21.73</v>
      </c>
      <c r="B653">
        <v>-149.4</v>
      </c>
      <c r="C653">
        <v>238.5</v>
      </c>
      <c r="E653">
        <v>21.697</v>
      </c>
      <c r="F653">
        <v>-150.9</v>
      </c>
      <c r="G653">
        <v>238.5</v>
      </c>
      <c r="I653">
        <f t="shared" si="30"/>
        <v>21.65</v>
      </c>
      <c r="J653">
        <f t="shared" si="31"/>
        <v>-0.900000000000006</v>
      </c>
      <c r="K653">
        <f t="shared" si="32"/>
        <v>5</v>
      </c>
    </row>
    <row r="654" spans="1:11">
      <c r="A654">
        <v>21.764</v>
      </c>
      <c r="B654">
        <v>-147.3</v>
      </c>
      <c r="C654">
        <v>238.5</v>
      </c>
      <c r="E654">
        <v>21.73</v>
      </c>
      <c r="F654">
        <v>-149.4</v>
      </c>
      <c r="G654">
        <v>238.5</v>
      </c>
      <c r="I654">
        <f t="shared" si="30"/>
        <v>21.7</v>
      </c>
      <c r="J654">
        <f t="shared" si="31"/>
        <v>0.599999999999994</v>
      </c>
      <c r="K654">
        <f t="shared" si="32"/>
        <v>5</v>
      </c>
    </row>
    <row r="655" spans="1:11">
      <c r="A655">
        <v>21.797</v>
      </c>
      <c r="B655">
        <v>-146.4</v>
      </c>
      <c r="C655">
        <v>238.5</v>
      </c>
      <c r="E655">
        <v>21.764</v>
      </c>
      <c r="F655">
        <v>-147.3</v>
      </c>
      <c r="G655">
        <v>238.5</v>
      </c>
      <c r="I655">
        <f t="shared" si="30"/>
        <v>21.75</v>
      </c>
      <c r="J655">
        <f t="shared" si="31"/>
        <v>2.69999999999999</v>
      </c>
      <c r="K655">
        <f t="shared" si="32"/>
        <v>5</v>
      </c>
    </row>
    <row r="656" spans="1:11">
      <c r="A656">
        <v>21.83</v>
      </c>
      <c r="B656">
        <v>-145.2</v>
      </c>
      <c r="C656">
        <v>238.5</v>
      </c>
      <c r="E656">
        <v>21.797</v>
      </c>
      <c r="F656">
        <v>-146.4</v>
      </c>
      <c r="G656">
        <v>238.5</v>
      </c>
      <c r="I656">
        <f t="shared" si="30"/>
        <v>21.75</v>
      </c>
      <c r="J656">
        <f t="shared" si="31"/>
        <v>3.59999999999999</v>
      </c>
      <c r="K656">
        <f t="shared" si="32"/>
        <v>5</v>
      </c>
    </row>
    <row r="657" spans="1:11">
      <c r="A657">
        <v>21.864</v>
      </c>
      <c r="B657">
        <v>-144.2</v>
      </c>
      <c r="C657">
        <v>238.5</v>
      </c>
      <c r="E657">
        <v>21.83</v>
      </c>
      <c r="F657">
        <v>-145.2</v>
      </c>
      <c r="G657">
        <v>238.5</v>
      </c>
      <c r="I657">
        <f t="shared" si="30"/>
        <v>21.8</v>
      </c>
      <c r="J657">
        <f t="shared" si="31"/>
        <v>4.80000000000001</v>
      </c>
      <c r="K657">
        <f t="shared" si="32"/>
        <v>5</v>
      </c>
    </row>
    <row r="658" spans="1:11">
      <c r="A658">
        <v>21.897</v>
      </c>
      <c r="B658">
        <v>-143.5</v>
      </c>
      <c r="C658">
        <v>238.5</v>
      </c>
      <c r="E658">
        <v>21.864</v>
      </c>
      <c r="F658">
        <v>-144.2</v>
      </c>
      <c r="G658">
        <v>238.5</v>
      </c>
      <c r="I658">
        <f t="shared" si="30"/>
        <v>21.85</v>
      </c>
      <c r="J658">
        <f t="shared" si="31"/>
        <v>5.80000000000001</v>
      </c>
      <c r="K658">
        <f t="shared" si="32"/>
        <v>5</v>
      </c>
    </row>
    <row r="659" spans="1:11">
      <c r="A659">
        <v>21.931</v>
      </c>
      <c r="B659">
        <v>-142.8</v>
      </c>
      <c r="C659">
        <v>238.5</v>
      </c>
      <c r="E659">
        <v>21.897</v>
      </c>
      <c r="F659">
        <v>-143.5</v>
      </c>
      <c r="G659">
        <v>238.5</v>
      </c>
      <c r="I659">
        <f t="shared" si="30"/>
        <v>21.85</v>
      </c>
      <c r="J659">
        <f t="shared" si="31"/>
        <v>6.5</v>
      </c>
      <c r="K659">
        <f t="shared" si="32"/>
        <v>5</v>
      </c>
    </row>
    <row r="660" spans="1:11">
      <c r="A660">
        <v>21.964</v>
      </c>
      <c r="B660">
        <v>-142.4</v>
      </c>
      <c r="C660">
        <v>238.5</v>
      </c>
      <c r="E660">
        <v>21.931</v>
      </c>
      <c r="F660">
        <v>-142.8</v>
      </c>
      <c r="G660">
        <v>238.5</v>
      </c>
      <c r="I660">
        <f t="shared" si="30"/>
        <v>21.9</v>
      </c>
      <c r="J660">
        <f t="shared" si="31"/>
        <v>7.19999999999999</v>
      </c>
      <c r="K660">
        <f t="shared" si="32"/>
        <v>5</v>
      </c>
    </row>
    <row r="661" spans="1:11">
      <c r="A661">
        <v>21.998</v>
      </c>
      <c r="B661">
        <v>-142.2</v>
      </c>
      <c r="C661">
        <v>238.5</v>
      </c>
      <c r="E661">
        <v>21.964</v>
      </c>
      <c r="F661">
        <v>-142.4</v>
      </c>
      <c r="G661">
        <v>238.5</v>
      </c>
      <c r="I661">
        <f t="shared" si="30"/>
        <v>21.95</v>
      </c>
      <c r="J661">
        <f t="shared" si="31"/>
        <v>7.59999999999999</v>
      </c>
      <c r="K661">
        <f t="shared" si="32"/>
        <v>5</v>
      </c>
    </row>
    <row r="662" spans="1:11">
      <c r="A662">
        <v>22.031</v>
      </c>
      <c r="B662">
        <v>-142.3</v>
      </c>
      <c r="C662">
        <v>238.5</v>
      </c>
      <c r="E662">
        <v>21.998</v>
      </c>
      <c r="F662">
        <v>-142.2</v>
      </c>
      <c r="G662">
        <v>238.5</v>
      </c>
      <c r="I662">
        <f t="shared" si="30"/>
        <v>21.95</v>
      </c>
      <c r="J662">
        <f t="shared" si="31"/>
        <v>7.80000000000001</v>
      </c>
      <c r="K662">
        <f t="shared" si="32"/>
        <v>5</v>
      </c>
    </row>
    <row r="663" spans="1:11">
      <c r="A663">
        <v>22.064</v>
      </c>
      <c r="B663">
        <v>-142.4</v>
      </c>
      <c r="C663">
        <v>238.4</v>
      </c>
      <c r="E663">
        <v>22.031</v>
      </c>
      <c r="F663">
        <v>-142.3</v>
      </c>
      <c r="G663">
        <v>238.5</v>
      </c>
      <c r="I663">
        <f t="shared" si="30"/>
        <v>22</v>
      </c>
      <c r="J663">
        <f t="shared" si="31"/>
        <v>7.69999999999999</v>
      </c>
      <c r="K663">
        <f t="shared" si="32"/>
        <v>5</v>
      </c>
    </row>
    <row r="664" spans="1:11">
      <c r="A664">
        <v>22.098</v>
      </c>
      <c r="B664">
        <v>-142.5</v>
      </c>
      <c r="C664">
        <v>238.4</v>
      </c>
      <c r="E664">
        <v>22.064</v>
      </c>
      <c r="F664">
        <v>-142.4</v>
      </c>
      <c r="G664">
        <v>238.4</v>
      </c>
      <c r="I664">
        <f t="shared" si="30"/>
        <v>22.05</v>
      </c>
      <c r="J664">
        <f t="shared" si="31"/>
        <v>7.59999999999999</v>
      </c>
      <c r="K664">
        <f t="shared" si="32"/>
        <v>5</v>
      </c>
    </row>
    <row r="665" spans="1:11">
      <c r="A665">
        <v>22.131</v>
      </c>
      <c r="B665">
        <v>-142.7</v>
      </c>
      <c r="C665">
        <v>238.4</v>
      </c>
      <c r="E665">
        <v>22.098</v>
      </c>
      <c r="F665">
        <v>-142.5</v>
      </c>
      <c r="G665">
        <v>238.4</v>
      </c>
      <c r="I665">
        <f t="shared" si="30"/>
        <v>22.05</v>
      </c>
      <c r="J665">
        <f t="shared" si="31"/>
        <v>7.5</v>
      </c>
      <c r="K665">
        <f t="shared" si="32"/>
        <v>5</v>
      </c>
    </row>
    <row r="666" spans="1:11">
      <c r="A666">
        <v>22.165</v>
      </c>
      <c r="B666">
        <v>-143.1</v>
      </c>
      <c r="C666">
        <v>238.4</v>
      </c>
      <c r="E666">
        <v>22.131</v>
      </c>
      <c r="F666">
        <v>-142.7</v>
      </c>
      <c r="G666">
        <v>238.4</v>
      </c>
      <c r="I666">
        <f t="shared" si="30"/>
        <v>22.1</v>
      </c>
      <c r="J666">
        <f t="shared" si="31"/>
        <v>7.30000000000001</v>
      </c>
      <c r="K666">
        <f t="shared" si="32"/>
        <v>5</v>
      </c>
    </row>
    <row r="667" spans="1:11">
      <c r="A667">
        <v>22.198</v>
      </c>
      <c r="B667">
        <v>-144.2</v>
      </c>
      <c r="C667">
        <v>238.4</v>
      </c>
      <c r="E667">
        <v>22.165</v>
      </c>
      <c r="F667">
        <v>-143.1</v>
      </c>
      <c r="G667">
        <v>238.4</v>
      </c>
      <c r="I667">
        <f t="shared" si="30"/>
        <v>22.15</v>
      </c>
      <c r="J667">
        <f t="shared" si="31"/>
        <v>6.90000000000001</v>
      </c>
      <c r="K667">
        <f t="shared" si="32"/>
        <v>5</v>
      </c>
    </row>
    <row r="668" spans="1:11">
      <c r="A668">
        <v>22.232</v>
      </c>
      <c r="B668">
        <v>-145.6</v>
      </c>
      <c r="C668">
        <v>238.4</v>
      </c>
      <c r="E668">
        <v>22.198</v>
      </c>
      <c r="F668">
        <v>-144.2</v>
      </c>
      <c r="G668">
        <v>238.4</v>
      </c>
      <c r="I668">
        <f t="shared" si="30"/>
        <v>22.15</v>
      </c>
      <c r="J668">
        <f t="shared" si="31"/>
        <v>5.80000000000001</v>
      </c>
      <c r="K668">
        <f t="shared" si="32"/>
        <v>5</v>
      </c>
    </row>
    <row r="669" spans="1:11">
      <c r="A669">
        <v>22.265</v>
      </c>
      <c r="B669">
        <v>-146.7</v>
      </c>
      <c r="C669">
        <v>238.4</v>
      </c>
      <c r="E669">
        <v>22.232</v>
      </c>
      <c r="F669">
        <v>-145.6</v>
      </c>
      <c r="G669">
        <v>238.4</v>
      </c>
      <c r="I669">
        <f t="shared" si="30"/>
        <v>22.2</v>
      </c>
      <c r="J669">
        <f t="shared" si="31"/>
        <v>4.40000000000001</v>
      </c>
      <c r="K669">
        <f t="shared" si="32"/>
        <v>5</v>
      </c>
    </row>
    <row r="670" spans="1:11">
      <c r="A670">
        <v>22.298</v>
      </c>
      <c r="B670">
        <v>-148.3</v>
      </c>
      <c r="C670">
        <v>238.4</v>
      </c>
      <c r="E670">
        <v>22.265</v>
      </c>
      <c r="F670">
        <v>-146.7</v>
      </c>
      <c r="G670">
        <v>238.4</v>
      </c>
      <c r="I670">
        <f t="shared" si="30"/>
        <v>22.25</v>
      </c>
      <c r="J670">
        <f t="shared" si="31"/>
        <v>3.30000000000001</v>
      </c>
      <c r="K670">
        <f t="shared" si="32"/>
        <v>5</v>
      </c>
    </row>
    <row r="671" spans="1:11">
      <c r="A671">
        <v>22.332</v>
      </c>
      <c r="B671">
        <v>-149.8</v>
      </c>
      <c r="C671">
        <v>238.4</v>
      </c>
      <c r="E671">
        <v>22.298</v>
      </c>
      <c r="F671">
        <v>-148.3</v>
      </c>
      <c r="G671">
        <v>238.4</v>
      </c>
      <c r="I671">
        <f t="shared" si="30"/>
        <v>22.25</v>
      </c>
      <c r="J671">
        <f t="shared" si="31"/>
        <v>1.69999999999999</v>
      </c>
      <c r="K671">
        <f t="shared" si="32"/>
        <v>5</v>
      </c>
    </row>
    <row r="672" spans="1:11">
      <c r="A672">
        <v>22.365</v>
      </c>
      <c r="B672">
        <v>-151.2</v>
      </c>
      <c r="C672">
        <v>238.4</v>
      </c>
      <c r="E672">
        <v>22.332</v>
      </c>
      <c r="F672">
        <v>-149.8</v>
      </c>
      <c r="G672">
        <v>238.4</v>
      </c>
      <c r="I672">
        <f t="shared" si="30"/>
        <v>22.3</v>
      </c>
      <c r="J672">
        <f t="shared" si="31"/>
        <v>0.199999999999989</v>
      </c>
      <c r="K672">
        <f t="shared" si="32"/>
        <v>5</v>
      </c>
    </row>
    <row r="673" spans="1:11">
      <c r="A673">
        <v>22.399</v>
      </c>
      <c r="B673">
        <v>-153</v>
      </c>
      <c r="C673">
        <v>238.4</v>
      </c>
      <c r="E673">
        <v>22.365</v>
      </c>
      <c r="F673">
        <v>-151.2</v>
      </c>
      <c r="G673">
        <v>238.4</v>
      </c>
      <c r="I673">
        <f t="shared" si="30"/>
        <v>22.35</v>
      </c>
      <c r="J673">
        <f t="shared" si="31"/>
        <v>-1.19999999999999</v>
      </c>
      <c r="K673">
        <f t="shared" si="32"/>
        <v>5</v>
      </c>
    </row>
    <row r="674" spans="1:11">
      <c r="A674">
        <v>22.432</v>
      </c>
      <c r="B674">
        <v>-154.4</v>
      </c>
      <c r="C674">
        <v>214.8</v>
      </c>
      <c r="E674">
        <v>22.399</v>
      </c>
      <c r="F674">
        <v>-153</v>
      </c>
      <c r="G674">
        <v>238.4</v>
      </c>
      <c r="I674">
        <f t="shared" si="30"/>
        <v>22.35</v>
      </c>
      <c r="J674">
        <f t="shared" si="31"/>
        <v>-3</v>
      </c>
      <c r="K674">
        <f t="shared" si="32"/>
        <v>5</v>
      </c>
    </row>
    <row r="675" spans="1:11">
      <c r="A675">
        <v>22.466</v>
      </c>
      <c r="B675">
        <v>-156</v>
      </c>
      <c r="C675">
        <v>218.9</v>
      </c>
      <c r="E675">
        <v>22.432</v>
      </c>
      <c r="F675">
        <v>-154.4</v>
      </c>
      <c r="G675">
        <v>214.8</v>
      </c>
      <c r="I675">
        <f t="shared" si="30"/>
        <v>22.4</v>
      </c>
      <c r="J675">
        <f t="shared" si="31"/>
        <v>-4.40000000000001</v>
      </c>
      <c r="K675">
        <f t="shared" si="32"/>
        <v>-5.5</v>
      </c>
    </row>
    <row r="676" spans="1:11">
      <c r="A676">
        <v>22.499</v>
      </c>
      <c r="B676">
        <v>-157.7</v>
      </c>
      <c r="C676">
        <v>217.9</v>
      </c>
      <c r="E676">
        <v>22.466</v>
      </c>
      <c r="F676">
        <v>-156</v>
      </c>
      <c r="G676">
        <v>218.9</v>
      </c>
      <c r="I676">
        <f t="shared" si="30"/>
        <v>22.45</v>
      </c>
      <c r="J676">
        <f t="shared" si="31"/>
        <v>-6</v>
      </c>
      <c r="K676">
        <f t="shared" si="32"/>
        <v>-5.5</v>
      </c>
    </row>
    <row r="677" spans="1:11">
      <c r="A677">
        <v>22.532</v>
      </c>
      <c r="B677">
        <v>-159.3</v>
      </c>
      <c r="C677">
        <v>216.2</v>
      </c>
      <c r="E677">
        <v>22.499</v>
      </c>
      <c r="F677">
        <v>-157.7</v>
      </c>
      <c r="G677">
        <v>217.9</v>
      </c>
      <c r="I677">
        <f t="shared" si="30"/>
        <v>22.45</v>
      </c>
      <c r="J677">
        <f t="shared" si="31"/>
        <v>-7.69999999999999</v>
      </c>
      <c r="K677">
        <f t="shared" si="32"/>
        <v>-5.5</v>
      </c>
    </row>
    <row r="678" spans="1:11">
      <c r="A678">
        <v>22.566</v>
      </c>
      <c r="B678">
        <v>-160.6</v>
      </c>
      <c r="C678">
        <v>213.8</v>
      </c>
      <c r="E678">
        <v>22.532</v>
      </c>
      <c r="F678">
        <v>-159.3</v>
      </c>
      <c r="G678">
        <v>216.2</v>
      </c>
      <c r="I678">
        <f t="shared" si="30"/>
        <v>22.5</v>
      </c>
      <c r="J678">
        <f t="shared" si="31"/>
        <v>-9.30000000000001</v>
      </c>
      <c r="K678">
        <f t="shared" si="32"/>
        <v>-5.5</v>
      </c>
    </row>
    <row r="679" spans="1:11">
      <c r="A679">
        <v>22.599</v>
      </c>
      <c r="B679">
        <v>-161.8</v>
      </c>
      <c r="C679">
        <v>212.8</v>
      </c>
      <c r="E679">
        <v>22.566</v>
      </c>
      <c r="F679">
        <v>-160.6</v>
      </c>
      <c r="G679">
        <v>213.8</v>
      </c>
      <c r="I679">
        <f t="shared" si="30"/>
        <v>22.55</v>
      </c>
      <c r="J679">
        <f t="shared" si="31"/>
        <v>-10.6</v>
      </c>
      <c r="K679">
        <f t="shared" si="32"/>
        <v>-5.5</v>
      </c>
    </row>
    <row r="680" spans="1:11">
      <c r="A680">
        <v>22.633</v>
      </c>
      <c r="B680">
        <v>-162.9</v>
      </c>
      <c r="C680">
        <v>212.3</v>
      </c>
      <c r="E680">
        <v>22.599</v>
      </c>
      <c r="F680">
        <v>-161.8</v>
      </c>
      <c r="G680">
        <v>212.8</v>
      </c>
      <c r="I680">
        <f t="shared" si="30"/>
        <v>22.55</v>
      </c>
      <c r="J680">
        <f t="shared" si="31"/>
        <v>-11.8</v>
      </c>
      <c r="K680">
        <f t="shared" si="32"/>
        <v>-5.5</v>
      </c>
    </row>
    <row r="681" spans="1:11">
      <c r="A681">
        <v>22.666</v>
      </c>
      <c r="B681">
        <v>-163.6</v>
      </c>
      <c r="C681">
        <v>211.1</v>
      </c>
      <c r="E681">
        <v>22.633</v>
      </c>
      <c r="F681">
        <v>-162.9</v>
      </c>
      <c r="G681">
        <v>212.3</v>
      </c>
      <c r="I681">
        <f t="shared" si="30"/>
        <v>22.6</v>
      </c>
      <c r="J681">
        <f t="shared" si="31"/>
        <v>-12.9</v>
      </c>
      <c r="K681">
        <f t="shared" si="32"/>
        <v>-5.5</v>
      </c>
    </row>
    <row r="682" spans="1:11">
      <c r="A682">
        <v>22.7</v>
      </c>
      <c r="B682">
        <v>-164.3</v>
      </c>
      <c r="C682">
        <v>209.7</v>
      </c>
      <c r="E682">
        <v>22.666</v>
      </c>
      <c r="F682">
        <v>-163.6</v>
      </c>
      <c r="G682">
        <v>211.1</v>
      </c>
      <c r="I682">
        <f t="shared" si="30"/>
        <v>22.65</v>
      </c>
      <c r="J682">
        <f t="shared" si="31"/>
        <v>-13.6</v>
      </c>
      <c r="K682">
        <f t="shared" si="32"/>
        <v>-5.5</v>
      </c>
    </row>
    <row r="683" spans="1:11">
      <c r="A683">
        <v>22.733</v>
      </c>
      <c r="B683">
        <v>-164.8</v>
      </c>
      <c r="C683">
        <v>208</v>
      </c>
      <c r="E683">
        <v>22.7</v>
      </c>
      <c r="F683">
        <v>-164.3</v>
      </c>
      <c r="G683">
        <v>209.7</v>
      </c>
      <c r="I683">
        <f t="shared" si="30"/>
        <v>22.7</v>
      </c>
      <c r="J683">
        <f t="shared" si="31"/>
        <v>-14.3</v>
      </c>
      <c r="K683">
        <f t="shared" si="32"/>
        <v>-5.5</v>
      </c>
    </row>
    <row r="684" spans="1:11">
      <c r="A684">
        <v>22.766</v>
      </c>
      <c r="B684">
        <v>-164.9</v>
      </c>
      <c r="C684">
        <v>206.6</v>
      </c>
      <c r="E684">
        <v>22.733</v>
      </c>
      <c r="F684">
        <v>-164.8</v>
      </c>
      <c r="G684">
        <v>208</v>
      </c>
      <c r="I684">
        <f t="shared" si="30"/>
        <v>22.7</v>
      </c>
      <c r="J684">
        <f t="shared" si="31"/>
        <v>-14.8</v>
      </c>
      <c r="K684">
        <f t="shared" si="32"/>
        <v>-5.5</v>
      </c>
    </row>
    <row r="685" spans="1:11">
      <c r="A685">
        <v>22.8</v>
      </c>
      <c r="B685">
        <v>-164.8</v>
      </c>
      <c r="C685">
        <v>205.9</v>
      </c>
      <c r="E685">
        <v>22.766</v>
      </c>
      <c r="F685">
        <v>-164.9</v>
      </c>
      <c r="G685">
        <v>206.6</v>
      </c>
      <c r="I685">
        <f t="shared" si="30"/>
        <v>22.75</v>
      </c>
      <c r="J685">
        <f t="shared" si="31"/>
        <v>-14.9</v>
      </c>
      <c r="K685">
        <f t="shared" si="32"/>
        <v>-5.5</v>
      </c>
    </row>
    <row r="686" spans="1:11">
      <c r="A686">
        <v>22.833</v>
      </c>
      <c r="B686">
        <v>-164.7</v>
      </c>
      <c r="C686">
        <v>204.1</v>
      </c>
      <c r="E686">
        <v>22.8</v>
      </c>
      <c r="F686">
        <v>-164.8</v>
      </c>
      <c r="G686">
        <v>205.9</v>
      </c>
      <c r="I686">
        <f t="shared" si="30"/>
        <v>22.8</v>
      </c>
      <c r="J686">
        <f t="shared" si="31"/>
        <v>-14.8</v>
      </c>
      <c r="K686">
        <f t="shared" si="32"/>
        <v>-5.5</v>
      </c>
    </row>
    <row r="687" spans="1:11">
      <c r="A687">
        <v>22.867</v>
      </c>
      <c r="B687">
        <v>-164.6</v>
      </c>
      <c r="C687">
        <v>203.6</v>
      </c>
      <c r="E687">
        <v>22.833</v>
      </c>
      <c r="F687">
        <v>-164.7</v>
      </c>
      <c r="G687">
        <v>204.1</v>
      </c>
      <c r="I687">
        <f t="shared" si="30"/>
        <v>22.8</v>
      </c>
      <c r="J687">
        <f t="shared" si="31"/>
        <v>-14.7</v>
      </c>
      <c r="K687">
        <f t="shared" si="32"/>
        <v>-5.5</v>
      </c>
    </row>
    <row r="688" spans="1:11">
      <c r="A688">
        <v>22.9</v>
      </c>
      <c r="B688">
        <v>-164.4</v>
      </c>
      <c r="C688">
        <v>201.8</v>
      </c>
      <c r="E688">
        <v>22.867</v>
      </c>
      <c r="F688">
        <v>-164.6</v>
      </c>
      <c r="G688">
        <v>203.6</v>
      </c>
      <c r="I688">
        <f t="shared" si="30"/>
        <v>22.85</v>
      </c>
      <c r="J688">
        <f t="shared" si="31"/>
        <v>-14.6</v>
      </c>
      <c r="K688">
        <f t="shared" si="32"/>
        <v>-5.5</v>
      </c>
    </row>
    <row r="689" spans="1:11">
      <c r="A689">
        <v>22.934</v>
      </c>
      <c r="B689">
        <v>-164.1</v>
      </c>
      <c r="C689">
        <v>200.9</v>
      </c>
      <c r="E689">
        <v>22.9</v>
      </c>
      <c r="F689">
        <v>-164.4</v>
      </c>
      <c r="G689">
        <v>201.8</v>
      </c>
      <c r="I689">
        <f t="shared" si="30"/>
        <v>22.9</v>
      </c>
      <c r="J689">
        <f t="shared" si="31"/>
        <v>-14.4</v>
      </c>
      <c r="K689">
        <f t="shared" si="32"/>
        <v>-5.5</v>
      </c>
    </row>
    <row r="690" spans="1:11">
      <c r="A690">
        <v>22.967</v>
      </c>
      <c r="B690">
        <v>-163.4</v>
      </c>
      <c r="C690">
        <v>199.5</v>
      </c>
      <c r="E690">
        <v>22.934</v>
      </c>
      <c r="F690">
        <v>-164.1</v>
      </c>
      <c r="G690">
        <v>200.9</v>
      </c>
      <c r="I690">
        <f t="shared" si="30"/>
        <v>22.9</v>
      </c>
      <c r="J690">
        <f t="shared" si="31"/>
        <v>-14.1</v>
      </c>
      <c r="K690">
        <f t="shared" si="32"/>
        <v>-5.5</v>
      </c>
    </row>
    <row r="691" spans="1:11">
      <c r="A691">
        <v>23</v>
      </c>
      <c r="B691">
        <v>-162.5</v>
      </c>
      <c r="C691">
        <v>197.8</v>
      </c>
      <c r="E691">
        <v>22.967</v>
      </c>
      <c r="F691">
        <v>-163.4</v>
      </c>
      <c r="G691">
        <v>199.5</v>
      </c>
      <c r="I691">
        <f t="shared" si="30"/>
        <v>22.95</v>
      </c>
      <c r="J691">
        <f t="shared" si="31"/>
        <v>-13.4</v>
      </c>
      <c r="K691">
        <f t="shared" si="32"/>
        <v>-5.5</v>
      </c>
    </row>
    <row r="692" spans="1:11">
      <c r="A692">
        <v>23.034</v>
      </c>
      <c r="B692">
        <v>-161.3</v>
      </c>
      <c r="C692">
        <v>197.6</v>
      </c>
      <c r="E692">
        <v>23</v>
      </c>
      <c r="F692">
        <v>-162.5</v>
      </c>
      <c r="G692">
        <v>197.8</v>
      </c>
      <c r="I692">
        <f t="shared" si="30"/>
        <v>23</v>
      </c>
      <c r="J692">
        <f t="shared" si="31"/>
        <v>-12.5</v>
      </c>
      <c r="K692">
        <f t="shared" si="32"/>
        <v>-5.5</v>
      </c>
    </row>
    <row r="693" spans="1:11">
      <c r="A693">
        <v>23.067</v>
      </c>
      <c r="B693">
        <v>-160.1</v>
      </c>
      <c r="C693">
        <v>196.5</v>
      </c>
      <c r="E693">
        <v>23.034</v>
      </c>
      <c r="F693">
        <v>-161.3</v>
      </c>
      <c r="G693">
        <v>197.6</v>
      </c>
      <c r="I693">
        <f t="shared" si="30"/>
        <v>23</v>
      </c>
      <c r="J693">
        <f t="shared" si="31"/>
        <v>-11.3</v>
      </c>
      <c r="K693">
        <f t="shared" si="32"/>
        <v>-5.5</v>
      </c>
    </row>
    <row r="694" spans="1:11">
      <c r="A694">
        <v>23.101</v>
      </c>
      <c r="B694">
        <v>-158.7</v>
      </c>
      <c r="C694">
        <v>195.8</v>
      </c>
      <c r="E694">
        <v>23.067</v>
      </c>
      <c r="F694">
        <v>-160.1</v>
      </c>
      <c r="G694">
        <v>196.5</v>
      </c>
      <c r="I694">
        <f t="shared" si="30"/>
        <v>23.05</v>
      </c>
      <c r="J694">
        <f t="shared" si="31"/>
        <v>-10.1</v>
      </c>
      <c r="K694">
        <f t="shared" si="32"/>
        <v>-5.5</v>
      </c>
    </row>
    <row r="695" spans="1:11">
      <c r="A695">
        <v>23.134</v>
      </c>
      <c r="B695">
        <v>-157.1</v>
      </c>
      <c r="C695">
        <v>194.8</v>
      </c>
      <c r="E695">
        <v>23.101</v>
      </c>
      <c r="F695">
        <v>-158.7</v>
      </c>
      <c r="G695">
        <v>195.8</v>
      </c>
      <c r="I695">
        <f t="shared" si="30"/>
        <v>23.1</v>
      </c>
      <c r="J695">
        <f t="shared" si="31"/>
        <v>-8.69999999999999</v>
      </c>
      <c r="K695">
        <f t="shared" si="32"/>
        <v>-5.5</v>
      </c>
    </row>
    <row r="696" spans="1:11">
      <c r="A696">
        <v>23.168</v>
      </c>
      <c r="B696">
        <v>-155.7</v>
      </c>
      <c r="C696">
        <v>194.3</v>
      </c>
      <c r="E696">
        <v>23.134</v>
      </c>
      <c r="F696">
        <v>-157.1</v>
      </c>
      <c r="G696">
        <v>194.8</v>
      </c>
      <c r="I696">
        <f t="shared" si="30"/>
        <v>23.1</v>
      </c>
      <c r="J696">
        <f t="shared" si="31"/>
        <v>-7.09999999999999</v>
      </c>
      <c r="K696">
        <f t="shared" si="32"/>
        <v>-5.5</v>
      </c>
    </row>
    <row r="697" spans="1:11">
      <c r="A697">
        <v>23.201</v>
      </c>
      <c r="B697">
        <v>-154.1</v>
      </c>
      <c r="C697">
        <v>238.4</v>
      </c>
      <c r="E697">
        <v>23.168</v>
      </c>
      <c r="F697">
        <v>-155.7</v>
      </c>
      <c r="G697">
        <v>194.3</v>
      </c>
      <c r="I697">
        <f t="shared" si="30"/>
        <v>23.15</v>
      </c>
      <c r="J697">
        <f t="shared" si="31"/>
        <v>-5.69999999999999</v>
      </c>
      <c r="K697">
        <f t="shared" si="32"/>
        <v>-5.5</v>
      </c>
    </row>
    <row r="698" spans="1:11">
      <c r="A698">
        <v>23.234</v>
      </c>
      <c r="B698">
        <v>-152.7</v>
      </c>
      <c r="C698">
        <v>238.4</v>
      </c>
      <c r="E698">
        <v>23.201</v>
      </c>
      <c r="F698">
        <v>-154.1</v>
      </c>
      <c r="G698">
        <v>238.4</v>
      </c>
      <c r="I698">
        <f t="shared" si="30"/>
        <v>23.2</v>
      </c>
      <c r="J698">
        <f t="shared" si="31"/>
        <v>-4.09999999999999</v>
      </c>
      <c r="K698">
        <f t="shared" si="32"/>
        <v>5</v>
      </c>
    </row>
    <row r="699" spans="1:11">
      <c r="A699">
        <v>23.268</v>
      </c>
      <c r="B699">
        <v>-151.2</v>
      </c>
      <c r="C699">
        <v>238.4</v>
      </c>
      <c r="E699">
        <v>23.234</v>
      </c>
      <c r="F699">
        <v>-152.7</v>
      </c>
      <c r="G699">
        <v>238.4</v>
      </c>
      <c r="I699">
        <f t="shared" si="30"/>
        <v>23.2</v>
      </c>
      <c r="J699">
        <f t="shared" si="31"/>
        <v>-2.69999999999999</v>
      </c>
      <c r="K699">
        <f t="shared" si="32"/>
        <v>5</v>
      </c>
    </row>
    <row r="700" spans="1:11">
      <c r="A700">
        <v>23.301</v>
      </c>
      <c r="B700">
        <v>-149.9</v>
      </c>
      <c r="C700">
        <v>238.4</v>
      </c>
      <c r="E700">
        <v>23.268</v>
      </c>
      <c r="F700">
        <v>-151.2</v>
      </c>
      <c r="G700">
        <v>238.4</v>
      </c>
      <c r="I700">
        <f t="shared" si="30"/>
        <v>23.25</v>
      </c>
      <c r="J700">
        <f t="shared" si="31"/>
        <v>-1.19999999999999</v>
      </c>
      <c r="K700">
        <f t="shared" si="32"/>
        <v>5</v>
      </c>
    </row>
    <row r="701" spans="1:11">
      <c r="A701">
        <v>23.335</v>
      </c>
      <c r="B701">
        <v>-148.3</v>
      </c>
      <c r="C701">
        <v>238.4</v>
      </c>
      <c r="E701">
        <v>23.301</v>
      </c>
      <c r="F701">
        <v>-149.9</v>
      </c>
      <c r="G701">
        <v>238.4</v>
      </c>
      <c r="I701">
        <f t="shared" si="30"/>
        <v>23.3</v>
      </c>
      <c r="J701">
        <f t="shared" si="31"/>
        <v>0.0999999999999943</v>
      </c>
      <c r="K701">
        <f t="shared" si="32"/>
        <v>5</v>
      </c>
    </row>
    <row r="702" spans="1:11">
      <c r="A702">
        <v>23.368</v>
      </c>
      <c r="B702">
        <v>-146.9</v>
      </c>
      <c r="C702">
        <v>238.4</v>
      </c>
      <c r="E702">
        <v>23.335</v>
      </c>
      <c r="F702">
        <v>-148.3</v>
      </c>
      <c r="G702">
        <v>238.4</v>
      </c>
      <c r="I702">
        <f t="shared" si="30"/>
        <v>23.3</v>
      </c>
      <c r="J702">
        <f t="shared" si="31"/>
        <v>1.69999999999999</v>
      </c>
      <c r="K702">
        <f t="shared" si="32"/>
        <v>5</v>
      </c>
    </row>
    <row r="703" spans="1:11">
      <c r="A703">
        <v>23.402</v>
      </c>
      <c r="B703">
        <v>-145.9</v>
      </c>
      <c r="C703">
        <v>238.4</v>
      </c>
      <c r="E703">
        <v>23.368</v>
      </c>
      <c r="F703">
        <v>-146.9</v>
      </c>
      <c r="G703">
        <v>238.4</v>
      </c>
      <c r="I703">
        <f t="shared" si="30"/>
        <v>23.35</v>
      </c>
      <c r="J703">
        <f t="shared" si="31"/>
        <v>3.09999999999999</v>
      </c>
      <c r="K703">
        <f t="shared" si="32"/>
        <v>5</v>
      </c>
    </row>
    <row r="704" spans="1:11">
      <c r="A704">
        <v>23.435</v>
      </c>
      <c r="B704">
        <v>-144.9</v>
      </c>
      <c r="C704">
        <v>238.4</v>
      </c>
      <c r="E704">
        <v>23.402</v>
      </c>
      <c r="F704">
        <v>-145.9</v>
      </c>
      <c r="G704">
        <v>238.4</v>
      </c>
      <c r="I704">
        <f t="shared" si="30"/>
        <v>23.4</v>
      </c>
      <c r="J704">
        <f t="shared" si="31"/>
        <v>4.09999999999999</v>
      </c>
      <c r="K704">
        <f t="shared" si="32"/>
        <v>5</v>
      </c>
    </row>
    <row r="705" spans="1:11">
      <c r="A705">
        <v>23.468</v>
      </c>
      <c r="B705">
        <v>-144.1</v>
      </c>
      <c r="C705">
        <v>238.4</v>
      </c>
      <c r="E705">
        <v>23.435</v>
      </c>
      <c r="F705">
        <v>-144.9</v>
      </c>
      <c r="G705">
        <v>238.4</v>
      </c>
      <c r="I705">
        <f t="shared" ref="I705:I768" si="33">FLOOR(E705,0.05)</f>
        <v>23.4</v>
      </c>
      <c r="J705">
        <f t="shared" si="31"/>
        <v>5.09999999999999</v>
      </c>
      <c r="K705">
        <f t="shared" si="32"/>
        <v>5</v>
      </c>
    </row>
    <row r="706" spans="1:11">
      <c r="A706">
        <v>23.502</v>
      </c>
      <c r="B706">
        <v>-143.6</v>
      </c>
      <c r="C706">
        <v>238.4</v>
      </c>
      <c r="E706">
        <v>23.468</v>
      </c>
      <c r="F706">
        <v>-144.1</v>
      </c>
      <c r="G706">
        <v>238.4</v>
      </c>
      <c r="I706">
        <f t="shared" si="33"/>
        <v>23.45</v>
      </c>
      <c r="J706">
        <f t="shared" si="31"/>
        <v>5.90000000000001</v>
      </c>
      <c r="K706">
        <f t="shared" si="32"/>
        <v>5</v>
      </c>
    </row>
    <row r="707" spans="1:11">
      <c r="A707">
        <v>23.535</v>
      </c>
      <c r="B707">
        <v>-143.3</v>
      </c>
      <c r="C707">
        <v>238.4</v>
      </c>
      <c r="E707">
        <v>23.502</v>
      </c>
      <c r="F707">
        <v>-143.6</v>
      </c>
      <c r="G707">
        <v>238.4</v>
      </c>
      <c r="I707">
        <f t="shared" si="33"/>
        <v>23.5</v>
      </c>
      <c r="J707">
        <f t="shared" si="31"/>
        <v>6.40000000000001</v>
      </c>
      <c r="K707">
        <f t="shared" si="32"/>
        <v>5</v>
      </c>
    </row>
    <row r="708" spans="1:11">
      <c r="A708">
        <v>23.569</v>
      </c>
      <c r="B708">
        <v>-143.2</v>
      </c>
      <c r="C708">
        <v>238.4</v>
      </c>
      <c r="E708">
        <v>23.535</v>
      </c>
      <c r="F708">
        <v>-143.3</v>
      </c>
      <c r="G708">
        <v>238.4</v>
      </c>
      <c r="I708">
        <f t="shared" si="33"/>
        <v>23.5</v>
      </c>
      <c r="J708">
        <f t="shared" si="31"/>
        <v>6.69999999999999</v>
      </c>
      <c r="K708">
        <f t="shared" si="32"/>
        <v>5</v>
      </c>
    </row>
    <row r="709" spans="1:11">
      <c r="A709">
        <v>23.602</v>
      </c>
      <c r="B709">
        <v>-143.3</v>
      </c>
      <c r="C709">
        <v>238.4</v>
      </c>
      <c r="E709">
        <v>23.569</v>
      </c>
      <c r="F709">
        <v>-143.2</v>
      </c>
      <c r="G709">
        <v>238.4</v>
      </c>
      <c r="I709">
        <f t="shared" si="33"/>
        <v>23.55</v>
      </c>
      <c r="J709">
        <f t="shared" ref="J709:J772" si="34">F709+150</f>
        <v>6.80000000000001</v>
      </c>
      <c r="K709">
        <f t="shared" ref="K709:K772" si="35">IF(G709&lt;230,-5.5,5)</f>
        <v>5</v>
      </c>
    </row>
    <row r="710" spans="1:11">
      <c r="A710">
        <v>23.636</v>
      </c>
      <c r="B710">
        <v>-143.4</v>
      </c>
      <c r="C710">
        <v>238.4</v>
      </c>
      <c r="E710">
        <v>23.602</v>
      </c>
      <c r="F710">
        <v>-143.3</v>
      </c>
      <c r="G710">
        <v>238.4</v>
      </c>
      <c r="I710">
        <f t="shared" si="33"/>
        <v>23.6</v>
      </c>
      <c r="J710">
        <f t="shared" si="34"/>
        <v>6.69999999999999</v>
      </c>
      <c r="K710">
        <f t="shared" si="35"/>
        <v>5</v>
      </c>
    </row>
    <row r="711" spans="1:11">
      <c r="A711">
        <v>23.669</v>
      </c>
      <c r="B711">
        <v>-143.5</v>
      </c>
      <c r="C711">
        <v>238.4</v>
      </c>
      <c r="E711">
        <v>23.636</v>
      </c>
      <c r="F711">
        <v>-143.4</v>
      </c>
      <c r="G711">
        <v>238.4</v>
      </c>
      <c r="I711">
        <f t="shared" si="33"/>
        <v>23.6</v>
      </c>
      <c r="J711">
        <f t="shared" si="34"/>
        <v>6.59999999999999</v>
      </c>
      <c r="K711">
        <f t="shared" si="35"/>
        <v>5</v>
      </c>
    </row>
    <row r="712" spans="1:11">
      <c r="A712">
        <v>23.702</v>
      </c>
      <c r="B712">
        <v>-143.7</v>
      </c>
      <c r="C712">
        <v>238.4</v>
      </c>
      <c r="E712">
        <v>23.669</v>
      </c>
      <c r="F712">
        <v>-143.5</v>
      </c>
      <c r="G712">
        <v>238.4</v>
      </c>
      <c r="I712">
        <f t="shared" si="33"/>
        <v>23.65</v>
      </c>
      <c r="J712">
        <f t="shared" si="34"/>
        <v>6.5</v>
      </c>
      <c r="K712">
        <f t="shared" si="35"/>
        <v>5</v>
      </c>
    </row>
    <row r="713" spans="1:11">
      <c r="A713">
        <v>23.736</v>
      </c>
      <c r="B713">
        <v>-144.2</v>
      </c>
      <c r="C713">
        <v>238.4</v>
      </c>
      <c r="E713">
        <v>23.702</v>
      </c>
      <c r="F713">
        <v>-143.7</v>
      </c>
      <c r="G713">
        <v>238.4</v>
      </c>
      <c r="I713">
        <f t="shared" si="33"/>
        <v>23.7</v>
      </c>
      <c r="J713">
        <f t="shared" si="34"/>
        <v>6.30000000000001</v>
      </c>
      <c r="K713">
        <f t="shared" si="35"/>
        <v>5</v>
      </c>
    </row>
    <row r="714" spans="1:11">
      <c r="A714">
        <v>23.769</v>
      </c>
      <c r="B714">
        <v>-145</v>
      </c>
      <c r="C714">
        <v>238.4</v>
      </c>
      <c r="E714">
        <v>23.736</v>
      </c>
      <c r="F714">
        <v>-144.2</v>
      </c>
      <c r="G714">
        <v>238.4</v>
      </c>
      <c r="I714">
        <f t="shared" si="33"/>
        <v>23.7</v>
      </c>
      <c r="J714">
        <f t="shared" si="34"/>
        <v>5.80000000000001</v>
      </c>
      <c r="K714">
        <f t="shared" si="35"/>
        <v>5</v>
      </c>
    </row>
    <row r="715" spans="1:11">
      <c r="A715">
        <v>23.803</v>
      </c>
      <c r="B715">
        <v>-146.3</v>
      </c>
      <c r="C715">
        <v>238.4</v>
      </c>
      <c r="E715">
        <v>23.769</v>
      </c>
      <c r="F715">
        <v>-145</v>
      </c>
      <c r="G715">
        <v>238.4</v>
      </c>
      <c r="I715">
        <f t="shared" si="33"/>
        <v>23.75</v>
      </c>
      <c r="J715">
        <f t="shared" si="34"/>
        <v>5</v>
      </c>
      <c r="K715">
        <f t="shared" si="35"/>
        <v>5</v>
      </c>
    </row>
    <row r="716" spans="1:11">
      <c r="A716">
        <v>23.836</v>
      </c>
      <c r="B716">
        <v>-147.4</v>
      </c>
      <c r="C716">
        <v>238.4</v>
      </c>
      <c r="E716">
        <v>23.803</v>
      </c>
      <c r="F716">
        <v>-146.3</v>
      </c>
      <c r="G716">
        <v>238.4</v>
      </c>
      <c r="I716">
        <f t="shared" si="33"/>
        <v>23.8</v>
      </c>
      <c r="J716">
        <f t="shared" si="34"/>
        <v>3.69999999999999</v>
      </c>
      <c r="K716">
        <f t="shared" si="35"/>
        <v>5</v>
      </c>
    </row>
    <row r="717" spans="1:11">
      <c r="A717">
        <v>23.87</v>
      </c>
      <c r="B717">
        <v>-149.1</v>
      </c>
      <c r="C717">
        <v>238.4</v>
      </c>
      <c r="E717">
        <v>23.836</v>
      </c>
      <c r="F717">
        <v>-147.4</v>
      </c>
      <c r="G717">
        <v>238.4</v>
      </c>
      <c r="I717">
        <f t="shared" si="33"/>
        <v>23.8</v>
      </c>
      <c r="J717">
        <f t="shared" si="34"/>
        <v>2.59999999999999</v>
      </c>
      <c r="K717">
        <f t="shared" si="35"/>
        <v>5</v>
      </c>
    </row>
    <row r="718" spans="1:11">
      <c r="A718">
        <v>23.903</v>
      </c>
      <c r="B718">
        <v>-150.5</v>
      </c>
      <c r="C718">
        <v>238.4</v>
      </c>
      <c r="E718">
        <v>23.87</v>
      </c>
      <c r="F718">
        <v>-149.1</v>
      </c>
      <c r="G718">
        <v>238.4</v>
      </c>
      <c r="I718">
        <f t="shared" si="33"/>
        <v>23.85</v>
      </c>
      <c r="J718">
        <f t="shared" si="34"/>
        <v>0.900000000000006</v>
      </c>
      <c r="K718">
        <f t="shared" si="35"/>
        <v>5</v>
      </c>
    </row>
    <row r="719" spans="1:11">
      <c r="A719">
        <v>23.937</v>
      </c>
      <c r="B719">
        <v>-151.8</v>
      </c>
      <c r="C719">
        <v>238.4</v>
      </c>
      <c r="E719">
        <v>23.903</v>
      </c>
      <c r="F719">
        <v>-150.5</v>
      </c>
      <c r="G719">
        <v>238.4</v>
      </c>
      <c r="I719">
        <f t="shared" si="33"/>
        <v>23.9</v>
      </c>
      <c r="J719">
        <f t="shared" si="34"/>
        <v>-0.5</v>
      </c>
      <c r="K719">
        <f t="shared" si="35"/>
        <v>5</v>
      </c>
    </row>
    <row r="720" spans="1:11">
      <c r="A720">
        <v>23.97</v>
      </c>
      <c r="B720">
        <v>-153.4</v>
      </c>
      <c r="C720">
        <v>238.4</v>
      </c>
      <c r="E720">
        <v>23.937</v>
      </c>
      <c r="F720">
        <v>-151.8</v>
      </c>
      <c r="G720">
        <v>238.4</v>
      </c>
      <c r="I720">
        <f t="shared" si="33"/>
        <v>23.9</v>
      </c>
      <c r="J720">
        <f t="shared" si="34"/>
        <v>-1.80000000000001</v>
      </c>
      <c r="K720">
        <f t="shared" si="35"/>
        <v>5</v>
      </c>
    </row>
    <row r="721" spans="1:11">
      <c r="A721">
        <v>24.003</v>
      </c>
      <c r="B721">
        <v>-155</v>
      </c>
      <c r="C721">
        <v>238.4</v>
      </c>
      <c r="E721">
        <v>23.97</v>
      </c>
      <c r="F721">
        <v>-153.4</v>
      </c>
      <c r="G721">
        <v>238.4</v>
      </c>
      <c r="I721">
        <f t="shared" si="33"/>
        <v>23.95</v>
      </c>
      <c r="J721">
        <f t="shared" si="34"/>
        <v>-3.40000000000001</v>
      </c>
      <c r="K721">
        <f t="shared" si="35"/>
        <v>5</v>
      </c>
    </row>
    <row r="722" spans="1:11">
      <c r="A722">
        <v>24.037</v>
      </c>
      <c r="B722">
        <v>-156.1</v>
      </c>
      <c r="C722">
        <v>216.9</v>
      </c>
      <c r="E722">
        <v>24.003</v>
      </c>
      <c r="F722">
        <v>-155</v>
      </c>
      <c r="G722">
        <v>238.4</v>
      </c>
      <c r="I722">
        <f t="shared" si="33"/>
        <v>24</v>
      </c>
      <c r="J722">
        <f t="shared" si="34"/>
        <v>-5</v>
      </c>
      <c r="K722">
        <f t="shared" si="35"/>
        <v>5</v>
      </c>
    </row>
    <row r="723" spans="1:11">
      <c r="A723">
        <v>24.07</v>
      </c>
      <c r="B723">
        <v>-157.7</v>
      </c>
      <c r="C723">
        <v>220.7</v>
      </c>
      <c r="E723">
        <v>24.037</v>
      </c>
      <c r="F723">
        <v>-156.1</v>
      </c>
      <c r="G723">
        <v>216.9</v>
      </c>
      <c r="I723">
        <f t="shared" si="33"/>
        <v>24</v>
      </c>
      <c r="J723">
        <f t="shared" si="34"/>
        <v>-6.09999999999999</v>
      </c>
      <c r="K723">
        <f t="shared" si="35"/>
        <v>-5.5</v>
      </c>
    </row>
    <row r="724" spans="1:11">
      <c r="A724">
        <v>24.104</v>
      </c>
      <c r="B724">
        <v>-159</v>
      </c>
      <c r="C724">
        <v>219.3</v>
      </c>
      <c r="E724">
        <v>24.07</v>
      </c>
      <c r="F724">
        <v>-157.7</v>
      </c>
      <c r="G724">
        <v>220.7</v>
      </c>
      <c r="I724">
        <f t="shared" si="33"/>
        <v>24.05</v>
      </c>
      <c r="J724">
        <f t="shared" si="34"/>
        <v>-7.69999999999999</v>
      </c>
      <c r="K724">
        <f t="shared" si="35"/>
        <v>-5.5</v>
      </c>
    </row>
    <row r="725" spans="1:11">
      <c r="A725">
        <v>24.137</v>
      </c>
      <c r="B725">
        <v>-160</v>
      </c>
      <c r="C725">
        <v>217.3</v>
      </c>
      <c r="E725">
        <v>24.104</v>
      </c>
      <c r="F725">
        <v>-159</v>
      </c>
      <c r="G725">
        <v>219.3</v>
      </c>
      <c r="I725">
        <f t="shared" si="33"/>
        <v>24.1</v>
      </c>
      <c r="J725">
        <f t="shared" si="34"/>
        <v>-9</v>
      </c>
      <c r="K725">
        <f t="shared" si="35"/>
        <v>-5.5</v>
      </c>
    </row>
    <row r="726" spans="1:11">
      <c r="A726">
        <v>24.171</v>
      </c>
      <c r="B726">
        <v>-161.3</v>
      </c>
      <c r="C726">
        <v>216.2</v>
      </c>
      <c r="E726">
        <v>24.137</v>
      </c>
      <c r="F726">
        <v>-160</v>
      </c>
      <c r="G726">
        <v>217.3</v>
      </c>
      <c r="I726">
        <f t="shared" si="33"/>
        <v>24.1</v>
      </c>
      <c r="J726">
        <f t="shared" si="34"/>
        <v>-10</v>
      </c>
      <c r="K726">
        <f t="shared" si="35"/>
        <v>-5.5</v>
      </c>
    </row>
    <row r="727" spans="1:11">
      <c r="A727">
        <v>24.204</v>
      </c>
      <c r="B727">
        <v>-162.3</v>
      </c>
      <c r="C727">
        <v>214.7</v>
      </c>
      <c r="E727">
        <v>24.171</v>
      </c>
      <c r="F727">
        <v>-161.3</v>
      </c>
      <c r="G727">
        <v>216.2</v>
      </c>
      <c r="I727">
        <f t="shared" si="33"/>
        <v>24.15</v>
      </c>
      <c r="J727">
        <f t="shared" si="34"/>
        <v>-11.3</v>
      </c>
      <c r="K727">
        <f t="shared" si="35"/>
        <v>-5.5</v>
      </c>
    </row>
    <row r="728" spans="1:11">
      <c r="A728">
        <v>24.237</v>
      </c>
      <c r="B728">
        <v>-163.1</v>
      </c>
      <c r="C728">
        <v>212.9</v>
      </c>
      <c r="E728">
        <v>24.204</v>
      </c>
      <c r="F728">
        <v>-162.3</v>
      </c>
      <c r="G728">
        <v>214.7</v>
      </c>
      <c r="I728">
        <f t="shared" si="33"/>
        <v>24.2</v>
      </c>
      <c r="J728">
        <f t="shared" si="34"/>
        <v>-12.3</v>
      </c>
      <c r="K728">
        <f t="shared" si="35"/>
        <v>-5.5</v>
      </c>
    </row>
    <row r="729" spans="1:11">
      <c r="A729">
        <v>24.271</v>
      </c>
      <c r="B729">
        <v>-163.8</v>
      </c>
      <c r="C729">
        <v>212</v>
      </c>
      <c r="E729">
        <v>24.237</v>
      </c>
      <c r="F729">
        <v>-163.1</v>
      </c>
      <c r="G729">
        <v>212.9</v>
      </c>
      <c r="I729">
        <f t="shared" si="33"/>
        <v>24.2</v>
      </c>
      <c r="J729">
        <f t="shared" si="34"/>
        <v>-13.1</v>
      </c>
      <c r="K729">
        <f t="shared" si="35"/>
        <v>-5.5</v>
      </c>
    </row>
    <row r="730" spans="1:11">
      <c r="A730">
        <v>24.304</v>
      </c>
      <c r="B730">
        <v>-164.1</v>
      </c>
      <c r="C730">
        <v>210.7</v>
      </c>
      <c r="E730">
        <v>24.271</v>
      </c>
      <c r="F730">
        <v>-163.8</v>
      </c>
      <c r="G730">
        <v>212</v>
      </c>
      <c r="I730">
        <f t="shared" si="33"/>
        <v>24.25</v>
      </c>
      <c r="J730">
        <f t="shared" si="34"/>
        <v>-13.8</v>
      </c>
      <c r="K730">
        <f t="shared" si="35"/>
        <v>-5.5</v>
      </c>
    </row>
    <row r="731" spans="1:11">
      <c r="A731">
        <v>24.338</v>
      </c>
      <c r="B731">
        <v>-164.6</v>
      </c>
      <c r="C731">
        <v>210.2</v>
      </c>
      <c r="E731">
        <v>24.304</v>
      </c>
      <c r="F731">
        <v>-164.1</v>
      </c>
      <c r="G731">
        <v>210.7</v>
      </c>
      <c r="I731">
        <f t="shared" si="33"/>
        <v>24.3</v>
      </c>
      <c r="J731">
        <f t="shared" si="34"/>
        <v>-14.1</v>
      </c>
      <c r="K731">
        <f t="shared" si="35"/>
        <v>-5.5</v>
      </c>
    </row>
    <row r="732" spans="1:11">
      <c r="A732">
        <v>24.371</v>
      </c>
      <c r="B732">
        <v>-164.6</v>
      </c>
      <c r="C732">
        <v>208</v>
      </c>
      <c r="E732">
        <v>24.338</v>
      </c>
      <c r="F732">
        <v>-164.6</v>
      </c>
      <c r="G732">
        <v>210.2</v>
      </c>
      <c r="I732">
        <f t="shared" si="33"/>
        <v>24.3</v>
      </c>
      <c r="J732">
        <f t="shared" si="34"/>
        <v>-14.6</v>
      </c>
      <c r="K732">
        <f t="shared" si="35"/>
        <v>-5.5</v>
      </c>
    </row>
    <row r="733" spans="1:11">
      <c r="A733">
        <v>24.405</v>
      </c>
      <c r="B733">
        <v>-164.5</v>
      </c>
      <c r="C733">
        <v>207</v>
      </c>
      <c r="E733">
        <v>24.371</v>
      </c>
      <c r="F733">
        <v>-164.6</v>
      </c>
      <c r="G733">
        <v>208</v>
      </c>
      <c r="I733">
        <f t="shared" si="33"/>
        <v>24.35</v>
      </c>
      <c r="J733">
        <f t="shared" si="34"/>
        <v>-14.6</v>
      </c>
      <c r="K733">
        <f t="shared" si="35"/>
        <v>-5.5</v>
      </c>
    </row>
    <row r="734" spans="1:11">
      <c r="A734">
        <v>24.438</v>
      </c>
      <c r="B734">
        <v>-164.4</v>
      </c>
      <c r="C734">
        <v>205.5</v>
      </c>
      <c r="E734">
        <v>24.405</v>
      </c>
      <c r="F734">
        <v>-164.5</v>
      </c>
      <c r="G734">
        <v>207</v>
      </c>
      <c r="I734">
        <f t="shared" si="33"/>
        <v>24.4</v>
      </c>
      <c r="J734">
        <f t="shared" si="34"/>
        <v>-14.5</v>
      </c>
      <c r="K734">
        <f t="shared" si="35"/>
        <v>-5.5</v>
      </c>
    </row>
    <row r="735" spans="1:11">
      <c r="A735">
        <v>24.471</v>
      </c>
      <c r="B735">
        <v>-164.2</v>
      </c>
      <c r="C735">
        <v>204.3</v>
      </c>
      <c r="E735">
        <v>24.438</v>
      </c>
      <c r="F735">
        <v>-164.4</v>
      </c>
      <c r="G735">
        <v>205.5</v>
      </c>
      <c r="I735">
        <f t="shared" si="33"/>
        <v>24.4</v>
      </c>
      <c r="J735">
        <f t="shared" si="34"/>
        <v>-14.4</v>
      </c>
      <c r="K735">
        <f t="shared" si="35"/>
        <v>-5.5</v>
      </c>
    </row>
    <row r="736" spans="1:11">
      <c r="A736">
        <v>24.505</v>
      </c>
      <c r="B736">
        <v>-163.9</v>
      </c>
      <c r="C736">
        <v>203.5</v>
      </c>
      <c r="E736">
        <v>24.471</v>
      </c>
      <c r="F736">
        <v>-164.2</v>
      </c>
      <c r="G736">
        <v>204.3</v>
      </c>
      <c r="I736">
        <f t="shared" si="33"/>
        <v>24.45</v>
      </c>
      <c r="J736">
        <f t="shared" si="34"/>
        <v>-14.2</v>
      </c>
      <c r="K736">
        <f t="shared" si="35"/>
        <v>-5.5</v>
      </c>
    </row>
    <row r="737" spans="1:11">
      <c r="A737">
        <v>24.538</v>
      </c>
      <c r="B737">
        <v>-163.1</v>
      </c>
      <c r="C737">
        <v>201.8</v>
      </c>
      <c r="E737">
        <v>24.505</v>
      </c>
      <c r="F737">
        <v>-163.9</v>
      </c>
      <c r="G737">
        <v>203.5</v>
      </c>
      <c r="I737">
        <f t="shared" si="33"/>
        <v>24.5</v>
      </c>
      <c r="J737">
        <f t="shared" si="34"/>
        <v>-13.9</v>
      </c>
      <c r="K737">
        <f t="shared" si="35"/>
        <v>-5.5</v>
      </c>
    </row>
    <row r="738" spans="1:11">
      <c r="A738">
        <v>24.572</v>
      </c>
      <c r="B738">
        <v>-162.4</v>
      </c>
      <c r="C738">
        <v>200.5</v>
      </c>
      <c r="E738">
        <v>24.538</v>
      </c>
      <c r="F738">
        <v>-163.1</v>
      </c>
      <c r="G738">
        <v>201.8</v>
      </c>
      <c r="I738">
        <f t="shared" si="33"/>
        <v>24.5</v>
      </c>
      <c r="J738">
        <f t="shared" si="34"/>
        <v>-13.1</v>
      </c>
      <c r="K738">
        <f t="shared" si="35"/>
        <v>-5.5</v>
      </c>
    </row>
    <row r="739" spans="1:11">
      <c r="A739">
        <v>24.605</v>
      </c>
      <c r="B739">
        <v>-161.2</v>
      </c>
      <c r="C739">
        <v>200.5</v>
      </c>
      <c r="E739">
        <v>24.572</v>
      </c>
      <c r="F739">
        <v>-162.4</v>
      </c>
      <c r="G739">
        <v>200.5</v>
      </c>
      <c r="I739">
        <f t="shared" si="33"/>
        <v>24.55</v>
      </c>
      <c r="J739">
        <f t="shared" si="34"/>
        <v>-12.4</v>
      </c>
      <c r="K739">
        <f t="shared" si="35"/>
        <v>-5.5</v>
      </c>
    </row>
    <row r="740" spans="1:11">
      <c r="A740">
        <v>24.639</v>
      </c>
      <c r="B740">
        <v>-160</v>
      </c>
      <c r="C740">
        <v>199.4</v>
      </c>
      <c r="E740">
        <v>24.605</v>
      </c>
      <c r="F740">
        <v>-161.2</v>
      </c>
      <c r="G740">
        <v>200.5</v>
      </c>
      <c r="I740">
        <f t="shared" si="33"/>
        <v>24.6</v>
      </c>
      <c r="J740">
        <f t="shared" si="34"/>
        <v>-11.2</v>
      </c>
      <c r="K740">
        <f t="shared" si="35"/>
        <v>-5.5</v>
      </c>
    </row>
    <row r="741" spans="1:11">
      <c r="A741">
        <v>24.672</v>
      </c>
      <c r="B741">
        <v>-158.5</v>
      </c>
      <c r="C741">
        <v>197.9</v>
      </c>
      <c r="E741">
        <v>24.639</v>
      </c>
      <c r="F741">
        <v>-160</v>
      </c>
      <c r="G741">
        <v>199.4</v>
      </c>
      <c r="I741">
        <f t="shared" si="33"/>
        <v>24.6</v>
      </c>
      <c r="J741">
        <f t="shared" si="34"/>
        <v>-10</v>
      </c>
      <c r="K741">
        <f t="shared" si="35"/>
        <v>-5.5</v>
      </c>
    </row>
    <row r="742" spans="1:11">
      <c r="A742">
        <v>24.705</v>
      </c>
      <c r="B742">
        <v>-157.2</v>
      </c>
      <c r="C742">
        <v>196.9</v>
      </c>
      <c r="E742">
        <v>24.672</v>
      </c>
      <c r="F742">
        <v>-158.5</v>
      </c>
      <c r="G742">
        <v>197.9</v>
      </c>
      <c r="I742">
        <f t="shared" si="33"/>
        <v>24.65</v>
      </c>
      <c r="J742">
        <f t="shared" si="34"/>
        <v>-8.5</v>
      </c>
      <c r="K742">
        <f t="shared" si="35"/>
        <v>-5.5</v>
      </c>
    </row>
    <row r="743" spans="1:11">
      <c r="A743">
        <v>24.739</v>
      </c>
      <c r="B743">
        <v>-155.8</v>
      </c>
      <c r="C743">
        <v>195.6</v>
      </c>
      <c r="E743">
        <v>24.705</v>
      </c>
      <c r="F743">
        <v>-157.2</v>
      </c>
      <c r="G743">
        <v>196.9</v>
      </c>
      <c r="I743">
        <f t="shared" si="33"/>
        <v>24.7</v>
      </c>
      <c r="J743">
        <f t="shared" si="34"/>
        <v>-7.19999999999999</v>
      </c>
      <c r="K743">
        <f t="shared" si="35"/>
        <v>-5.5</v>
      </c>
    </row>
    <row r="744" spans="1:11">
      <c r="A744">
        <v>24.772</v>
      </c>
      <c r="B744">
        <v>-154.5</v>
      </c>
      <c r="C744">
        <v>195.2</v>
      </c>
      <c r="E744">
        <v>24.739</v>
      </c>
      <c r="F744">
        <v>-155.8</v>
      </c>
      <c r="G744">
        <v>195.6</v>
      </c>
      <c r="I744">
        <f t="shared" si="33"/>
        <v>24.7</v>
      </c>
      <c r="J744">
        <f t="shared" si="34"/>
        <v>-5.80000000000001</v>
      </c>
      <c r="K744">
        <f t="shared" si="35"/>
        <v>-5.5</v>
      </c>
    </row>
    <row r="745" spans="1:11">
      <c r="A745">
        <v>24.806</v>
      </c>
      <c r="B745">
        <v>-153.1</v>
      </c>
      <c r="C745">
        <v>238.3</v>
      </c>
      <c r="E745">
        <v>24.772</v>
      </c>
      <c r="F745">
        <v>-154.5</v>
      </c>
      <c r="G745">
        <v>195.2</v>
      </c>
      <c r="I745">
        <f t="shared" si="33"/>
        <v>24.75</v>
      </c>
      <c r="J745">
        <f t="shared" si="34"/>
        <v>-4.5</v>
      </c>
      <c r="K745">
        <f t="shared" si="35"/>
        <v>-5.5</v>
      </c>
    </row>
    <row r="746" spans="1:11">
      <c r="A746">
        <v>24.839</v>
      </c>
      <c r="B746">
        <v>-151.9</v>
      </c>
      <c r="C746">
        <v>238.4</v>
      </c>
      <c r="E746">
        <v>24.806</v>
      </c>
      <c r="F746">
        <v>-153.1</v>
      </c>
      <c r="G746">
        <v>238.3</v>
      </c>
      <c r="I746">
        <f t="shared" si="33"/>
        <v>24.8</v>
      </c>
      <c r="J746">
        <f t="shared" si="34"/>
        <v>-3.09999999999999</v>
      </c>
      <c r="K746">
        <f t="shared" si="35"/>
        <v>5</v>
      </c>
    </row>
    <row r="747" spans="1:11">
      <c r="A747">
        <v>24.873</v>
      </c>
      <c r="B747">
        <v>-150.4</v>
      </c>
      <c r="C747">
        <v>238.4</v>
      </c>
      <c r="E747">
        <v>24.839</v>
      </c>
      <c r="F747">
        <v>-151.9</v>
      </c>
      <c r="G747">
        <v>238.4</v>
      </c>
      <c r="I747">
        <f t="shared" si="33"/>
        <v>24.8</v>
      </c>
      <c r="J747">
        <f t="shared" si="34"/>
        <v>-1.90000000000001</v>
      </c>
      <c r="K747">
        <f t="shared" si="35"/>
        <v>5</v>
      </c>
    </row>
    <row r="748" spans="1:11">
      <c r="A748">
        <v>24.906</v>
      </c>
      <c r="B748">
        <v>-149.2</v>
      </c>
      <c r="C748">
        <v>238.4</v>
      </c>
      <c r="E748">
        <v>24.873</v>
      </c>
      <c r="F748">
        <v>-150.4</v>
      </c>
      <c r="G748">
        <v>238.4</v>
      </c>
      <c r="I748">
        <f t="shared" si="33"/>
        <v>24.85</v>
      </c>
      <c r="J748">
        <f t="shared" si="34"/>
        <v>-0.400000000000006</v>
      </c>
      <c r="K748">
        <f t="shared" si="35"/>
        <v>5</v>
      </c>
    </row>
    <row r="749" spans="1:11">
      <c r="A749">
        <v>24.939</v>
      </c>
      <c r="B749">
        <v>-147.9</v>
      </c>
      <c r="C749">
        <v>238.4</v>
      </c>
      <c r="E749">
        <v>24.906</v>
      </c>
      <c r="F749">
        <v>-149.2</v>
      </c>
      <c r="G749">
        <v>238.4</v>
      </c>
      <c r="I749">
        <f t="shared" si="33"/>
        <v>24.9</v>
      </c>
      <c r="J749">
        <f t="shared" si="34"/>
        <v>0.800000000000011</v>
      </c>
      <c r="K749">
        <f t="shared" si="35"/>
        <v>5</v>
      </c>
    </row>
    <row r="750" spans="1:11">
      <c r="A750">
        <v>24.973</v>
      </c>
      <c r="B750">
        <v>-147</v>
      </c>
      <c r="C750">
        <v>238.4</v>
      </c>
      <c r="E750">
        <v>24.939</v>
      </c>
      <c r="F750">
        <v>-147.9</v>
      </c>
      <c r="G750">
        <v>238.4</v>
      </c>
      <c r="I750">
        <f t="shared" si="33"/>
        <v>24.9</v>
      </c>
      <c r="J750">
        <f t="shared" si="34"/>
        <v>2.09999999999999</v>
      </c>
      <c r="K750">
        <f t="shared" si="35"/>
        <v>5</v>
      </c>
    </row>
    <row r="751" spans="1:11">
      <c r="A751">
        <v>25.006</v>
      </c>
      <c r="B751">
        <v>-146.1</v>
      </c>
      <c r="C751">
        <v>238.4</v>
      </c>
      <c r="E751">
        <v>24.973</v>
      </c>
      <c r="F751">
        <v>-147</v>
      </c>
      <c r="G751">
        <v>238.4</v>
      </c>
      <c r="I751">
        <f t="shared" si="33"/>
        <v>24.95</v>
      </c>
      <c r="J751">
        <f t="shared" si="34"/>
        <v>3</v>
      </c>
      <c r="K751">
        <f t="shared" si="35"/>
        <v>5</v>
      </c>
    </row>
    <row r="752" spans="1:11">
      <c r="A752">
        <v>25.04</v>
      </c>
      <c r="B752">
        <v>-145.6</v>
      </c>
      <c r="C752">
        <v>238.4</v>
      </c>
      <c r="E752">
        <v>25.006</v>
      </c>
      <c r="F752">
        <v>-146.1</v>
      </c>
      <c r="G752">
        <v>238.4</v>
      </c>
      <c r="I752">
        <f t="shared" si="33"/>
        <v>25</v>
      </c>
      <c r="J752">
        <f t="shared" si="34"/>
        <v>3.90000000000001</v>
      </c>
      <c r="K752">
        <f t="shared" si="35"/>
        <v>5</v>
      </c>
    </row>
    <row r="753" spans="1:11">
      <c r="A753">
        <v>25.073</v>
      </c>
      <c r="B753">
        <v>-145.1</v>
      </c>
      <c r="C753">
        <v>238.4</v>
      </c>
      <c r="E753">
        <v>25.04</v>
      </c>
      <c r="F753">
        <v>-145.6</v>
      </c>
      <c r="G753">
        <v>238.4</v>
      </c>
      <c r="I753">
        <f t="shared" si="33"/>
        <v>25</v>
      </c>
      <c r="J753">
        <f t="shared" si="34"/>
        <v>4.40000000000001</v>
      </c>
      <c r="K753">
        <f t="shared" si="35"/>
        <v>5</v>
      </c>
    </row>
    <row r="754" spans="1:11">
      <c r="A754">
        <v>25.107</v>
      </c>
      <c r="B754">
        <v>-144.9</v>
      </c>
      <c r="C754">
        <v>238.4</v>
      </c>
      <c r="E754">
        <v>25.073</v>
      </c>
      <c r="F754">
        <v>-145.1</v>
      </c>
      <c r="G754">
        <v>238.4</v>
      </c>
      <c r="I754">
        <f t="shared" si="33"/>
        <v>25.05</v>
      </c>
      <c r="J754">
        <f t="shared" si="34"/>
        <v>4.90000000000001</v>
      </c>
      <c r="K754">
        <f t="shared" si="35"/>
        <v>5</v>
      </c>
    </row>
    <row r="755" spans="1:11">
      <c r="A755">
        <v>25.14</v>
      </c>
      <c r="B755">
        <v>-144.5</v>
      </c>
      <c r="C755">
        <v>238.4</v>
      </c>
      <c r="E755">
        <v>25.107</v>
      </c>
      <c r="F755">
        <v>-144.9</v>
      </c>
      <c r="G755">
        <v>238.4</v>
      </c>
      <c r="I755">
        <f t="shared" si="33"/>
        <v>25.1</v>
      </c>
      <c r="J755">
        <f t="shared" si="34"/>
        <v>5.09999999999999</v>
      </c>
      <c r="K755">
        <f t="shared" si="35"/>
        <v>5</v>
      </c>
    </row>
    <row r="756" spans="1:11">
      <c r="A756">
        <v>25.173</v>
      </c>
      <c r="B756">
        <v>-144.5</v>
      </c>
      <c r="C756">
        <v>238.4</v>
      </c>
      <c r="E756">
        <v>25.14</v>
      </c>
      <c r="F756">
        <v>-144.5</v>
      </c>
      <c r="G756">
        <v>238.4</v>
      </c>
      <c r="I756">
        <f t="shared" si="33"/>
        <v>25.1</v>
      </c>
      <c r="J756">
        <f t="shared" si="34"/>
        <v>5.5</v>
      </c>
      <c r="K756">
        <f t="shared" si="35"/>
        <v>5</v>
      </c>
    </row>
    <row r="757" spans="1:11">
      <c r="A757">
        <v>25.207</v>
      </c>
      <c r="B757">
        <v>-144.6</v>
      </c>
      <c r="C757">
        <v>238.4</v>
      </c>
      <c r="E757">
        <v>25.173</v>
      </c>
      <c r="F757">
        <v>-144.5</v>
      </c>
      <c r="G757">
        <v>238.4</v>
      </c>
      <c r="I757">
        <f t="shared" si="33"/>
        <v>25.15</v>
      </c>
      <c r="J757">
        <f t="shared" si="34"/>
        <v>5.5</v>
      </c>
      <c r="K757">
        <f t="shared" si="35"/>
        <v>5</v>
      </c>
    </row>
    <row r="758" spans="1:11">
      <c r="A758">
        <v>25.24</v>
      </c>
      <c r="B758">
        <v>-144.7</v>
      </c>
      <c r="C758">
        <v>238.4</v>
      </c>
      <c r="E758">
        <v>25.207</v>
      </c>
      <c r="F758">
        <v>-144.6</v>
      </c>
      <c r="G758">
        <v>238.4</v>
      </c>
      <c r="I758">
        <f t="shared" si="33"/>
        <v>25.2</v>
      </c>
      <c r="J758">
        <f t="shared" si="34"/>
        <v>5.40000000000001</v>
      </c>
      <c r="K758">
        <f t="shared" si="35"/>
        <v>5</v>
      </c>
    </row>
    <row r="759" spans="1:11">
      <c r="A759">
        <v>25.274</v>
      </c>
      <c r="B759">
        <v>-144.9</v>
      </c>
      <c r="C759">
        <v>238.4</v>
      </c>
      <c r="E759">
        <v>25.24</v>
      </c>
      <c r="F759">
        <v>-144.7</v>
      </c>
      <c r="G759">
        <v>238.4</v>
      </c>
      <c r="I759">
        <f t="shared" si="33"/>
        <v>25.2</v>
      </c>
      <c r="J759">
        <f t="shared" si="34"/>
        <v>5.30000000000001</v>
      </c>
      <c r="K759">
        <f t="shared" si="35"/>
        <v>5</v>
      </c>
    </row>
    <row r="760" spans="1:11">
      <c r="A760">
        <v>25.307</v>
      </c>
      <c r="B760">
        <v>-145.3</v>
      </c>
      <c r="C760">
        <v>238.4</v>
      </c>
      <c r="E760">
        <v>25.274</v>
      </c>
      <c r="F760">
        <v>-144.9</v>
      </c>
      <c r="G760">
        <v>238.4</v>
      </c>
      <c r="I760">
        <f t="shared" si="33"/>
        <v>25.25</v>
      </c>
      <c r="J760">
        <f t="shared" si="34"/>
        <v>5.09999999999999</v>
      </c>
      <c r="K760">
        <f t="shared" si="35"/>
        <v>5</v>
      </c>
    </row>
    <row r="761" spans="1:11">
      <c r="A761">
        <v>25.341</v>
      </c>
      <c r="B761">
        <v>-146.1</v>
      </c>
      <c r="C761">
        <v>238.4</v>
      </c>
      <c r="E761">
        <v>25.307</v>
      </c>
      <c r="F761">
        <v>-145.3</v>
      </c>
      <c r="G761">
        <v>238.4</v>
      </c>
      <c r="I761">
        <f t="shared" si="33"/>
        <v>25.3</v>
      </c>
      <c r="J761">
        <f t="shared" si="34"/>
        <v>4.69999999999999</v>
      </c>
      <c r="K761">
        <f t="shared" si="35"/>
        <v>5</v>
      </c>
    </row>
    <row r="762" spans="1:11">
      <c r="A762">
        <v>25.374</v>
      </c>
      <c r="B762">
        <v>-147</v>
      </c>
      <c r="C762">
        <v>238.4</v>
      </c>
      <c r="E762">
        <v>25.341</v>
      </c>
      <c r="F762">
        <v>-146.1</v>
      </c>
      <c r="G762">
        <v>238.4</v>
      </c>
      <c r="I762">
        <f t="shared" si="33"/>
        <v>25.3</v>
      </c>
      <c r="J762">
        <f t="shared" si="34"/>
        <v>3.90000000000001</v>
      </c>
      <c r="K762">
        <f t="shared" si="35"/>
        <v>5</v>
      </c>
    </row>
    <row r="763" spans="1:11">
      <c r="A763">
        <v>25.407</v>
      </c>
      <c r="B763">
        <v>-148.3</v>
      </c>
      <c r="C763">
        <v>238.4</v>
      </c>
      <c r="E763">
        <v>25.374</v>
      </c>
      <c r="F763">
        <v>-147</v>
      </c>
      <c r="G763">
        <v>238.4</v>
      </c>
      <c r="I763">
        <f t="shared" si="33"/>
        <v>25.35</v>
      </c>
      <c r="J763">
        <f t="shared" si="34"/>
        <v>3</v>
      </c>
      <c r="K763">
        <f t="shared" si="35"/>
        <v>5</v>
      </c>
    </row>
    <row r="764" spans="1:11">
      <c r="A764">
        <v>25.441</v>
      </c>
      <c r="B764">
        <v>-149.8</v>
      </c>
      <c r="C764">
        <v>238.4</v>
      </c>
      <c r="E764">
        <v>25.407</v>
      </c>
      <c r="F764">
        <v>-148.3</v>
      </c>
      <c r="G764">
        <v>238.4</v>
      </c>
      <c r="I764">
        <f t="shared" si="33"/>
        <v>25.4</v>
      </c>
      <c r="J764">
        <f t="shared" si="34"/>
        <v>1.69999999999999</v>
      </c>
      <c r="K764">
        <f t="shared" si="35"/>
        <v>5</v>
      </c>
    </row>
    <row r="765" spans="1:11">
      <c r="A765">
        <v>25.474</v>
      </c>
      <c r="B765">
        <v>-150.7</v>
      </c>
      <c r="C765">
        <v>238.4</v>
      </c>
      <c r="E765">
        <v>25.441</v>
      </c>
      <c r="F765">
        <v>-149.8</v>
      </c>
      <c r="G765">
        <v>238.4</v>
      </c>
      <c r="I765">
        <f t="shared" si="33"/>
        <v>25.4</v>
      </c>
      <c r="J765">
        <f t="shared" si="34"/>
        <v>0.199999999999989</v>
      </c>
      <c r="K765">
        <f t="shared" si="35"/>
        <v>5</v>
      </c>
    </row>
    <row r="766" spans="1:11">
      <c r="A766">
        <v>25.508</v>
      </c>
      <c r="B766">
        <v>-152</v>
      </c>
      <c r="C766">
        <v>238.4</v>
      </c>
      <c r="E766">
        <v>25.474</v>
      </c>
      <c r="F766">
        <v>-150.7</v>
      </c>
      <c r="G766">
        <v>238.4</v>
      </c>
      <c r="I766">
        <f t="shared" si="33"/>
        <v>25.45</v>
      </c>
      <c r="J766">
        <f t="shared" si="34"/>
        <v>-0.699999999999989</v>
      </c>
      <c r="K766">
        <f t="shared" si="35"/>
        <v>5</v>
      </c>
    </row>
    <row r="767" spans="1:11">
      <c r="A767">
        <v>25.541</v>
      </c>
      <c r="B767">
        <v>-153.6</v>
      </c>
      <c r="C767">
        <v>238.4</v>
      </c>
      <c r="E767">
        <v>25.508</v>
      </c>
      <c r="F767">
        <v>-152</v>
      </c>
      <c r="G767">
        <v>238.4</v>
      </c>
      <c r="I767">
        <f t="shared" si="33"/>
        <v>25.5</v>
      </c>
      <c r="J767">
        <f t="shared" si="34"/>
        <v>-2</v>
      </c>
      <c r="K767">
        <f t="shared" si="35"/>
        <v>5</v>
      </c>
    </row>
    <row r="768" spans="1:11">
      <c r="A768">
        <v>25.575</v>
      </c>
      <c r="B768">
        <v>-154.8</v>
      </c>
      <c r="C768">
        <v>238.4</v>
      </c>
      <c r="E768">
        <v>25.541</v>
      </c>
      <c r="F768">
        <v>-153.6</v>
      </c>
      <c r="G768">
        <v>238.4</v>
      </c>
      <c r="I768">
        <f t="shared" si="33"/>
        <v>25.5</v>
      </c>
      <c r="J768">
        <f t="shared" si="34"/>
        <v>-3.59999999999999</v>
      </c>
      <c r="K768">
        <f t="shared" si="35"/>
        <v>5</v>
      </c>
    </row>
    <row r="769" spans="1:11">
      <c r="A769">
        <v>25.608</v>
      </c>
      <c r="B769">
        <v>-156</v>
      </c>
      <c r="C769">
        <v>238.4</v>
      </c>
      <c r="E769">
        <v>25.575</v>
      </c>
      <c r="F769">
        <v>-154.8</v>
      </c>
      <c r="G769">
        <v>238.4</v>
      </c>
      <c r="I769">
        <f t="shared" ref="I769:I832" si="36">FLOOR(E769,0.05)</f>
        <v>25.55</v>
      </c>
      <c r="J769">
        <f t="shared" si="34"/>
        <v>-4.80000000000001</v>
      </c>
      <c r="K769">
        <f t="shared" si="35"/>
        <v>5</v>
      </c>
    </row>
    <row r="770" spans="1:11">
      <c r="A770">
        <v>25.641</v>
      </c>
      <c r="B770">
        <v>-157.3</v>
      </c>
      <c r="C770">
        <v>238.4</v>
      </c>
      <c r="E770">
        <v>25.608</v>
      </c>
      <c r="F770">
        <v>-156</v>
      </c>
      <c r="G770">
        <v>238.4</v>
      </c>
      <c r="I770">
        <f t="shared" si="36"/>
        <v>25.6</v>
      </c>
      <c r="J770">
        <f t="shared" si="34"/>
        <v>-6</v>
      </c>
      <c r="K770">
        <f t="shared" si="35"/>
        <v>5</v>
      </c>
    </row>
    <row r="771" spans="1:11">
      <c r="A771">
        <v>25.675</v>
      </c>
      <c r="B771">
        <v>-158.5</v>
      </c>
      <c r="C771">
        <v>218</v>
      </c>
      <c r="E771">
        <v>25.641</v>
      </c>
      <c r="F771">
        <v>-157.3</v>
      </c>
      <c r="G771">
        <v>238.4</v>
      </c>
      <c r="I771">
        <f t="shared" si="36"/>
        <v>25.6</v>
      </c>
      <c r="J771">
        <f t="shared" si="34"/>
        <v>-7.30000000000001</v>
      </c>
      <c r="K771">
        <f t="shared" si="35"/>
        <v>5</v>
      </c>
    </row>
    <row r="772" spans="1:11">
      <c r="A772">
        <v>25.708</v>
      </c>
      <c r="B772">
        <v>-159.5</v>
      </c>
      <c r="C772">
        <v>220.7</v>
      </c>
      <c r="E772">
        <v>25.675</v>
      </c>
      <c r="F772">
        <v>-158.5</v>
      </c>
      <c r="G772">
        <v>218</v>
      </c>
      <c r="I772">
        <f t="shared" si="36"/>
        <v>25.65</v>
      </c>
      <c r="J772">
        <f t="shared" si="34"/>
        <v>-8.5</v>
      </c>
      <c r="K772">
        <f t="shared" si="35"/>
        <v>-5.5</v>
      </c>
    </row>
    <row r="773" spans="1:11">
      <c r="A773">
        <v>25.742</v>
      </c>
      <c r="B773">
        <v>-160.5</v>
      </c>
      <c r="C773">
        <v>219.8</v>
      </c>
      <c r="E773">
        <v>25.708</v>
      </c>
      <c r="F773">
        <v>-159.5</v>
      </c>
      <c r="G773">
        <v>220.7</v>
      </c>
      <c r="I773">
        <f t="shared" si="36"/>
        <v>25.7</v>
      </c>
      <c r="J773">
        <f t="shared" ref="J773:J836" si="37">F773+150</f>
        <v>-9.5</v>
      </c>
      <c r="K773">
        <f t="shared" ref="K773:K836" si="38">IF(G773&lt;230,-5.5,5)</f>
        <v>-5.5</v>
      </c>
    </row>
    <row r="774" spans="1:11">
      <c r="A774">
        <v>25.775</v>
      </c>
      <c r="B774">
        <v>-161.4</v>
      </c>
      <c r="C774">
        <v>218.1</v>
      </c>
      <c r="E774">
        <v>25.742</v>
      </c>
      <c r="F774">
        <v>-160.5</v>
      </c>
      <c r="G774">
        <v>219.8</v>
      </c>
      <c r="I774">
        <f t="shared" si="36"/>
        <v>25.7</v>
      </c>
      <c r="J774">
        <f t="shared" si="37"/>
        <v>-10.5</v>
      </c>
      <c r="K774">
        <f t="shared" si="38"/>
        <v>-5.5</v>
      </c>
    </row>
    <row r="775" spans="1:11">
      <c r="A775">
        <v>25.809</v>
      </c>
      <c r="B775">
        <v>-162.1</v>
      </c>
      <c r="C775">
        <v>217.2</v>
      </c>
      <c r="E775">
        <v>25.775</v>
      </c>
      <c r="F775">
        <v>-161.4</v>
      </c>
      <c r="G775">
        <v>218.1</v>
      </c>
      <c r="I775">
        <f t="shared" si="36"/>
        <v>25.75</v>
      </c>
      <c r="J775">
        <f t="shared" si="37"/>
        <v>-11.4</v>
      </c>
      <c r="K775">
        <f t="shared" si="38"/>
        <v>-5.5</v>
      </c>
    </row>
    <row r="776" spans="1:11">
      <c r="A776">
        <v>25.842</v>
      </c>
      <c r="B776">
        <v>-162.8</v>
      </c>
      <c r="C776">
        <v>216.3</v>
      </c>
      <c r="E776">
        <v>25.809</v>
      </c>
      <c r="F776">
        <v>-162.1</v>
      </c>
      <c r="G776">
        <v>217.2</v>
      </c>
      <c r="I776">
        <f t="shared" si="36"/>
        <v>25.8</v>
      </c>
      <c r="J776">
        <f t="shared" si="37"/>
        <v>-12.1</v>
      </c>
      <c r="K776">
        <f t="shared" si="38"/>
        <v>-5.5</v>
      </c>
    </row>
    <row r="777" spans="1:11">
      <c r="A777">
        <v>25.875</v>
      </c>
      <c r="B777">
        <v>-163</v>
      </c>
      <c r="C777">
        <v>214.7</v>
      </c>
      <c r="E777">
        <v>25.842</v>
      </c>
      <c r="F777">
        <v>-162.8</v>
      </c>
      <c r="G777">
        <v>216.3</v>
      </c>
      <c r="I777">
        <f t="shared" si="36"/>
        <v>25.8</v>
      </c>
      <c r="J777">
        <f t="shared" si="37"/>
        <v>-12.8</v>
      </c>
      <c r="K777">
        <f t="shared" si="38"/>
        <v>-5.5</v>
      </c>
    </row>
    <row r="778" spans="1:11">
      <c r="A778">
        <v>25.909</v>
      </c>
      <c r="B778">
        <v>-163.5</v>
      </c>
      <c r="C778">
        <v>212.6</v>
      </c>
      <c r="E778">
        <v>25.875</v>
      </c>
      <c r="F778">
        <v>-163</v>
      </c>
      <c r="G778">
        <v>214.7</v>
      </c>
      <c r="I778">
        <f t="shared" si="36"/>
        <v>25.85</v>
      </c>
      <c r="J778">
        <f t="shared" si="37"/>
        <v>-13</v>
      </c>
      <c r="K778">
        <f t="shared" si="38"/>
        <v>-5.5</v>
      </c>
    </row>
    <row r="779" spans="1:11">
      <c r="A779">
        <v>25.942</v>
      </c>
      <c r="B779">
        <v>-163.5</v>
      </c>
      <c r="C779">
        <v>212</v>
      </c>
      <c r="E779">
        <v>25.909</v>
      </c>
      <c r="F779">
        <v>-163.5</v>
      </c>
      <c r="G779">
        <v>212.6</v>
      </c>
      <c r="I779">
        <f t="shared" si="36"/>
        <v>25.9</v>
      </c>
      <c r="J779">
        <f t="shared" si="37"/>
        <v>-13.5</v>
      </c>
      <c r="K779">
        <f t="shared" si="38"/>
        <v>-5.5</v>
      </c>
    </row>
    <row r="780" spans="1:11">
      <c r="A780">
        <v>25.976</v>
      </c>
      <c r="B780">
        <v>-163.5</v>
      </c>
      <c r="C780">
        <v>210.7</v>
      </c>
      <c r="E780">
        <v>25.942</v>
      </c>
      <c r="F780">
        <v>-163.5</v>
      </c>
      <c r="G780">
        <v>212</v>
      </c>
      <c r="I780">
        <f t="shared" si="36"/>
        <v>25.9</v>
      </c>
      <c r="J780">
        <f t="shared" si="37"/>
        <v>-13.5</v>
      </c>
      <c r="K780">
        <f t="shared" si="38"/>
        <v>-5.5</v>
      </c>
    </row>
    <row r="781" spans="1:11">
      <c r="A781">
        <v>26.009</v>
      </c>
      <c r="B781">
        <v>-163.4</v>
      </c>
      <c r="C781">
        <v>209.8</v>
      </c>
      <c r="E781">
        <v>25.976</v>
      </c>
      <c r="F781">
        <v>-163.5</v>
      </c>
      <c r="G781">
        <v>210.7</v>
      </c>
      <c r="I781">
        <f t="shared" si="36"/>
        <v>25.95</v>
      </c>
      <c r="J781">
        <f t="shared" si="37"/>
        <v>-13.5</v>
      </c>
      <c r="K781">
        <f t="shared" si="38"/>
        <v>-5.5</v>
      </c>
    </row>
    <row r="782" spans="1:11">
      <c r="A782">
        <v>26.043</v>
      </c>
      <c r="B782">
        <v>-163.2</v>
      </c>
      <c r="C782">
        <v>208.7</v>
      </c>
      <c r="E782">
        <v>26.009</v>
      </c>
      <c r="F782">
        <v>-163.4</v>
      </c>
      <c r="G782">
        <v>209.8</v>
      </c>
      <c r="I782">
        <f t="shared" si="36"/>
        <v>26</v>
      </c>
      <c r="J782">
        <f t="shared" si="37"/>
        <v>-13.4</v>
      </c>
      <c r="K782">
        <f t="shared" si="38"/>
        <v>-5.5</v>
      </c>
    </row>
    <row r="783" spans="1:11">
      <c r="A783">
        <v>26.076</v>
      </c>
      <c r="B783">
        <v>-162.9</v>
      </c>
      <c r="C783">
        <v>208.2</v>
      </c>
      <c r="E783">
        <v>26.043</v>
      </c>
      <c r="F783">
        <v>-163.2</v>
      </c>
      <c r="G783">
        <v>208.7</v>
      </c>
      <c r="I783">
        <f t="shared" si="36"/>
        <v>26</v>
      </c>
      <c r="J783">
        <f t="shared" si="37"/>
        <v>-13.2</v>
      </c>
      <c r="K783">
        <f t="shared" si="38"/>
        <v>-5.5</v>
      </c>
    </row>
    <row r="784" spans="1:11">
      <c r="A784">
        <v>26.11</v>
      </c>
      <c r="B784">
        <v>-162.3</v>
      </c>
      <c r="C784">
        <v>206.2</v>
      </c>
      <c r="E784">
        <v>26.076</v>
      </c>
      <c r="F784">
        <v>-162.9</v>
      </c>
      <c r="G784">
        <v>208.2</v>
      </c>
      <c r="I784">
        <f t="shared" si="36"/>
        <v>26.05</v>
      </c>
      <c r="J784">
        <f t="shared" si="37"/>
        <v>-12.9</v>
      </c>
      <c r="K784">
        <f t="shared" si="38"/>
        <v>-5.5</v>
      </c>
    </row>
    <row r="785" spans="1:11">
      <c r="A785">
        <v>26.143</v>
      </c>
      <c r="B785">
        <v>-161.6</v>
      </c>
      <c r="C785">
        <v>205.1</v>
      </c>
      <c r="E785">
        <v>26.11</v>
      </c>
      <c r="F785">
        <v>-162.3</v>
      </c>
      <c r="G785">
        <v>206.2</v>
      </c>
      <c r="I785">
        <f t="shared" si="36"/>
        <v>26.1</v>
      </c>
      <c r="J785">
        <f t="shared" si="37"/>
        <v>-12.3</v>
      </c>
      <c r="K785">
        <f t="shared" si="38"/>
        <v>-5.5</v>
      </c>
    </row>
    <row r="786" spans="1:11">
      <c r="A786">
        <v>26.176</v>
      </c>
      <c r="B786">
        <v>-160.5</v>
      </c>
      <c r="C786">
        <v>203</v>
      </c>
      <c r="E786">
        <v>26.143</v>
      </c>
      <c r="F786">
        <v>-161.6</v>
      </c>
      <c r="G786">
        <v>205.1</v>
      </c>
      <c r="I786">
        <f t="shared" si="36"/>
        <v>26.1</v>
      </c>
      <c r="J786">
        <f t="shared" si="37"/>
        <v>-11.6</v>
      </c>
      <c r="K786">
        <f t="shared" si="38"/>
        <v>-5.5</v>
      </c>
    </row>
    <row r="787" spans="1:11">
      <c r="A787">
        <v>26.21</v>
      </c>
      <c r="B787">
        <v>-159.3</v>
      </c>
      <c r="C787">
        <v>201.9</v>
      </c>
      <c r="E787">
        <v>26.176</v>
      </c>
      <c r="F787">
        <v>-160.5</v>
      </c>
      <c r="G787">
        <v>203</v>
      </c>
      <c r="I787">
        <f t="shared" si="36"/>
        <v>26.15</v>
      </c>
      <c r="J787">
        <f t="shared" si="37"/>
        <v>-10.5</v>
      </c>
      <c r="K787">
        <f t="shared" si="38"/>
        <v>-5.5</v>
      </c>
    </row>
    <row r="788" spans="1:11">
      <c r="A788">
        <v>26.243</v>
      </c>
      <c r="B788">
        <v>-158.3</v>
      </c>
      <c r="C788">
        <v>201</v>
      </c>
      <c r="E788">
        <v>26.21</v>
      </c>
      <c r="F788">
        <v>-159.3</v>
      </c>
      <c r="G788">
        <v>201.9</v>
      </c>
      <c r="I788">
        <f t="shared" si="36"/>
        <v>26.2</v>
      </c>
      <c r="J788">
        <f t="shared" si="37"/>
        <v>-9.30000000000001</v>
      </c>
      <c r="K788">
        <f t="shared" si="38"/>
        <v>-5.5</v>
      </c>
    </row>
    <row r="789" spans="1:11">
      <c r="A789">
        <v>26.277</v>
      </c>
      <c r="B789">
        <v>-157</v>
      </c>
      <c r="C789">
        <v>200.1</v>
      </c>
      <c r="E789">
        <v>26.243</v>
      </c>
      <c r="F789">
        <v>-158.3</v>
      </c>
      <c r="G789">
        <v>201</v>
      </c>
      <c r="I789">
        <f t="shared" si="36"/>
        <v>26.2</v>
      </c>
      <c r="J789">
        <f t="shared" si="37"/>
        <v>-8.30000000000001</v>
      </c>
      <c r="K789">
        <f t="shared" si="38"/>
        <v>-5.5</v>
      </c>
    </row>
    <row r="790" spans="1:11">
      <c r="A790">
        <v>26.31</v>
      </c>
      <c r="B790">
        <v>-156</v>
      </c>
      <c r="C790">
        <v>198.6</v>
      </c>
      <c r="E790">
        <v>26.277</v>
      </c>
      <c r="F790">
        <v>-157</v>
      </c>
      <c r="G790">
        <v>200.1</v>
      </c>
      <c r="I790">
        <f t="shared" si="36"/>
        <v>26.25</v>
      </c>
      <c r="J790">
        <f t="shared" si="37"/>
        <v>-7</v>
      </c>
      <c r="K790">
        <f t="shared" si="38"/>
        <v>-5.5</v>
      </c>
    </row>
    <row r="791" spans="1:11">
      <c r="A791">
        <v>26.344</v>
      </c>
      <c r="B791">
        <v>-154.9</v>
      </c>
      <c r="C791">
        <v>197.8</v>
      </c>
      <c r="E791">
        <v>26.31</v>
      </c>
      <c r="F791">
        <v>-156</v>
      </c>
      <c r="G791">
        <v>198.6</v>
      </c>
      <c r="I791">
        <f t="shared" si="36"/>
        <v>26.3</v>
      </c>
      <c r="J791">
        <f t="shared" si="37"/>
        <v>-6</v>
      </c>
      <c r="K791">
        <f t="shared" si="38"/>
        <v>-5.5</v>
      </c>
    </row>
    <row r="792" spans="1:11">
      <c r="A792">
        <v>26.377</v>
      </c>
      <c r="B792">
        <v>-153.5</v>
      </c>
      <c r="C792">
        <v>197</v>
      </c>
      <c r="E792">
        <v>26.344</v>
      </c>
      <c r="F792">
        <v>-154.9</v>
      </c>
      <c r="G792">
        <v>197.8</v>
      </c>
      <c r="I792">
        <f t="shared" si="36"/>
        <v>26.3</v>
      </c>
      <c r="J792">
        <f t="shared" si="37"/>
        <v>-4.90000000000001</v>
      </c>
      <c r="K792">
        <f t="shared" si="38"/>
        <v>-5.5</v>
      </c>
    </row>
    <row r="793" spans="1:11">
      <c r="A793">
        <v>26.41</v>
      </c>
      <c r="B793">
        <v>-152.4</v>
      </c>
      <c r="C793">
        <v>195.8</v>
      </c>
      <c r="E793">
        <v>26.377</v>
      </c>
      <c r="F793">
        <v>-153.5</v>
      </c>
      <c r="G793">
        <v>197</v>
      </c>
      <c r="I793">
        <f t="shared" si="36"/>
        <v>26.35</v>
      </c>
      <c r="J793">
        <f t="shared" si="37"/>
        <v>-3.5</v>
      </c>
      <c r="K793">
        <f t="shared" si="38"/>
        <v>-5.5</v>
      </c>
    </row>
    <row r="794" spans="1:11">
      <c r="A794">
        <v>26.444</v>
      </c>
      <c r="B794">
        <v>-151.3</v>
      </c>
      <c r="C794">
        <v>238.4</v>
      </c>
      <c r="E794">
        <v>26.41</v>
      </c>
      <c r="F794">
        <v>-152.4</v>
      </c>
      <c r="G794">
        <v>195.8</v>
      </c>
      <c r="I794">
        <f t="shared" si="36"/>
        <v>26.4</v>
      </c>
      <c r="J794">
        <f t="shared" si="37"/>
        <v>-2.40000000000001</v>
      </c>
      <c r="K794">
        <f t="shared" si="38"/>
        <v>-5.5</v>
      </c>
    </row>
    <row r="795" spans="1:11">
      <c r="A795">
        <v>26.477</v>
      </c>
      <c r="B795">
        <v>-150.4</v>
      </c>
      <c r="C795">
        <v>238.4</v>
      </c>
      <c r="E795">
        <v>26.444</v>
      </c>
      <c r="F795">
        <v>-151.3</v>
      </c>
      <c r="G795">
        <v>238.4</v>
      </c>
      <c r="I795">
        <f t="shared" si="36"/>
        <v>26.4</v>
      </c>
      <c r="J795">
        <f t="shared" si="37"/>
        <v>-1.30000000000001</v>
      </c>
      <c r="K795">
        <f t="shared" si="38"/>
        <v>5</v>
      </c>
    </row>
    <row r="796" spans="1:11">
      <c r="A796">
        <v>26.511</v>
      </c>
      <c r="B796">
        <v>-149.4</v>
      </c>
      <c r="C796">
        <v>238.4</v>
      </c>
      <c r="E796">
        <v>26.477</v>
      </c>
      <c r="F796">
        <v>-150.4</v>
      </c>
      <c r="G796">
        <v>238.4</v>
      </c>
      <c r="I796">
        <f t="shared" si="36"/>
        <v>26.45</v>
      </c>
      <c r="J796">
        <f t="shared" si="37"/>
        <v>-0.400000000000006</v>
      </c>
      <c r="K796">
        <f t="shared" si="38"/>
        <v>5</v>
      </c>
    </row>
    <row r="797" spans="1:11">
      <c r="A797">
        <v>26.544</v>
      </c>
      <c r="B797">
        <v>-148.6</v>
      </c>
      <c r="C797">
        <v>238.4</v>
      </c>
      <c r="E797">
        <v>26.511</v>
      </c>
      <c r="F797">
        <v>-149.4</v>
      </c>
      <c r="G797">
        <v>238.4</v>
      </c>
      <c r="I797">
        <f t="shared" si="36"/>
        <v>26.5</v>
      </c>
      <c r="J797">
        <f t="shared" si="37"/>
        <v>0.599999999999994</v>
      </c>
      <c r="K797">
        <f t="shared" si="38"/>
        <v>5</v>
      </c>
    </row>
    <row r="798" spans="1:11">
      <c r="A798">
        <v>26.578</v>
      </c>
      <c r="B798">
        <v>-147.7</v>
      </c>
      <c r="C798">
        <v>238.4</v>
      </c>
      <c r="E798">
        <v>26.544</v>
      </c>
      <c r="F798">
        <v>-148.6</v>
      </c>
      <c r="G798">
        <v>238.4</v>
      </c>
      <c r="I798">
        <f t="shared" si="36"/>
        <v>26.5</v>
      </c>
      <c r="J798">
        <f t="shared" si="37"/>
        <v>1.40000000000001</v>
      </c>
      <c r="K798">
        <f t="shared" si="38"/>
        <v>5</v>
      </c>
    </row>
    <row r="799" spans="1:11">
      <c r="A799">
        <v>26.611</v>
      </c>
      <c r="B799">
        <v>-147.2</v>
      </c>
      <c r="C799">
        <v>238.4</v>
      </c>
      <c r="E799">
        <v>26.578</v>
      </c>
      <c r="F799">
        <v>-147.7</v>
      </c>
      <c r="G799">
        <v>238.4</v>
      </c>
      <c r="I799">
        <f t="shared" si="36"/>
        <v>26.55</v>
      </c>
      <c r="J799">
        <f t="shared" si="37"/>
        <v>2.30000000000001</v>
      </c>
      <c r="K799">
        <f t="shared" si="38"/>
        <v>5</v>
      </c>
    </row>
    <row r="800" spans="1:11">
      <c r="A800">
        <v>26.644</v>
      </c>
      <c r="B800">
        <v>-147</v>
      </c>
      <c r="C800">
        <v>238.4</v>
      </c>
      <c r="E800">
        <v>26.611</v>
      </c>
      <c r="F800">
        <v>-147.2</v>
      </c>
      <c r="G800">
        <v>238.4</v>
      </c>
      <c r="I800">
        <f t="shared" si="36"/>
        <v>26.6</v>
      </c>
      <c r="J800">
        <f t="shared" si="37"/>
        <v>2.80000000000001</v>
      </c>
      <c r="K800">
        <f t="shared" si="38"/>
        <v>5</v>
      </c>
    </row>
    <row r="801" spans="1:11">
      <c r="A801">
        <v>26.678</v>
      </c>
      <c r="B801">
        <v>-147</v>
      </c>
      <c r="C801">
        <v>238.4</v>
      </c>
      <c r="E801">
        <v>26.644</v>
      </c>
      <c r="F801">
        <v>-147</v>
      </c>
      <c r="G801">
        <v>238.4</v>
      </c>
      <c r="I801">
        <f t="shared" si="36"/>
        <v>26.6</v>
      </c>
      <c r="J801">
        <f t="shared" si="37"/>
        <v>3</v>
      </c>
      <c r="K801">
        <f t="shared" si="38"/>
        <v>5</v>
      </c>
    </row>
    <row r="802" spans="1:11">
      <c r="A802">
        <v>26.711</v>
      </c>
      <c r="B802">
        <v>-146.6</v>
      </c>
      <c r="C802">
        <v>238.4</v>
      </c>
      <c r="E802">
        <v>26.678</v>
      </c>
      <c r="F802">
        <v>-147</v>
      </c>
      <c r="G802">
        <v>238.4</v>
      </c>
      <c r="I802">
        <f t="shared" si="36"/>
        <v>26.65</v>
      </c>
      <c r="J802">
        <f t="shared" si="37"/>
        <v>3</v>
      </c>
      <c r="K802">
        <f t="shared" si="38"/>
        <v>5</v>
      </c>
    </row>
    <row r="803" spans="1:11">
      <c r="A803">
        <v>26.745</v>
      </c>
      <c r="B803">
        <v>-146.6</v>
      </c>
      <c r="C803">
        <v>238.4</v>
      </c>
      <c r="E803">
        <v>26.711</v>
      </c>
      <c r="F803">
        <v>-146.6</v>
      </c>
      <c r="G803">
        <v>238.4</v>
      </c>
      <c r="I803">
        <f t="shared" si="36"/>
        <v>26.7</v>
      </c>
      <c r="J803">
        <f t="shared" si="37"/>
        <v>3.40000000000001</v>
      </c>
      <c r="K803">
        <f t="shared" si="38"/>
        <v>5</v>
      </c>
    </row>
    <row r="804" spans="1:11">
      <c r="A804">
        <v>26.778</v>
      </c>
      <c r="B804">
        <v>-146.6</v>
      </c>
      <c r="C804">
        <v>238.4</v>
      </c>
      <c r="E804">
        <v>26.745</v>
      </c>
      <c r="F804">
        <v>-146.6</v>
      </c>
      <c r="G804">
        <v>238.4</v>
      </c>
      <c r="I804">
        <f t="shared" si="36"/>
        <v>26.7</v>
      </c>
      <c r="J804">
        <f t="shared" si="37"/>
        <v>3.40000000000001</v>
      </c>
      <c r="K804">
        <f t="shared" si="38"/>
        <v>5</v>
      </c>
    </row>
    <row r="805" spans="1:11">
      <c r="A805">
        <v>26.812</v>
      </c>
      <c r="B805">
        <v>-146.7</v>
      </c>
      <c r="C805">
        <v>238.4</v>
      </c>
      <c r="E805">
        <v>26.778</v>
      </c>
      <c r="F805">
        <v>-146.6</v>
      </c>
      <c r="G805">
        <v>238.4</v>
      </c>
      <c r="I805">
        <f t="shared" si="36"/>
        <v>26.75</v>
      </c>
      <c r="J805">
        <f t="shared" si="37"/>
        <v>3.40000000000001</v>
      </c>
      <c r="K805">
        <f t="shared" si="38"/>
        <v>5</v>
      </c>
    </row>
    <row r="806" spans="1:11">
      <c r="A806">
        <v>26.845</v>
      </c>
      <c r="B806">
        <v>-146.8</v>
      </c>
      <c r="C806">
        <v>238.4</v>
      </c>
      <c r="E806">
        <v>26.812</v>
      </c>
      <c r="F806">
        <v>-146.7</v>
      </c>
      <c r="G806">
        <v>238.4</v>
      </c>
      <c r="I806">
        <f t="shared" si="36"/>
        <v>26.8</v>
      </c>
      <c r="J806">
        <f t="shared" si="37"/>
        <v>3.30000000000001</v>
      </c>
      <c r="K806">
        <f t="shared" si="38"/>
        <v>5</v>
      </c>
    </row>
    <row r="807" spans="1:11">
      <c r="A807">
        <v>26.878</v>
      </c>
      <c r="B807">
        <v>-147</v>
      </c>
      <c r="C807">
        <v>238.4</v>
      </c>
      <c r="E807">
        <v>26.845</v>
      </c>
      <c r="F807">
        <v>-146.8</v>
      </c>
      <c r="G807">
        <v>238.4</v>
      </c>
      <c r="I807">
        <f t="shared" si="36"/>
        <v>26.8</v>
      </c>
      <c r="J807">
        <f t="shared" si="37"/>
        <v>3.19999999999999</v>
      </c>
      <c r="K807">
        <f t="shared" si="38"/>
        <v>5</v>
      </c>
    </row>
    <row r="808" spans="1:11">
      <c r="A808">
        <v>26.912</v>
      </c>
      <c r="B808">
        <v>-147.7</v>
      </c>
      <c r="C808">
        <v>238.4</v>
      </c>
      <c r="E808">
        <v>26.878</v>
      </c>
      <c r="F808">
        <v>-147</v>
      </c>
      <c r="G808">
        <v>238.4</v>
      </c>
      <c r="I808">
        <f t="shared" si="36"/>
        <v>26.85</v>
      </c>
      <c r="J808">
        <f t="shared" si="37"/>
        <v>3</v>
      </c>
      <c r="K808">
        <f t="shared" si="38"/>
        <v>5</v>
      </c>
    </row>
    <row r="809" spans="1:11">
      <c r="A809">
        <v>26.945</v>
      </c>
      <c r="B809">
        <v>-148.5</v>
      </c>
      <c r="C809">
        <v>238.4</v>
      </c>
      <c r="E809">
        <v>26.912</v>
      </c>
      <c r="F809">
        <v>-147.7</v>
      </c>
      <c r="G809">
        <v>238.4</v>
      </c>
      <c r="I809">
        <f t="shared" si="36"/>
        <v>26.9</v>
      </c>
      <c r="J809">
        <f t="shared" si="37"/>
        <v>2.30000000000001</v>
      </c>
      <c r="K809">
        <f t="shared" si="38"/>
        <v>5</v>
      </c>
    </row>
    <row r="810" spans="1:11">
      <c r="A810">
        <v>26.979</v>
      </c>
      <c r="B810">
        <v>-149.8</v>
      </c>
      <c r="C810">
        <v>238.4</v>
      </c>
      <c r="E810">
        <v>26.945</v>
      </c>
      <c r="F810">
        <v>-148.5</v>
      </c>
      <c r="G810">
        <v>238.4</v>
      </c>
      <c r="I810">
        <f t="shared" si="36"/>
        <v>26.9</v>
      </c>
      <c r="J810">
        <f t="shared" si="37"/>
        <v>1.5</v>
      </c>
      <c r="K810">
        <f t="shared" si="38"/>
        <v>5</v>
      </c>
    </row>
    <row r="811" spans="1:11">
      <c r="A811">
        <v>27.012</v>
      </c>
      <c r="B811">
        <v>-150.7</v>
      </c>
      <c r="C811">
        <v>238.4</v>
      </c>
      <c r="E811">
        <v>26.979</v>
      </c>
      <c r="F811">
        <v>-149.8</v>
      </c>
      <c r="G811">
        <v>238.4</v>
      </c>
      <c r="I811">
        <f t="shared" si="36"/>
        <v>26.95</v>
      </c>
      <c r="J811">
        <f t="shared" si="37"/>
        <v>0.199999999999989</v>
      </c>
      <c r="K811">
        <f t="shared" si="38"/>
        <v>5</v>
      </c>
    </row>
    <row r="812" spans="1:11">
      <c r="A812">
        <v>27.046</v>
      </c>
      <c r="B812">
        <v>-151.7</v>
      </c>
      <c r="C812">
        <v>238.4</v>
      </c>
      <c r="E812">
        <v>27.012</v>
      </c>
      <c r="F812">
        <v>-150.7</v>
      </c>
      <c r="G812">
        <v>238.4</v>
      </c>
      <c r="I812">
        <f t="shared" si="36"/>
        <v>27</v>
      </c>
      <c r="J812">
        <f t="shared" si="37"/>
        <v>-0.699999999999989</v>
      </c>
      <c r="K812">
        <f t="shared" si="38"/>
        <v>5</v>
      </c>
    </row>
    <row r="813" spans="1:11">
      <c r="A813">
        <v>27.079</v>
      </c>
      <c r="B813">
        <v>-152.9</v>
      </c>
      <c r="C813">
        <v>238.4</v>
      </c>
      <c r="E813">
        <v>27.046</v>
      </c>
      <c r="F813">
        <v>-151.7</v>
      </c>
      <c r="G813">
        <v>238.4</v>
      </c>
      <c r="I813">
        <f t="shared" si="36"/>
        <v>27</v>
      </c>
      <c r="J813">
        <f t="shared" si="37"/>
        <v>-1.69999999999999</v>
      </c>
      <c r="K813">
        <f t="shared" si="38"/>
        <v>5</v>
      </c>
    </row>
    <row r="814" spans="1:11">
      <c r="A814">
        <v>27.112</v>
      </c>
      <c r="B814">
        <v>-154</v>
      </c>
      <c r="C814">
        <v>238.4</v>
      </c>
      <c r="E814">
        <v>27.079</v>
      </c>
      <c r="F814">
        <v>-152.9</v>
      </c>
      <c r="G814">
        <v>238.4</v>
      </c>
      <c r="I814">
        <f t="shared" si="36"/>
        <v>27.05</v>
      </c>
      <c r="J814">
        <f t="shared" si="37"/>
        <v>-2.90000000000001</v>
      </c>
      <c r="K814">
        <f t="shared" si="38"/>
        <v>5</v>
      </c>
    </row>
    <row r="815" spans="1:11">
      <c r="A815">
        <v>27.146</v>
      </c>
      <c r="B815">
        <v>-155.3</v>
      </c>
      <c r="C815">
        <v>238.4</v>
      </c>
      <c r="E815">
        <v>27.112</v>
      </c>
      <c r="F815">
        <v>-154</v>
      </c>
      <c r="G815">
        <v>238.4</v>
      </c>
      <c r="I815">
        <f t="shared" si="36"/>
        <v>27.1</v>
      </c>
      <c r="J815">
        <f t="shared" si="37"/>
        <v>-4</v>
      </c>
      <c r="K815">
        <f t="shared" si="38"/>
        <v>5</v>
      </c>
    </row>
    <row r="816" spans="1:11">
      <c r="A816">
        <v>27.179</v>
      </c>
      <c r="B816">
        <v>-156.3</v>
      </c>
      <c r="C816">
        <v>238.4</v>
      </c>
      <c r="E816">
        <v>27.146</v>
      </c>
      <c r="F816">
        <v>-155.3</v>
      </c>
      <c r="G816">
        <v>238.4</v>
      </c>
      <c r="I816">
        <f t="shared" si="36"/>
        <v>27.1</v>
      </c>
      <c r="J816">
        <f t="shared" si="37"/>
        <v>-5.30000000000001</v>
      </c>
      <c r="K816">
        <f t="shared" si="38"/>
        <v>5</v>
      </c>
    </row>
    <row r="817" spans="1:11">
      <c r="A817">
        <v>27.213</v>
      </c>
      <c r="B817">
        <v>-157.3</v>
      </c>
      <c r="C817">
        <v>238.4</v>
      </c>
      <c r="E817">
        <v>27.179</v>
      </c>
      <c r="F817">
        <v>-156.3</v>
      </c>
      <c r="G817">
        <v>238.4</v>
      </c>
      <c r="I817">
        <f t="shared" si="36"/>
        <v>27.15</v>
      </c>
      <c r="J817">
        <f t="shared" si="37"/>
        <v>-6.30000000000001</v>
      </c>
      <c r="K817">
        <f t="shared" si="38"/>
        <v>5</v>
      </c>
    </row>
    <row r="818" spans="1:11">
      <c r="A818">
        <v>27.246</v>
      </c>
      <c r="B818">
        <v>-158.4</v>
      </c>
      <c r="C818">
        <v>238.4</v>
      </c>
      <c r="E818">
        <v>27.213</v>
      </c>
      <c r="F818">
        <v>-157.3</v>
      </c>
      <c r="G818">
        <v>238.4</v>
      </c>
      <c r="I818">
        <f t="shared" si="36"/>
        <v>27.2</v>
      </c>
      <c r="J818">
        <f t="shared" si="37"/>
        <v>-7.30000000000001</v>
      </c>
      <c r="K818">
        <f t="shared" si="38"/>
        <v>5</v>
      </c>
    </row>
    <row r="819" spans="1:11">
      <c r="A819">
        <v>27.28</v>
      </c>
      <c r="B819">
        <v>-159.2</v>
      </c>
      <c r="C819">
        <v>220.5</v>
      </c>
      <c r="E819">
        <v>27.246</v>
      </c>
      <c r="F819">
        <v>-158.4</v>
      </c>
      <c r="G819">
        <v>238.4</v>
      </c>
      <c r="I819">
        <f t="shared" si="36"/>
        <v>27.2</v>
      </c>
      <c r="J819">
        <f t="shared" si="37"/>
        <v>-8.40000000000001</v>
      </c>
      <c r="K819">
        <f t="shared" si="38"/>
        <v>5</v>
      </c>
    </row>
    <row r="820" spans="1:11">
      <c r="A820">
        <v>27.313</v>
      </c>
      <c r="B820">
        <v>-160.1</v>
      </c>
      <c r="C820">
        <v>221.9</v>
      </c>
      <c r="E820">
        <v>27.28</v>
      </c>
      <c r="F820">
        <v>-159.2</v>
      </c>
      <c r="G820">
        <v>220.5</v>
      </c>
      <c r="I820">
        <f t="shared" si="36"/>
        <v>27.25</v>
      </c>
      <c r="J820">
        <f t="shared" si="37"/>
        <v>-9.19999999999999</v>
      </c>
      <c r="K820">
        <f t="shared" si="38"/>
        <v>-5.5</v>
      </c>
    </row>
    <row r="821" spans="1:11">
      <c r="A821">
        <v>27.346</v>
      </c>
      <c r="B821">
        <v>-160.9</v>
      </c>
      <c r="C821">
        <v>221.7</v>
      </c>
      <c r="E821">
        <v>27.313</v>
      </c>
      <c r="F821">
        <v>-160.1</v>
      </c>
      <c r="G821">
        <v>221.9</v>
      </c>
      <c r="I821">
        <f t="shared" si="36"/>
        <v>27.3</v>
      </c>
      <c r="J821">
        <f t="shared" si="37"/>
        <v>-10.1</v>
      </c>
      <c r="K821">
        <f t="shared" si="38"/>
        <v>-5.5</v>
      </c>
    </row>
    <row r="822" spans="1:11">
      <c r="A822">
        <v>27.38</v>
      </c>
      <c r="B822">
        <v>-161.4</v>
      </c>
      <c r="C822">
        <v>220.4</v>
      </c>
      <c r="E822">
        <v>27.346</v>
      </c>
      <c r="F822">
        <v>-160.9</v>
      </c>
      <c r="G822">
        <v>221.7</v>
      </c>
      <c r="I822">
        <f t="shared" si="36"/>
        <v>27.3</v>
      </c>
      <c r="J822">
        <f t="shared" si="37"/>
        <v>-10.9</v>
      </c>
      <c r="K822">
        <f t="shared" si="38"/>
        <v>-5.5</v>
      </c>
    </row>
    <row r="823" spans="1:11">
      <c r="A823">
        <v>27.413</v>
      </c>
      <c r="B823">
        <v>-161.9</v>
      </c>
      <c r="C823">
        <v>219.1</v>
      </c>
      <c r="E823">
        <v>27.38</v>
      </c>
      <c r="F823">
        <v>-161.4</v>
      </c>
      <c r="G823">
        <v>220.4</v>
      </c>
      <c r="I823">
        <f t="shared" si="36"/>
        <v>27.35</v>
      </c>
      <c r="J823">
        <f t="shared" si="37"/>
        <v>-11.4</v>
      </c>
      <c r="K823">
        <f t="shared" si="38"/>
        <v>-5.5</v>
      </c>
    </row>
    <row r="824" spans="1:11">
      <c r="A824">
        <v>27.447</v>
      </c>
      <c r="B824">
        <v>-162</v>
      </c>
      <c r="C824">
        <v>217</v>
      </c>
      <c r="E824">
        <v>27.413</v>
      </c>
      <c r="F824">
        <v>-161.9</v>
      </c>
      <c r="G824">
        <v>219.1</v>
      </c>
      <c r="I824">
        <f t="shared" si="36"/>
        <v>27.4</v>
      </c>
      <c r="J824">
        <f t="shared" si="37"/>
        <v>-11.9</v>
      </c>
      <c r="K824">
        <f t="shared" si="38"/>
        <v>-5.5</v>
      </c>
    </row>
    <row r="825" spans="1:11">
      <c r="A825">
        <v>27.48</v>
      </c>
      <c r="B825">
        <v>-162</v>
      </c>
      <c r="C825">
        <v>217.1</v>
      </c>
      <c r="E825">
        <v>27.447</v>
      </c>
      <c r="F825">
        <v>-162</v>
      </c>
      <c r="G825">
        <v>217</v>
      </c>
      <c r="I825">
        <f t="shared" si="36"/>
        <v>27.4</v>
      </c>
      <c r="J825">
        <f t="shared" si="37"/>
        <v>-12</v>
      </c>
      <c r="K825">
        <f t="shared" si="38"/>
        <v>-5.5</v>
      </c>
    </row>
    <row r="826" spans="1:11">
      <c r="A826">
        <v>27.514</v>
      </c>
      <c r="B826">
        <v>-161.9</v>
      </c>
      <c r="C826">
        <v>214.7</v>
      </c>
      <c r="E826">
        <v>27.48</v>
      </c>
      <c r="F826">
        <v>-162</v>
      </c>
      <c r="G826">
        <v>217.1</v>
      </c>
      <c r="I826">
        <f t="shared" si="36"/>
        <v>27.45</v>
      </c>
      <c r="J826">
        <f t="shared" si="37"/>
        <v>-12</v>
      </c>
      <c r="K826">
        <f t="shared" si="38"/>
        <v>-5.5</v>
      </c>
    </row>
    <row r="827" spans="1:11">
      <c r="A827">
        <v>27.547</v>
      </c>
      <c r="B827">
        <v>-161.7</v>
      </c>
      <c r="C827">
        <v>213.9</v>
      </c>
      <c r="E827">
        <v>27.514</v>
      </c>
      <c r="F827">
        <v>-161.9</v>
      </c>
      <c r="G827">
        <v>214.7</v>
      </c>
      <c r="I827">
        <f t="shared" si="36"/>
        <v>27.5</v>
      </c>
      <c r="J827">
        <f t="shared" si="37"/>
        <v>-11.9</v>
      </c>
      <c r="K827">
        <f t="shared" si="38"/>
        <v>-5.5</v>
      </c>
    </row>
    <row r="828" spans="1:11">
      <c r="A828">
        <v>27.58</v>
      </c>
      <c r="B828">
        <v>-161.6</v>
      </c>
      <c r="C828">
        <v>212.6</v>
      </c>
      <c r="E828">
        <v>27.547</v>
      </c>
      <c r="F828">
        <v>-161.7</v>
      </c>
      <c r="G828">
        <v>213.9</v>
      </c>
      <c r="I828">
        <f t="shared" si="36"/>
        <v>27.5</v>
      </c>
      <c r="J828">
        <f t="shared" si="37"/>
        <v>-11.7</v>
      </c>
      <c r="K828">
        <f t="shared" si="38"/>
        <v>-5.5</v>
      </c>
    </row>
    <row r="829" spans="1:11">
      <c r="A829">
        <v>27.614</v>
      </c>
      <c r="B829">
        <v>-161.4</v>
      </c>
      <c r="C829">
        <v>211.1</v>
      </c>
      <c r="E829">
        <v>27.58</v>
      </c>
      <c r="F829">
        <v>-161.6</v>
      </c>
      <c r="G829">
        <v>212.6</v>
      </c>
      <c r="I829">
        <f t="shared" si="36"/>
        <v>27.55</v>
      </c>
      <c r="J829">
        <f t="shared" si="37"/>
        <v>-11.6</v>
      </c>
      <c r="K829">
        <f t="shared" si="38"/>
        <v>-5.5</v>
      </c>
    </row>
    <row r="830" spans="1:11">
      <c r="A830">
        <v>27.647</v>
      </c>
      <c r="B830">
        <v>-161.2</v>
      </c>
      <c r="C830">
        <v>209.5</v>
      </c>
      <c r="E830">
        <v>27.614</v>
      </c>
      <c r="F830">
        <v>-161.4</v>
      </c>
      <c r="G830">
        <v>211.1</v>
      </c>
      <c r="I830">
        <f t="shared" si="36"/>
        <v>27.6</v>
      </c>
      <c r="J830">
        <f t="shared" si="37"/>
        <v>-11.4</v>
      </c>
      <c r="K830">
        <f t="shared" si="38"/>
        <v>-5.5</v>
      </c>
    </row>
    <row r="831" spans="1:11">
      <c r="A831">
        <v>27.681</v>
      </c>
      <c r="B831">
        <v>-160.9</v>
      </c>
      <c r="C831">
        <v>208.2</v>
      </c>
      <c r="E831">
        <v>27.647</v>
      </c>
      <c r="F831">
        <v>-161.2</v>
      </c>
      <c r="G831">
        <v>209.5</v>
      </c>
      <c r="I831">
        <f t="shared" si="36"/>
        <v>27.6</v>
      </c>
      <c r="J831">
        <f t="shared" si="37"/>
        <v>-11.2</v>
      </c>
      <c r="K831">
        <f t="shared" si="38"/>
        <v>-5.5</v>
      </c>
    </row>
    <row r="832" spans="1:11">
      <c r="A832">
        <v>27.714</v>
      </c>
      <c r="B832">
        <v>-160.1</v>
      </c>
      <c r="C832">
        <v>206.2</v>
      </c>
      <c r="E832">
        <v>27.681</v>
      </c>
      <c r="F832">
        <v>-160.9</v>
      </c>
      <c r="G832">
        <v>208.2</v>
      </c>
      <c r="I832">
        <f t="shared" si="36"/>
        <v>27.65</v>
      </c>
      <c r="J832">
        <f t="shared" si="37"/>
        <v>-10.9</v>
      </c>
      <c r="K832">
        <f t="shared" si="38"/>
        <v>-5.5</v>
      </c>
    </row>
    <row r="833" spans="1:11">
      <c r="A833">
        <v>27.748</v>
      </c>
      <c r="B833">
        <v>-159.5</v>
      </c>
      <c r="C833">
        <v>206.4</v>
      </c>
      <c r="E833">
        <v>27.714</v>
      </c>
      <c r="F833">
        <v>-160.1</v>
      </c>
      <c r="G833">
        <v>206.2</v>
      </c>
      <c r="I833">
        <f t="shared" ref="I833:I896" si="39">FLOOR(E833,0.05)</f>
        <v>27.7</v>
      </c>
      <c r="J833">
        <f t="shared" si="37"/>
        <v>-10.1</v>
      </c>
      <c r="K833">
        <f t="shared" si="38"/>
        <v>-5.5</v>
      </c>
    </row>
    <row r="834" spans="1:11">
      <c r="A834">
        <v>27.781</v>
      </c>
      <c r="B834">
        <v>-158.5</v>
      </c>
      <c r="C834">
        <v>205.8</v>
      </c>
      <c r="E834">
        <v>27.748</v>
      </c>
      <c r="F834">
        <v>-159.5</v>
      </c>
      <c r="G834">
        <v>206.4</v>
      </c>
      <c r="I834">
        <f t="shared" si="39"/>
        <v>27.7</v>
      </c>
      <c r="J834">
        <f t="shared" si="37"/>
        <v>-9.5</v>
      </c>
      <c r="K834">
        <f t="shared" si="38"/>
        <v>-5.5</v>
      </c>
    </row>
    <row r="835" spans="1:11">
      <c r="A835">
        <v>27.814</v>
      </c>
      <c r="B835">
        <v>-157.4</v>
      </c>
      <c r="C835">
        <v>203.8</v>
      </c>
      <c r="E835">
        <v>27.781</v>
      </c>
      <c r="F835">
        <v>-158.5</v>
      </c>
      <c r="G835">
        <v>205.8</v>
      </c>
      <c r="I835">
        <f t="shared" si="39"/>
        <v>27.75</v>
      </c>
      <c r="J835">
        <f t="shared" si="37"/>
        <v>-8.5</v>
      </c>
      <c r="K835">
        <f t="shared" si="38"/>
        <v>-5.5</v>
      </c>
    </row>
    <row r="836" spans="1:11">
      <c r="A836">
        <v>27.848</v>
      </c>
      <c r="B836">
        <v>-156.5</v>
      </c>
      <c r="C836">
        <v>202.3</v>
      </c>
      <c r="E836">
        <v>27.814</v>
      </c>
      <c r="F836">
        <v>-157.4</v>
      </c>
      <c r="G836">
        <v>203.8</v>
      </c>
      <c r="I836">
        <f t="shared" si="39"/>
        <v>27.8</v>
      </c>
      <c r="J836">
        <f t="shared" si="37"/>
        <v>-7.40000000000001</v>
      </c>
      <c r="K836">
        <f t="shared" si="38"/>
        <v>-5.5</v>
      </c>
    </row>
    <row r="837" spans="1:11">
      <c r="A837">
        <v>27.881</v>
      </c>
      <c r="B837">
        <v>-155.5</v>
      </c>
      <c r="C837">
        <v>201.6</v>
      </c>
      <c r="E837">
        <v>27.848</v>
      </c>
      <c r="F837">
        <v>-156.5</v>
      </c>
      <c r="G837">
        <v>202.3</v>
      </c>
      <c r="I837">
        <f t="shared" si="39"/>
        <v>27.8</v>
      </c>
      <c r="J837">
        <f t="shared" ref="J837:J900" si="40">F837+150</f>
        <v>-6.5</v>
      </c>
      <c r="K837">
        <f t="shared" ref="K837:K900" si="41">IF(G837&lt;230,-5.5,5)</f>
        <v>-5.5</v>
      </c>
    </row>
    <row r="838" spans="1:11">
      <c r="A838">
        <v>27.915</v>
      </c>
      <c r="B838">
        <v>-154.5</v>
      </c>
      <c r="C838">
        <v>200.7</v>
      </c>
      <c r="E838">
        <v>27.881</v>
      </c>
      <c r="F838">
        <v>-155.5</v>
      </c>
      <c r="G838">
        <v>201.6</v>
      </c>
      <c r="I838">
        <f t="shared" si="39"/>
        <v>27.85</v>
      </c>
      <c r="J838">
        <f t="shared" si="40"/>
        <v>-5.5</v>
      </c>
      <c r="K838">
        <f t="shared" si="41"/>
        <v>-5.5</v>
      </c>
    </row>
    <row r="839" spans="1:11">
      <c r="A839">
        <v>27.948</v>
      </c>
      <c r="B839">
        <v>-153.6</v>
      </c>
      <c r="C839">
        <v>199.9</v>
      </c>
      <c r="E839">
        <v>27.915</v>
      </c>
      <c r="F839">
        <v>-154.5</v>
      </c>
      <c r="G839">
        <v>200.7</v>
      </c>
      <c r="I839">
        <f t="shared" si="39"/>
        <v>27.9</v>
      </c>
      <c r="J839">
        <f t="shared" si="40"/>
        <v>-4.5</v>
      </c>
      <c r="K839">
        <f t="shared" si="41"/>
        <v>-5.5</v>
      </c>
    </row>
    <row r="840" spans="1:11">
      <c r="A840">
        <v>27.982</v>
      </c>
      <c r="B840">
        <v>-152.4</v>
      </c>
      <c r="C840">
        <v>198.7</v>
      </c>
      <c r="E840">
        <v>27.948</v>
      </c>
      <c r="F840">
        <v>-153.6</v>
      </c>
      <c r="G840">
        <v>199.9</v>
      </c>
      <c r="I840">
        <f t="shared" si="39"/>
        <v>27.9</v>
      </c>
      <c r="J840">
        <f t="shared" si="40"/>
        <v>-3.59999999999999</v>
      </c>
      <c r="K840">
        <f t="shared" si="41"/>
        <v>-5.5</v>
      </c>
    </row>
    <row r="841" spans="1:11">
      <c r="A841">
        <v>28.015</v>
      </c>
      <c r="B841">
        <v>-151.6</v>
      </c>
      <c r="C841">
        <v>197.3</v>
      </c>
      <c r="E841">
        <v>27.982</v>
      </c>
      <c r="F841">
        <v>-152.4</v>
      </c>
      <c r="G841">
        <v>198.7</v>
      </c>
      <c r="I841">
        <f t="shared" si="39"/>
        <v>27.95</v>
      </c>
      <c r="J841">
        <f t="shared" si="40"/>
        <v>-2.40000000000001</v>
      </c>
      <c r="K841">
        <f t="shared" si="41"/>
        <v>-5.5</v>
      </c>
    </row>
    <row r="842" spans="1:11">
      <c r="A842">
        <v>28.049</v>
      </c>
      <c r="B842">
        <v>-150.8</v>
      </c>
      <c r="C842">
        <v>196.5</v>
      </c>
      <c r="E842">
        <v>28.015</v>
      </c>
      <c r="F842">
        <v>-151.6</v>
      </c>
      <c r="G842">
        <v>197.3</v>
      </c>
      <c r="I842">
        <f t="shared" si="39"/>
        <v>28</v>
      </c>
      <c r="J842">
        <f t="shared" si="40"/>
        <v>-1.59999999999999</v>
      </c>
      <c r="K842">
        <f t="shared" si="41"/>
        <v>-5.5</v>
      </c>
    </row>
    <row r="843" spans="1:11">
      <c r="A843">
        <v>28.082</v>
      </c>
      <c r="B843">
        <v>-150</v>
      </c>
      <c r="C843">
        <v>238.4</v>
      </c>
      <c r="E843">
        <v>28.049</v>
      </c>
      <c r="F843">
        <v>-150.8</v>
      </c>
      <c r="G843">
        <v>196.5</v>
      </c>
      <c r="I843">
        <f t="shared" si="39"/>
        <v>28</v>
      </c>
      <c r="J843">
        <f t="shared" si="40"/>
        <v>-0.800000000000011</v>
      </c>
      <c r="K843">
        <f t="shared" si="41"/>
        <v>-5.5</v>
      </c>
    </row>
    <row r="844" spans="1:11">
      <c r="A844">
        <v>28.115</v>
      </c>
      <c r="B844">
        <v>-149.1</v>
      </c>
      <c r="C844">
        <v>238.4</v>
      </c>
      <c r="E844">
        <v>28.082</v>
      </c>
      <c r="F844">
        <v>-150</v>
      </c>
      <c r="G844">
        <v>238.4</v>
      </c>
      <c r="I844">
        <f t="shared" si="39"/>
        <v>28.05</v>
      </c>
      <c r="J844">
        <f t="shared" si="40"/>
        <v>0</v>
      </c>
      <c r="K844">
        <f t="shared" si="41"/>
        <v>5</v>
      </c>
    </row>
    <row r="845" spans="1:11">
      <c r="A845">
        <v>28.149</v>
      </c>
      <c r="B845">
        <v>-148.8</v>
      </c>
      <c r="C845">
        <v>238.4</v>
      </c>
      <c r="E845">
        <v>28.115</v>
      </c>
      <c r="F845">
        <v>-149.1</v>
      </c>
      <c r="G845">
        <v>238.4</v>
      </c>
      <c r="I845">
        <f t="shared" si="39"/>
        <v>28.1</v>
      </c>
      <c r="J845">
        <f t="shared" si="40"/>
        <v>0.900000000000006</v>
      </c>
      <c r="K845">
        <f t="shared" si="41"/>
        <v>5</v>
      </c>
    </row>
    <row r="846" spans="1:11">
      <c r="A846">
        <v>28.182</v>
      </c>
      <c r="B846">
        <v>-148.2</v>
      </c>
      <c r="C846">
        <v>238.4</v>
      </c>
      <c r="E846">
        <v>28.149</v>
      </c>
      <c r="F846">
        <v>-148.8</v>
      </c>
      <c r="G846">
        <v>238.4</v>
      </c>
      <c r="I846">
        <f t="shared" si="39"/>
        <v>28.1</v>
      </c>
      <c r="J846">
        <f t="shared" si="40"/>
        <v>1.19999999999999</v>
      </c>
      <c r="K846">
        <f t="shared" si="41"/>
        <v>5</v>
      </c>
    </row>
    <row r="847" spans="1:11">
      <c r="A847">
        <v>28.216</v>
      </c>
      <c r="B847">
        <v>-148.1</v>
      </c>
      <c r="C847">
        <v>238.4</v>
      </c>
      <c r="E847">
        <v>28.182</v>
      </c>
      <c r="F847">
        <v>-148.2</v>
      </c>
      <c r="G847">
        <v>238.4</v>
      </c>
      <c r="I847">
        <f t="shared" si="39"/>
        <v>28.15</v>
      </c>
      <c r="J847">
        <f t="shared" si="40"/>
        <v>1.80000000000001</v>
      </c>
      <c r="K847">
        <f t="shared" si="41"/>
        <v>5</v>
      </c>
    </row>
    <row r="848" spans="1:11">
      <c r="A848">
        <v>28.249</v>
      </c>
      <c r="B848">
        <v>-148.1</v>
      </c>
      <c r="C848">
        <v>238.4</v>
      </c>
      <c r="E848">
        <v>28.216</v>
      </c>
      <c r="F848">
        <v>-148.1</v>
      </c>
      <c r="G848">
        <v>238.4</v>
      </c>
      <c r="I848">
        <f t="shared" si="39"/>
        <v>28.2</v>
      </c>
      <c r="J848">
        <f t="shared" si="40"/>
        <v>1.90000000000001</v>
      </c>
      <c r="K848">
        <f t="shared" si="41"/>
        <v>5</v>
      </c>
    </row>
    <row r="849" spans="1:11">
      <c r="A849">
        <v>28.283</v>
      </c>
      <c r="B849">
        <v>-148.2</v>
      </c>
      <c r="C849">
        <v>238.4</v>
      </c>
      <c r="E849">
        <v>28.249</v>
      </c>
      <c r="F849">
        <v>-148.1</v>
      </c>
      <c r="G849">
        <v>238.4</v>
      </c>
      <c r="I849">
        <f t="shared" si="39"/>
        <v>28.2</v>
      </c>
      <c r="J849">
        <f t="shared" si="40"/>
        <v>1.90000000000001</v>
      </c>
      <c r="K849">
        <f t="shared" si="41"/>
        <v>5</v>
      </c>
    </row>
    <row r="850" spans="1:11">
      <c r="A850">
        <v>28.316</v>
      </c>
      <c r="B850">
        <v>-148.2</v>
      </c>
      <c r="C850">
        <v>238.4</v>
      </c>
      <c r="E850">
        <v>28.283</v>
      </c>
      <c r="F850">
        <v>-148.2</v>
      </c>
      <c r="G850">
        <v>238.4</v>
      </c>
      <c r="I850">
        <f t="shared" si="39"/>
        <v>28.25</v>
      </c>
      <c r="J850">
        <f t="shared" si="40"/>
        <v>1.80000000000001</v>
      </c>
      <c r="K850">
        <f t="shared" si="41"/>
        <v>5</v>
      </c>
    </row>
    <row r="851" spans="1:11">
      <c r="A851">
        <v>28.349</v>
      </c>
      <c r="B851">
        <v>-148.4</v>
      </c>
      <c r="C851">
        <v>238.4</v>
      </c>
      <c r="E851">
        <v>28.316</v>
      </c>
      <c r="F851">
        <v>-148.2</v>
      </c>
      <c r="G851">
        <v>238.4</v>
      </c>
      <c r="I851">
        <f t="shared" si="39"/>
        <v>28.3</v>
      </c>
      <c r="J851">
        <f t="shared" si="40"/>
        <v>1.80000000000001</v>
      </c>
      <c r="K851">
        <f t="shared" si="41"/>
        <v>5</v>
      </c>
    </row>
    <row r="852" spans="1:11">
      <c r="A852">
        <v>28.383</v>
      </c>
      <c r="B852">
        <v>-148.5</v>
      </c>
      <c r="C852">
        <v>238.4</v>
      </c>
      <c r="E852">
        <v>28.349</v>
      </c>
      <c r="F852">
        <v>-148.4</v>
      </c>
      <c r="G852">
        <v>238.4</v>
      </c>
      <c r="I852">
        <f t="shared" si="39"/>
        <v>28.3</v>
      </c>
      <c r="J852">
        <f t="shared" si="40"/>
        <v>1.59999999999999</v>
      </c>
      <c r="K852">
        <f t="shared" si="41"/>
        <v>5</v>
      </c>
    </row>
    <row r="853" spans="1:11">
      <c r="A853">
        <v>28.416</v>
      </c>
      <c r="B853">
        <v>-148.7</v>
      </c>
      <c r="C853">
        <v>238.4</v>
      </c>
      <c r="E853">
        <v>28.383</v>
      </c>
      <c r="F853">
        <v>-148.5</v>
      </c>
      <c r="G853">
        <v>238.4</v>
      </c>
      <c r="I853">
        <f t="shared" si="39"/>
        <v>28.35</v>
      </c>
      <c r="J853">
        <f t="shared" si="40"/>
        <v>1.5</v>
      </c>
      <c r="K853">
        <f t="shared" si="41"/>
        <v>5</v>
      </c>
    </row>
    <row r="854" spans="1:11">
      <c r="A854">
        <v>28.45</v>
      </c>
      <c r="B854">
        <v>-148.9</v>
      </c>
      <c r="C854">
        <v>238.4</v>
      </c>
      <c r="E854">
        <v>28.416</v>
      </c>
      <c r="F854">
        <v>-148.7</v>
      </c>
      <c r="G854">
        <v>238.4</v>
      </c>
      <c r="I854">
        <f t="shared" si="39"/>
        <v>28.4</v>
      </c>
      <c r="J854">
        <f t="shared" si="40"/>
        <v>1.30000000000001</v>
      </c>
      <c r="K854">
        <f t="shared" si="41"/>
        <v>5</v>
      </c>
    </row>
    <row r="855" spans="1:11">
      <c r="A855">
        <v>28.483</v>
      </c>
      <c r="B855">
        <v>-149.3</v>
      </c>
      <c r="C855">
        <v>238.4</v>
      </c>
      <c r="E855">
        <v>28.45</v>
      </c>
      <c r="F855">
        <v>-148.9</v>
      </c>
      <c r="G855">
        <v>238.4</v>
      </c>
      <c r="I855">
        <f t="shared" si="39"/>
        <v>28.45</v>
      </c>
      <c r="J855">
        <f t="shared" si="40"/>
        <v>1.09999999999999</v>
      </c>
      <c r="K855">
        <f t="shared" si="41"/>
        <v>5</v>
      </c>
    </row>
    <row r="856" spans="1:11">
      <c r="A856">
        <v>28.517</v>
      </c>
      <c r="B856">
        <v>-150.1</v>
      </c>
      <c r="C856">
        <v>238.4</v>
      </c>
      <c r="E856">
        <v>28.483</v>
      </c>
      <c r="F856">
        <v>-149.3</v>
      </c>
      <c r="G856">
        <v>238.4</v>
      </c>
      <c r="I856">
        <f t="shared" si="39"/>
        <v>28.45</v>
      </c>
      <c r="J856">
        <f t="shared" si="40"/>
        <v>0.699999999999989</v>
      </c>
      <c r="K856">
        <f t="shared" si="41"/>
        <v>5</v>
      </c>
    </row>
    <row r="857" spans="1:11">
      <c r="A857">
        <v>28.55</v>
      </c>
      <c r="B857">
        <v>-151</v>
      </c>
      <c r="C857">
        <v>238.4</v>
      </c>
      <c r="E857">
        <v>28.517</v>
      </c>
      <c r="F857">
        <v>-150.1</v>
      </c>
      <c r="G857">
        <v>238.4</v>
      </c>
      <c r="I857">
        <f t="shared" si="39"/>
        <v>28.5</v>
      </c>
      <c r="J857">
        <f t="shared" si="40"/>
        <v>-0.0999999999999943</v>
      </c>
      <c r="K857">
        <f t="shared" si="41"/>
        <v>5</v>
      </c>
    </row>
    <row r="858" spans="1:11">
      <c r="A858">
        <v>28.583</v>
      </c>
      <c r="B858">
        <v>-151.8</v>
      </c>
      <c r="C858">
        <v>238.4</v>
      </c>
      <c r="E858">
        <v>28.55</v>
      </c>
      <c r="F858">
        <v>-151</v>
      </c>
      <c r="G858">
        <v>238.4</v>
      </c>
      <c r="I858">
        <f t="shared" si="39"/>
        <v>28.55</v>
      </c>
      <c r="J858">
        <f t="shared" si="40"/>
        <v>-1</v>
      </c>
      <c r="K858">
        <f t="shared" si="41"/>
        <v>5</v>
      </c>
    </row>
    <row r="859" spans="1:11">
      <c r="A859">
        <v>28.617</v>
      </c>
      <c r="B859">
        <v>-152.5</v>
      </c>
      <c r="C859">
        <v>238.4</v>
      </c>
      <c r="E859">
        <v>28.583</v>
      </c>
      <c r="F859">
        <v>-151.8</v>
      </c>
      <c r="G859">
        <v>238.4</v>
      </c>
      <c r="I859">
        <f t="shared" si="39"/>
        <v>28.55</v>
      </c>
      <c r="J859">
        <f t="shared" si="40"/>
        <v>-1.80000000000001</v>
      </c>
      <c r="K859">
        <f t="shared" si="41"/>
        <v>5</v>
      </c>
    </row>
    <row r="860" spans="1:11">
      <c r="A860">
        <v>28.65</v>
      </c>
      <c r="B860">
        <v>-153.5</v>
      </c>
      <c r="C860">
        <v>238.4</v>
      </c>
      <c r="E860">
        <v>28.617</v>
      </c>
      <c r="F860">
        <v>-152.5</v>
      </c>
      <c r="G860">
        <v>238.4</v>
      </c>
      <c r="I860">
        <f t="shared" si="39"/>
        <v>28.6</v>
      </c>
      <c r="J860">
        <f t="shared" si="40"/>
        <v>-2.5</v>
      </c>
      <c r="K860">
        <f t="shared" si="41"/>
        <v>5</v>
      </c>
    </row>
    <row r="861" spans="1:11">
      <c r="A861">
        <v>28.684</v>
      </c>
      <c r="B861">
        <v>-154.5</v>
      </c>
      <c r="C861">
        <v>238.4</v>
      </c>
      <c r="E861">
        <v>28.65</v>
      </c>
      <c r="F861">
        <v>-153.5</v>
      </c>
      <c r="G861">
        <v>238.4</v>
      </c>
      <c r="I861">
        <f t="shared" si="39"/>
        <v>28.65</v>
      </c>
      <c r="J861">
        <f t="shared" si="40"/>
        <v>-3.5</v>
      </c>
      <c r="K861">
        <f t="shared" si="41"/>
        <v>5</v>
      </c>
    </row>
    <row r="862" spans="1:11">
      <c r="A862">
        <v>28.717</v>
      </c>
      <c r="B862">
        <v>-155.3</v>
      </c>
      <c r="C862">
        <v>238.4</v>
      </c>
      <c r="E862">
        <v>28.684</v>
      </c>
      <c r="F862">
        <v>-154.5</v>
      </c>
      <c r="G862">
        <v>238.4</v>
      </c>
      <c r="I862">
        <f t="shared" si="39"/>
        <v>28.65</v>
      </c>
      <c r="J862">
        <f t="shared" si="40"/>
        <v>-4.5</v>
      </c>
      <c r="K862">
        <f t="shared" si="41"/>
        <v>5</v>
      </c>
    </row>
    <row r="863" spans="1:11">
      <c r="A863">
        <v>28.751</v>
      </c>
      <c r="B863">
        <v>-156.2</v>
      </c>
      <c r="C863">
        <v>238.4</v>
      </c>
      <c r="E863">
        <v>28.717</v>
      </c>
      <c r="F863">
        <v>-155.3</v>
      </c>
      <c r="G863">
        <v>238.4</v>
      </c>
      <c r="I863">
        <f t="shared" si="39"/>
        <v>28.7</v>
      </c>
      <c r="J863">
        <f t="shared" si="40"/>
        <v>-5.30000000000001</v>
      </c>
      <c r="K863">
        <f t="shared" si="41"/>
        <v>5</v>
      </c>
    </row>
    <row r="864" spans="1:11">
      <c r="A864">
        <v>28.784</v>
      </c>
      <c r="B864">
        <v>-157</v>
      </c>
      <c r="C864">
        <v>238.4</v>
      </c>
      <c r="E864">
        <v>28.751</v>
      </c>
      <c r="F864">
        <v>-156.2</v>
      </c>
      <c r="G864">
        <v>238.4</v>
      </c>
      <c r="I864">
        <f t="shared" si="39"/>
        <v>28.75</v>
      </c>
      <c r="J864">
        <f t="shared" si="40"/>
        <v>-6.19999999999999</v>
      </c>
      <c r="K864">
        <f t="shared" si="41"/>
        <v>5</v>
      </c>
    </row>
    <row r="865" spans="1:11">
      <c r="A865">
        <v>28.817</v>
      </c>
      <c r="B865">
        <v>-157.7</v>
      </c>
      <c r="C865">
        <v>238.4</v>
      </c>
      <c r="E865">
        <v>28.784</v>
      </c>
      <c r="F865">
        <v>-157</v>
      </c>
      <c r="G865">
        <v>238.4</v>
      </c>
      <c r="I865">
        <f t="shared" si="39"/>
        <v>28.75</v>
      </c>
      <c r="J865">
        <f t="shared" si="40"/>
        <v>-7</v>
      </c>
      <c r="K865">
        <f t="shared" si="41"/>
        <v>5</v>
      </c>
    </row>
    <row r="866" spans="1:11">
      <c r="A866">
        <v>28.851</v>
      </c>
      <c r="B866">
        <v>-158.3</v>
      </c>
      <c r="C866">
        <v>238.4</v>
      </c>
      <c r="E866">
        <v>28.817</v>
      </c>
      <c r="F866">
        <v>-157.7</v>
      </c>
      <c r="G866">
        <v>238.4</v>
      </c>
      <c r="I866">
        <f t="shared" si="39"/>
        <v>28.8</v>
      </c>
      <c r="J866">
        <f t="shared" si="40"/>
        <v>-7.69999999999999</v>
      </c>
      <c r="K866">
        <f t="shared" si="41"/>
        <v>5</v>
      </c>
    </row>
    <row r="867" spans="1:11">
      <c r="A867">
        <v>28.884</v>
      </c>
      <c r="B867">
        <v>-158.9</v>
      </c>
      <c r="C867">
        <v>238.4</v>
      </c>
      <c r="E867">
        <v>28.851</v>
      </c>
      <c r="F867">
        <v>-158.3</v>
      </c>
      <c r="G867">
        <v>238.4</v>
      </c>
      <c r="I867">
        <f t="shared" si="39"/>
        <v>28.85</v>
      </c>
      <c r="J867">
        <f t="shared" si="40"/>
        <v>-8.30000000000001</v>
      </c>
      <c r="K867">
        <f t="shared" si="41"/>
        <v>5</v>
      </c>
    </row>
    <row r="868" spans="1:11">
      <c r="A868">
        <v>28.918</v>
      </c>
      <c r="B868">
        <v>-159.3</v>
      </c>
      <c r="C868">
        <v>220.3</v>
      </c>
      <c r="E868">
        <v>28.884</v>
      </c>
      <c r="F868">
        <v>-158.9</v>
      </c>
      <c r="G868">
        <v>238.4</v>
      </c>
      <c r="I868">
        <f t="shared" si="39"/>
        <v>28.85</v>
      </c>
      <c r="J868">
        <f t="shared" si="40"/>
        <v>-8.90000000000001</v>
      </c>
      <c r="K868">
        <f t="shared" si="41"/>
        <v>5</v>
      </c>
    </row>
    <row r="869" spans="1:11">
      <c r="A869">
        <v>28.951</v>
      </c>
      <c r="B869">
        <v>-159.8</v>
      </c>
      <c r="C869">
        <v>222.7</v>
      </c>
      <c r="E869">
        <v>28.918</v>
      </c>
      <c r="F869">
        <v>-159.3</v>
      </c>
      <c r="G869">
        <v>220.3</v>
      </c>
      <c r="I869">
        <f t="shared" si="39"/>
        <v>28.9</v>
      </c>
      <c r="J869">
        <f t="shared" si="40"/>
        <v>-9.30000000000001</v>
      </c>
      <c r="K869">
        <f t="shared" si="41"/>
        <v>-5.5</v>
      </c>
    </row>
    <row r="870" spans="1:11">
      <c r="A870">
        <v>28.985</v>
      </c>
      <c r="B870">
        <v>-159.9</v>
      </c>
      <c r="C870">
        <v>221.9</v>
      </c>
      <c r="E870">
        <v>28.951</v>
      </c>
      <c r="F870">
        <v>-159.8</v>
      </c>
      <c r="G870">
        <v>222.7</v>
      </c>
      <c r="I870">
        <f t="shared" si="39"/>
        <v>28.95</v>
      </c>
      <c r="J870">
        <f t="shared" si="40"/>
        <v>-9.80000000000001</v>
      </c>
      <c r="K870">
        <f t="shared" si="41"/>
        <v>-5.5</v>
      </c>
    </row>
    <row r="871" spans="1:11">
      <c r="A871">
        <v>29.018</v>
      </c>
      <c r="B871">
        <v>-159.9</v>
      </c>
      <c r="C871">
        <v>220.9</v>
      </c>
      <c r="E871">
        <v>28.985</v>
      </c>
      <c r="F871">
        <v>-159.9</v>
      </c>
      <c r="G871">
        <v>221.9</v>
      </c>
      <c r="I871">
        <f t="shared" si="39"/>
        <v>28.95</v>
      </c>
      <c r="J871">
        <f t="shared" si="40"/>
        <v>-9.90000000000001</v>
      </c>
      <c r="K871">
        <f t="shared" si="41"/>
        <v>-5.5</v>
      </c>
    </row>
    <row r="872" spans="1:11">
      <c r="A872">
        <v>29.051</v>
      </c>
      <c r="B872">
        <v>-159.9</v>
      </c>
      <c r="C872">
        <v>218.3</v>
      </c>
      <c r="E872">
        <v>29.018</v>
      </c>
      <c r="F872">
        <v>-159.9</v>
      </c>
      <c r="G872">
        <v>220.9</v>
      </c>
      <c r="I872">
        <f t="shared" si="39"/>
        <v>29</v>
      </c>
      <c r="J872">
        <f t="shared" si="40"/>
        <v>-9.90000000000001</v>
      </c>
      <c r="K872">
        <f t="shared" si="41"/>
        <v>-5.5</v>
      </c>
    </row>
    <row r="873" spans="1:11">
      <c r="A873">
        <v>29.085</v>
      </c>
      <c r="B873">
        <v>-159.8</v>
      </c>
      <c r="C873">
        <v>217.4</v>
      </c>
      <c r="E873">
        <v>29.051</v>
      </c>
      <c r="F873">
        <v>-159.9</v>
      </c>
      <c r="G873">
        <v>218.3</v>
      </c>
      <c r="I873">
        <f t="shared" si="39"/>
        <v>29.05</v>
      </c>
      <c r="J873">
        <f t="shared" si="40"/>
        <v>-9.90000000000001</v>
      </c>
      <c r="K873">
        <f t="shared" si="41"/>
        <v>-5.5</v>
      </c>
    </row>
    <row r="874" spans="1:11">
      <c r="A874">
        <v>29.118</v>
      </c>
      <c r="B874">
        <v>-159.7</v>
      </c>
      <c r="C874">
        <v>216.8</v>
      </c>
      <c r="E874">
        <v>29.085</v>
      </c>
      <c r="F874">
        <v>-159.8</v>
      </c>
      <c r="G874">
        <v>217.4</v>
      </c>
      <c r="I874">
        <f t="shared" si="39"/>
        <v>29.05</v>
      </c>
      <c r="J874">
        <f t="shared" si="40"/>
        <v>-9.80000000000001</v>
      </c>
      <c r="K874">
        <f t="shared" si="41"/>
        <v>-5.5</v>
      </c>
    </row>
    <row r="875" spans="1:11">
      <c r="A875">
        <v>29.152</v>
      </c>
      <c r="B875">
        <v>-159.6</v>
      </c>
      <c r="C875">
        <v>215.1</v>
      </c>
      <c r="E875">
        <v>29.118</v>
      </c>
      <c r="F875">
        <v>-159.7</v>
      </c>
      <c r="G875">
        <v>216.8</v>
      </c>
      <c r="I875">
        <f t="shared" si="39"/>
        <v>29.1</v>
      </c>
      <c r="J875">
        <f t="shared" si="40"/>
        <v>-9.69999999999999</v>
      </c>
      <c r="K875">
        <f t="shared" si="41"/>
        <v>-5.5</v>
      </c>
    </row>
    <row r="876" spans="1:11">
      <c r="A876">
        <v>29.185</v>
      </c>
      <c r="B876">
        <v>-159.4</v>
      </c>
      <c r="C876">
        <v>214.3</v>
      </c>
      <c r="E876">
        <v>29.152</v>
      </c>
      <c r="F876">
        <v>-159.6</v>
      </c>
      <c r="G876">
        <v>215.1</v>
      </c>
      <c r="I876">
        <f t="shared" si="39"/>
        <v>29.15</v>
      </c>
      <c r="J876">
        <f t="shared" si="40"/>
        <v>-9.59999999999999</v>
      </c>
      <c r="K876">
        <f t="shared" si="41"/>
        <v>-5.5</v>
      </c>
    </row>
    <row r="877" spans="1:11">
      <c r="A877">
        <v>29.219</v>
      </c>
      <c r="B877">
        <v>-159.3</v>
      </c>
      <c r="C877">
        <v>212.6</v>
      </c>
      <c r="E877">
        <v>29.185</v>
      </c>
      <c r="F877">
        <v>-159.4</v>
      </c>
      <c r="G877">
        <v>214.3</v>
      </c>
      <c r="I877">
        <f t="shared" si="39"/>
        <v>29.15</v>
      </c>
      <c r="J877">
        <f t="shared" si="40"/>
        <v>-9.40000000000001</v>
      </c>
      <c r="K877">
        <f t="shared" si="41"/>
        <v>-5.5</v>
      </c>
    </row>
    <row r="878" spans="1:11">
      <c r="A878">
        <v>29.252</v>
      </c>
      <c r="B878">
        <v>-159</v>
      </c>
      <c r="C878">
        <v>211.2</v>
      </c>
      <c r="E878">
        <v>29.219</v>
      </c>
      <c r="F878">
        <v>-159.3</v>
      </c>
      <c r="G878">
        <v>212.6</v>
      </c>
      <c r="I878">
        <f t="shared" si="39"/>
        <v>29.2</v>
      </c>
      <c r="J878">
        <f t="shared" si="40"/>
        <v>-9.30000000000001</v>
      </c>
      <c r="K878">
        <f t="shared" si="41"/>
        <v>-5.5</v>
      </c>
    </row>
    <row r="879" spans="1:11">
      <c r="A879">
        <v>29.285</v>
      </c>
      <c r="B879">
        <v>-158.6</v>
      </c>
      <c r="C879">
        <v>210.5</v>
      </c>
      <c r="E879">
        <v>29.252</v>
      </c>
      <c r="F879">
        <v>-159</v>
      </c>
      <c r="G879">
        <v>211.2</v>
      </c>
      <c r="I879">
        <f t="shared" si="39"/>
        <v>29.25</v>
      </c>
      <c r="J879">
        <f t="shared" si="40"/>
        <v>-9</v>
      </c>
      <c r="K879">
        <f t="shared" si="41"/>
        <v>-5.5</v>
      </c>
    </row>
    <row r="880" spans="1:11">
      <c r="A880">
        <v>29.319</v>
      </c>
      <c r="B880">
        <v>-158</v>
      </c>
      <c r="C880">
        <v>208.9</v>
      </c>
      <c r="E880">
        <v>29.285</v>
      </c>
      <c r="F880">
        <v>-158.6</v>
      </c>
      <c r="G880">
        <v>210.5</v>
      </c>
      <c r="I880">
        <f t="shared" si="39"/>
        <v>29.25</v>
      </c>
      <c r="J880">
        <f t="shared" si="40"/>
        <v>-8.59999999999999</v>
      </c>
      <c r="K880">
        <f t="shared" si="41"/>
        <v>-5.5</v>
      </c>
    </row>
    <row r="881" spans="1:11">
      <c r="A881">
        <v>29.352</v>
      </c>
      <c r="B881">
        <v>-157.1</v>
      </c>
      <c r="C881">
        <v>206.9</v>
      </c>
      <c r="E881">
        <v>29.319</v>
      </c>
      <c r="F881">
        <v>-158</v>
      </c>
      <c r="G881">
        <v>208.9</v>
      </c>
      <c r="I881">
        <f t="shared" si="39"/>
        <v>29.3</v>
      </c>
      <c r="J881">
        <f t="shared" si="40"/>
        <v>-8</v>
      </c>
      <c r="K881">
        <f t="shared" si="41"/>
        <v>-5.5</v>
      </c>
    </row>
    <row r="882" spans="1:11">
      <c r="A882">
        <v>29.386</v>
      </c>
      <c r="B882">
        <v>-156.4</v>
      </c>
      <c r="C882">
        <v>206.6</v>
      </c>
      <c r="E882">
        <v>29.352</v>
      </c>
      <c r="F882">
        <v>-157.1</v>
      </c>
      <c r="G882">
        <v>206.9</v>
      </c>
      <c r="I882">
        <f t="shared" si="39"/>
        <v>29.35</v>
      </c>
      <c r="J882">
        <f t="shared" si="40"/>
        <v>-7.09999999999999</v>
      </c>
      <c r="K882">
        <f t="shared" si="41"/>
        <v>-5.5</v>
      </c>
    </row>
    <row r="883" spans="1:11">
      <c r="A883">
        <v>29.419</v>
      </c>
      <c r="B883">
        <v>-155.7</v>
      </c>
      <c r="C883">
        <v>205.2</v>
      </c>
      <c r="E883">
        <v>29.386</v>
      </c>
      <c r="F883">
        <v>-156.4</v>
      </c>
      <c r="G883">
        <v>206.6</v>
      </c>
      <c r="I883">
        <f t="shared" si="39"/>
        <v>29.35</v>
      </c>
      <c r="J883">
        <f t="shared" si="40"/>
        <v>-6.40000000000001</v>
      </c>
      <c r="K883">
        <f t="shared" si="41"/>
        <v>-5.5</v>
      </c>
    </row>
    <row r="884" spans="1:11">
      <c r="A884">
        <v>29.453</v>
      </c>
      <c r="B884">
        <v>-155</v>
      </c>
      <c r="C884">
        <v>203.6</v>
      </c>
      <c r="E884">
        <v>29.419</v>
      </c>
      <c r="F884">
        <v>-155.7</v>
      </c>
      <c r="G884">
        <v>205.2</v>
      </c>
      <c r="I884">
        <f t="shared" si="39"/>
        <v>29.4</v>
      </c>
      <c r="J884">
        <f t="shared" si="40"/>
        <v>-5.69999999999999</v>
      </c>
      <c r="K884">
        <f t="shared" si="41"/>
        <v>-5.5</v>
      </c>
    </row>
    <row r="885" spans="1:11">
      <c r="A885">
        <v>29.486</v>
      </c>
      <c r="B885">
        <v>-154.3</v>
      </c>
      <c r="C885">
        <v>202.6</v>
      </c>
      <c r="E885">
        <v>29.453</v>
      </c>
      <c r="F885">
        <v>-155</v>
      </c>
      <c r="G885">
        <v>203.6</v>
      </c>
      <c r="I885">
        <f t="shared" si="39"/>
        <v>29.45</v>
      </c>
      <c r="J885">
        <f t="shared" si="40"/>
        <v>-5</v>
      </c>
      <c r="K885">
        <f t="shared" si="41"/>
        <v>-5.5</v>
      </c>
    </row>
    <row r="886" spans="1:11">
      <c r="A886">
        <v>29.519</v>
      </c>
      <c r="B886">
        <v>-153.5</v>
      </c>
      <c r="C886">
        <v>201.1</v>
      </c>
      <c r="E886">
        <v>29.486</v>
      </c>
      <c r="F886">
        <v>-154.3</v>
      </c>
      <c r="G886">
        <v>202.6</v>
      </c>
      <c r="I886">
        <f t="shared" si="39"/>
        <v>29.45</v>
      </c>
      <c r="J886">
        <f t="shared" si="40"/>
        <v>-4.30000000000001</v>
      </c>
      <c r="K886">
        <f t="shared" si="41"/>
        <v>-5.5</v>
      </c>
    </row>
    <row r="887" spans="1:11">
      <c r="A887">
        <v>29.553</v>
      </c>
      <c r="B887">
        <v>-152.8</v>
      </c>
      <c r="C887">
        <v>200.8</v>
      </c>
      <c r="E887">
        <v>29.519</v>
      </c>
      <c r="F887">
        <v>-153.5</v>
      </c>
      <c r="G887">
        <v>201.1</v>
      </c>
      <c r="I887">
        <f t="shared" si="39"/>
        <v>29.5</v>
      </c>
      <c r="J887">
        <f t="shared" si="40"/>
        <v>-3.5</v>
      </c>
      <c r="K887">
        <f t="shared" si="41"/>
        <v>-5.5</v>
      </c>
    </row>
    <row r="888" spans="1:11">
      <c r="A888">
        <v>29.586</v>
      </c>
      <c r="B888">
        <v>-152.1</v>
      </c>
      <c r="C888">
        <v>199</v>
      </c>
      <c r="E888">
        <v>29.553</v>
      </c>
      <c r="F888">
        <v>-152.8</v>
      </c>
      <c r="G888">
        <v>200.8</v>
      </c>
      <c r="I888">
        <f t="shared" si="39"/>
        <v>29.55</v>
      </c>
      <c r="J888">
        <f t="shared" si="40"/>
        <v>-2.80000000000001</v>
      </c>
      <c r="K888">
        <f t="shared" si="41"/>
        <v>-5.5</v>
      </c>
    </row>
    <row r="889" spans="1:11">
      <c r="A889">
        <v>29.62</v>
      </c>
      <c r="B889">
        <v>-151.6</v>
      </c>
      <c r="C889">
        <v>199</v>
      </c>
      <c r="E889">
        <v>29.586</v>
      </c>
      <c r="F889">
        <v>-152.1</v>
      </c>
      <c r="G889">
        <v>199</v>
      </c>
      <c r="I889">
        <f t="shared" si="39"/>
        <v>29.55</v>
      </c>
      <c r="J889">
        <f t="shared" si="40"/>
        <v>-2.09999999999999</v>
      </c>
      <c r="K889">
        <f t="shared" si="41"/>
        <v>-5.5</v>
      </c>
    </row>
    <row r="890" spans="1:11">
      <c r="A890">
        <v>29.653</v>
      </c>
      <c r="B890">
        <v>-151.1</v>
      </c>
      <c r="C890">
        <v>198.2</v>
      </c>
      <c r="E890">
        <v>29.62</v>
      </c>
      <c r="F890">
        <v>-151.6</v>
      </c>
      <c r="G890">
        <v>199</v>
      </c>
      <c r="I890">
        <f t="shared" si="39"/>
        <v>29.6</v>
      </c>
      <c r="J890">
        <f t="shared" si="40"/>
        <v>-1.59999999999999</v>
      </c>
      <c r="K890">
        <f t="shared" si="41"/>
        <v>-5.5</v>
      </c>
    </row>
    <row r="891" spans="1:11">
      <c r="A891">
        <v>29.687</v>
      </c>
      <c r="B891">
        <v>-150.9</v>
      </c>
      <c r="C891">
        <v>238.4</v>
      </c>
      <c r="E891">
        <v>29.653</v>
      </c>
      <c r="F891">
        <v>-151.1</v>
      </c>
      <c r="G891">
        <v>198.2</v>
      </c>
      <c r="I891">
        <f t="shared" si="39"/>
        <v>29.65</v>
      </c>
      <c r="J891">
        <f t="shared" si="40"/>
        <v>-1.09999999999999</v>
      </c>
      <c r="K891">
        <f t="shared" si="41"/>
        <v>-5.5</v>
      </c>
    </row>
    <row r="892" spans="1:11">
      <c r="A892">
        <v>29.72</v>
      </c>
      <c r="B892">
        <v>-150.3</v>
      </c>
      <c r="C892">
        <v>238.4</v>
      </c>
      <c r="E892">
        <v>29.687</v>
      </c>
      <c r="F892">
        <v>-150.9</v>
      </c>
      <c r="G892">
        <v>238.4</v>
      </c>
      <c r="I892">
        <f t="shared" si="39"/>
        <v>29.65</v>
      </c>
      <c r="J892">
        <f t="shared" si="40"/>
        <v>-0.900000000000006</v>
      </c>
      <c r="K892">
        <f t="shared" si="41"/>
        <v>5</v>
      </c>
    </row>
    <row r="893" spans="1:11">
      <c r="A893">
        <v>29.753</v>
      </c>
      <c r="B893">
        <v>-150.3</v>
      </c>
      <c r="C893">
        <v>238.4</v>
      </c>
      <c r="E893">
        <v>29.72</v>
      </c>
      <c r="F893">
        <v>-150.3</v>
      </c>
      <c r="G893">
        <v>238.4</v>
      </c>
      <c r="I893">
        <f t="shared" si="39"/>
        <v>29.7</v>
      </c>
      <c r="J893">
        <f t="shared" si="40"/>
        <v>-0.300000000000011</v>
      </c>
      <c r="K893">
        <f t="shared" si="41"/>
        <v>5</v>
      </c>
    </row>
    <row r="894" spans="1:11">
      <c r="A894">
        <v>29.787</v>
      </c>
      <c r="B894">
        <v>-150.2</v>
      </c>
      <c r="C894">
        <v>238.4</v>
      </c>
      <c r="E894">
        <v>29.753</v>
      </c>
      <c r="F894">
        <v>-150.3</v>
      </c>
      <c r="G894">
        <v>238.4</v>
      </c>
      <c r="I894">
        <f t="shared" si="39"/>
        <v>29.75</v>
      </c>
      <c r="J894">
        <f t="shared" si="40"/>
        <v>-0.300000000000011</v>
      </c>
      <c r="K894">
        <f t="shared" si="41"/>
        <v>5</v>
      </c>
    </row>
    <row r="895" spans="1:11">
      <c r="A895">
        <v>29.82</v>
      </c>
      <c r="B895">
        <v>-150.2</v>
      </c>
      <c r="C895">
        <v>238.4</v>
      </c>
      <c r="E895">
        <v>29.787</v>
      </c>
      <c r="F895">
        <v>-150.2</v>
      </c>
      <c r="G895">
        <v>238.4</v>
      </c>
      <c r="I895">
        <f t="shared" si="39"/>
        <v>29.75</v>
      </c>
      <c r="J895">
        <f t="shared" si="40"/>
        <v>-0.199999999999989</v>
      </c>
      <c r="K895">
        <f t="shared" si="41"/>
        <v>5</v>
      </c>
    </row>
    <row r="896" spans="1:11">
      <c r="A896">
        <v>29.854</v>
      </c>
      <c r="B896">
        <v>-150.3</v>
      </c>
      <c r="C896">
        <v>238.4</v>
      </c>
      <c r="E896">
        <v>29.82</v>
      </c>
      <c r="F896">
        <v>-150.2</v>
      </c>
      <c r="G896">
        <v>238.4</v>
      </c>
      <c r="I896">
        <f t="shared" si="39"/>
        <v>29.8</v>
      </c>
      <c r="J896">
        <f t="shared" si="40"/>
        <v>-0.199999999999989</v>
      </c>
      <c r="K896">
        <f t="shared" si="41"/>
        <v>5</v>
      </c>
    </row>
    <row r="897" spans="1:11">
      <c r="A897">
        <v>29.887</v>
      </c>
      <c r="B897">
        <v>-150.3</v>
      </c>
      <c r="C897">
        <v>238.4</v>
      </c>
      <c r="E897">
        <v>29.854</v>
      </c>
      <c r="F897">
        <v>-150.3</v>
      </c>
      <c r="G897">
        <v>238.4</v>
      </c>
      <c r="I897">
        <f t="shared" ref="I897:I960" si="42">FLOOR(E897,0.05)</f>
        <v>29.85</v>
      </c>
      <c r="J897">
        <f t="shared" si="40"/>
        <v>-0.300000000000011</v>
      </c>
      <c r="K897">
        <f t="shared" si="41"/>
        <v>5</v>
      </c>
    </row>
    <row r="898" spans="1:11">
      <c r="A898">
        <v>29.921</v>
      </c>
      <c r="B898">
        <v>-150.5</v>
      </c>
      <c r="C898">
        <v>238.4</v>
      </c>
      <c r="E898">
        <v>29.887</v>
      </c>
      <c r="F898">
        <v>-150.3</v>
      </c>
      <c r="G898">
        <v>238.4</v>
      </c>
      <c r="I898">
        <f t="shared" si="42"/>
        <v>29.85</v>
      </c>
      <c r="J898">
        <f t="shared" si="40"/>
        <v>-0.300000000000011</v>
      </c>
      <c r="K898">
        <f t="shared" si="41"/>
        <v>5</v>
      </c>
    </row>
    <row r="899" spans="1:11">
      <c r="A899">
        <v>29.954</v>
      </c>
      <c r="B899">
        <v>-150.6</v>
      </c>
      <c r="C899">
        <v>238.4</v>
      </c>
      <c r="E899">
        <v>29.921</v>
      </c>
      <c r="F899">
        <v>-150.5</v>
      </c>
      <c r="G899">
        <v>238.4</v>
      </c>
      <c r="I899">
        <f t="shared" si="42"/>
        <v>29.9</v>
      </c>
      <c r="J899">
        <f t="shared" si="40"/>
        <v>-0.5</v>
      </c>
      <c r="K899">
        <f t="shared" si="41"/>
        <v>5</v>
      </c>
    </row>
    <row r="900" spans="1:11">
      <c r="A900">
        <v>29.987</v>
      </c>
      <c r="B900">
        <v>-150.7</v>
      </c>
      <c r="C900">
        <v>238.4</v>
      </c>
      <c r="E900">
        <v>29.954</v>
      </c>
      <c r="F900">
        <v>-150.6</v>
      </c>
      <c r="G900">
        <v>238.4</v>
      </c>
      <c r="I900">
        <f t="shared" si="42"/>
        <v>29.95</v>
      </c>
      <c r="J900">
        <f t="shared" si="40"/>
        <v>-0.599999999999994</v>
      </c>
      <c r="K900">
        <f t="shared" si="41"/>
        <v>5</v>
      </c>
    </row>
    <row r="901" spans="1:11">
      <c r="A901">
        <v>30.021</v>
      </c>
      <c r="B901">
        <v>-150.9</v>
      </c>
      <c r="C901">
        <v>238.4</v>
      </c>
      <c r="E901">
        <v>29.987</v>
      </c>
      <c r="F901">
        <v>-150.7</v>
      </c>
      <c r="G901">
        <v>238.4</v>
      </c>
      <c r="I901">
        <f t="shared" si="42"/>
        <v>29.95</v>
      </c>
      <c r="J901">
        <f t="shared" ref="J901:J964" si="43">F901+150</f>
        <v>-0.699999999999989</v>
      </c>
      <c r="K901">
        <f t="shared" ref="K901:K964" si="44">IF(G901&lt;230,-5.5,5)</f>
        <v>5</v>
      </c>
    </row>
    <row r="902" spans="1:11">
      <c r="A902">
        <v>30.054</v>
      </c>
      <c r="B902">
        <v>-151.1</v>
      </c>
      <c r="C902">
        <v>238.4</v>
      </c>
      <c r="E902">
        <v>30.021</v>
      </c>
      <c r="F902">
        <v>-150.9</v>
      </c>
      <c r="G902">
        <v>238.4</v>
      </c>
      <c r="I902">
        <f t="shared" si="42"/>
        <v>30</v>
      </c>
      <c r="J902">
        <f t="shared" si="43"/>
        <v>-0.900000000000006</v>
      </c>
      <c r="K902">
        <f t="shared" si="44"/>
        <v>5</v>
      </c>
    </row>
    <row r="903" spans="1:11">
      <c r="A903">
        <v>30.088</v>
      </c>
      <c r="B903">
        <v>-151.7</v>
      </c>
      <c r="C903">
        <v>238.4</v>
      </c>
      <c r="E903">
        <v>30.054</v>
      </c>
      <c r="F903">
        <v>-151.1</v>
      </c>
      <c r="G903">
        <v>238.4</v>
      </c>
      <c r="I903">
        <f t="shared" si="42"/>
        <v>30.05</v>
      </c>
      <c r="J903">
        <f t="shared" si="43"/>
        <v>-1.09999999999999</v>
      </c>
      <c r="K903">
        <f t="shared" si="44"/>
        <v>5</v>
      </c>
    </row>
    <row r="904" spans="1:11">
      <c r="A904">
        <v>30.121</v>
      </c>
      <c r="B904">
        <v>-152.1</v>
      </c>
      <c r="C904">
        <v>238.4</v>
      </c>
      <c r="E904">
        <v>30.088</v>
      </c>
      <c r="F904">
        <v>-151.7</v>
      </c>
      <c r="G904">
        <v>238.4</v>
      </c>
      <c r="I904">
        <f t="shared" si="42"/>
        <v>30.05</v>
      </c>
      <c r="J904">
        <f t="shared" si="43"/>
        <v>-1.69999999999999</v>
      </c>
      <c r="K904">
        <f t="shared" si="44"/>
        <v>5</v>
      </c>
    </row>
    <row r="905" spans="1:11">
      <c r="A905">
        <v>30.155</v>
      </c>
      <c r="B905">
        <v>-152.9</v>
      </c>
      <c r="C905">
        <v>238.4</v>
      </c>
      <c r="E905">
        <v>30.121</v>
      </c>
      <c r="F905">
        <v>-152.1</v>
      </c>
      <c r="G905">
        <v>238.4</v>
      </c>
      <c r="I905">
        <f t="shared" si="42"/>
        <v>30.1</v>
      </c>
      <c r="J905">
        <f t="shared" si="43"/>
        <v>-2.09999999999999</v>
      </c>
      <c r="K905">
        <f t="shared" si="44"/>
        <v>5</v>
      </c>
    </row>
    <row r="906" spans="1:11">
      <c r="A906">
        <v>30.188</v>
      </c>
      <c r="B906">
        <v>-153.5</v>
      </c>
      <c r="C906">
        <v>238.4</v>
      </c>
      <c r="E906">
        <v>30.155</v>
      </c>
      <c r="F906">
        <v>-152.9</v>
      </c>
      <c r="G906">
        <v>238.4</v>
      </c>
      <c r="I906">
        <f t="shared" si="42"/>
        <v>30.15</v>
      </c>
      <c r="J906">
        <f t="shared" si="43"/>
        <v>-2.90000000000001</v>
      </c>
      <c r="K906">
        <f t="shared" si="44"/>
        <v>5</v>
      </c>
    </row>
    <row r="907" spans="1:11">
      <c r="A907">
        <v>30.222</v>
      </c>
      <c r="B907">
        <v>-154.3</v>
      </c>
      <c r="C907">
        <v>238.4</v>
      </c>
      <c r="E907">
        <v>30.188</v>
      </c>
      <c r="F907">
        <v>-153.5</v>
      </c>
      <c r="G907">
        <v>238.4</v>
      </c>
      <c r="I907">
        <f t="shared" si="42"/>
        <v>30.15</v>
      </c>
      <c r="J907">
        <f t="shared" si="43"/>
        <v>-3.5</v>
      </c>
      <c r="K907">
        <f t="shared" si="44"/>
        <v>5</v>
      </c>
    </row>
    <row r="908" spans="1:11">
      <c r="A908">
        <v>30.255</v>
      </c>
      <c r="B908">
        <v>-154.9</v>
      </c>
      <c r="C908">
        <v>238.4</v>
      </c>
      <c r="E908">
        <v>30.222</v>
      </c>
      <c r="F908">
        <v>-154.3</v>
      </c>
      <c r="G908">
        <v>238.4</v>
      </c>
      <c r="I908">
        <f t="shared" si="42"/>
        <v>30.2</v>
      </c>
      <c r="J908">
        <f t="shared" si="43"/>
        <v>-4.30000000000001</v>
      </c>
      <c r="K908">
        <f t="shared" si="44"/>
        <v>5</v>
      </c>
    </row>
    <row r="909" spans="1:11">
      <c r="A909">
        <v>30.288</v>
      </c>
      <c r="B909">
        <v>-155.5</v>
      </c>
      <c r="C909">
        <v>238.4</v>
      </c>
      <c r="E909">
        <v>30.255</v>
      </c>
      <c r="F909">
        <v>-154.9</v>
      </c>
      <c r="G909">
        <v>238.4</v>
      </c>
      <c r="I909">
        <f t="shared" si="42"/>
        <v>30.25</v>
      </c>
      <c r="J909">
        <f t="shared" si="43"/>
        <v>-4.90000000000001</v>
      </c>
      <c r="K909">
        <f t="shared" si="44"/>
        <v>5</v>
      </c>
    </row>
    <row r="910" spans="1:11">
      <c r="A910">
        <v>30.322</v>
      </c>
      <c r="B910">
        <v>-156.1</v>
      </c>
      <c r="C910">
        <v>238.4</v>
      </c>
      <c r="E910">
        <v>30.288</v>
      </c>
      <c r="F910">
        <v>-155.5</v>
      </c>
      <c r="G910">
        <v>238.4</v>
      </c>
      <c r="I910">
        <f t="shared" si="42"/>
        <v>30.25</v>
      </c>
      <c r="J910">
        <f t="shared" si="43"/>
        <v>-5.5</v>
      </c>
      <c r="K910">
        <f t="shared" si="44"/>
        <v>5</v>
      </c>
    </row>
    <row r="911" spans="1:11">
      <c r="A911">
        <v>30.355</v>
      </c>
      <c r="B911">
        <v>-156.8</v>
      </c>
      <c r="C911">
        <v>238.4</v>
      </c>
      <c r="E911">
        <v>30.322</v>
      </c>
      <c r="F911">
        <v>-156.1</v>
      </c>
      <c r="G911">
        <v>238.4</v>
      </c>
      <c r="I911">
        <f t="shared" si="42"/>
        <v>30.3</v>
      </c>
      <c r="J911">
        <f t="shared" si="43"/>
        <v>-6.09999999999999</v>
      </c>
      <c r="K911">
        <f t="shared" si="44"/>
        <v>5</v>
      </c>
    </row>
    <row r="912" spans="1:11">
      <c r="A912">
        <v>30.389</v>
      </c>
      <c r="B912">
        <v>-157.1</v>
      </c>
      <c r="C912">
        <v>238.4</v>
      </c>
      <c r="E912">
        <v>30.355</v>
      </c>
      <c r="F912">
        <v>-156.8</v>
      </c>
      <c r="G912">
        <v>238.4</v>
      </c>
      <c r="I912">
        <f t="shared" si="42"/>
        <v>30.35</v>
      </c>
      <c r="J912">
        <f t="shared" si="43"/>
        <v>-6.80000000000001</v>
      </c>
      <c r="K912">
        <f t="shared" si="44"/>
        <v>5</v>
      </c>
    </row>
    <row r="913" spans="1:11">
      <c r="A913">
        <v>30.422</v>
      </c>
      <c r="B913">
        <v>-157.7</v>
      </c>
      <c r="C913">
        <v>238.4</v>
      </c>
      <c r="E913">
        <v>30.389</v>
      </c>
      <c r="F913">
        <v>-157.1</v>
      </c>
      <c r="G913">
        <v>238.4</v>
      </c>
      <c r="I913">
        <f t="shared" si="42"/>
        <v>30.35</v>
      </c>
      <c r="J913">
        <f t="shared" si="43"/>
        <v>-7.09999999999999</v>
      </c>
      <c r="K913">
        <f t="shared" si="44"/>
        <v>5</v>
      </c>
    </row>
    <row r="914" spans="1:11">
      <c r="A914">
        <v>30.456</v>
      </c>
      <c r="B914">
        <v>-157.9</v>
      </c>
      <c r="C914">
        <v>238.4</v>
      </c>
      <c r="E914">
        <v>30.422</v>
      </c>
      <c r="F914">
        <v>-157.7</v>
      </c>
      <c r="G914">
        <v>238.4</v>
      </c>
      <c r="I914">
        <f t="shared" si="42"/>
        <v>30.4</v>
      </c>
      <c r="J914">
        <f t="shared" si="43"/>
        <v>-7.69999999999999</v>
      </c>
      <c r="K914">
        <f t="shared" si="44"/>
        <v>5</v>
      </c>
    </row>
    <row r="915" spans="1:11">
      <c r="A915">
        <v>30.489</v>
      </c>
      <c r="B915">
        <v>-158</v>
      </c>
      <c r="C915">
        <v>238.4</v>
      </c>
      <c r="E915">
        <v>30.456</v>
      </c>
      <c r="F915">
        <v>-157.9</v>
      </c>
      <c r="G915">
        <v>238.4</v>
      </c>
      <c r="I915">
        <f t="shared" si="42"/>
        <v>30.45</v>
      </c>
      <c r="J915">
        <f t="shared" si="43"/>
        <v>-7.90000000000001</v>
      </c>
      <c r="K915">
        <f t="shared" si="44"/>
        <v>5</v>
      </c>
    </row>
    <row r="916" spans="1:11">
      <c r="A916">
        <v>30.522</v>
      </c>
      <c r="B916">
        <v>-158.5</v>
      </c>
      <c r="C916">
        <v>222.4</v>
      </c>
      <c r="E916">
        <v>30.489</v>
      </c>
      <c r="F916">
        <v>-158</v>
      </c>
      <c r="G916">
        <v>238.4</v>
      </c>
      <c r="I916">
        <f t="shared" si="42"/>
        <v>30.45</v>
      </c>
      <c r="J916">
        <f t="shared" si="43"/>
        <v>-8</v>
      </c>
      <c r="K916">
        <f t="shared" si="44"/>
        <v>5</v>
      </c>
    </row>
    <row r="917" spans="1:11">
      <c r="A917">
        <v>30.556</v>
      </c>
      <c r="B917">
        <v>-158.6</v>
      </c>
      <c r="C917">
        <v>222.7</v>
      </c>
      <c r="E917">
        <v>30.522</v>
      </c>
      <c r="F917">
        <v>-158.5</v>
      </c>
      <c r="G917">
        <v>222.4</v>
      </c>
      <c r="I917">
        <f t="shared" si="42"/>
        <v>30.5</v>
      </c>
      <c r="J917">
        <f t="shared" si="43"/>
        <v>-8.5</v>
      </c>
      <c r="K917">
        <f t="shared" si="44"/>
        <v>-5.5</v>
      </c>
    </row>
    <row r="918" spans="1:11">
      <c r="A918">
        <v>30.589</v>
      </c>
      <c r="B918">
        <v>-158.7</v>
      </c>
      <c r="C918">
        <v>221.8</v>
      </c>
      <c r="E918">
        <v>30.556</v>
      </c>
      <c r="F918">
        <v>-158.6</v>
      </c>
      <c r="G918">
        <v>222.7</v>
      </c>
      <c r="I918">
        <f t="shared" si="42"/>
        <v>30.55</v>
      </c>
      <c r="J918">
        <f t="shared" si="43"/>
        <v>-8.59999999999999</v>
      </c>
      <c r="K918">
        <f t="shared" si="44"/>
        <v>-5.5</v>
      </c>
    </row>
    <row r="919" spans="1:11">
      <c r="A919">
        <v>30.623</v>
      </c>
      <c r="B919">
        <v>-158.6</v>
      </c>
      <c r="C919">
        <v>221.1</v>
      </c>
      <c r="E919">
        <v>30.589</v>
      </c>
      <c r="F919">
        <v>-158.7</v>
      </c>
      <c r="G919">
        <v>221.8</v>
      </c>
      <c r="I919">
        <f t="shared" si="42"/>
        <v>30.55</v>
      </c>
      <c r="J919">
        <f t="shared" si="43"/>
        <v>-8.69999999999999</v>
      </c>
      <c r="K919">
        <f t="shared" si="44"/>
        <v>-5.5</v>
      </c>
    </row>
    <row r="920" spans="1:11">
      <c r="A920">
        <v>30.656</v>
      </c>
      <c r="B920">
        <v>-158.5</v>
      </c>
      <c r="C920">
        <v>220.7</v>
      </c>
      <c r="E920">
        <v>30.623</v>
      </c>
      <c r="F920">
        <v>-158.6</v>
      </c>
      <c r="G920">
        <v>221.1</v>
      </c>
      <c r="I920">
        <f t="shared" si="42"/>
        <v>30.6</v>
      </c>
      <c r="J920">
        <f t="shared" si="43"/>
        <v>-8.59999999999999</v>
      </c>
      <c r="K920">
        <f t="shared" si="44"/>
        <v>-5.5</v>
      </c>
    </row>
    <row r="921" spans="1:11">
      <c r="A921">
        <v>30.69</v>
      </c>
      <c r="B921">
        <v>-158.5</v>
      </c>
      <c r="C921">
        <v>218.8</v>
      </c>
      <c r="E921">
        <v>30.656</v>
      </c>
      <c r="F921">
        <v>-158.5</v>
      </c>
      <c r="G921">
        <v>220.7</v>
      </c>
      <c r="I921">
        <f t="shared" si="42"/>
        <v>30.65</v>
      </c>
      <c r="J921">
        <f t="shared" si="43"/>
        <v>-8.5</v>
      </c>
      <c r="K921">
        <f t="shared" si="44"/>
        <v>-5.5</v>
      </c>
    </row>
    <row r="922" spans="1:11">
      <c r="A922">
        <v>30.723</v>
      </c>
      <c r="B922">
        <v>-158.4</v>
      </c>
      <c r="C922">
        <v>218.1</v>
      </c>
      <c r="E922">
        <v>30.69</v>
      </c>
      <c r="F922">
        <v>-158.5</v>
      </c>
      <c r="G922">
        <v>218.8</v>
      </c>
      <c r="I922">
        <f t="shared" si="42"/>
        <v>30.65</v>
      </c>
      <c r="J922">
        <f t="shared" si="43"/>
        <v>-8.5</v>
      </c>
      <c r="K922">
        <f t="shared" si="44"/>
        <v>-5.5</v>
      </c>
    </row>
    <row r="923" spans="1:11">
      <c r="A923">
        <v>30.756</v>
      </c>
      <c r="B923">
        <v>-158.3</v>
      </c>
      <c r="C923">
        <v>216.6</v>
      </c>
      <c r="E923">
        <v>30.723</v>
      </c>
      <c r="F923">
        <v>-158.4</v>
      </c>
      <c r="G923">
        <v>218.1</v>
      </c>
      <c r="I923">
        <f t="shared" si="42"/>
        <v>30.7</v>
      </c>
      <c r="J923">
        <f t="shared" si="43"/>
        <v>-8.40000000000001</v>
      </c>
      <c r="K923">
        <f t="shared" si="44"/>
        <v>-5.5</v>
      </c>
    </row>
    <row r="924" spans="1:11">
      <c r="A924">
        <v>30.79</v>
      </c>
      <c r="B924">
        <v>-158.1</v>
      </c>
      <c r="C924">
        <v>215.1</v>
      </c>
      <c r="E924">
        <v>30.756</v>
      </c>
      <c r="F924">
        <v>-158.3</v>
      </c>
      <c r="G924">
        <v>216.6</v>
      </c>
      <c r="I924">
        <f t="shared" si="42"/>
        <v>30.75</v>
      </c>
      <c r="J924">
        <f t="shared" si="43"/>
        <v>-8.30000000000001</v>
      </c>
      <c r="K924">
        <f t="shared" si="44"/>
        <v>-5.5</v>
      </c>
    </row>
    <row r="925" spans="1:11">
      <c r="A925">
        <v>30.823</v>
      </c>
      <c r="B925">
        <v>-158</v>
      </c>
      <c r="C925">
        <v>213.9</v>
      </c>
      <c r="E925">
        <v>30.79</v>
      </c>
      <c r="F925">
        <v>-158.1</v>
      </c>
      <c r="G925">
        <v>215.1</v>
      </c>
      <c r="I925">
        <f t="shared" si="42"/>
        <v>30.75</v>
      </c>
      <c r="J925">
        <f t="shared" si="43"/>
        <v>-8.09999999999999</v>
      </c>
      <c r="K925">
        <f t="shared" si="44"/>
        <v>-5.5</v>
      </c>
    </row>
    <row r="926" spans="1:11">
      <c r="A926">
        <v>30.857</v>
      </c>
      <c r="B926">
        <v>-157.8</v>
      </c>
      <c r="C926">
        <v>212.8</v>
      </c>
      <c r="E926">
        <v>30.823</v>
      </c>
      <c r="F926">
        <v>-158</v>
      </c>
      <c r="G926">
        <v>213.9</v>
      </c>
      <c r="I926">
        <f t="shared" si="42"/>
        <v>30.8</v>
      </c>
      <c r="J926">
        <f t="shared" si="43"/>
        <v>-8</v>
      </c>
      <c r="K926">
        <f t="shared" si="44"/>
        <v>-5.5</v>
      </c>
    </row>
    <row r="927" spans="1:11">
      <c r="A927">
        <v>30.89</v>
      </c>
      <c r="B927">
        <v>-157.1</v>
      </c>
      <c r="C927">
        <v>210.5</v>
      </c>
      <c r="E927">
        <v>30.857</v>
      </c>
      <c r="F927">
        <v>-157.8</v>
      </c>
      <c r="G927">
        <v>212.8</v>
      </c>
      <c r="I927">
        <f t="shared" si="42"/>
        <v>30.85</v>
      </c>
      <c r="J927">
        <f t="shared" si="43"/>
        <v>-7.80000000000001</v>
      </c>
      <c r="K927">
        <f t="shared" si="44"/>
        <v>-5.5</v>
      </c>
    </row>
    <row r="928" spans="1:11">
      <c r="A928">
        <v>30.924</v>
      </c>
      <c r="B928">
        <v>-156.7</v>
      </c>
      <c r="C928">
        <v>209.8</v>
      </c>
      <c r="E928">
        <v>30.89</v>
      </c>
      <c r="F928">
        <v>-157.1</v>
      </c>
      <c r="G928">
        <v>210.5</v>
      </c>
      <c r="I928">
        <f t="shared" si="42"/>
        <v>30.85</v>
      </c>
      <c r="J928">
        <f t="shared" si="43"/>
        <v>-7.09999999999999</v>
      </c>
      <c r="K928">
        <f t="shared" si="44"/>
        <v>-5.5</v>
      </c>
    </row>
    <row r="929" spans="1:11">
      <c r="A929">
        <v>30.957</v>
      </c>
      <c r="B929">
        <v>-156.1</v>
      </c>
      <c r="C929">
        <v>208.5</v>
      </c>
      <c r="E929">
        <v>30.924</v>
      </c>
      <c r="F929">
        <v>-156.7</v>
      </c>
      <c r="G929">
        <v>209.8</v>
      </c>
      <c r="I929">
        <f t="shared" si="42"/>
        <v>30.9</v>
      </c>
      <c r="J929">
        <f t="shared" si="43"/>
        <v>-6.69999999999999</v>
      </c>
      <c r="K929">
        <f t="shared" si="44"/>
        <v>-5.5</v>
      </c>
    </row>
    <row r="930" spans="1:11">
      <c r="A930">
        <v>30.99</v>
      </c>
      <c r="B930">
        <v>-155.8</v>
      </c>
      <c r="C930">
        <v>207.5</v>
      </c>
      <c r="E930">
        <v>30.957</v>
      </c>
      <c r="F930">
        <v>-156.1</v>
      </c>
      <c r="G930">
        <v>208.5</v>
      </c>
      <c r="I930">
        <f t="shared" si="42"/>
        <v>30.95</v>
      </c>
      <c r="J930">
        <f t="shared" si="43"/>
        <v>-6.09999999999999</v>
      </c>
      <c r="K930">
        <f t="shared" si="44"/>
        <v>-5.5</v>
      </c>
    </row>
    <row r="931" spans="1:11">
      <c r="A931">
        <v>31.024</v>
      </c>
      <c r="B931">
        <v>-155.1</v>
      </c>
      <c r="C931">
        <v>206.4</v>
      </c>
      <c r="E931">
        <v>30.99</v>
      </c>
      <c r="F931">
        <v>-155.8</v>
      </c>
      <c r="G931">
        <v>207.5</v>
      </c>
      <c r="I931">
        <f t="shared" si="42"/>
        <v>30.95</v>
      </c>
      <c r="J931">
        <f t="shared" si="43"/>
        <v>-5.80000000000001</v>
      </c>
      <c r="K931">
        <f t="shared" si="44"/>
        <v>-5.5</v>
      </c>
    </row>
    <row r="932" spans="1:11">
      <c r="A932">
        <v>31.057</v>
      </c>
      <c r="B932">
        <v>-154.6</v>
      </c>
      <c r="C932">
        <v>206.2</v>
      </c>
      <c r="E932">
        <v>31.024</v>
      </c>
      <c r="F932">
        <v>-155.1</v>
      </c>
      <c r="G932">
        <v>206.4</v>
      </c>
      <c r="I932">
        <f t="shared" si="42"/>
        <v>31</v>
      </c>
      <c r="J932">
        <f t="shared" si="43"/>
        <v>-5.09999999999999</v>
      </c>
      <c r="K932">
        <f t="shared" si="44"/>
        <v>-5.5</v>
      </c>
    </row>
    <row r="933" spans="1:11">
      <c r="A933">
        <v>31.091</v>
      </c>
      <c r="B933">
        <v>-154</v>
      </c>
      <c r="C933">
        <v>203.7</v>
      </c>
      <c r="E933">
        <v>31.057</v>
      </c>
      <c r="F933">
        <v>-154.6</v>
      </c>
      <c r="G933">
        <v>206.2</v>
      </c>
      <c r="I933">
        <f t="shared" si="42"/>
        <v>31.05</v>
      </c>
      <c r="J933">
        <f t="shared" si="43"/>
        <v>-4.59999999999999</v>
      </c>
      <c r="K933">
        <f t="shared" si="44"/>
        <v>-5.5</v>
      </c>
    </row>
    <row r="934" spans="1:11">
      <c r="A934">
        <v>31.124</v>
      </c>
      <c r="B934">
        <v>-153.6</v>
      </c>
      <c r="C934">
        <v>202.9</v>
      </c>
      <c r="E934">
        <v>31.091</v>
      </c>
      <c r="F934">
        <v>-154</v>
      </c>
      <c r="G934">
        <v>203.7</v>
      </c>
      <c r="I934">
        <f t="shared" si="42"/>
        <v>31.05</v>
      </c>
      <c r="J934">
        <f t="shared" si="43"/>
        <v>-4</v>
      </c>
      <c r="K934">
        <f t="shared" si="44"/>
        <v>-5.5</v>
      </c>
    </row>
    <row r="935" spans="1:11">
      <c r="A935">
        <v>31.158</v>
      </c>
      <c r="B935">
        <v>-153.1</v>
      </c>
      <c r="C935">
        <v>202.3</v>
      </c>
      <c r="E935">
        <v>31.124</v>
      </c>
      <c r="F935">
        <v>-153.6</v>
      </c>
      <c r="G935">
        <v>202.9</v>
      </c>
      <c r="I935">
        <f t="shared" si="42"/>
        <v>31.1</v>
      </c>
      <c r="J935">
        <f t="shared" si="43"/>
        <v>-3.59999999999999</v>
      </c>
      <c r="K935">
        <f t="shared" si="44"/>
        <v>-5.5</v>
      </c>
    </row>
    <row r="936" spans="1:11">
      <c r="A936">
        <v>31.191</v>
      </c>
      <c r="B936">
        <v>-153</v>
      </c>
      <c r="C936">
        <v>201</v>
      </c>
      <c r="E936">
        <v>31.158</v>
      </c>
      <c r="F936">
        <v>-153.1</v>
      </c>
      <c r="G936">
        <v>202.3</v>
      </c>
      <c r="I936">
        <f t="shared" si="42"/>
        <v>31.15</v>
      </c>
      <c r="J936">
        <f t="shared" si="43"/>
        <v>-3.09999999999999</v>
      </c>
      <c r="K936">
        <f t="shared" si="44"/>
        <v>-5.5</v>
      </c>
    </row>
    <row r="937" spans="1:11">
      <c r="A937">
        <v>31.224</v>
      </c>
      <c r="B937">
        <v>-152.8</v>
      </c>
      <c r="C937">
        <v>199.9</v>
      </c>
      <c r="E937">
        <v>31.191</v>
      </c>
      <c r="F937">
        <v>-153</v>
      </c>
      <c r="G937">
        <v>201</v>
      </c>
      <c r="I937">
        <f t="shared" si="42"/>
        <v>31.15</v>
      </c>
      <c r="J937">
        <f t="shared" si="43"/>
        <v>-3</v>
      </c>
      <c r="K937">
        <f t="shared" si="44"/>
        <v>-5.5</v>
      </c>
    </row>
    <row r="938" spans="1:11">
      <c r="A938">
        <v>31.258</v>
      </c>
      <c r="B938">
        <v>-152.4</v>
      </c>
      <c r="C938">
        <v>198.1</v>
      </c>
      <c r="E938">
        <v>31.224</v>
      </c>
      <c r="F938">
        <v>-152.8</v>
      </c>
      <c r="G938">
        <v>199.9</v>
      </c>
      <c r="I938">
        <f t="shared" si="42"/>
        <v>31.2</v>
      </c>
      <c r="J938">
        <f t="shared" si="43"/>
        <v>-2.80000000000001</v>
      </c>
      <c r="K938">
        <f t="shared" si="44"/>
        <v>-5.5</v>
      </c>
    </row>
    <row r="939" spans="1:11">
      <c r="A939">
        <v>31.291</v>
      </c>
      <c r="B939">
        <v>-152.2</v>
      </c>
      <c r="C939">
        <v>198.4</v>
      </c>
      <c r="E939">
        <v>31.258</v>
      </c>
      <c r="F939">
        <v>-152.4</v>
      </c>
      <c r="G939">
        <v>198.1</v>
      </c>
      <c r="I939">
        <f t="shared" si="42"/>
        <v>31.25</v>
      </c>
      <c r="J939">
        <f t="shared" si="43"/>
        <v>-2.40000000000001</v>
      </c>
      <c r="K939">
        <f t="shared" si="44"/>
        <v>-5.5</v>
      </c>
    </row>
    <row r="940" spans="1:11">
      <c r="A940">
        <v>31.325</v>
      </c>
      <c r="B940">
        <v>-152.2</v>
      </c>
      <c r="C940">
        <v>238.4</v>
      </c>
      <c r="E940">
        <v>31.291</v>
      </c>
      <c r="F940">
        <v>-152.2</v>
      </c>
      <c r="G940">
        <v>198.4</v>
      </c>
      <c r="I940">
        <f t="shared" si="42"/>
        <v>31.25</v>
      </c>
      <c r="J940">
        <f t="shared" si="43"/>
        <v>-2.19999999999999</v>
      </c>
      <c r="K940">
        <f t="shared" si="44"/>
        <v>-5.5</v>
      </c>
    </row>
    <row r="941" spans="1:11">
      <c r="A941">
        <v>31.358</v>
      </c>
      <c r="B941">
        <v>-152.2</v>
      </c>
      <c r="C941">
        <v>238.4</v>
      </c>
      <c r="E941">
        <v>31.325</v>
      </c>
      <c r="F941">
        <v>-152.2</v>
      </c>
      <c r="G941">
        <v>238.4</v>
      </c>
      <c r="I941">
        <f t="shared" si="42"/>
        <v>31.3</v>
      </c>
      <c r="J941">
        <f t="shared" si="43"/>
        <v>-2.19999999999999</v>
      </c>
      <c r="K941">
        <f t="shared" si="44"/>
        <v>5</v>
      </c>
    </row>
    <row r="942" spans="1:11">
      <c r="A942">
        <v>31.392</v>
      </c>
      <c r="B942">
        <v>-152.3</v>
      </c>
      <c r="C942">
        <v>238.4</v>
      </c>
      <c r="E942">
        <v>31.358</v>
      </c>
      <c r="F942">
        <v>-152.2</v>
      </c>
      <c r="G942">
        <v>238.4</v>
      </c>
      <c r="I942">
        <f t="shared" si="42"/>
        <v>31.35</v>
      </c>
      <c r="J942">
        <f t="shared" si="43"/>
        <v>-2.19999999999999</v>
      </c>
      <c r="K942">
        <f t="shared" si="44"/>
        <v>5</v>
      </c>
    </row>
    <row r="943" spans="1:11">
      <c r="A943">
        <v>31.425</v>
      </c>
      <c r="B943">
        <v>-152.4</v>
      </c>
      <c r="C943">
        <v>238.4</v>
      </c>
      <c r="E943">
        <v>31.392</v>
      </c>
      <c r="F943">
        <v>-152.3</v>
      </c>
      <c r="G943">
        <v>238.4</v>
      </c>
      <c r="I943">
        <f t="shared" si="42"/>
        <v>31.35</v>
      </c>
      <c r="J943">
        <f t="shared" si="43"/>
        <v>-2.30000000000001</v>
      </c>
      <c r="K943">
        <f t="shared" si="44"/>
        <v>5</v>
      </c>
    </row>
    <row r="944" spans="1:11">
      <c r="A944">
        <v>31.458</v>
      </c>
      <c r="B944">
        <v>-152.5</v>
      </c>
      <c r="C944">
        <v>238.4</v>
      </c>
      <c r="E944">
        <v>31.425</v>
      </c>
      <c r="F944">
        <v>-152.4</v>
      </c>
      <c r="G944">
        <v>238.4</v>
      </c>
      <c r="I944">
        <f t="shared" si="42"/>
        <v>31.4</v>
      </c>
      <c r="J944">
        <f t="shared" si="43"/>
        <v>-2.40000000000001</v>
      </c>
      <c r="K944">
        <f t="shared" si="44"/>
        <v>5</v>
      </c>
    </row>
    <row r="945" spans="1:11">
      <c r="A945">
        <v>31.492</v>
      </c>
      <c r="B945">
        <v>-152.5</v>
      </c>
      <c r="C945">
        <v>238.4</v>
      </c>
      <c r="E945">
        <v>31.458</v>
      </c>
      <c r="F945">
        <v>-152.5</v>
      </c>
      <c r="G945">
        <v>238.4</v>
      </c>
      <c r="I945">
        <f t="shared" si="42"/>
        <v>31.45</v>
      </c>
      <c r="J945">
        <f t="shared" si="43"/>
        <v>-2.5</v>
      </c>
      <c r="K945">
        <f t="shared" si="44"/>
        <v>5</v>
      </c>
    </row>
    <row r="946" spans="1:11">
      <c r="A946">
        <v>31.525</v>
      </c>
      <c r="B946">
        <v>-152.6</v>
      </c>
      <c r="C946">
        <v>238.4</v>
      </c>
      <c r="E946">
        <v>31.492</v>
      </c>
      <c r="F946">
        <v>-152.5</v>
      </c>
      <c r="G946">
        <v>238.4</v>
      </c>
      <c r="I946">
        <f t="shared" si="42"/>
        <v>31.45</v>
      </c>
      <c r="J946">
        <f t="shared" si="43"/>
        <v>-2.5</v>
      </c>
      <c r="K946">
        <f t="shared" si="44"/>
        <v>5</v>
      </c>
    </row>
    <row r="947" spans="1:11">
      <c r="A947">
        <v>31.559</v>
      </c>
      <c r="B947">
        <v>-152.7</v>
      </c>
      <c r="C947">
        <v>238.4</v>
      </c>
      <c r="E947">
        <v>31.525</v>
      </c>
      <c r="F947">
        <v>-152.6</v>
      </c>
      <c r="G947">
        <v>238.4</v>
      </c>
      <c r="I947">
        <f t="shared" si="42"/>
        <v>31.5</v>
      </c>
      <c r="J947">
        <f t="shared" si="43"/>
        <v>-2.59999999999999</v>
      </c>
      <c r="K947">
        <f t="shared" si="44"/>
        <v>5</v>
      </c>
    </row>
    <row r="948" spans="1:11">
      <c r="A948">
        <v>31.592</v>
      </c>
      <c r="B948">
        <v>-152.8</v>
      </c>
      <c r="C948">
        <v>238.4</v>
      </c>
      <c r="E948">
        <v>31.559</v>
      </c>
      <c r="F948">
        <v>-152.7</v>
      </c>
      <c r="G948">
        <v>238.4</v>
      </c>
      <c r="I948">
        <f t="shared" si="42"/>
        <v>31.55</v>
      </c>
      <c r="J948">
        <f t="shared" si="43"/>
        <v>-2.69999999999999</v>
      </c>
      <c r="K948">
        <f t="shared" si="44"/>
        <v>5</v>
      </c>
    </row>
    <row r="949" spans="1:11">
      <c r="A949">
        <v>31.626</v>
      </c>
      <c r="B949">
        <v>-152.9</v>
      </c>
      <c r="C949">
        <v>238.4</v>
      </c>
      <c r="E949">
        <v>31.592</v>
      </c>
      <c r="F949">
        <v>-152.8</v>
      </c>
      <c r="G949">
        <v>238.4</v>
      </c>
      <c r="I949">
        <f t="shared" si="42"/>
        <v>31.55</v>
      </c>
      <c r="J949">
        <f t="shared" si="43"/>
        <v>-2.80000000000001</v>
      </c>
      <c r="K949">
        <f t="shared" si="44"/>
        <v>5</v>
      </c>
    </row>
    <row r="950" spans="1:11">
      <c r="A950">
        <v>31.659</v>
      </c>
      <c r="B950">
        <v>-153.2</v>
      </c>
      <c r="C950">
        <v>238.4</v>
      </c>
      <c r="E950">
        <v>31.626</v>
      </c>
      <c r="F950">
        <v>-152.9</v>
      </c>
      <c r="G950">
        <v>238.4</v>
      </c>
      <c r="I950">
        <f t="shared" si="42"/>
        <v>31.6</v>
      </c>
      <c r="J950">
        <f t="shared" si="43"/>
        <v>-2.90000000000001</v>
      </c>
      <c r="K950">
        <f t="shared" si="44"/>
        <v>5</v>
      </c>
    </row>
    <row r="951" spans="1:11">
      <c r="A951">
        <v>31.692</v>
      </c>
      <c r="B951">
        <v>-153.8</v>
      </c>
      <c r="C951">
        <v>238.4</v>
      </c>
      <c r="E951">
        <v>31.659</v>
      </c>
      <c r="F951">
        <v>-153.2</v>
      </c>
      <c r="G951">
        <v>238.4</v>
      </c>
      <c r="I951">
        <f t="shared" si="42"/>
        <v>31.65</v>
      </c>
      <c r="J951">
        <f t="shared" si="43"/>
        <v>-3.19999999999999</v>
      </c>
      <c r="K951">
        <f t="shared" si="44"/>
        <v>5</v>
      </c>
    </row>
    <row r="952" spans="1:11">
      <c r="A952">
        <v>31.726</v>
      </c>
      <c r="B952">
        <v>-154.1</v>
      </c>
      <c r="C952">
        <v>238.4</v>
      </c>
      <c r="E952">
        <v>31.692</v>
      </c>
      <c r="F952">
        <v>-153.8</v>
      </c>
      <c r="G952">
        <v>238.4</v>
      </c>
      <c r="I952">
        <f t="shared" si="42"/>
        <v>31.65</v>
      </c>
      <c r="J952">
        <f t="shared" si="43"/>
        <v>-3.80000000000001</v>
      </c>
      <c r="K952">
        <f t="shared" si="44"/>
        <v>5</v>
      </c>
    </row>
    <row r="953" spans="1:11">
      <c r="A953">
        <v>31.759</v>
      </c>
      <c r="B953">
        <v>-154.7</v>
      </c>
      <c r="C953">
        <v>238.4</v>
      </c>
      <c r="E953">
        <v>31.726</v>
      </c>
      <c r="F953">
        <v>-154.1</v>
      </c>
      <c r="G953">
        <v>238.4</v>
      </c>
      <c r="I953">
        <f t="shared" si="42"/>
        <v>31.7</v>
      </c>
      <c r="J953">
        <f t="shared" si="43"/>
        <v>-4.09999999999999</v>
      </c>
      <c r="K953">
        <f t="shared" si="44"/>
        <v>5</v>
      </c>
    </row>
    <row r="954" spans="1:11">
      <c r="A954">
        <v>31.793</v>
      </c>
      <c r="B954">
        <v>-154.9</v>
      </c>
      <c r="C954">
        <v>238.4</v>
      </c>
      <c r="E954">
        <v>31.759</v>
      </c>
      <c r="F954">
        <v>-154.7</v>
      </c>
      <c r="G954">
        <v>238.4</v>
      </c>
      <c r="I954">
        <f t="shared" si="42"/>
        <v>31.75</v>
      </c>
      <c r="J954">
        <f t="shared" si="43"/>
        <v>-4.69999999999999</v>
      </c>
      <c r="K954">
        <f t="shared" si="44"/>
        <v>5</v>
      </c>
    </row>
    <row r="955" spans="1:11">
      <c r="A955">
        <v>31.826</v>
      </c>
      <c r="B955">
        <v>-155.2</v>
      </c>
      <c r="C955">
        <v>238.4</v>
      </c>
      <c r="E955">
        <v>31.793</v>
      </c>
      <c r="F955">
        <v>-154.9</v>
      </c>
      <c r="G955">
        <v>238.4</v>
      </c>
      <c r="I955">
        <f t="shared" si="42"/>
        <v>31.75</v>
      </c>
      <c r="J955">
        <f t="shared" si="43"/>
        <v>-4.90000000000001</v>
      </c>
      <c r="K955">
        <f t="shared" si="44"/>
        <v>5</v>
      </c>
    </row>
    <row r="956" spans="1:11">
      <c r="A956">
        <v>31.86</v>
      </c>
      <c r="B956">
        <v>-155.8</v>
      </c>
      <c r="C956">
        <v>238.4</v>
      </c>
      <c r="E956">
        <v>31.826</v>
      </c>
      <c r="F956">
        <v>-155.2</v>
      </c>
      <c r="G956">
        <v>238.4</v>
      </c>
      <c r="I956">
        <f t="shared" si="42"/>
        <v>31.8</v>
      </c>
      <c r="J956">
        <f t="shared" si="43"/>
        <v>-5.19999999999999</v>
      </c>
      <c r="K956">
        <f t="shared" si="44"/>
        <v>5</v>
      </c>
    </row>
    <row r="957" spans="1:11">
      <c r="A957">
        <v>31.893</v>
      </c>
      <c r="B957">
        <v>-156.1</v>
      </c>
      <c r="C957">
        <v>238.4</v>
      </c>
      <c r="E957">
        <v>31.86</v>
      </c>
      <c r="F957">
        <v>-155.8</v>
      </c>
      <c r="G957">
        <v>238.4</v>
      </c>
      <c r="I957">
        <f t="shared" si="42"/>
        <v>31.85</v>
      </c>
      <c r="J957">
        <f t="shared" si="43"/>
        <v>-5.80000000000001</v>
      </c>
      <c r="K957">
        <f t="shared" si="44"/>
        <v>5</v>
      </c>
    </row>
    <row r="958" spans="1:11">
      <c r="A958">
        <v>31.926</v>
      </c>
      <c r="B958">
        <v>-156.7</v>
      </c>
      <c r="C958">
        <v>238.4</v>
      </c>
      <c r="E958">
        <v>31.893</v>
      </c>
      <c r="F958">
        <v>-156.1</v>
      </c>
      <c r="G958">
        <v>238.4</v>
      </c>
      <c r="I958">
        <f t="shared" si="42"/>
        <v>31.85</v>
      </c>
      <c r="J958">
        <f t="shared" si="43"/>
        <v>-6.09999999999999</v>
      </c>
      <c r="K958">
        <f t="shared" si="44"/>
        <v>5</v>
      </c>
    </row>
    <row r="959" spans="1:11">
      <c r="A959">
        <v>31.96</v>
      </c>
      <c r="B959">
        <v>-156.8</v>
      </c>
      <c r="C959">
        <v>238.4</v>
      </c>
      <c r="E959">
        <v>31.926</v>
      </c>
      <c r="F959">
        <v>-156.7</v>
      </c>
      <c r="G959">
        <v>238.4</v>
      </c>
      <c r="I959">
        <f t="shared" si="42"/>
        <v>31.9</v>
      </c>
      <c r="J959">
        <f t="shared" si="43"/>
        <v>-6.69999999999999</v>
      </c>
      <c r="K959">
        <f t="shared" si="44"/>
        <v>5</v>
      </c>
    </row>
    <row r="960" spans="1:11">
      <c r="A960">
        <v>31.993</v>
      </c>
      <c r="B960">
        <v>-156.9</v>
      </c>
      <c r="C960">
        <v>238.4</v>
      </c>
      <c r="E960">
        <v>31.96</v>
      </c>
      <c r="F960">
        <v>-156.8</v>
      </c>
      <c r="G960">
        <v>238.4</v>
      </c>
      <c r="I960">
        <f t="shared" si="42"/>
        <v>31.95</v>
      </c>
      <c r="J960">
        <f t="shared" si="43"/>
        <v>-6.80000000000001</v>
      </c>
      <c r="K960">
        <f t="shared" si="44"/>
        <v>5</v>
      </c>
    </row>
    <row r="961" spans="1:11">
      <c r="A961">
        <v>32.027</v>
      </c>
      <c r="B961">
        <v>-156.9</v>
      </c>
      <c r="C961">
        <v>238.4</v>
      </c>
      <c r="E961">
        <v>31.993</v>
      </c>
      <c r="F961">
        <v>-156.9</v>
      </c>
      <c r="G961">
        <v>238.4</v>
      </c>
      <c r="I961">
        <f t="shared" ref="I961:I1024" si="45">FLOOR(E961,0.05)</f>
        <v>31.95</v>
      </c>
      <c r="J961">
        <f t="shared" si="43"/>
        <v>-6.90000000000001</v>
      </c>
      <c r="K961">
        <f t="shared" si="44"/>
        <v>5</v>
      </c>
    </row>
    <row r="962" spans="1:11">
      <c r="A962">
        <v>32.06</v>
      </c>
      <c r="B962">
        <v>-156.9</v>
      </c>
      <c r="C962">
        <v>238.4</v>
      </c>
      <c r="E962">
        <v>32.027</v>
      </c>
      <c r="F962">
        <v>-156.9</v>
      </c>
      <c r="G962">
        <v>238.4</v>
      </c>
      <c r="I962">
        <f t="shared" si="45"/>
        <v>32</v>
      </c>
      <c r="J962">
        <f t="shared" si="43"/>
        <v>-6.90000000000001</v>
      </c>
      <c r="K962">
        <f t="shared" si="44"/>
        <v>5</v>
      </c>
    </row>
    <row r="963" spans="1:11">
      <c r="A963">
        <v>32.094</v>
      </c>
      <c r="B963">
        <v>-156.8</v>
      </c>
      <c r="C963">
        <v>238.4</v>
      </c>
      <c r="E963">
        <v>32.06</v>
      </c>
      <c r="F963">
        <v>-156.9</v>
      </c>
      <c r="G963">
        <v>238.4</v>
      </c>
      <c r="I963">
        <f t="shared" si="45"/>
        <v>32.05</v>
      </c>
      <c r="J963">
        <f t="shared" si="43"/>
        <v>-6.90000000000001</v>
      </c>
      <c r="K963">
        <f t="shared" si="44"/>
        <v>5</v>
      </c>
    </row>
    <row r="964" spans="1:11">
      <c r="A964">
        <v>32.127</v>
      </c>
      <c r="B964">
        <v>-156.8</v>
      </c>
      <c r="C964">
        <v>238.4</v>
      </c>
      <c r="E964">
        <v>32.094</v>
      </c>
      <c r="F964">
        <v>-156.8</v>
      </c>
      <c r="G964">
        <v>238.4</v>
      </c>
      <c r="I964">
        <f t="shared" si="45"/>
        <v>32.05</v>
      </c>
      <c r="J964">
        <f t="shared" si="43"/>
        <v>-6.80000000000001</v>
      </c>
      <c r="K964">
        <f t="shared" si="44"/>
        <v>5</v>
      </c>
    </row>
    <row r="965" spans="1:11">
      <c r="A965">
        <v>32.161</v>
      </c>
      <c r="B965">
        <v>-156.7</v>
      </c>
      <c r="C965">
        <v>220.6</v>
      </c>
      <c r="E965">
        <v>32.127</v>
      </c>
      <c r="F965">
        <v>-156.8</v>
      </c>
      <c r="G965">
        <v>238.4</v>
      </c>
      <c r="I965">
        <f t="shared" si="45"/>
        <v>32.1</v>
      </c>
      <c r="J965">
        <f t="shared" ref="J965:J1028" si="46">F965+150</f>
        <v>-6.80000000000001</v>
      </c>
      <c r="K965">
        <f t="shared" ref="K965:K1028" si="47">IF(G965&lt;230,-5.5,5)</f>
        <v>5</v>
      </c>
    </row>
    <row r="966" spans="1:11">
      <c r="A966">
        <v>32.194</v>
      </c>
      <c r="B966">
        <v>-156.6</v>
      </c>
      <c r="C966">
        <v>222.9</v>
      </c>
      <c r="E966">
        <v>32.161</v>
      </c>
      <c r="F966">
        <v>-156.7</v>
      </c>
      <c r="G966">
        <v>220.6</v>
      </c>
      <c r="I966">
        <f t="shared" si="45"/>
        <v>32.15</v>
      </c>
      <c r="J966">
        <f t="shared" si="46"/>
        <v>-6.69999999999999</v>
      </c>
      <c r="K966">
        <f t="shared" si="47"/>
        <v>-5.5</v>
      </c>
    </row>
    <row r="967" spans="1:11">
      <c r="A967">
        <v>32.227</v>
      </c>
      <c r="B967">
        <v>-156.6</v>
      </c>
      <c r="C967">
        <v>222.1</v>
      </c>
      <c r="E967">
        <v>32.194</v>
      </c>
      <c r="F967">
        <v>-156.6</v>
      </c>
      <c r="G967">
        <v>222.9</v>
      </c>
      <c r="I967">
        <f t="shared" si="45"/>
        <v>32.15</v>
      </c>
      <c r="J967">
        <f t="shared" si="46"/>
        <v>-6.59999999999999</v>
      </c>
      <c r="K967">
        <f t="shared" si="47"/>
        <v>-5.5</v>
      </c>
    </row>
    <row r="968" spans="1:11">
      <c r="A968">
        <v>32.261</v>
      </c>
      <c r="B968">
        <v>-156.5</v>
      </c>
      <c r="C968">
        <v>220.8</v>
      </c>
      <c r="E968">
        <v>32.227</v>
      </c>
      <c r="F968">
        <v>-156.6</v>
      </c>
      <c r="G968">
        <v>222.1</v>
      </c>
      <c r="I968">
        <f t="shared" si="45"/>
        <v>32.2</v>
      </c>
      <c r="J968">
        <f t="shared" si="46"/>
        <v>-6.59999999999999</v>
      </c>
      <c r="K968">
        <f t="shared" si="47"/>
        <v>-5.5</v>
      </c>
    </row>
    <row r="969" spans="1:11">
      <c r="A969">
        <v>32.294</v>
      </c>
      <c r="B969">
        <v>-156.4</v>
      </c>
      <c r="C969">
        <v>219.6</v>
      </c>
      <c r="E969">
        <v>32.261</v>
      </c>
      <c r="F969">
        <v>-156.5</v>
      </c>
      <c r="G969">
        <v>220.8</v>
      </c>
      <c r="I969">
        <f t="shared" si="45"/>
        <v>32.25</v>
      </c>
      <c r="J969">
        <f t="shared" si="46"/>
        <v>-6.5</v>
      </c>
      <c r="K969">
        <f t="shared" si="47"/>
        <v>-5.5</v>
      </c>
    </row>
    <row r="970" spans="1:11">
      <c r="A970">
        <v>32.328</v>
      </c>
      <c r="B970">
        <v>-156.3</v>
      </c>
      <c r="C970">
        <v>218.9</v>
      </c>
      <c r="E970">
        <v>32.294</v>
      </c>
      <c r="F970">
        <v>-156.4</v>
      </c>
      <c r="G970">
        <v>219.6</v>
      </c>
      <c r="I970">
        <f t="shared" si="45"/>
        <v>32.25</v>
      </c>
      <c r="J970">
        <f t="shared" si="46"/>
        <v>-6.40000000000001</v>
      </c>
      <c r="K970">
        <f t="shared" si="47"/>
        <v>-5.5</v>
      </c>
    </row>
    <row r="971" spans="1:11">
      <c r="A971">
        <v>32.361</v>
      </c>
      <c r="B971">
        <v>-156.2</v>
      </c>
      <c r="C971">
        <v>218.1</v>
      </c>
      <c r="E971">
        <v>32.328</v>
      </c>
      <c r="F971">
        <v>-156.3</v>
      </c>
      <c r="G971">
        <v>218.9</v>
      </c>
      <c r="I971">
        <f t="shared" si="45"/>
        <v>32.3</v>
      </c>
      <c r="J971">
        <f t="shared" si="46"/>
        <v>-6.30000000000001</v>
      </c>
      <c r="K971">
        <f t="shared" si="47"/>
        <v>-5.5</v>
      </c>
    </row>
    <row r="972" spans="1:11">
      <c r="A972">
        <v>32.395</v>
      </c>
      <c r="B972">
        <v>-156.1</v>
      </c>
      <c r="C972">
        <v>216.1</v>
      </c>
      <c r="E972">
        <v>32.361</v>
      </c>
      <c r="F972">
        <v>-156.2</v>
      </c>
      <c r="G972">
        <v>218.1</v>
      </c>
      <c r="I972">
        <f t="shared" si="45"/>
        <v>32.35</v>
      </c>
      <c r="J972">
        <f t="shared" si="46"/>
        <v>-6.19999999999999</v>
      </c>
      <c r="K972">
        <f t="shared" si="47"/>
        <v>-5.5</v>
      </c>
    </row>
    <row r="973" spans="1:11">
      <c r="A973">
        <v>32.428</v>
      </c>
      <c r="B973">
        <v>-156</v>
      </c>
      <c r="C973">
        <v>216</v>
      </c>
      <c r="E973">
        <v>32.395</v>
      </c>
      <c r="F973">
        <v>-156.1</v>
      </c>
      <c r="G973">
        <v>216.1</v>
      </c>
      <c r="I973">
        <f t="shared" si="45"/>
        <v>32.35</v>
      </c>
      <c r="J973">
        <f t="shared" si="46"/>
        <v>-6.09999999999999</v>
      </c>
      <c r="K973">
        <f t="shared" si="47"/>
        <v>-5.5</v>
      </c>
    </row>
    <row r="974" spans="1:11">
      <c r="A974">
        <v>32.461</v>
      </c>
      <c r="B974">
        <v>-155.8</v>
      </c>
      <c r="C974">
        <v>213.7</v>
      </c>
      <c r="E974">
        <v>32.428</v>
      </c>
      <c r="F974">
        <v>-156</v>
      </c>
      <c r="G974">
        <v>216</v>
      </c>
      <c r="I974">
        <f t="shared" si="45"/>
        <v>32.4</v>
      </c>
      <c r="J974">
        <f t="shared" si="46"/>
        <v>-6</v>
      </c>
      <c r="K974">
        <f t="shared" si="47"/>
        <v>-5.5</v>
      </c>
    </row>
    <row r="975" spans="1:11">
      <c r="A975">
        <v>32.495</v>
      </c>
      <c r="B975">
        <v>-155.4</v>
      </c>
      <c r="C975">
        <v>212.4</v>
      </c>
      <c r="E975">
        <v>32.461</v>
      </c>
      <c r="F975">
        <v>-155.8</v>
      </c>
      <c r="G975">
        <v>213.7</v>
      </c>
      <c r="I975">
        <f t="shared" si="45"/>
        <v>32.45</v>
      </c>
      <c r="J975">
        <f t="shared" si="46"/>
        <v>-5.80000000000001</v>
      </c>
      <c r="K975">
        <f t="shared" si="47"/>
        <v>-5.5</v>
      </c>
    </row>
    <row r="976" spans="1:11">
      <c r="A976">
        <v>32.528</v>
      </c>
      <c r="B976">
        <v>-155.1</v>
      </c>
      <c r="C976">
        <v>211.8</v>
      </c>
      <c r="E976">
        <v>32.495</v>
      </c>
      <c r="F976">
        <v>-155.4</v>
      </c>
      <c r="G976">
        <v>212.4</v>
      </c>
      <c r="I976">
        <f t="shared" si="45"/>
        <v>32.45</v>
      </c>
      <c r="J976">
        <f t="shared" si="46"/>
        <v>-5.40000000000001</v>
      </c>
      <c r="K976">
        <f t="shared" si="47"/>
        <v>-5.5</v>
      </c>
    </row>
    <row r="977" spans="1:11">
      <c r="A977">
        <v>32.562</v>
      </c>
      <c r="B977">
        <v>-154.9</v>
      </c>
      <c r="C977">
        <v>209.9</v>
      </c>
      <c r="E977">
        <v>32.528</v>
      </c>
      <c r="F977">
        <v>-155.1</v>
      </c>
      <c r="G977">
        <v>211.8</v>
      </c>
      <c r="I977">
        <f t="shared" si="45"/>
        <v>32.5</v>
      </c>
      <c r="J977">
        <f t="shared" si="46"/>
        <v>-5.09999999999999</v>
      </c>
      <c r="K977">
        <f t="shared" si="47"/>
        <v>-5.5</v>
      </c>
    </row>
    <row r="978" spans="1:11">
      <c r="A978">
        <v>32.595</v>
      </c>
      <c r="B978">
        <v>-154.4</v>
      </c>
      <c r="C978">
        <v>208.5</v>
      </c>
      <c r="E978">
        <v>32.562</v>
      </c>
      <c r="F978">
        <v>-154.9</v>
      </c>
      <c r="G978">
        <v>209.9</v>
      </c>
      <c r="I978">
        <f t="shared" si="45"/>
        <v>32.55</v>
      </c>
      <c r="J978">
        <f t="shared" si="46"/>
        <v>-4.90000000000001</v>
      </c>
      <c r="K978">
        <f t="shared" si="47"/>
        <v>-5.5</v>
      </c>
    </row>
    <row r="979" spans="1:11">
      <c r="A979">
        <v>32.629</v>
      </c>
      <c r="B979">
        <v>-154.2</v>
      </c>
      <c r="C979">
        <v>207.3</v>
      </c>
      <c r="E979">
        <v>32.595</v>
      </c>
      <c r="F979">
        <v>-154.4</v>
      </c>
      <c r="G979">
        <v>208.5</v>
      </c>
      <c r="I979">
        <f t="shared" si="45"/>
        <v>32.55</v>
      </c>
      <c r="J979">
        <f t="shared" si="46"/>
        <v>-4.40000000000001</v>
      </c>
      <c r="K979">
        <f t="shared" si="47"/>
        <v>-5.5</v>
      </c>
    </row>
    <row r="980" spans="1:11">
      <c r="A980">
        <v>32.662</v>
      </c>
      <c r="B980">
        <v>-154.1</v>
      </c>
      <c r="C980">
        <v>206.8</v>
      </c>
      <c r="E980">
        <v>32.629</v>
      </c>
      <c r="F980">
        <v>-154.2</v>
      </c>
      <c r="G980">
        <v>207.3</v>
      </c>
      <c r="I980">
        <f t="shared" si="45"/>
        <v>32.6</v>
      </c>
      <c r="J980">
        <f t="shared" si="46"/>
        <v>-4.19999999999999</v>
      </c>
      <c r="K980">
        <f t="shared" si="47"/>
        <v>-5.5</v>
      </c>
    </row>
    <row r="981" spans="1:11">
      <c r="A981">
        <v>32.695</v>
      </c>
      <c r="B981">
        <v>-154</v>
      </c>
      <c r="C981">
        <v>205.5</v>
      </c>
      <c r="E981">
        <v>32.662</v>
      </c>
      <c r="F981">
        <v>-154.1</v>
      </c>
      <c r="G981">
        <v>206.8</v>
      </c>
      <c r="I981">
        <f t="shared" si="45"/>
        <v>32.65</v>
      </c>
      <c r="J981">
        <f t="shared" si="46"/>
        <v>-4.09999999999999</v>
      </c>
      <c r="K981">
        <f t="shared" si="47"/>
        <v>-5.5</v>
      </c>
    </row>
    <row r="982" spans="1:11">
      <c r="A982">
        <v>32.729</v>
      </c>
      <c r="B982">
        <v>-154</v>
      </c>
      <c r="C982">
        <v>203.5</v>
      </c>
      <c r="E982">
        <v>32.695</v>
      </c>
      <c r="F982">
        <v>-154</v>
      </c>
      <c r="G982">
        <v>205.5</v>
      </c>
      <c r="I982">
        <f t="shared" si="45"/>
        <v>32.65</v>
      </c>
      <c r="J982">
        <f t="shared" si="46"/>
        <v>-4</v>
      </c>
      <c r="K982">
        <f t="shared" si="47"/>
        <v>-5.5</v>
      </c>
    </row>
    <row r="983" spans="1:11">
      <c r="A983">
        <v>32.762</v>
      </c>
      <c r="B983">
        <v>-153.5</v>
      </c>
      <c r="C983">
        <v>202.1</v>
      </c>
      <c r="E983">
        <v>32.729</v>
      </c>
      <c r="F983">
        <v>-154</v>
      </c>
      <c r="G983">
        <v>203.5</v>
      </c>
      <c r="I983">
        <f t="shared" si="45"/>
        <v>32.7</v>
      </c>
      <c r="J983">
        <f t="shared" si="46"/>
        <v>-4</v>
      </c>
      <c r="K983">
        <f t="shared" si="47"/>
        <v>-5.5</v>
      </c>
    </row>
    <row r="984" spans="1:11">
      <c r="A984">
        <v>32.796</v>
      </c>
      <c r="B984">
        <v>-153.4</v>
      </c>
      <c r="C984">
        <v>202.1</v>
      </c>
      <c r="E984">
        <v>32.762</v>
      </c>
      <c r="F984">
        <v>-153.5</v>
      </c>
      <c r="G984">
        <v>202.1</v>
      </c>
      <c r="I984">
        <f t="shared" si="45"/>
        <v>32.75</v>
      </c>
      <c r="J984">
        <f t="shared" si="46"/>
        <v>-3.5</v>
      </c>
      <c r="K984">
        <f t="shared" si="47"/>
        <v>-5.5</v>
      </c>
    </row>
    <row r="985" spans="1:11">
      <c r="A985">
        <v>32.829</v>
      </c>
      <c r="B985">
        <v>-153.4</v>
      </c>
      <c r="C985">
        <v>200.8</v>
      </c>
      <c r="E985">
        <v>32.796</v>
      </c>
      <c r="F985">
        <v>-153.4</v>
      </c>
      <c r="G985">
        <v>202.1</v>
      </c>
      <c r="I985">
        <f t="shared" si="45"/>
        <v>32.75</v>
      </c>
      <c r="J985">
        <f t="shared" si="46"/>
        <v>-3.40000000000001</v>
      </c>
      <c r="K985">
        <f t="shared" si="47"/>
        <v>-5.5</v>
      </c>
    </row>
    <row r="986" spans="1:11">
      <c r="A986">
        <v>32.863</v>
      </c>
      <c r="B986">
        <v>-153.4</v>
      </c>
      <c r="C986">
        <v>198.9</v>
      </c>
      <c r="E986">
        <v>32.829</v>
      </c>
      <c r="F986">
        <v>-153.4</v>
      </c>
      <c r="G986">
        <v>200.8</v>
      </c>
      <c r="I986">
        <f t="shared" si="45"/>
        <v>32.8</v>
      </c>
      <c r="J986">
        <f t="shared" si="46"/>
        <v>-3.40000000000001</v>
      </c>
      <c r="K986">
        <f t="shared" si="47"/>
        <v>-5.5</v>
      </c>
    </row>
    <row r="987" spans="1:11">
      <c r="A987">
        <v>32.896</v>
      </c>
      <c r="B987">
        <v>-153.4</v>
      </c>
      <c r="C987">
        <v>198.1</v>
      </c>
      <c r="E987">
        <v>32.863</v>
      </c>
      <c r="F987">
        <v>-153.4</v>
      </c>
      <c r="G987">
        <v>198.9</v>
      </c>
      <c r="I987">
        <f t="shared" si="45"/>
        <v>32.85</v>
      </c>
      <c r="J987">
        <f t="shared" si="46"/>
        <v>-3.40000000000001</v>
      </c>
      <c r="K987">
        <f t="shared" si="47"/>
        <v>-5.5</v>
      </c>
    </row>
    <row r="988" spans="1:11">
      <c r="A988">
        <v>32.929</v>
      </c>
      <c r="B988">
        <v>-153.4</v>
      </c>
      <c r="C988">
        <v>238.2</v>
      </c>
      <c r="E988">
        <v>32.896</v>
      </c>
      <c r="F988">
        <v>-153.4</v>
      </c>
      <c r="G988">
        <v>198.1</v>
      </c>
      <c r="I988">
        <f t="shared" si="45"/>
        <v>32.85</v>
      </c>
      <c r="J988">
        <f t="shared" si="46"/>
        <v>-3.40000000000001</v>
      </c>
      <c r="K988">
        <f t="shared" si="47"/>
        <v>-5.5</v>
      </c>
    </row>
    <row r="989" spans="1:11">
      <c r="A989">
        <v>32.963</v>
      </c>
      <c r="B989">
        <v>-153.5</v>
      </c>
      <c r="C989">
        <v>238.2</v>
      </c>
      <c r="E989">
        <v>32.929</v>
      </c>
      <c r="F989">
        <v>-153.4</v>
      </c>
      <c r="G989">
        <v>238.2</v>
      </c>
      <c r="I989">
        <f t="shared" si="45"/>
        <v>32.9</v>
      </c>
      <c r="J989">
        <f t="shared" si="46"/>
        <v>-3.40000000000001</v>
      </c>
      <c r="K989">
        <f t="shared" si="47"/>
        <v>5</v>
      </c>
    </row>
    <row r="990" spans="1:11">
      <c r="A990">
        <v>32.996</v>
      </c>
      <c r="B990">
        <v>-153.6</v>
      </c>
      <c r="C990">
        <v>238.2</v>
      </c>
      <c r="E990">
        <v>32.963</v>
      </c>
      <c r="F990">
        <v>-153.5</v>
      </c>
      <c r="G990">
        <v>238.2</v>
      </c>
      <c r="I990">
        <f t="shared" si="45"/>
        <v>32.95</v>
      </c>
      <c r="J990">
        <f t="shared" si="46"/>
        <v>-3.5</v>
      </c>
      <c r="K990">
        <f t="shared" si="47"/>
        <v>5</v>
      </c>
    </row>
    <row r="991" spans="1:11">
      <c r="A991">
        <v>33.03</v>
      </c>
      <c r="B991">
        <v>-153.6</v>
      </c>
      <c r="C991">
        <v>238.2</v>
      </c>
      <c r="E991">
        <v>32.996</v>
      </c>
      <c r="F991">
        <v>-153.6</v>
      </c>
      <c r="G991">
        <v>238.2</v>
      </c>
      <c r="I991">
        <f t="shared" si="45"/>
        <v>32.95</v>
      </c>
      <c r="J991">
        <f t="shared" si="46"/>
        <v>-3.59999999999999</v>
      </c>
      <c r="K991">
        <f t="shared" si="47"/>
        <v>5</v>
      </c>
    </row>
    <row r="992" spans="1:11">
      <c r="A992">
        <v>33.063</v>
      </c>
      <c r="B992">
        <v>-153.7</v>
      </c>
      <c r="C992">
        <v>238.2</v>
      </c>
      <c r="E992">
        <v>33.03</v>
      </c>
      <c r="F992">
        <v>-153.6</v>
      </c>
      <c r="G992">
        <v>238.2</v>
      </c>
      <c r="I992">
        <f t="shared" si="45"/>
        <v>33</v>
      </c>
      <c r="J992">
        <f t="shared" si="46"/>
        <v>-3.59999999999999</v>
      </c>
      <c r="K992">
        <f t="shared" si="47"/>
        <v>5</v>
      </c>
    </row>
    <row r="993" spans="1:11">
      <c r="A993">
        <v>33.097</v>
      </c>
      <c r="B993">
        <v>-153.8</v>
      </c>
      <c r="C993">
        <v>238.4</v>
      </c>
      <c r="E993">
        <v>33.063</v>
      </c>
      <c r="F993">
        <v>-153.7</v>
      </c>
      <c r="G993">
        <v>238.2</v>
      </c>
      <c r="I993">
        <f t="shared" si="45"/>
        <v>33.05</v>
      </c>
      <c r="J993">
        <f t="shared" si="46"/>
        <v>-3.69999999999999</v>
      </c>
      <c r="K993">
        <f t="shared" si="47"/>
        <v>5</v>
      </c>
    </row>
    <row r="994" spans="1:11">
      <c r="A994">
        <v>33.13</v>
      </c>
      <c r="B994">
        <v>-153.9</v>
      </c>
      <c r="C994">
        <v>238.4</v>
      </c>
      <c r="E994">
        <v>33.097</v>
      </c>
      <c r="F994">
        <v>-153.8</v>
      </c>
      <c r="G994">
        <v>238.4</v>
      </c>
      <c r="I994">
        <f t="shared" si="45"/>
        <v>33.05</v>
      </c>
      <c r="J994">
        <f t="shared" si="46"/>
        <v>-3.80000000000001</v>
      </c>
      <c r="K994">
        <f t="shared" si="47"/>
        <v>5</v>
      </c>
    </row>
    <row r="995" spans="1:11">
      <c r="A995">
        <v>33.163</v>
      </c>
      <c r="B995">
        <v>-154</v>
      </c>
      <c r="C995">
        <v>238.4</v>
      </c>
      <c r="E995">
        <v>33.13</v>
      </c>
      <c r="F995">
        <v>-153.9</v>
      </c>
      <c r="G995">
        <v>238.4</v>
      </c>
      <c r="I995">
        <f t="shared" si="45"/>
        <v>33.1</v>
      </c>
      <c r="J995">
        <f t="shared" si="46"/>
        <v>-3.90000000000001</v>
      </c>
      <c r="K995">
        <f t="shared" si="47"/>
        <v>5</v>
      </c>
    </row>
    <row r="996" spans="1:11">
      <c r="A996">
        <v>33.197</v>
      </c>
      <c r="B996">
        <v>-154.5</v>
      </c>
      <c r="C996">
        <v>238.4</v>
      </c>
      <c r="E996">
        <v>33.163</v>
      </c>
      <c r="F996">
        <v>-154</v>
      </c>
      <c r="G996">
        <v>238.4</v>
      </c>
      <c r="I996">
        <f t="shared" si="45"/>
        <v>33.15</v>
      </c>
      <c r="J996">
        <f t="shared" si="46"/>
        <v>-4</v>
      </c>
      <c r="K996">
        <f t="shared" si="47"/>
        <v>5</v>
      </c>
    </row>
    <row r="997" spans="1:11">
      <c r="A997">
        <v>33.23</v>
      </c>
      <c r="B997">
        <v>-154.7</v>
      </c>
      <c r="C997">
        <v>238.4</v>
      </c>
      <c r="E997">
        <v>33.197</v>
      </c>
      <c r="F997">
        <v>-154.5</v>
      </c>
      <c r="G997">
        <v>238.4</v>
      </c>
      <c r="I997">
        <f t="shared" si="45"/>
        <v>33.15</v>
      </c>
      <c r="J997">
        <f t="shared" si="46"/>
        <v>-4.5</v>
      </c>
      <c r="K997">
        <f t="shared" si="47"/>
        <v>5</v>
      </c>
    </row>
    <row r="998" spans="1:11">
      <c r="A998">
        <v>33.264</v>
      </c>
      <c r="B998">
        <v>-154.9</v>
      </c>
      <c r="C998">
        <v>238.4</v>
      </c>
      <c r="E998">
        <v>33.23</v>
      </c>
      <c r="F998">
        <v>-154.7</v>
      </c>
      <c r="G998">
        <v>238.4</v>
      </c>
      <c r="I998">
        <f t="shared" si="45"/>
        <v>33.2</v>
      </c>
      <c r="J998">
        <f t="shared" si="46"/>
        <v>-4.69999999999999</v>
      </c>
      <c r="K998">
        <f t="shared" si="47"/>
        <v>5</v>
      </c>
    </row>
    <row r="999" spans="1:11">
      <c r="A999">
        <v>33.297</v>
      </c>
      <c r="B999">
        <v>-154.9</v>
      </c>
      <c r="C999">
        <v>238.4</v>
      </c>
      <c r="E999">
        <v>33.264</v>
      </c>
      <c r="F999">
        <v>-154.9</v>
      </c>
      <c r="G999">
        <v>238.4</v>
      </c>
      <c r="I999">
        <f t="shared" si="45"/>
        <v>33.25</v>
      </c>
      <c r="J999">
        <f t="shared" si="46"/>
        <v>-4.90000000000001</v>
      </c>
      <c r="K999">
        <f t="shared" si="47"/>
        <v>5</v>
      </c>
    </row>
    <row r="1000" spans="1:11">
      <c r="A1000">
        <v>33.331</v>
      </c>
      <c r="B1000">
        <v>-155</v>
      </c>
      <c r="C1000">
        <v>238.4</v>
      </c>
      <c r="E1000">
        <v>33.297</v>
      </c>
      <c r="F1000">
        <v>-154.9</v>
      </c>
      <c r="G1000">
        <v>238.4</v>
      </c>
      <c r="I1000">
        <f t="shared" si="45"/>
        <v>33.25</v>
      </c>
      <c r="J1000">
        <f t="shared" si="46"/>
        <v>-4.90000000000001</v>
      </c>
      <c r="K1000">
        <f t="shared" si="47"/>
        <v>5</v>
      </c>
    </row>
    <row r="1001" spans="1:11">
      <c r="A1001">
        <v>33.364</v>
      </c>
      <c r="B1001">
        <v>-155.5</v>
      </c>
      <c r="C1001">
        <v>238.4</v>
      </c>
      <c r="E1001">
        <v>33.331</v>
      </c>
      <c r="F1001">
        <v>-155</v>
      </c>
      <c r="G1001">
        <v>238.4</v>
      </c>
      <c r="I1001">
        <f t="shared" si="45"/>
        <v>33.3</v>
      </c>
      <c r="J1001">
        <f t="shared" si="46"/>
        <v>-5</v>
      </c>
      <c r="K1001">
        <f t="shared" si="47"/>
        <v>5</v>
      </c>
    </row>
    <row r="1002" spans="1:11">
      <c r="A1002">
        <v>33.397</v>
      </c>
      <c r="B1002">
        <v>-155.6</v>
      </c>
      <c r="C1002">
        <v>238.4</v>
      </c>
      <c r="E1002">
        <v>33.364</v>
      </c>
      <c r="F1002">
        <v>-155.5</v>
      </c>
      <c r="G1002">
        <v>238.4</v>
      </c>
      <c r="I1002">
        <f t="shared" si="45"/>
        <v>33.35</v>
      </c>
      <c r="J1002">
        <f t="shared" si="46"/>
        <v>-5.5</v>
      </c>
      <c r="K1002">
        <f t="shared" si="47"/>
        <v>5</v>
      </c>
    </row>
    <row r="1003" spans="1:11">
      <c r="A1003">
        <v>33.431</v>
      </c>
      <c r="B1003">
        <v>-155.8</v>
      </c>
      <c r="C1003">
        <v>238.4</v>
      </c>
      <c r="E1003">
        <v>33.397</v>
      </c>
      <c r="F1003">
        <v>-155.6</v>
      </c>
      <c r="G1003">
        <v>238.4</v>
      </c>
      <c r="I1003">
        <f t="shared" si="45"/>
        <v>33.35</v>
      </c>
      <c r="J1003">
        <f t="shared" si="46"/>
        <v>-5.59999999999999</v>
      </c>
      <c r="K1003">
        <f t="shared" si="47"/>
        <v>5</v>
      </c>
    </row>
    <row r="1004" spans="1:11">
      <c r="A1004">
        <v>33.464</v>
      </c>
      <c r="B1004">
        <v>-155.9</v>
      </c>
      <c r="C1004">
        <v>238.4</v>
      </c>
      <c r="E1004">
        <v>33.431</v>
      </c>
      <c r="F1004">
        <v>-155.8</v>
      </c>
      <c r="G1004">
        <v>238.4</v>
      </c>
      <c r="I1004">
        <f t="shared" si="45"/>
        <v>33.4</v>
      </c>
      <c r="J1004">
        <f t="shared" si="46"/>
        <v>-5.80000000000001</v>
      </c>
      <c r="K1004">
        <f t="shared" si="47"/>
        <v>5</v>
      </c>
    </row>
    <row r="1005" spans="1:11">
      <c r="A1005">
        <v>33.498</v>
      </c>
      <c r="B1005">
        <v>-155.9</v>
      </c>
      <c r="C1005">
        <v>238.4</v>
      </c>
      <c r="E1005">
        <v>33.464</v>
      </c>
      <c r="F1005">
        <v>-155.9</v>
      </c>
      <c r="G1005">
        <v>238.4</v>
      </c>
      <c r="I1005">
        <f t="shared" si="45"/>
        <v>33.45</v>
      </c>
      <c r="J1005">
        <f t="shared" si="46"/>
        <v>-5.90000000000001</v>
      </c>
      <c r="K1005">
        <f t="shared" si="47"/>
        <v>5</v>
      </c>
    </row>
    <row r="1006" spans="1:11">
      <c r="A1006">
        <v>33.531</v>
      </c>
      <c r="B1006">
        <v>-155.9</v>
      </c>
      <c r="C1006">
        <v>238.4</v>
      </c>
      <c r="E1006">
        <v>33.498</v>
      </c>
      <c r="F1006">
        <v>-155.9</v>
      </c>
      <c r="G1006">
        <v>238.4</v>
      </c>
      <c r="I1006">
        <f t="shared" si="45"/>
        <v>33.45</v>
      </c>
      <c r="J1006">
        <f t="shared" si="46"/>
        <v>-5.90000000000001</v>
      </c>
      <c r="K1006">
        <f t="shared" si="47"/>
        <v>5</v>
      </c>
    </row>
    <row r="1007" spans="1:11">
      <c r="A1007">
        <v>33.565</v>
      </c>
      <c r="B1007">
        <v>-155.8</v>
      </c>
      <c r="C1007">
        <v>238.4</v>
      </c>
      <c r="E1007">
        <v>33.531</v>
      </c>
      <c r="F1007">
        <v>-155.9</v>
      </c>
      <c r="G1007">
        <v>238.4</v>
      </c>
      <c r="I1007">
        <f t="shared" si="45"/>
        <v>33.5</v>
      </c>
      <c r="J1007">
        <f t="shared" si="46"/>
        <v>-5.90000000000001</v>
      </c>
      <c r="K1007">
        <f t="shared" si="47"/>
        <v>5</v>
      </c>
    </row>
    <row r="1008" spans="1:11">
      <c r="A1008">
        <v>33.598</v>
      </c>
      <c r="B1008">
        <v>-155.8</v>
      </c>
      <c r="C1008">
        <v>238.4</v>
      </c>
      <c r="E1008">
        <v>33.565</v>
      </c>
      <c r="F1008">
        <v>-155.8</v>
      </c>
      <c r="G1008">
        <v>238.4</v>
      </c>
      <c r="I1008">
        <f t="shared" si="45"/>
        <v>33.55</v>
      </c>
      <c r="J1008">
        <f t="shared" si="46"/>
        <v>-5.80000000000001</v>
      </c>
      <c r="K1008">
        <f t="shared" si="47"/>
        <v>5</v>
      </c>
    </row>
    <row r="1009" spans="1:11">
      <c r="A1009">
        <v>33.631</v>
      </c>
      <c r="B1009">
        <v>-155.7</v>
      </c>
      <c r="C1009">
        <v>238.4</v>
      </c>
      <c r="E1009">
        <v>33.598</v>
      </c>
      <c r="F1009">
        <v>-155.8</v>
      </c>
      <c r="G1009">
        <v>238.4</v>
      </c>
      <c r="I1009">
        <f t="shared" si="45"/>
        <v>33.55</v>
      </c>
      <c r="J1009">
        <f t="shared" si="46"/>
        <v>-5.80000000000001</v>
      </c>
      <c r="K1009">
        <f t="shared" si="47"/>
        <v>5</v>
      </c>
    </row>
    <row r="1010" spans="1:11">
      <c r="A1010">
        <v>33.665</v>
      </c>
      <c r="B1010">
        <v>-155.6</v>
      </c>
      <c r="C1010">
        <v>238.4</v>
      </c>
      <c r="E1010">
        <v>33.631</v>
      </c>
      <c r="F1010">
        <v>-155.7</v>
      </c>
      <c r="G1010">
        <v>238.4</v>
      </c>
      <c r="I1010">
        <f t="shared" si="45"/>
        <v>33.6</v>
      </c>
      <c r="J1010">
        <f t="shared" si="46"/>
        <v>-5.69999999999999</v>
      </c>
      <c r="K1010">
        <f t="shared" si="47"/>
        <v>5</v>
      </c>
    </row>
    <row r="1011" spans="1:11">
      <c r="A1011">
        <v>33.698</v>
      </c>
      <c r="B1011">
        <v>-155.6</v>
      </c>
      <c r="C1011">
        <v>238.4</v>
      </c>
      <c r="E1011">
        <v>33.665</v>
      </c>
      <c r="F1011">
        <v>-155.6</v>
      </c>
      <c r="G1011">
        <v>238.4</v>
      </c>
      <c r="I1011">
        <f t="shared" si="45"/>
        <v>33.65</v>
      </c>
      <c r="J1011">
        <f t="shared" si="46"/>
        <v>-5.59999999999999</v>
      </c>
      <c r="K1011">
        <f t="shared" si="47"/>
        <v>5</v>
      </c>
    </row>
    <row r="1012" spans="1:11">
      <c r="A1012">
        <v>33.732</v>
      </c>
      <c r="B1012">
        <v>-155.5</v>
      </c>
      <c r="C1012">
        <v>238.4</v>
      </c>
      <c r="E1012">
        <v>33.698</v>
      </c>
      <c r="F1012">
        <v>-155.6</v>
      </c>
      <c r="G1012">
        <v>238.4</v>
      </c>
      <c r="I1012">
        <f t="shared" si="45"/>
        <v>33.65</v>
      </c>
      <c r="J1012">
        <f t="shared" si="46"/>
        <v>-5.59999999999999</v>
      </c>
      <c r="K1012">
        <f t="shared" si="47"/>
        <v>5</v>
      </c>
    </row>
    <row r="1013" spans="1:11">
      <c r="A1013">
        <v>33.765</v>
      </c>
      <c r="B1013">
        <v>-155.5</v>
      </c>
      <c r="C1013">
        <v>238.4</v>
      </c>
      <c r="E1013">
        <v>33.732</v>
      </c>
      <c r="F1013">
        <v>-155.5</v>
      </c>
      <c r="G1013">
        <v>238.4</v>
      </c>
      <c r="I1013">
        <f t="shared" si="45"/>
        <v>33.7</v>
      </c>
      <c r="J1013">
        <f t="shared" si="46"/>
        <v>-5.5</v>
      </c>
      <c r="K1013">
        <f t="shared" si="47"/>
        <v>5</v>
      </c>
    </row>
    <row r="1014" spans="1:11">
      <c r="A1014">
        <v>33.799</v>
      </c>
      <c r="B1014">
        <v>-155.4</v>
      </c>
      <c r="C1014">
        <v>220.9</v>
      </c>
      <c r="E1014">
        <v>33.765</v>
      </c>
      <c r="F1014">
        <v>-155.5</v>
      </c>
      <c r="G1014">
        <v>238.4</v>
      </c>
      <c r="I1014">
        <f t="shared" si="45"/>
        <v>33.75</v>
      </c>
      <c r="J1014">
        <f t="shared" si="46"/>
        <v>-5.5</v>
      </c>
      <c r="K1014">
        <f t="shared" si="47"/>
        <v>5</v>
      </c>
    </row>
    <row r="1015" spans="1:11">
      <c r="A1015">
        <v>33.832</v>
      </c>
      <c r="B1015">
        <v>-155.3</v>
      </c>
      <c r="C1015">
        <v>222.2</v>
      </c>
      <c r="E1015">
        <v>33.799</v>
      </c>
      <c r="F1015">
        <v>-155.4</v>
      </c>
      <c r="G1015">
        <v>220.9</v>
      </c>
      <c r="I1015">
        <f t="shared" si="45"/>
        <v>33.75</v>
      </c>
      <c r="J1015">
        <f t="shared" si="46"/>
        <v>-5.40000000000001</v>
      </c>
      <c r="K1015">
        <f t="shared" si="47"/>
        <v>-5.5</v>
      </c>
    </row>
    <row r="1016" spans="1:11">
      <c r="A1016">
        <v>33.865</v>
      </c>
      <c r="B1016">
        <v>-155.2</v>
      </c>
      <c r="C1016">
        <v>221.7</v>
      </c>
      <c r="E1016">
        <v>33.832</v>
      </c>
      <c r="F1016">
        <v>-155.3</v>
      </c>
      <c r="G1016">
        <v>222.2</v>
      </c>
      <c r="I1016">
        <f t="shared" si="45"/>
        <v>33.8</v>
      </c>
      <c r="J1016">
        <f t="shared" si="46"/>
        <v>-5.30000000000001</v>
      </c>
      <c r="K1016">
        <f t="shared" si="47"/>
        <v>-5.5</v>
      </c>
    </row>
    <row r="1017" spans="1:11">
      <c r="A1017">
        <v>33.899</v>
      </c>
      <c r="B1017">
        <v>-155.1</v>
      </c>
      <c r="C1017">
        <v>221</v>
      </c>
      <c r="E1017">
        <v>33.865</v>
      </c>
      <c r="F1017">
        <v>-155.2</v>
      </c>
      <c r="G1017">
        <v>221.7</v>
      </c>
      <c r="I1017">
        <f t="shared" si="45"/>
        <v>33.85</v>
      </c>
      <c r="J1017">
        <f t="shared" si="46"/>
        <v>-5.19999999999999</v>
      </c>
      <c r="K1017">
        <f t="shared" si="47"/>
        <v>-5.5</v>
      </c>
    </row>
    <row r="1018" spans="1:11">
      <c r="A1018">
        <v>33.932</v>
      </c>
      <c r="B1018">
        <v>-155</v>
      </c>
      <c r="C1018">
        <v>219.8</v>
      </c>
      <c r="E1018">
        <v>33.899</v>
      </c>
      <c r="F1018">
        <v>-155.1</v>
      </c>
      <c r="G1018">
        <v>221</v>
      </c>
      <c r="I1018">
        <f t="shared" si="45"/>
        <v>33.85</v>
      </c>
      <c r="J1018">
        <f t="shared" si="46"/>
        <v>-5.09999999999999</v>
      </c>
      <c r="K1018">
        <f t="shared" si="47"/>
        <v>-5.5</v>
      </c>
    </row>
    <row r="1019" spans="1:11">
      <c r="A1019">
        <v>33.966</v>
      </c>
      <c r="B1019">
        <v>-155</v>
      </c>
      <c r="C1019">
        <v>219</v>
      </c>
      <c r="E1019">
        <v>33.932</v>
      </c>
      <c r="F1019">
        <v>-155</v>
      </c>
      <c r="G1019">
        <v>219.8</v>
      </c>
      <c r="I1019">
        <f t="shared" si="45"/>
        <v>33.9</v>
      </c>
      <c r="J1019">
        <f t="shared" si="46"/>
        <v>-5</v>
      </c>
      <c r="K1019">
        <f t="shared" si="47"/>
        <v>-5.5</v>
      </c>
    </row>
    <row r="1020" spans="1:11">
      <c r="A1020">
        <v>33.999</v>
      </c>
      <c r="B1020">
        <v>-155</v>
      </c>
      <c r="C1020">
        <v>216.8</v>
      </c>
      <c r="E1020">
        <v>33.966</v>
      </c>
      <c r="F1020">
        <v>-155</v>
      </c>
      <c r="G1020">
        <v>219</v>
      </c>
      <c r="I1020">
        <f t="shared" si="45"/>
        <v>33.95</v>
      </c>
      <c r="J1020">
        <f t="shared" si="46"/>
        <v>-5</v>
      </c>
      <c r="K1020">
        <f t="shared" si="47"/>
        <v>-5.5</v>
      </c>
    </row>
    <row r="1021" spans="1:11">
      <c r="A1021">
        <v>34.033</v>
      </c>
      <c r="B1021">
        <v>-154.6</v>
      </c>
      <c r="C1021">
        <v>215.5</v>
      </c>
      <c r="E1021">
        <v>33.999</v>
      </c>
      <c r="F1021">
        <v>-155</v>
      </c>
      <c r="G1021">
        <v>216.8</v>
      </c>
      <c r="I1021">
        <f t="shared" si="45"/>
        <v>33.95</v>
      </c>
      <c r="J1021">
        <f t="shared" si="46"/>
        <v>-5</v>
      </c>
      <c r="K1021">
        <f t="shared" si="47"/>
        <v>-5.5</v>
      </c>
    </row>
    <row r="1022" spans="1:11">
      <c r="A1022">
        <v>34.066</v>
      </c>
      <c r="B1022">
        <v>-154.4</v>
      </c>
      <c r="C1022">
        <v>214.5</v>
      </c>
      <c r="E1022">
        <v>34.033</v>
      </c>
      <c r="F1022">
        <v>-154.6</v>
      </c>
      <c r="G1022">
        <v>215.5</v>
      </c>
      <c r="I1022">
        <f t="shared" si="45"/>
        <v>34</v>
      </c>
      <c r="J1022">
        <f t="shared" si="46"/>
        <v>-4.59999999999999</v>
      </c>
      <c r="K1022">
        <f t="shared" si="47"/>
        <v>-5.5</v>
      </c>
    </row>
    <row r="1023" spans="1:11">
      <c r="A1023">
        <v>34.099</v>
      </c>
      <c r="B1023">
        <v>-154.2</v>
      </c>
      <c r="C1023">
        <v>213.4</v>
      </c>
      <c r="E1023">
        <v>34.066</v>
      </c>
      <c r="F1023">
        <v>-154.4</v>
      </c>
      <c r="G1023">
        <v>214.5</v>
      </c>
      <c r="I1023">
        <f t="shared" si="45"/>
        <v>34.05</v>
      </c>
      <c r="J1023">
        <f t="shared" si="46"/>
        <v>-4.40000000000001</v>
      </c>
      <c r="K1023">
        <f t="shared" si="47"/>
        <v>-5.5</v>
      </c>
    </row>
    <row r="1024" spans="1:11">
      <c r="A1024">
        <v>34.133</v>
      </c>
      <c r="B1024">
        <v>-154.1</v>
      </c>
      <c r="C1024">
        <v>211.9</v>
      </c>
      <c r="E1024">
        <v>34.099</v>
      </c>
      <c r="F1024">
        <v>-154.2</v>
      </c>
      <c r="G1024">
        <v>213.4</v>
      </c>
      <c r="I1024">
        <f t="shared" si="45"/>
        <v>34.05</v>
      </c>
      <c r="J1024">
        <f t="shared" si="46"/>
        <v>-4.19999999999999</v>
      </c>
      <c r="K1024">
        <f t="shared" si="47"/>
        <v>-5.5</v>
      </c>
    </row>
    <row r="1025" spans="1:11">
      <c r="A1025">
        <v>34.166</v>
      </c>
      <c r="B1025">
        <v>-154.1</v>
      </c>
      <c r="C1025">
        <v>211.2</v>
      </c>
      <c r="E1025">
        <v>34.133</v>
      </c>
      <c r="F1025">
        <v>-154.1</v>
      </c>
      <c r="G1025">
        <v>211.9</v>
      </c>
      <c r="I1025">
        <f t="shared" ref="I1025:I1088" si="48">FLOOR(E1025,0.05)</f>
        <v>34.1</v>
      </c>
      <c r="J1025">
        <f t="shared" si="46"/>
        <v>-4.09999999999999</v>
      </c>
      <c r="K1025">
        <f t="shared" si="47"/>
        <v>-5.5</v>
      </c>
    </row>
    <row r="1026" spans="1:11">
      <c r="A1026">
        <v>34.2</v>
      </c>
      <c r="B1026">
        <v>-154.2</v>
      </c>
      <c r="C1026">
        <v>209.6</v>
      </c>
      <c r="E1026">
        <v>34.166</v>
      </c>
      <c r="F1026">
        <v>-154.1</v>
      </c>
      <c r="G1026">
        <v>211.2</v>
      </c>
      <c r="I1026">
        <f t="shared" si="48"/>
        <v>34.15</v>
      </c>
      <c r="J1026">
        <f t="shared" si="46"/>
        <v>-4.09999999999999</v>
      </c>
      <c r="K1026">
        <f t="shared" si="47"/>
        <v>-5.5</v>
      </c>
    </row>
    <row r="1027" spans="1:11">
      <c r="A1027">
        <v>34.233</v>
      </c>
      <c r="B1027">
        <v>-154.1</v>
      </c>
      <c r="C1027">
        <v>208.1</v>
      </c>
      <c r="E1027">
        <v>34.2</v>
      </c>
      <c r="F1027">
        <v>-154.2</v>
      </c>
      <c r="G1027">
        <v>209.6</v>
      </c>
      <c r="I1027">
        <f t="shared" si="48"/>
        <v>34.2</v>
      </c>
      <c r="J1027">
        <f t="shared" si="46"/>
        <v>-4.19999999999999</v>
      </c>
      <c r="K1027">
        <f t="shared" si="47"/>
        <v>-5.5</v>
      </c>
    </row>
    <row r="1028" spans="1:11">
      <c r="A1028">
        <v>34.267</v>
      </c>
      <c r="B1028">
        <v>-154.2</v>
      </c>
      <c r="C1028">
        <v>207.5</v>
      </c>
      <c r="E1028">
        <v>34.233</v>
      </c>
      <c r="F1028">
        <v>-154.1</v>
      </c>
      <c r="G1028">
        <v>208.1</v>
      </c>
      <c r="I1028">
        <f t="shared" si="48"/>
        <v>34.2</v>
      </c>
      <c r="J1028">
        <f t="shared" si="46"/>
        <v>-4.09999999999999</v>
      </c>
      <c r="K1028">
        <f t="shared" si="47"/>
        <v>-5.5</v>
      </c>
    </row>
    <row r="1029" spans="1:11">
      <c r="A1029">
        <v>34.3</v>
      </c>
      <c r="B1029">
        <v>-154.2</v>
      </c>
      <c r="C1029">
        <v>205</v>
      </c>
      <c r="E1029">
        <v>34.267</v>
      </c>
      <c r="F1029">
        <v>-154.2</v>
      </c>
      <c r="G1029">
        <v>207.5</v>
      </c>
      <c r="I1029">
        <f t="shared" si="48"/>
        <v>34.25</v>
      </c>
      <c r="J1029">
        <f t="shared" ref="J1029:J1092" si="49">F1029+150</f>
        <v>-4.19999999999999</v>
      </c>
      <c r="K1029">
        <f t="shared" ref="K1029:K1092" si="50">IF(G1029&lt;230,-5.5,5)</f>
        <v>-5.5</v>
      </c>
    </row>
    <row r="1030" spans="1:11">
      <c r="A1030">
        <v>34.334</v>
      </c>
      <c r="B1030">
        <v>-154.3</v>
      </c>
      <c r="C1030">
        <v>204.1</v>
      </c>
      <c r="E1030">
        <v>34.3</v>
      </c>
      <c r="F1030">
        <v>-154.2</v>
      </c>
      <c r="G1030">
        <v>205</v>
      </c>
      <c r="I1030">
        <f t="shared" si="48"/>
        <v>34.3</v>
      </c>
      <c r="J1030">
        <f t="shared" si="49"/>
        <v>-4.19999999999999</v>
      </c>
      <c r="K1030">
        <f t="shared" si="50"/>
        <v>-5.5</v>
      </c>
    </row>
    <row r="1031" spans="1:11">
      <c r="A1031">
        <v>34.367</v>
      </c>
      <c r="B1031">
        <v>-154.4</v>
      </c>
      <c r="C1031">
        <v>204.1</v>
      </c>
      <c r="E1031">
        <v>34.334</v>
      </c>
      <c r="F1031">
        <v>-154.3</v>
      </c>
      <c r="G1031">
        <v>204.1</v>
      </c>
      <c r="I1031">
        <f t="shared" si="48"/>
        <v>34.3</v>
      </c>
      <c r="J1031">
        <f t="shared" si="49"/>
        <v>-4.30000000000001</v>
      </c>
      <c r="K1031">
        <f t="shared" si="50"/>
        <v>-5.5</v>
      </c>
    </row>
    <row r="1032" spans="1:11">
      <c r="A1032">
        <v>34.4</v>
      </c>
      <c r="B1032">
        <v>-154.4</v>
      </c>
      <c r="C1032">
        <v>203</v>
      </c>
      <c r="E1032">
        <v>34.367</v>
      </c>
      <c r="F1032">
        <v>-154.4</v>
      </c>
      <c r="G1032">
        <v>204.1</v>
      </c>
      <c r="I1032">
        <f t="shared" si="48"/>
        <v>34.35</v>
      </c>
      <c r="J1032">
        <f t="shared" si="49"/>
        <v>-4.40000000000001</v>
      </c>
      <c r="K1032">
        <f t="shared" si="50"/>
        <v>-5.5</v>
      </c>
    </row>
    <row r="1033" spans="1:11">
      <c r="A1033">
        <v>34.434</v>
      </c>
      <c r="B1033">
        <v>-154.5</v>
      </c>
      <c r="C1033">
        <v>200.9</v>
      </c>
      <c r="E1033">
        <v>34.4</v>
      </c>
      <c r="F1033">
        <v>-154.4</v>
      </c>
      <c r="G1033">
        <v>203</v>
      </c>
      <c r="I1033">
        <f t="shared" si="48"/>
        <v>34.4</v>
      </c>
      <c r="J1033">
        <f t="shared" si="49"/>
        <v>-4.40000000000001</v>
      </c>
      <c r="K1033">
        <f t="shared" si="50"/>
        <v>-5.5</v>
      </c>
    </row>
    <row r="1034" spans="1:11">
      <c r="A1034">
        <v>34.467</v>
      </c>
      <c r="B1034">
        <v>-154.6</v>
      </c>
      <c r="C1034">
        <v>200.1</v>
      </c>
      <c r="E1034">
        <v>34.434</v>
      </c>
      <c r="F1034">
        <v>-154.5</v>
      </c>
      <c r="G1034">
        <v>200.9</v>
      </c>
      <c r="I1034">
        <f t="shared" si="48"/>
        <v>34.4</v>
      </c>
      <c r="J1034">
        <f t="shared" si="49"/>
        <v>-4.5</v>
      </c>
      <c r="K1034">
        <f t="shared" si="50"/>
        <v>-5.5</v>
      </c>
    </row>
    <row r="1035" spans="1:11">
      <c r="A1035">
        <v>34.501</v>
      </c>
      <c r="B1035">
        <v>-154.6</v>
      </c>
      <c r="C1035">
        <v>199.9</v>
      </c>
      <c r="E1035">
        <v>34.467</v>
      </c>
      <c r="F1035">
        <v>-154.6</v>
      </c>
      <c r="G1035">
        <v>200.1</v>
      </c>
      <c r="I1035">
        <f t="shared" si="48"/>
        <v>34.45</v>
      </c>
      <c r="J1035">
        <f t="shared" si="49"/>
        <v>-4.59999999999999</v>
      </c>
      <c r="K1035">
        <f t="shared" si="50"/>
        <v>-5.5</v>
      </c>
    </row>
    <row r="1036" spans="1:11">
      <c r="A1036">
        <v>34.534</v>
      </c>
      <c r="B1036">
        <v>-154.7</v>
      </c>
      <c r="C1036">
        <v>197.7</v>
      </c>
      <c r="E1036">
        <v>34.501</v>
      </c>
      <c r="F1036">
        <v>-154.6</v>
      </c>
      <c r="G1036">
        <v>199.9</v>
      </c>
      <c r="I1036">
        <f t="shared" si="48"/>
        <v>34.5</v>
      </c>
      <c r="J1036">
        <f t="shared" si="49"/>
        <v>-4.59999999999999</v>
      </c>
      <c r="K1036">
        <f t="shared" si="50"/>
        <v>-5.5</v>
      </c>
    </row>
    <row r="1037" spans="1:11">
      <c r="A1037">
        <v>34.568</v>
      </c>
      <c r="B1037">
        <v>-154.8</v>
      </c>
      <c r="C1037">
        <v>238.4</v>
      </c>
      <c r="E1037">
        <v>34.534</v>
      </c>
      <c r="F1037">
        <v>-154.7</v>
      </c>
      <c r="G1037">
        <v>197.7</v>
      </c>
      <c r="I1037">
        <f t="shared" si="48"/>
        <v>34.5</v>
      </c>
      <c r="J1037">
        <f t="shared" si="49"/>
        <v>-4.69999999999999</v>
      </c>
      <c r="K1037">
        <f t="shared" si="50"/>
        <v>-5.5</v>
      </c>
    </row>
    <row r="1038" spans="1:11">
      <c r="A1038">
        <v>34.601</v>
      </c>
      <c r="B1038">
        <v>-154.9</v>
      </c>
      <c r="C1038">
        <v>238.4</v>
      </c>
      <c r="E1038">
        <v>34.568</v>
      </c>
      <c r="F1038">
        <v>-154.8</v>
      </c>
      <c r="G1038">
        <v>238.4</v>
      </c>
      <c r="I1038">
        <f t="shared" si="48"/>
        <v>34.55</v>
      </c>
      <c r="J1038">
        <f t="shared" si="49"/>
        <v>-4.80000000000001</v>
      </c>
      <c r="K1038">
        <f t="shared" si="50"/>
        <v>5</v>
      </c>
    </row>
    <row r="1039" spans="1:11">
      <c r="A1039">
        <v>34.634</v>
      </c>
      <c r="B1039">
        <v>-155</v>
      </c>
      <c r="C1039">
        <v>238.4</v>
      </c>
      <c r="E1039">
        <v>34.601</v>
      </c>
      <c r="F1039">
        <v>-154.9</v>
      </c>
      <c r="G1039">
        <v>238.4</v>
      </c>
      <c r="I1039">
        <f t="shared" si="48"/>
        <v>34.6</v>
      </c>
      <c r="J1039">
        <f t="shared" si="49"/>
        <v>-4.90000000000001</v>
      </c>
      <c r="K1039">
        <f t="shared" si="50"/>
        <v>5</v>
      </c>
    </row>
    <row r="1040" spans="1:11">
      <c r="A1040">
        <v>34.668</v>
      </c>
      <c r="B1040">
        <v>-155</v>
      </c>
      <c r="C1040">
        <v>238.4</v>
      </c>
      <c r="E1040">
        <v>34.634</v>
      </c>
      <c r="F1040">
        <v>-155</v>
      </c>
      <c r="G1040">
        <v>238.4</v>
      </c>
      <c r="I1040">
        <f t="shared" si="48"/>
        <v>34.6</v>
      </c>
      <c r="J1040">
        <f t="shared" si="49"/>
        <v>-5</v>
      </c>
      <c r="K1040">
        <f t="shared" si="50"/>
        <v>5</v>
      </c>
    </row>
    <row r="1041" spans="1:11">
      <c r="A1041">
        <v>34.701</v>
      </c>
      <c r="B1041">
        <v>-155</v>
      </c>
      <c r="C1041">
        <v>238.4</v>
      </c>
      <c r="E1041">
        <v>34.668</v>
      </c>
      <c r="F1041">
        <v>-155</v>
      </c>
      <c r="G1041">
        <v>238.4</v>
      </c>
      <c r="I1041">
        <f t="shared" si="48"/>
        <v>34.65</v>
      </c>
      <c r="J1041">
        <f t="shared" si="49"/>
        <v>-5</v>
      </c>
      <c r="K1041">
        <f t="shared" si="50"/>
        <v>5</v>
      </c>
    </row>
    <row r="1042" spans="1:11">
      <c r="A1042">
        <v>34.735</v>
      </c>
      <c r="B1042">
        <v>-155.5</v>
      </c>
      <c r="C1042">
        <v>238.4</v>
      </c>
      <c r="E1042">
        <v>34.701</v>
      </c>
      <c r="F1042">
        <v>-155</v>
      </c>
      <c r="G1042">
        <v>238.4</v>
      </c>
      <c r="I1042">
        <f t="shared" si="48"/>
        <v>34.7</v>
      </c>
      <c r="J1042">
        <f t="shared" si="49"/>
        <v>-5</v>
      </c>
      <c r="K1042">
        <f t="shared" si="50"/>
        <v>5</v>
      </c>
    </row>
    <row r="1043" spans="1:11">
      <c r="A1043">
        <v>34.768</v>
      </c>
      <c r="B1043">
        <v>-155.7</v>
      </c>
      <c r="C1043">
        <v>238.4</v>
      </c>
      <c r="E1043">
        <v>34.735</v>
      </c>
      <c r="F1043">
        <v>-155.5</v>
      </c>
      <c r="G1043">
        <v>238.4</v>
      </c>
      <c r="I1043">
        <f t="shared" si="48"/>
        <v>34.7</v>
      </c>
      <c r="J1043">
        <f t="shared" si="49"/>
        <v>-5.5</v>
      </c>
      <c r="K1043">
        <f t="shared" si="50"/>
        <v>5</v>
      </c>
    </row>
    <row r="1044" spans="1:11">
      <c r="A1044">
        <v>34.802</v>
      </c>
      <c r="B1044">
        <v>-155.8</v>
      </c>
      <c r="C1044">
        <v>238.4</v>
      </c>
      <c r="E1044">
        <v>34.768</v>
      </c>
      <c r="F1044">
        <v>-155.7</v>
      </c>
      <c r="G1044">
        <v>238.4</v>
      </c>
      <c r="I1044">
        <f t="shared" si="48"/>
        <v>34.75</v>
      </c>
      <c r="J1044">
        <f t="shared" si="49"/>
        <v>-5.69999999999999</v>
      </c>
      <c r="K1044">
        <f t="shared" si="50"/>
        <v>5</v>
      </c>
    </row>
    <row r="1045" spans="1:11">
      <c r="A1045">
        <v>34.835</v>
      </c>
      <c r="B1045">
        <v>-155.9</v>
      </c>
      <c r="C1045">
        <v>238.4</v>
      </c>
      <c r="E1045">
        <v>34.802</v>
      </c>
      <c r="F1045">
        <v>-155.8</v>
      </c>
      <c r="G1045">
        <v>238.4</v>
      </c>
      <c r="I1045">
        <f t="shared" si="48"/>
        <v>34.8</v>
      </c>
      <c r="J1045">
        <f t="shared" si="49"/>
        <v>-5.80000000000001</v>
      </c>
      <c r="K1045">
        <f t="shared" si="50"/>
        <v>5</v>
      </c>
    </row>
    <row r="1046" spans="1:11">
      <c r="A1046">
        <v>34.868</v>
      </c>
      <c r="B1046">
        <v>-155.9</v>
      </c>
      <c r="C1046">
        <v>238.4</v>
      </c>
      <c r="E1046">
        <v>34.835</v>
      </c>
      <c r="F1046">
        <v>-155.9</v>
      </c>
      <c r="G1046">
        <v>238.4</v>
      </c>
      <c r="I1046">
        <f t="shared" si="48"/>
        <v>34.8</v>
      </c>
      <c r="J1046">
        <f t="shared" si="49"/>
        <v>-5.90000000000001</v>
      </c>
      <c r="K1046">
        <f t="shared" si="50"/>
        <v>5</v>
      </c>
    </row>
    <row r="1047" spans="1:11">
      <c r="A1047">
        <v>34.902</v>
      </c>
      <c r="B1047">
        <v>-155.8</v>
      </c>
      <c r="C1047">
        <v>238.4</v>
      </c>
      <c r="E1047">
        <v>34.868</v>
      </c>
      <c r="F1047">
        <v>-155.9</v>
      </c>
      <c r="G1047">
        <v>238.4</v>
      </c>
      <c r="I1047">
        <f t="shared" si="48"/>
        <v>34.85</v>
      </c>
      <c r="J1047">
        <f t="shared" si="49"/>
        <v>-5.90000000000001</v>
      </c>
      <c r="K1047">
        <f t="shared" si="50"/>
        <v>5</v>
      </c>
    </row>
    <row r="1048" spans="1:11">
      <c r="A1048">
        <v>34.935</v>
      </c>
      <c r="B1048">
        <v>-155.8</v>
      </c>
      <c r="C1048">
        <v>238.4</v>
      </c>
      <c r="E1048">
        <v>34.902</v>
      </c>
      <c r="F1048">
        <v>-155.8</v>
      </c>
      <c r="G1048">
        <v>238.4</v>
      </c>
      <c r="I1048">
        <f t="shared" si="48"/>
        <v>34.9</v>
      </c>
      <c r="J1048">
        <f t="shared" si="49"/>
        <v>-5.80000000000001</v>
      </c>
      <c r="K1048">
        <f t="shared" si="50"/>
        <v>5</v>
      </c>
    </row>
    <row r="1049" spans="1:11">
      <c r="A1049">
        <v>34.969</v>
      </c>
      <c r="B1049">
        <v>-155.8</v>
      </c>
      <c r="C1049">
        <v>238.4</v>
      </c>
      <c r="E1049">
        <v>34.935</v>
      </c>
      <c r="F1049">
        <v>-155.8</v>
      </c>
      <c r="G1049">
        <v>238.4</v>
      </c>
      <c r="I1049">
        <f t="shared" si="48"/>
        <v>34.9</v>
      </c>
      <c r="J1049">
        <f t="shared" si="49"/>
        <v>-5.80000000000001</v>
      </c>
      <c r="K1049">
        <f t="shared" si="50"/>
        <v>5</v>
      </c>
    </row>
    <row r="1050" spans="1:11">
      <c r="A1050">
        <v>35.002</v>
      </c>
      <c r="B1050">
        <v>-155.7</v>
      </c>
      <c r="C1050">
        <v>238.4</v>
      </c>
      <c r="E1050">
        <v>34.969</v>
      </c>
      <c r="F1050">
        <v>-155.8</v>
      </c>
      <c r="G1050">
        <v>238.4</v>
      </c>
      <c r="I1050">
        <f t="shared" si="48"/>
        <v>34.95</v>
      </c>
      <c r="J1050">
        <f t="shared" si="49"/>
        <v>-5.80000000000001</v>
      </c>
      <c r="K1050">
        <f t="shared" si="50"/>
        <v>5</v>
      </c>
    </row>
    <row r="1051" spans="1:11">
      <c r="A1051">
        <v>35.036</v>
      </c>
      <c r="B1051">
        <v>-155.7</v>
      </c>
      <c r="C1051">
        <v>238.4</v>
      </c>
      <c r="E1051">
        <v>35.002</v>
      </c>
      <c r="F1051">
        <v>-155.7</v>
      </c>
      <c r="G1051">
        <v>238.4</v>
      </c>
      <c r="I1051">
        <f t="shared" si="48"/>
        <v>35</v>
      </c>
      <c r="J1051">
        <f t="shared" si="49"/>
        <v>-5.69999999999999</v>
      </c>
      <c r="K1051">
        <f t="shared" si="50"/>
        <v>5</v>
      </c>
    </row>
    <row r="1052" spans="1:11">
      <c r="A1052">
        <v>35.069</v>
      </c>
      <c r="B1052">
        <v>-155.6</v>
      </c>
      <c r="C1052">
        <v>238.4</v>
      </c>
      <c r="E1052">
        <v>35.036</v>
      </c>
      <c r="F1052">
        <v>-155.7</v>
      </c>
      <c r="G1052">
        <v>238.4</v>
      </c>
      <c r="I1052">
        <f t="shared" si="48"/>
        <v>35</v>
      </c>
      <c r="J1052">
        <f t="shared" si="49"/>
        <v>-5.69999999999999</v>
      </c>
      <c r="K1052">
        <f t="shared" si="50"/>
        <v>5</v>
      </c>
    </row>
    <row r="1053" spans="1:11">
      <c r="A1053">
        <v>35.102</v>
      </c>
      <c r="B1053">
        <v>-155.6</v>
      </c>
      <c r="C1053">
        <v>238.4</v>
      </c>
      <c r="E1053">
        <v>35.069</v>
      </c>
      <c r="F1053">
        <v>-155.6</v>
      </c>
      <c r="G1053">
        <v>238.4</v>
      </c>
      <c r="I1053">
        <f t="shared" si="48"/>
        <v>35.05</v>
      </c>
      <c r="J1053">
        <f t="shared" si="49"/>
        <v>-5.59999999999999</v>
      </c>
      <c r="K1053">
        <f t="shared" si="50"/>
        <v>5</v>
      </c>
    </row>
    <row r="1054" spans="1:11">
      <c r="A1054">
        <v>35.136</v>
      </c>
      <c r="B1054">
        <v>-155.5</v>
      </c>
      <c r="C1054">
        <v>238.4</v>
      </c>
      <c r="E1054">
        <v>35.102</v>
      </c>
      <c r="F1054">
        <v>-155.6</v>
      </c>
      <c r="G1054">
        <v>238.4</v>
      </c>
      <c r="I1054">
        <f t="shared" si="48"/>
        <v>35.1</v>
      </c>
      <c r="J1054">
        <f t="shared" si="49"/>
        <v>-5.59999999999999</v>
      </c>
      <c r="K1054">
        <f t="shared" si="50"/>
        <v>5</v>
      </c>
    </row>
    <row r="1055" spans="1:11">
      <c r="A1055">
        <v>35.169</v>
      </c>
      <c r="B1055">
        <v>-155.5</v>
      </c>
      <c r="C1055">
        <v>238.4</v>
      </c>
      <c r="E1055">
        <v>35.136</v>
      </c>
      <c r="F1055">
        <v>-155.5</v>
      </c>
      <c r="G1055">
        <v>238.4</v>
      </c>
      <c r="I1055">
        <f t="shared" si="48"/>
        <v>35.1</v>
      </c>
      <c r="J1055">
        <f t="shared" si="49"/>
        <v>-5.5</v>
      </c>
      <c r="K1055">
        <f t="shared" si="50"/>
        <v>5</v>
      </c>
    </row>
    <row r="1056" spans="1:11">
      <c r="A1056">
        <v>35.203</v>
      </c>
      <c r="B1056">
        <v>-155.4</v>
      </c>
      <c r="C1056">
        <v>238.4</v>
      </c>
      <c r="E1056">
        <v>35.169</v>
      </c>
      <c r="F1056">
        <v>-155.5</v>
      </c>
      <c r="G1056">
        <v>238.4</v>
      </c>
      <c r="I1056">
        <f t="shared" si="48"/>
        <v>35.15</v>
      </c>
      <c r="J1056">
        <f t="shared" si="49"/>
        <v>-5.5</v>
      </c>
      <c r="K1056">
        <f t="shared" si="50"/>
        <v>5</v>
      </c>
    </row>
    <row r="1057" spans="1:11">
      <c r="A1057">
        <v>35.236</v>
      </c>
      <c r="B1057">
        <v>-155.3</v>
      </c>
      <c r="C1057">
        <v>238.4</v>
      </c>
      <c r="E1057">
        <v>35.203</v>
      </c>
      <c r="F1057">
        <v>-155.4</v>
      </c>
      <c r="G1057">
        <v>238.4</v>
      </c>
      <c r="I1057">
        <f t="shared" si="48"/>
        <v>35.2</v>
      </c>
      <c r="J1057">
        <f t="shared" si="49"/>
        <v>-5.40000000000001</v>
      </c>
      <c r="K1057">
        <f t="shared" si="50"/>
        <v>5</v>
      </c>
    </row>
    <row r="1058" spans="1:11">
      <c r="A1058">
        <v>35.27</v>
      </c>
      <c r="B1058">
        <v>-155.2</v>
      </c>
      <c r="C1058">
        <v>238.4</v>
      </c>
      <c r="E1058">
        <v>35.236</v>
      </c>
      <c r="F1058">
        <v>-155.3</v>
      </c>
      <c r="G1058">
        <v>238.4</v>
      </c>
      <c r="I1058">
        <f t="shared" si="48"/>
        <v>35.2</v>
      </c>
      <c r="J1058">
        <f t="shared" si="49"/>
        <v>-5.30000000000001</v>
      </c>
      <c r="K1058">
        <f t="shared" si="50"/>
        <v>5</v>
      </c>
    </row>
    <row r="1059" spans="1:11">
      <c r="A1059">
        <v>35.303</v>
      </c>
      <c r="B1059">
        <v>-155.2</v>
      </c>
      <c r="C1059">
        <v>238.4</v>
      </c>
      <c r="E1059">
        <v>35.27</v>
      </c>
      <c r="F1059">
        <v>-155.2</v>
      </c>
      <c r="G1059">
        <v>238.4</v>
      </c>
      <c r="I1059">
        <f t="shared" si="48"/>
        <v>35.25</v>
      </c>
      <c r="J1059">
        <f t="shared" si="49"/>
        <v>-5.19999999999999</v>
      </c>
      <c r="K1059">
        <f t="shared" si="50"/>
        <v>5</v>
      </c>
    </row>
    <row r="1060" spans="1:11">
      <c r="A1060">
        <v>35.336</v>
      </c>
      <c r="B1060">
        <v>-155.1</v>
      </c>
      <c r="C1060">
        <v>238.4</v>
      </c>
      <c r="E1060">
        <v>35.303</v>
      </c>
      <c r="F1060">
        <v>-155.2</v>
      </c>
      <c r="G1060">
        <v>238.4</v>
      </c>
      <c r="I1060">
        <f t="shared" si="48"/>
        <v>35.3</v>
      </c>
      <c r="J1060">
        <f t="shared" si="49"/>
        <v>-5.19999999999999</v>
      </c>
      <c r="K1060">
        <f t="shared" si="50"/>
        <v>5</v>
      </c>
    </row>
    <row r="1061" spans="1:11">
      <c r="A1061">
        <v>35.37</v>
      </c>
      <c r="B1061">
        <v>-155</v>
      </c>
      <c r="C1061">
        <v>238.4</v>
      </c>
      <c r="E1061">
        <v>35.336</v>
      </c>
      <c r="F1061">
        <v>-155.1</v>
      </c>
      <c r="G1061">
        <v>238.4</v>
      </c>
      <c r="I1061">
        <f t="shared" si="48"/>
        <v>35.3</v>
      </c>
      <c r="J1061">
        <f t="shared" si="49"/>
        <v>-5.09999999999999</v>
      </c>
      <c r="K1061">
        <f t="shared" si="50"/>
        <v>5</v>
      </c>
    </row>
    <row r="1062" spans="1:11">
      <c r="A1062">
        <v>35.403</v>
      </c>
      <c r="B1062">
        <v>-155</v>
      </c>
      <c r="C1062">
        <v>221.3</v>
      </c>
      <c r="E1062">
        <v>35.37</v>
      </c>
      <c r="F1062">
        <v>-155</v>
      </c>
      <c r="G1062">
        <v>238.4</v>
      </c>
      <c r="I1062">
        <f t="shared" si="48"/>
        <v>35.35</v>
      </c>
      <c r="J1062">
        <f t="shared" si="49"/>
        <v>-5</v>
      </c>
      <c r="K1062">
        <f t="shared" si="50"/>
        <v>5</v>
      </c>
    </row>
    <row r="1063" spans="1:11">
      <c r="A1063">
        <v>35.437</v>
      </c>
      <c r="B1063">
        <v>-154.4</v>
      </c>
      <c r="C1063">
        <v>222.5</v>
      </c>
      <c r="E1063">
        <v>35.403</v>
      </c>
      <c r="F1063">
        <v>-155</v>
      </c>
      <c r="G1063">
        <v>221.3</v>
      </c>
      <c r="I1063">
        <f t="shared" si="48"/>
        <v>35.4</v>
      </c>
      <c r="J1063">
        <f t="shared" si="49"/>
        <v>-5</v>
      </c>
      <c r="K1063">
        <f t="shared" si="50"/>
        <v>-5.5</v>
      </c>
    </row>
    <row r="1064" spans="1:11">
      <c r="A1064">
        <v>35.47</v>
      </c>
      <c r="B1064">
        <v>-154.2</v>
      </c>
      <c r="C1064">
        <v>222.3</v>
      </c>
      <c r="E1064">
        <v>35.437</v>
      </c>
      <c r="F1064">
        <v>-154.4</v>
      </c>
      <c r="G1064">
        <v>222.5</v>
      </c>
      <c r="I1064">
        <f t="shared" si="48"/>
        <v>35.4</v>
      </c>
      <c r="J1064">
        <f t="shared" si="49"/>
        <v>-4.40000000000001</v>
      </c>
      <c r="K1064">
        <f t="shared" si="50"/>
        <v>-5.5</v>
      </c>
    </row>
    <row r="1065" spans="1:11">
      <c r="A1065">
        <v>35.504</v>
      </c>
      <c r="B1065">
        <v>-154.1</v>
      </c>
      <c r="C1065">
        <v>221.7</v>
      </c>
      <c r="E1065">
        <v>35.47</v>
      </c>
      <c r="F1065">
        <v>-154.2</v>
      </c>
      <c r="G1065">
        <v>222.3</v>
      </c>
      <c r="I1065">
        <f t="shared" si="48"/>
        <v>35.45</v>
      </c>
      <c r="J1065">
        <f t="shared" si="49"/>
        <v>-4.19999999999999</v>
      </c>
      <c r="K1065">
        <f t="shared" si="50"/>
        <v>-5.5</v>
      </c>
    </row>
    <row r="1066" spans="1:11">
      <c r="A1066">
        <v>35.537</v>
      </c>
      <c r="B1066">
        <v>-154.1</v>
      </c>
      <c r="C1066">
        <v>220.3</v>
      </c>
      <c r="E1066">
        <v>35.504</v>
      </c>
      <c r="F1066">
        <v>-154.1</v>
      </c>
      <c r="G1066">
        <v>221.7</v>
      </c>
      <c r="I1066">
        <f t="shared" si="48"/>
        <v>35.5</v>
      </c>
      <c r="J1066">
        <f t="shared" si="49"/>
        <v>-4.09999999999999</v>
      </c>
      <c r="K1066">
        <f t="shared" si="50"/>
        <v>-5.5</v>
      </c>
    </row>
    <row r="1067" spans="1:11">
      <c r="A1067">
        <v>35.57</v>
      </c>
      <c r="B1067">
        <v>-154</v>
      </c>
      <c r="C1067">
        <v>218.9</v>
      </c>
      <c r="E1067">
        <v>35.537</v>
      </c>
      <c r="F1067">
        <v>-154.1</v>
      </c>
      <c r="G1067">
        <v>220.3</v>
      </c>
      <c r="I1067">
        <f t="shared" si="48"/>
        <v>35.5</v>
      </c>
      <c r="J1067">
        <f t="shared" si="49"/>
        <v>-4.09999999999999</v>
      </c>
      <c r="K1067">
        <f t="shared" si="50"/>
        <v>-5.5</v>
      </c>
    </row>
    <row r="1068" spans="1:11">
      <c r="A1068">
        <v>35.604</v>
      </c>
      <c r="B1068">
        <v>-154.1</v>
      </c>
      <c r="C1068">
        <v>218.2</v>
      </c>
      <c r="E1068">
        <v>35.57</v>
      </c>
      <c r="F1068">
        <v>-154</v>
      </c>
      <c r="G1068">
        <v>218.9</v>
      </c>
      <c r="I1068">
        <f t="shared" si="48"/>
        <v>35.55</v>
      </c>
      <c r="J1068">
        <f t="shared" si="49"/>
        <v>-4</v>
      </c>
      <c r="K1068">
        <f t="shared" si="50"/>
        <v>-5.5</v>
      </c>
    </row>
    <row r="1069" spans="1:11">
      <c r="A1069">
        <v>35.637</v>
      </c>
      <c r="B1069">
        <v>-154.1</v>
      </c>
      <c r="C1069">
        <v>216</v>
      </c>
      <c r="E1069">
        <v>35.604</v>
      </c>
      <c r="F1069">
        <v>-154.1</v>
      </c>
      <c r="G1069">
        <v>218.2</v>
      </c>
      <c r="I1069">
        <f t="shared" si="48"/>
        <v>35.6</v>
      </c>
      <c r="J1069">
        <f t="shared" si="49"/>
        <v>-4.09999999999999</v>
      </c>
      <c r="K1069">
        <f t="shared" si="50"/>
        <v>-5.5</v>
      </c>
    </row>
    <row r="1070" spans="1:11">
      <c r="A1070">
        <v>35.671</v>
      </c>
      <c r="B1070">
        <v>-154.1</v>
      </c>
      <c r="C1070">
        <v>215.2</v>
      </c>
      <c r="E1070">
        <v>35.637</v>
      </c>
      <c r="F1070">
        <v>-154.1</v>
      </c>
      <c r="G1070">
        <v>216</v>
      </c>
      <c r="I1070">
        <f t="shared" si="48"/>
        <v>35.6</v>
      </c>
      <c r="J1070">
        <f t="shared" si="49"/>
        <v>-4.09999999999999</v>
      </c>
      <c r="K1070">
        <f t="shared" si="50"/>
        <v>-5.5</v>
      </c>
    </row>
    <row r="1071" spans="1:11">
      <c r="A1071">
        <v>35.704</v>
      </c>
      <c r="B1071">
        <v>-154.2</v>
      </c>
      <c r="C1071">
        <v>213.4</v>
      </c>
      <c r="E1071">
        <v>35.671</v>
      </c>
      <c r="F1071">
        <v>-154.1</v>
      </c>
      <c r="G1071">
        <v>215.2</v>
      </c>
      <c r="I1071">
        <f t="shared" si="48"/>
        <v>35.65</v>
      </c>
      <c r="J1071">
        <f t="shared" si="49"/>
        <v>-4.09999999999999</v>
      </c>
      <c r="K1071">
        <f t="shared" si="50"/>
        <v>-5.5</v>
      </c>
    </row>
    <row r="1072" spans="1:11">
      <c r="A1072">
        <v>35.738</v>
      </c>
      <c r="B1072">
        <v>-154.3</v>
      </c>
      <c r="C1072">
        <v>213</v>
      </c>
      <c r="E1072">
        <v>35.704</v>
      </c>
      <c r="F1072">
        <v>-154.2</v>
      </c>
      <c r="G1072">
        <v>213.4</v>
      </c>
      <c r="I1072">
        <f t="shared" si="48"/>
        <v>35.7</v>
      </c>
      <c r="J1072">
        <f t="shared" si="49"/>
        <v>-4.19999999999999</v>
      </c>
      <c r="K1072">
        <f t="shared" si="50"/>
        <v>-5.5</v>
      </c>
    </row>
    <row r="1073" spans="1:11">
      <c r="A1073">
        <v>35.771</v>
      </c>
      <c r="B1073">
        <v>-154.3</v>
      </c>
      <c r="C1073">
        <v>211.6</v>
      </c>
      <c r="E1073">
        <v>35.738</v>
      </c>
      <c r="F1073">
        <v>-154.3</v>
      </c>
      <c r="G1073">
        <v>213</v>
      </c>
      <c r="I1073">
        <f t="shared" si="48"/>
        <v>35.7</v>
      </c>
      <c r="J1073">
        <f t="shared" si="49"/>
        <v>-4.30000000000001</v>
      </c>
      <c r="K1073">
        <f t="shared" si="50"/>
        <v>-5.5</v>
      </c>
    </row>
    <row r="1074" spans="1:11">
      <c r="A1074">
        <v>35.804</v>
      </c>
      <c r="B1074">
        <v>-154.4</v>
      </c>
      <c r="C1074">
        <v>210</v>
      </c>
      <c r="E1074">
        <v>35.771</v>
      </c>
      <c r="F1074">
        <v>-154.3</v>
      </c>
      <c r="G1074">
        <v>211.6</v>
      </c>
      <c r="I1074">
        <f t="shared" si="48"/>
        <v>35.75</v>
      </c>
      <c r="J1074">
        <f t="shared" si="49"/>
        <v>-4.30000000000001</v>
      </c>
      <c r="K1074">
        <f t="shared" si="50"/>
        <v>-5.5</v>
      </c>
    </row>
    <row r="1075" spans="1:11">
      <c r="A1075">
        <v>35.838</v>
      </c>
      <c r="B1075">
        <v>-154.5</v>
      </c>
      <c r="C1075">
        <v>209.6</v>
      </c>
      <c r="E1075">
        <v>35.804</v>
      </c>
      <c r="F1075">
        <v>-154.4</v>
      </c>
      <c r="G1075">
        <v>210</v>
      </c>
      <c r="I1075">
        <f t="shared" si="48"/>
        <v>35.8</v>
      </c>
      <c r="J1075">
        <f t="shared" si="49"/>
        <v>-4.40000000000001</v>
      </c>
      <c r="K1075">
        <f t="shared" si="50"/>
        <v>-5.5</v>
      </c>
    </row>
    <row r="1076" spans="1:11">
      <c r="A1076">
        <v>35.871</v>
      </c>
      <c r="B1076">
        <v>-154.5</v>
      </c>
      <c r="C1076">
        <v>208.8</v>
      </c>
      <c r="E1076">
        <v>35.838</v>
      </c>
      <c r="F1076">
        <v>-154.5</v>
      </c>
      <c r="G1076">
        <v>209.6</v>
      </c>
      <c r="I1076">
        <f t="shared" si="48"/>
        <v>35.8</v>
      </c>
      <c r="J1076">
        <f t="shared" si="49"/>
        <v>-4.5</v>
      </c>
      <c r="K1076">
        <f t="shared" si="50"/>
        <v>-5.5</v>
      </c>
    </row>
    <row r="1077" spans="1:11">
      <c r="A1077">
        <v>35.905</v>
      </c>
      <c r="B1077">
        <v>-154.6</v>
      </c>
      <c r="C1077">
        <v>207</v>
      </c>
      <c r="E1077">
        <v>35.871</v>
      </c>
      <c r="F1077">
        <v>-154.5</v>
      </c>
      <c r="G1077">
        <v>208.8</v>
      </c>
      <c r="I1077">
        <f t="shared" si="48"/>
        <v>35.85</v>
      </c>
      <c r="J1077">
        <f t="shared" si="49"/>
        <v>-4.5</v>
      </c>
      <c r="K1077">
        <f t="shared" si="50"/>
        <v>-5.5</v>
      </c>
    </row>
    <row r="1078" spans="1:11">
      <c r="A1078">
        <v>35.938</v>
      </c>
      <c r="B1078">
        <v>-154.7</v>
      </c>
      <c r="C1078">
        <v>205.9</v>
      </c>
      <c r="E1078">
        <v>35.905</v>
      </c>
      <c r="F1078">
        <v>-154.6</v>
      </c>
      <c r="G1078">
        <v>207</v>
      </c>
      <c r="I1078">
        <f t="shared" si="48"/>
        <v>35.9</v>
      </c>
      <c r="J1078">
        <f t="shared" si="49"/>
        <v>-4.59999999999999</v>
      </c>
      <c r="K1078">
        <f t="shared" si="50"/>
        <v>-5.5</v>
      </c>
    </row>
    <row r="1079" spans="1:11">
      <c r="A1079">
        <v>35.972</v>
      </c>
      <c r="B1079">
        <v>-154.8</v>
      </c>
      <c r="C1079">
        <v>205.1</v>
      </c>
      <c r="E1079">
        <v>35.938</v>
      </c>
      <c r="F1079">
        <v>-154.7</v>
      </c>
      <c r="G1079">
        <v>205.9</v>
      </c>
      <c r="I1079">
        <f t="shared" si="48"/>
        <v>35.9</v>
      </c>
      <c r="J1079">
        <f t="shared" si="49"/>
        <v>-4.69999999999999</v>
      </c>
      <c r="K1079">
        <f t="shared" si="50"/>
        <v>-5.5</v>
      </c>
    </row>
    <row r="1080" spans="1:11">
      <c r="A1080">
        <v>36.005</v>
      </c>
      <c r="B1080">
        <v>-154.9</v>
      </c>
      <c r="C1080">
        <v>203.8</v>
      </c>
      <c r="E1080">
        <v>35.972</v>
      </c>
      <c r="F1080">
        <v>-154.8</v>
      </c>
      <c r="G1080">
        <v>205.1</v>
      </c>
      <c r="I1080">
        <f t="shared" si="48"/>
        <v>35.95</v>
      </c>
      <c r="J1080">
        <f t="shared" si="49"/>
        <v>-4.80000000000001</v>
      </c>
      <c r="K1080">
        <f t="shared" si="50"/>
        <v>-5.5</v>
      </c>
    </row>
    <row r="1081" spans="1:11">
      <c r="A1081">
        <v>36.038</v>
      </c>
      <c r="B1081">
        <v>-155</v>
      </c>
      <c r="C1081">
        <v>201.8</v>
      </c>
      <c r="E1081">
        <v>36.005</v>
      </c>
      <c r="F1081">
        <v>-154.9</v>
      </c>
      <c r="G1081">
        <v>203.8</v>
      </c>
      <c r="I1081">
        <f t="shared" si="48"/>
        <v>36</v>
      </c>
      <c r="J1081">
        <f t="shared" si="49"/>
        <v>-4.90000000000001</v>
      </c>
      <c r="K1081">
        <f t="shared" si="50"/>
        <v>-5.5</v>
      </c>
    </row>
    <row r="1082" spans="1:11">
      <c r="A1082">
        <v>36.072</v>
      </c>
      <c r="B1082">
        <v>-155</v>
      </c>
      <c r="C1082">
        <v>200.1</v>
      </c>
      <c r="E1082">
        <v>36.038</v>
      </c>
      <c r="F1082">
        <v>-155</v>
      </c>
      <c r="G1082">
        <v>201.8</v>
      </c>
      <c r="I1082">
        <f t="shared" si="48"/>
        <v>36</v>
      </c>
      <c r="J1082">
        <f t="shared" si="49"/>
        <v>-5</v>
      </c>
      <c r="K1082">
        <f t="shared" si="50"/>
        <v>-5.5</v>
      </c>
    </row>
    <row r="1083" spans="1:11">
      <c r="A1083">
        <v>36.105</v>
      </c>
      <c r="B1083">
        <v>-155.5</v>
      </c>
      <c r="C1083">
        <v>199.9</v>
      </c>
      <c r="E1083">
        <v>36.072</v>
      </c>
      <c r="F1083">
        <v>-155</v>
      </c>
      <c r="G1083">
        <v>200.1</v>
      </c>
      <c r="I1083">
        <f t="shared" si="48"/>
        <v>36.05</v>
      </c>
      <c r="J1083">
        <f t="shared" si="49"/>
        <v>-5</v>
      </c>
      <c r="K1083">
        <f t="shared" si="50"/>
        <v>-5.5</v>
      </c>
    </row>
    <row r="1084" spans="1:11">
      <c r="A1084">
        <v>36.139</v>
      </c>
      <c r="B1084">
        <v>-155.7</v>
      </c>
      <c r="C1084">
        <v>198.4</v>
      </c>
      <c r="E1084">
        <v>36.105</v>
      </c>
      <c r="F1084">
        <v>-155.5</v>
      </c>
      <c r="G1084">
        <v>199.9</v>
      </c>
      <c r="I1084">
        <f t="shared" si="48"/>
        <v>36.1</v>
      </c>
      <c r="J1084">
        <f t="shared" si="49"/>
        <v>-5.5</v>
      </c>
      <c r="K1084">
        <f t="shared" si="50"/>
        <v>-5.5</v>
      </c>
    </row>
    <row r="1085" spans="1:11">
      <c r="A1085">
        <v>36.172</v>
      </c>
      <c r="B1085">
        <v>-155.9</v>
      </c>
      <c r="C1085">
        <v>238.3</v>
      </c>
      <c r="E1085">
        <v>36.139</v>
      </c>
      <c r="F1085">
        <v>-155.7</v>
      </c>
      <c r="G1085">
        <v>198.4</v>
      </c>
      <c r="I1085">
        <f t="shared" si="48"/>
        <v>36.1</v>
      </c>
      <c r="J1085">
        <f t="shared" si="49"/>
        <v>-5.69999999999999</v>
      </c>
      <c r="K1085">
        <f t="shared" si="50"/>
        <v>-5.5</v>
      </c>
    </row>
    <row r="1086" spans="1:11">
      <c r="A1086">
        <v>36.206</v>
      </c>
      <c r="B1086">
        <v>-156.1</v>
      </c>
      <c r="C1086">
        <v>238.4</v>
      </c>
      <c r="E1086">
        <v>36.172</v>
      </c>
      <c r="F1086">
        <v>-155.9</v>
      </c>
      <c r="G1086">
        <v>238.3</v>
      </c>
      <c r="I1086">
        <f t="shared" si="48"/>
        <v>36.15</v>
      </c>
      <c r="J1086">
        <f t="shared" si="49"/>
        <v>-5.90000000000001</v>
      </c>
      <c r="K1086">
        <f t="shared" si="50"/>
        <v>5</v>
      </c>
    </row>
    <row r="1087" spans="1:11">
      <c r="A1087">
        <v>36.239</v>
      </c>
      <c r="B1087">
        <v>-156.5</v>
      </c>
      <c r="C1087">
        <v>238.4</v>
      </c>
      <c r="E1087">
        <v>36.206</v>
      </c>
      <c r="F1087">
        <v>-156.1</v>
      </c>
      <c r="G1087">
        <v>238.4</v>
      </c>
      <c r="I1087">
        <f t="shared" si="48"/>
        <v>36.2</v>
      </c>
      <c r="J1087">
        <f t="shared" si="49"/>
        <v>-6.09999999999999</v>
      </c>
      <c r="K1087">
        <f t="shared" si="50"/>
        <v>5</v>
      </c>
    </row>
    <row r="1088" spans="1:11">
      <c r="A1088">
        <v>36.273</v>
      </c>
      <c r="B1088">
        <v>-156.7</v>
      </c>
      <c r="C1088">
        <v>238.4</v>
      </c>
      <c r="E1088">
        <v>36.239</v>
      </c>
      <c r="F1088">
        <v>-156.5</v>
      </c>
      <c r="G1088">
        <v>238.4</v>
      </c>
      <c r="I1088">
        <f t="shared" si="48"/>
        <v>36.2</v>
      </c>
      <c r="J1088">
        <f t="shared" si="49"/>
        <v>-6.5</v>
      </c>
      <c r="K1088">
        <f t="shared" si="50"/>
        <v>5</v>
      </c>
    </row>
    <row r="1089" spans="1:11">
      <c r="A1089">
        <v>36.306</v>
      </c>
      <c r="B1089">
        <v>-156.8</v>
      </c>
      <c r="C1089">
        <v>238.4</v>
      </c>
      <c r="E1089">
        <v>36.273</v>
      </c>
      <c r="F1089">
        <v>-156.7</v>
      </c>
      <c r="G1089">
        <v>238.4</v>
      </c>
      <c r="I1089">
        <f t="shared" ref="I1089:I1152" si="51">FLOOR(E1089,0.05)</f>
        <v>36.25</v>
      </c>
      <c r="J1089">
        <f t="shared" si="49"/>
        <v>-6.69999999999999</v>
      </c>
      <c r="K1089">
        <f t="shared" si="50"/>
        <v>5</v>
      </c>
    </row>
    <row r="1090" spans="1:11">
      <c r="A1090">
        <v>36.339</v>
      </c>
      <c r="B1090">
        <v>-156.8</v>
      </c>
      <c r="C1090">
        <v>238.4</v>
      </c>
      <c r="E1090">
        <v>36.306</v>
      </c>
      <c r="F1090">
        <v>-156.8</v>
      </c>
      <c r="G1090">
        <v>238.4</v>
      </c>
      <c r="I1090">
        <f t="shared" si="51"/>
        <v>36.3</v>
      </c>
      <c r="J1090">
        <f t="shared" si="49"/>
        <v>-6.80000000000001</v>
      </c>
      <c r="K1090">
        <f t="shared" si="50"/>
        <v>5</v>
      </c>
    </row>
    <row r="1091" spans="1:11">
      <c r="A1091">
        <v>36.373</v>
      </c>
      <c r="B1091">
        <v>-156.8</v>
      </c>
      <c r="C1091">
        <v>238.4</v>
      </c>
      <c r="E1091">
        <v>36.339</v>
      </c>
      <c r="F1091">
        <v>-156.8</v>
      </c>
      <c r="G1091">
        <v>238.4</v>
      </c>
      <c r="I1091">
        <f t="shared" si="51"/>
        <v>36.3</v>
      </c>
      <c r="J1091">
        <f t="shared" si="49"/>
        <v>-6.80000000000001</v>
      </c>
      <c r="K1091">
        <f t="shared" si="50"/>
        <v>5</v>
      </c>
    </row>
    <row r="1092" spans="1:11">
      <c r="A1092">
        <v>36.406</v>
      </c>
      <c r="B1092">
        <v>-156.8</v>
      </c>
      <c r="C1092">
        <v>238.4</v>
      </c>
      <c r="E1092">
        <v>36.373</v>
      </c>
      <c r="F1092">
        <v>-156.8</v>
      </c>
      <c r="G1092">
        <v>238.4</v>
      </c>
      <c r="I1092">
        <f t="shared" si="51"/>
        <v>36.35</v>
      </c>
      <c r="J1092">
        <f t="shared" si="49"/>
        <v>-6.80000000000001</v>
      </c>
      <c r="K1092">
        <f t="shared" si="50"/>
        <v>5</v>
      </c>
    </row>
    <row r="1093" spans="1:11">
      <c r="A1093">
        <v>36.44</v>
      </c>
      <c r="B1093">
        <v>-156.8</v>
      </c>
      <c r="C1093">
        <v>238.4</v>
      </c>
      <c r="E1093">
        <v>36.406</v>
      </c>
      <c r="F1093">
        <v>-156.8</v>
      </c>
      <c r="G1093">
        <v>238.4</v>
      </c>
      <c r="I1093">
        <f t="shared" si="51"/>
        <v>36.4</v>
      </c>
      <c r="J1093">
        <f t="shared" ref="J1093:J1156" si="52">F1093+150</f>
        <v>-6.80000000000001</v>
      </c>
      <c r="K1093">
        <f t="shared" ref="K1093:K1156" si="53">IF(G1093&lt;230,-5.5,5)</f>
        <v>5</v>
      </c>
    </row>
    <row r="1094" spans="1:11">
      <c r="A1094">
        <v>36.473</v>
      </c>
      <c r="B1094">
        <v>-156.7</v>
      </c>
      <c r="C1094">
        <v>238.4</v>
      </c>
      <c r="E1094">
        <v>36.44</v>
      </c>
      <c r="F1094">
        <v>-156.8</v>
      </c>
      <c r="G1094">
        <v>238.4</v>
      </c>
      <c r="I1094">
        <f t="shared" si="51"/>
        <v>36.4</v>
      </c>
      <c r="J1094">
        <f t="shared" si="52"/>
        <v>-6.80000000000001</v>
      </c>
      <c r="K1094">
        <f t="shared" si="53"/>
        <v>5</v>
      </c>
    </row>
    <row r="1095" spans="1:11">
      <c r="A1095">
        <v>36.507</v>
      </c>
      <c r="B1095">
        <v>-156.6</v>
      </c>
      <c r="C1095">
        <v>238.4</v>
      </c>
      <c r="E1095">
        <v>36.473</v>
      </c>
      <c r="F1095">
        <v>-156.7</v>
      </c>
      <c r="G1095">
        <v>238.4</v>
      </c>
      <c r="I1095">
        <f t="shared" si="51"/>
        <v>36.45</v>
      </c>
      <c r="J1095">
        <f t="shared" si="52"/>
        <v>-6.69999999999999</v>
      </c>
      <c r="K1095">
        <f t="shared" si="53"/>
        <v>5</v>
      </c>
    </row>
    <row r="1096" spans="1:11">
      <c r="A1096">
        <v>36.54</v>
      </c>
      <c r="B1096">
        <v>-156.6</v>
      </c>
      <c r="C1096">
        <v>238.4</v>
      </c>
      <c r="E1096">
        <v>36.507</v>
      </c>
      <c r="F1096">
        <v>-156.6</v>
      </c>
      <c r="G1096">
        <v>238.4</v>
      </c>
      <c r="I1096">
        <f t="shared" si="51"/>
        <v>36.5</v>
      </c>
      <c r="J1096">
        <f t="shared" si="52"/>
        <v>-6.59999999999999</v>
      </c>
      <c r="K1096">
        <f t="shared" si="53"/>
        <v>5</v>
      </c>
    </row>
    <row r="1097" spans="1:11">
      <c r="A1097">
        <v>36.573</v>
      </c>
      <c r="B1097">
        <v>-156.5</v>
      </c>
      <c r="C1097">
        <v>238.4</v>
      </c>
      <c r="E1097">
        <v>36.54</v>
      </c>
      <c r="F1097">
        <v>-156.6</v>
      </c>
      <c r="G1097">
        <v>238.4</v>
      </c>
      <c r="I1097">
        <f t="shared" si="51"/>
        <v>36.5</v>
      </c>
      <c r="J1097">
        <f t="shared" si="52"/>
        <v>-6.59999999999999</v>
      </c>
      <c r="K1097">
        <f t="shared" si="53"/>
        <v>5</v>
      </c>
    </row>
    <row r="1098" spans="1:11">
      <c r="A1098">
        <v>36.607</v>
      </c>
      <c r="B1098">
        <v>-156.4</v>
      </c>
      <c r="C1098">
        <v>238.4</v>
      </c>
      <c r="E1098">
        <v>36.573</v>
      </c>
      <c r="F1098">
        <v>-156.5</v>
      </c>
      <c r="G1098">
        <v>238.4</v>
      </c>
      <c r="I1098">
        <f t="shared" si="51"/>
        <v>36.55</v>
      </c>
      <c r="J1098">
        <f t="shared" si="52"/>
        <v>-6.5</v>
      </c>
      <c r="K1098">
        <f t="shared" si="53"/>
        <v>5</v>
      </c>
    </row>
    <row r="1099" spans="1:11">
      <c r="A1099">
        <v>36.64</v>
      </c>
      <c r="B1099">
        <v>-156.3</v>
      </c>
      <c r="C1099">
        <v>238.4</v>
      </c>
      <c r="E1099">
        <v>36.607</v>
      </c>
      <c r="F1099">
        <v>-156.4</v>
      </c>
      <c r="G1099">
        <v>238.4</v>
      </c>
      <c r="I1099">
        <f t="shared" si="51"/>
        <v>36.6</v>
      </c>
      <c r="J1099">
        <f t="shared" si="52"/>
        <v>-6.40000000000001</v>
      </c>
      <c r="K1099">
        <f t="shared" si="53"/>
        <v>5</v>
      </c>
    </row>
    <row r="1100" spans="1:11">
      <c r="A1100">
        <v>36.674</v>
      </c>
      <c r="B1100">
        <v>-156.2</v>
      </c>
      <c r="C1100">
        <v>238.4</v>
      </c>
      <c r="E1100">
        <v>36.64</v>
      </c>
      <c r="F1100">
        <v>-156.3</v>
      </c>
      <c r="G1100">
        <v>238.4</v>
      </c>
      <c r="I1100">
        <f t="shared" si="51"/>
        <v>36.6</v>
      </c>
      <c r="J1100">
        <f t="shared" si="52"/>
        <v>-6.30000000000001</v>
      </c>
      <c r="K1100">
        <f t="shared" si="53"/>
        <v>5</v>
      </c>
    </row>
    <row r="1101" spans="1:11">
      <c r="A1101">
        <v>36.707</v>
      </c>
      <c r="B1101">
        <v>-156.1</v>
      </c>
      <c r="C1101">
        <v>238.4</v>
      </c>
      <c r="E1101">
        <v>36.674</v>
      </c>
      <c r="F1101">
        <v>-156.2</v>
      </c>
      <c r="G1101">
        <v>238.4</v>
      </c>
      <c r="I1101">
        <f t="shared" si="51"/>
        <v>36.65</v>
      </c>
      <c r="J1101">
        <f t="shared" si="52"/>
        <v>-6.19999999999999</v>
      </c>
      <c r="K1101">
        <f t="shared" si="53"/>
        <v>5</v>
      </c>
    </row>
    <row r="1102" spans="1:11">
      <c r="A1102">
        <v>36.741</v>
      </c>
      <c r="B1102">
        <v>-156.1</v>
      </c>
      <c r="C1102">
        <v>238.4</v>
      </c>
      <c r="E1102">
        <v>36.707</v>
      </c>
      <c r="F1102">
        <v>-156.1</v>
      </c>
      <c r="G1102">
        <v>238.4</v>
      </c>
      <c r="I1102">
        <f t="shared" si="51"/>
        <v>36.7</v>
      </c>
      <c r="J1102">
        <f t="shared" si="52"/>
        <v>-6.09999999999999</v>
      </c>
      <c r="K1102">
        <f t="shared" si="53"/>
        <v>5</v>
      </c>
    </row>
    <row r="1103" spans="1:11">
      <c r="A1103">
        <v>36.774</v>
      </c>
      <c r="B1103">
        <v>-156</v>
      </c>
      <c r="C1103">
        <v>238.4</v>
      </c>
      <c r="E1103">
        <v>36.741</v>
      </c>
      <c r="F1103">
        <v>-156.1</v>
      </c>
      <c r="G1103">
        <v>238.4</v>
      </c>
      <c r="I1103">
        <f t="shared" si="51"/>
        <v>36.7</v>
      </c>
      <c r="J1103">
        <f t="shared" si="52"/>
        <v>-6.09999999999999</v>
      </c>
      <c r="K1103">
        <f t="shared" si="53"/>
        <v>5</v>
      </c>
    </row>
    <row r="1104" spans="1:11">
      <c r="A1104">
        <v>36.807</v>
      </c>
      <c r="B1104">
        <v>-155.4</v>
      </c>
      <c r="C1104">
        <v>238.4</v>
      </c>
      <c r="E1104">
        <v>36.774</v>
      </c>
      <c r="F1104">
        <v>-156</v>
      </c>
      <c r="G1104">
        <v>238.4</v>
      </c>
      <c r="I1104">
        <f t="shared" si="51"/>
        <v>36.75</v>
      </c>
      <c r="J1104">
        <f t="shared" si="52"/>
        <v>-6</v>
      </c>
      <c r="K1104">
        <f t="shared" si="53"/>
        <v>5</v>
      </c>
    </row>
    <row r="1105" spans="1:11">
      <c r="A1105">
        <v>36.841</v>
      </c>
      <c r="B1105">
        <v>-155.2</v>
      </c>
      <c r="C1105">
        <v>238.4</v>
      </c>
      <c r="E1105">
        <v>36.807</v>
      </c>
      <c r="F1105">
        <v>-155.4</v>
      </c>
      <c r="G1105">
        <v>238.4</v>
      </c>
      <c r="I1105">
        <f t="shared" si="51"/>
        <v>36.8</v>
      </c>
      <c r="J1105">
        <f t="shared" si="52"/>
        <v>-5.40000000000001</v>
      </c>
      <c r="K1105">
        <f t="shared" si="53"/>
        <v>5</v>
      </c>
    </row>
    <row r="1106" spans="1:11">
      <c r="A1106">
        <v>36.874</v>
      </c>
      <c r="B1106">
        <v>-154.9</v>
      </c>
      <c r="C1106">
        <v>238.4</v>
      </c>
      <c r="E1106">
        <v>36.841</v>
      </c>
      <c r="F1106">
        <v>-155.2</v>
      </c>
      <c r="G1106">
        <v>238.4</v>
      </c>
      <c r="I1106">
        <f t="shared" si="51"/>
        <v>36.8</v>
      </c>
      <c r="J1106">
        <f t="shared" si="52"/>
        <v>-5.19999999999999</v>
      </c>
      <c r="K1106">
        <f t="shared" si="53"/>
        <v>5</v>
      </c>
    </row>
    <row r="1107" spans="1:11">
      <c r="A1107">
        <v>36.908</v>
      </c>
      <c r="B1107">
        <v>-154.4</v>
      </c>
      <c r="C1107">
        <v>238.4</v>
      </c>
      <c r="E1107">
        <v>36.874</v>
      </c>
      <c r="F1107">
        <v>-154.9</v>
      </c>
      <c r="G1107">
        <v>238.4</v>
      </c>
      <c r="I1107">
        <f t="shared" si="51"/>
        <v>36.85</v>
      </c>
      <c r="J1107">
        <f t="shared" si="52"/>
        <v>-4.90000000000001</v>
      </c>
      <c r="K1107">
        <f t="shared" si="53"/>
        <v>5</v>
      </c>
    </row>
    <row r="1108" spans="1:11">
      <c r="A1108">
        <v>36.941</v>
      </c>
      <c r="B1108">
        <v>-154.1</v>
      </c>
      <c r="C1108">
        <v>238.4</v>
      </c>
      <c r="E1108">
        <v>36.908</v>
      </c>
      <c r="F1108">
        <v>-154.4</v>
      </c>
      <c r="G1108">
        <v>238.4</v>
      </c>
      <c r="I1108">
        <f t="shared" si="51"/>
        <v>36.9</v>
      </c>
      <c r="J1108">
        <f t="shared" si="52"/>
        <v>-4.40000000000001</v>
      </c>
      <c r="K1108">
        <f t="shared" si="53"/>
        <v>5</v>
      </c>
    </row>
    <row r="1109" spans="1:11">
      <c r="A1109">
        <v>36.975</v>
      </c>
      <c r="B1109">
        <v>-154</v>
      </c>
      <c r="C1109">
        <v>238.4</v>
      </c>
      <c r="E1109">
        <v>36.941</v>
      </c>
      <c r="F1109">
        <v>-154.1</v>
      </c>
      <c r="G1109">
        <v>238.4</v>
      </c>
      <c r="I1109">
        <f t="shared" si="51"/>
        <v>36.9</v>
      </c>
      <c r="J1109">
        <f t="shared" si="52"/>
        <v>-4.09999999999999</v>
      </c>
      <c r="K1109">
        <f t="shared" si="53"/>
        <v>5</v>
      </c>
    </row>
    <row r="1110" spans="1:11">
      <c r="A1110">
        <v>37.008</v>
      </c>
      <c r="B1110">
        <v>-153.9</v>
      </c>
      <c r="C1110">
        <v>238.4</v>
      </c>
      <c r="E1110">
        <v>36.975</v>
      </c>
      <c r="F1110">
        <v>-154</v>
      </c>
      <c r="G1110">
        <v>238.4</v>
      </c>
      <c r="I1110">
        <f t="shared" si="51"/>
        <v>36.95</v>
      </c>
      <c r="J1110">
        <f t="shared" si="52"/>
        <v>-4</v>
      </c>
      <c r="K1110">
        <f t="shared" si="53"/>
        <v>5</v>
      </c>
    </row>
    <row r="1111" spans="1:11">
      <c r="A1111">
        <v>37.041</v>
      </c>
      <c r="B1111">
        <v>-153.4</v>
      </c>
      <c r="C1111">
        <v>222</v>
      </c>
      <c r="E1111">
        <v>37.008</v>
      </c>
      <c r="F1111">
        <v>-153.9</v>
      </c>
      <c r="G1111">
        <v>238.4</v>
      </c>
      <c r="I1111">
        <f t="shared" si="51"/>
        <v>37</v>
      </c>
      <c r="J1111">
        <f t="shared" si="52"/>
        <v>-3.90000000000001</v>
      </c>
      <c r="K1111">
        <f t="shared" si="53"/>
        <v>5</v>
      </c>
    </row>
    <row r="1112" spans="1:11">
      <c r="A1112">
        <v>37.075</v>
      </c>
      <c r="B1112">
        <v>-153.2</v>
      </c>
      <c r="C1112">
        <v>222.4</v>
      </c>
      <c r="E1112">
        <v>37.041</v>
      </c>
      <c r="F1112">
        <v>-153.4</v>
      </c>
      <c r="G1112">
        <v>222</v>
      </c>
      <c r="I1112">
        <f t="shared" si="51"/>
        <v>37</v>
      </c>
      <c r="J1112">
        <f t="shared" si="52"/>
        <v>-3.40000000000001</v>
      </c>
      <c r="K1112">
        <f t="shared" si="53"/>
        <v>-5.5</v>
      </c>
    </row>
    <row r="1113" spans="1:11">
      <c r="A1113">
        <v>37.108</v>
      </c>
      <c r="B1113">
        <v>-153.1</v>
      </c>
      <c r="C1113">
        <v>222.4</v>
      </c>
      <c r="E1113">
        <v>37.075</v>
      </c>
      <c r="F1113">
        <v>-153.2</v>
      </c>
      <c r="G1113">
        <v>222.4</v>
      </c>
      <c r="I1113">
        <f t="shared" si="51"/>
        <v>37.05</v>
      </c>
      <c r="J1113">
        <f t="shared" si="52"/>
        <v>-3.19999999999999</v>
      </c>
      <c r="K1113">
        <f t="shared" si="53"/>
        <v>-5.5</v>
      </c>
    </row>
    <row r="1114" spans="1:11">
      <c r="A1114">
        <v>37.142</v>
      </c>
      <c r="B1114">
        <v>-153.2</v>
      </c>
      <c r="C1114">
        <v>221</v>
      </c>
      <c r="E1114">
        <v>37.108</v>
      </c>
      <c r="F1114">
        <v>-153.1</v>
      </c>
      <c r="G1114">
        <v>222.4</v>
      </c>
      <c r="I1114">
        <f t="shared" si="51"/>
        <v>37.1</v>
      </c>
      <c r="J1114">
        <f t="shared" si="52"/>
        <v>-3.09999999999999</v>
      </c>
      <c r="K1114">
        <f t="shared" si="53"/>
        <v>-5.5</v>
      </c>
    </row>
    <row r="1115" spans="1:11">
      <c r="A1115">
        <v>37.175</v>
      </c>
      <c r="B1115">
        <v>-153.2</v>
      </c>
      <c r="C1115">
        <v>220</v>
      </c>
      <c r="E1115">
        <v>37.142</v>
      </c>
      <c r="F1115">
        <v>-153.2</v>
      </c>
      <c r="G1115">
        <v>221</v>
      </c>
      <c r="I1115">
        <f t="shared" si="51"/>
        <v>37.1</v>
      </c>
      <c r="J1115">
        <f t="shared" si="52"/>
        <v>-3.19999999999999</v>
      </c>
      <c r="K1115">
        <f t="shared" si="53"/>
        <v>-5.5</v>
      </c>
    </row>
    <row r="1116" spans="1:11">
      <c r="A1116">
        <v>37.209</v>
      </c>
      <c r="B1116">
        <v>-153.3</v>
      </c>
      <c r="C1116">
        <v>218.6</v>
      </c>
      <c r="E1116">
        <v>37.175</v>
      </c>
      <c r="F1116">
        <v>-153.2</v>
      </c>
      <c r="G1116">
        <v>220</v>
      </c>
      <c r="I1116">
        <f t="shared" si="51"/>
        <v>37.15</v>
      </c>
      <c r="J1116">
        <f t="shared" si="52"/>
        <v>-3.19999999999999</v>
      </c>
      <c r="K1116">
        <f t="shared" si="53"/>
        <v>-5.5</v>
      </c>
    </row>
    <row r="1117" spans="1:11">
      <c r="A1117">
        <v>37.242</v>
      </c>
      <c r="B1117">
        <v>-153.4</v>
      </c>
      <c r="C1117">
        <v>217.7</v>
      </c>
      <c r="E1117">
        <v>37.209</v>
      </c>
      <c r="F1117">
        <v>-153.3</v>
      </c>
      <c r="G1117">
        <v>218.6</v>
      </c>
      <c r="I1117">
        <f t="shared" si="51"/>
        <v>37.2</v>
      </c>
      <c r="J1117">
        <f t="shared" si="52"/>
        <v>-3.30000000000001</v>
      </c>
      <c r="K1117">
        <f t="shared" si="53"/>
        <v>-5.5</v>
      </c>
    </row>
    <row r="1118" spans="1:11">
      <c r="A1118">
        <v>37.275</v>
      </c>
      <c r="B1118">
        <v>-153.4</v>
      </c>
      <c r="C1118">
        <v>216.7</v>
      </c>
      <c r="E1118">
        <v>37.242</v>
      </c>
      <c r="F1118">
        <v>-153.4</v>
      </c>
      <c r="G1118">
        <v>217.7</v>
      </c>
      <c r="I1118">
        <f t="shared" si="51"/>
        <v>37.2</v>
      </c>
      <c r="J1118">
        <f t="shared" si="52"/>
        <v>-3.40000000000001</v>
      </c>
      <c r="K1118">
        <f t="shared" si="53"/>
        <v>-5.5</v>
      </c>
    </row>
    <row r="1119" spans="1:11">
      <c r="A1119">
        <v>37.309</v>
      </c>
      <c r="B1119">
        <v>-153.5</v>
      </c>
      <c r="C1119">
        <v>215.4</v>
      </c>
      <c r="E1119">
        <v>37.275</v>
      </c>
      <c r="F1119">
        <v>-153.4</v>
      </c>
      <c r="G1119">
        <v>216.7</v>
      </c>
      <c r="I1119">
        <f t="shared" si="51"/>
        <v>37.25</v>
      </c>
      <c r="J1119">
        <f t="shared" si="52"/>
        <v>-3.40000000000001</v>
      </c>
      <c r="K1119">
        <f t="shared" si="53"/>
        <v>-5.5</v>
      </c>
    </row>
    <row r="1120" spans="1:11">
      <c r="A1120">
        <v>37.342</v>
      </c>
      <c r="B1120">
        <v>-153.6</v>
      </c>
      <c r="C1120">
        <v>213</v>
      </c>
      <c r="E1120">
        <v>37.309</v>
      </c>
      <c r="F1120">
        <v>-153.5</v>
      </c>
      <c r="G1120">
        <v>215.4</v>
      </c>
      <c r="I1120">
        <f t="shared" si="51"/>
        <v>37.3</v>
      </c>
      <c r="J1120">
        <f t="shared" si="52"/>
        <v>-3.5</v>
      </c>
      <c r="K1120">
        <f t="shared" si="53"/>
        <v>-5.5</v>
      </c>
    </row>
    <row r="1121" spans="1:11">
      <c r="A1121">
        <v>37.376</v>
      </c>
      <c r="B1121">
        <v>-153.6</v>
      </c>
      <c r="C1121">
        <v>212.7</v>
      </c>
      <c r="E1121">
        <v>37.342</v>
      </c>
      <c r="F1121">
        <v>-153.6</v>
      </c>
      <c r="G1121">
        <v>213</v>
      </c>
      <c r="I1121">
        <f t="shared" si="51"/>
        <v>37.3</v>
      </c>
      <c r="J1121">
        <f t="shared" si="52"/>
        <v>-3.59999999999999</v>
      </c>
      <c r="K1121">
        <f t="shared" si="53"/>
        <v>-5.5</v>
      </c>
    </row>
    <row r="1122" spans="1:11">
      <c r="A1122">
        <v>37.409</v>
      </c>
      <c r="B1122">
        <v>-153.7</v>
      </c>
      <c r="C1122">
        <v>211.7</v>
      </c>
      <c r="E1122">
        <v>37.376</v>
      </c>
      <c r="F1122">
        <v>-153.6</v>
      </c>
      <c r="G1122">
        <v>212.7</v>
      </c>
      <c r="I1122">
        <f t="shared" si="51"/>
        <v>37.35</v>
      </c>
      <c r="J1122">
        <f t="shared" si="52"/>
        <v>-3.59999999999999</v>
      </c>
      <c r="K1122">
        <f t="shared" si="53"/>
        <v>-5.5</v>
      </c>
    </row>
    <row r="1123" spans="1:11">
      <c r="A1123">
        <v>37.443</v>
      </c>
      <c r="B1123">
        <v>-153.9</v>
      </c>
      <c r="C1123">
        <v>210</v>
      </c>
      <c r="E1123">
        <v>37.409</v>
      </c>
      <c r="F1123">
        <v>-153.7</v>
      </c>
      <c r="G1123">
        <v>211.7</v>
      </c>
      <c r="I1123">
        <f t="shared" si="51"/>
        <v>37.4</v>
      </c>
      <c r="J1123">
        <f t="shared" si="52"/>
        <v>-3.69999999999999</v>
      </c>
      <c r="K1123">
        <f t="shared" si="53"/>
        <v>-5.5</v>
      </c>
    </row>
    <row r="1124" spans="1:11">
      <c r="A1124">
        <v>37.476</v>
      </c>
      <c r="B1124">
        <v>-154.1</v>
      </c>
      <c r="C1124">
        <v>209.8</v>
      </c>
      <c r="E1124">
        <v>37.443</v>
      </c>
      <c r="F1124">
        <v>-153.9</v>
      </c>
      <c r="G1124">
        <v>210</v>
      </c>
      <c r="I1124">
        <f t="shared" si="51"/>
        <v>37.4</v>
      </c>
      <c r="J1124">
        <f t="shared" si="52"/>
        <v>-3.90000000000001</v>
      </c>
      <c r="K1124">
        <f t="shared" si="53"/>
        <v>-5.5</v>
      </c>
    </row>
    <row r="1125" spans="1:11">
      <c r="A1125">
        <v>37.509</v>
      </c>
      <c r="B1125">
        <v>-154.7</v>
      </c>
      <c r="C1125">
        <v>207</v>
      </c>
      <c r="E1125">
        <v>37.476</v>
      </c>
      <c r="F1125">
        <v>-154.1</v>
      </c>
      <c r="G1125">
        <v>209.8</v>
      </c>
      <c r="I1125">
        <f t="shared" si="51"/>
        <v>37.45</v>
      </c>
      <c r="J1125">
        <f t="shared" si="52"/>
        <v>-4.09999999999999</v>
      </c>
      <c r="K1125">
        <f t="shared" si="53"/>
        <v>-5.5</v>
      </c>
    </row>
    <row r="1126" spans="1:11">
      <c r="A1126">
        <v>37.543</v>
      </c>
      <c r="B1126">
        <v>-154.9</v>
      </c>
      <c r="C1126">
        <v>206.8</v>
      </c>
      <c r="E1126">
        <v>37.509</v>
      </c>
      <c r="F1126">
        <v>-154.7</v>
      </c>
      <c r="G1126">
        <v>207</v>
      </c>
      <c r="I1126">
        <f t="shared" si="51"/>
        <v>37.5</v>
      </c>
      <c r="J1126">
        <f t="shared" si="52"/>
        <v>-4.69999999999999</v>
      </c>
      <c r="K1126">
        <f t="shared" si="53"/>
        <v>-5.5</v>
      </c>
    </row>
    <row r="1127" spans="1:11">
      <c r="A1127">
        <v>37.576</v>
      </c>
      <c r="B1127">
        <v>-155.2</v>
      </c>
      <c r="C1127">
        <v>205.1</v>
      </c>
      <c r="E1127">
        <v>37.543</v>
      </c>
      <c r="F1127">
        <v>-154.9</v>
      </c>
      <c r="G1127">
        <v>206.8</v>
      </c>
      <c r="I1127">
        <f t="shared" si="51"/>
        <v>37.5</v>
      </c>
      <c r="J1127">
        <f t="shared" si="52"/>
        <v>-4.90000000000001</v>
      </c>
      <c r="K1127">
        <f t="shared" si="53"/>
        <v>-5.5</v>
      </c>
    </row>
    <row r="1128" spans="1:11">
      <c r="A1128">
        <v>37.61</v>
      </c>
      <c r="B1128">
        <v>-155.8</v>
      </c>
      <c r="C1128">
        <v>205.2</v>
      </c>
      <c r="E1128">
        <v>37.576</v>
      </c>
      <c r="F1128">
        <v>-155.2</v>
      </c>
      <c r="G1128">
        <v>205.1</v>
      </c>
      <c r="I1128">
        <f t="shared" si="51"/>
        <v>37.55</v>
      </c>
      <c r="J1128">
        <f t="shared" si="52"/>
        <v>-5.19999999999999</v>
      </c>
      <c r="K1128">
        <f t="shared" si="53"/>
        <v>-5.5</v>
      </c>
    </row>
    <row r="1129" spans="1:11">
      <c r="A1129">
        <v>37.643</v>
      </c>
      <c r="B1129">
        <v>-156</v>
      </c>
      <c r="C1129">
        <v>203.1</v>
      </c>
      <c r="E1129">
        <v>37.61</v>
      </c>
      <c r="F1129">
        <v>-155.8</v>
      </c>
      <c r="G1129">
        <v>205.2</v>
      </c>
      <c r="I1129">
        <f t="shared" si="51"/>
        <v>37.6</v>
      </c>
      <c r="J1129">
        <f t="shared" si="52"/>
        <v>-5.80000000000001</v>
      </c>
      <c r="K1129">
        <f t="shared" si="53"/>
        <v>-5.5</v>
      </c>
    </row>
    <row r="1130" spans="1:11">
      <c r="A1130">
        <v>37.677</v>
      </c>
      <c r="B1130">
        <v>-156.4</v>
      </c>
      <c r="C1130">
        <v>202.3</v>
      </c>
      <c r="E1130">
        <v>37.643</v>
      </c>
      <c r="F1130">
        <v>-156</v>
      </c>
      <c r="G1130">
        <v>203.1</v>
      </c>
      <c r="I1130">
        <f t="shared" si="51"/>
        <v>37.6</v>
      </c>
      <c r="J1130">
        <f t="shared" si="52"/>
        <v>-6</v>
      </c>
      <c r="K1130">
        <f t="shared" si="53"/>
        <v>-5.5</v>
      </c>
    </row>
    <row r="1131" spans="1:11">
      <c r="A1131">
        <v>37.71</v>
      </c>
      <c r="B1131">
        <v>-156.8</v>
      </c>
      <c r="C1131">
        <v>201.8</v>
      </c>
      <c r="E1131">
        <v>37.677</v>
      </c>
      <c r="F1131">
        <v>-156.4</v>
      </c>
      <c r="G1131">
        <v>202.3</v>
      </c>
      <c r="I1131">
        <f t="shared" si="51"/>
        <v>37.65</v>
      </c>
      <c r="J1131">
        <f t="shared" si="52"/>
        <v>-6.40000000000001</v>
      </c>
      <c r="K1131">
        <f t="shared" si="53"/>
        <v>-5.5</v>
      </c>
    </row>
    <row r="1132" spans="1:11">
      <c r="A1132">
        <v>37.743</v>
      </c>
      <c r="B1132">
        <v>-157.1</v>
      </c>
      <c r="C1132">
        <v>199.5</v>
      </c>
      <c r="E1132">
        <v>37.71</v>
      </c>
      <c r="F1132">
        <v>-156.8</v>
      </c>
      <c r="G1132">
        <v>201.8</v>
      </c>
      <c r="I1132">
        <f t="shared" si="51"/>
        <v>37.7</v>
      </c>
      <c r="J1132">
        <f t="shared" si="52"/>
        <v>-6.80000000000001</v>
      </c>
      <c r="K1132">
        <f t="shared" si="53"/>
        <v>-5.5</v>
      </c>
    </row>
    <row r="1133" spans="1:11">
      <c r="A1133">
        <v>37.777</v>
      </c>
      <c r="B1133">
        <v>-157.6</v>
      </c>
      <c r="C1133">
        <v>197.9</v>
      </c>
      <c r="E1133">
        <v>37.743</v>
      </c>
      <c r="F1133">
        <v>-157.1</v>
      </c>
      <c r="G1133">
        <v>199.5</v>
      </c>
      <c r="I1133">
        <f t="shared" si="51"/>
        <v>37.7</v>
      </c>
      <c r="J1133">
        <f t="shared" si="52"/>
        <v>-7.09999999999999</v>
      </c>
      <c r="K1133">
        <f t="shared" si="53"/>
        <v>-5.5</v>
      </c>
    </row>
    <row r="1134" spans="1:11">
      <c r="A1134">
        <v>37.81</v>
      </c>
      <c r="B1134">
        <v>-157.8</v>
      </c>
      <c r="C1134">
        <v>197.8</v>
      </c>
      <c r="E1134">
        <v>37.777</v>
      </c>
      <c r="F1134">
        <v>-157.6</v>
      </c>
      <c r="G1134">
        <v>197.9</v>
      </c>
      <c r="I1134">
        <f t="shared" si="51"/>
        <v>37.75</v>
      </c>
      <c r="J1134">
        <f t="shared" si="52"/>
        <v>-7.59999999999999</v>
      </c>
      <c r="K1134">
        <f t="shared" si="53"/>
        <v>-5.5</v>
      </c>
    </row>
    <row r="1135" spans="1:11">
      <c r="A1135">
        <v>37.844</v>
      </c>
      <c r="B1135">
        <v>-157.9</v>
      </c>
      <c r="C1135">
        <v>196.1</v>
      </c>
      <c r="E1135">
        <v>37.81</v>
      </c>
      <c r="F1135">
        <v>-157.8</v>
      </c>
      <c r="G1135">
        <v>197.8</v>
      </c>
      <c r="I1135">
        <f t="shared" si="51"/>
        <v>37.8</v>
      </c>
      <c r="J1135">
        <f t="shared" si="52"/>
        <v>-7.80000000000001</v>
      </c>
      <c r="K1135">
        <f t="shared" si="53"/>
        <v>-5.5</v>
      </c>
    </row>
    <row r="1136" spans="1:11">
      <c r="A1136">
        <v>37.877</v>
      </c>
      <c r="B1136">
        <v>-157.9</v>
      </c>
      <c r="C1136">
        <v>195.7</v>
      </c>
      <c r="E1136">
        <v>37.844</v>
      </c>
      <c r="F1136">
        <v>-157.9</v>
      </c>
      <c r="G1136">
        <v>196.1</v>
      </c>
      <c r="I1136">
        <f t="shared" si="51"/>
        <v>37.8</v>
      </c>
      <c r="J1136">
        <f t="shared" si="52"/>
        <v>-7.90000000000001</v>
      </c>
      <c r="K1136">
        <f t="shared" si="53"/>
        <v>-5.5</v>
      </c>
    </row>
    <row r="1137" spans="1:11">
      <c r="A1137">
        <v>37.911</v>
      </c>
      <c r="B1137">
        <v>-157.9</v>
      </c>
      <c r="C1137">
        <v>194.3</v>
      </c>
      <c r="E1137">
        <v>37.877</v>
      </c>
      <c r="F1137">
        <v>-157.9</v>
      </c>
      <c r="G1137">
        <v>195.7</v>
      </c>
      <c r="I1137">
        <f t="shared" si="51"/>
        <v>37.85</v>
      </c>
      <c r="J1137">
        <f t="shared" si="52"/>
        <v>-7.90000000000001</v>
      </c>
      <c r="K1137">
        <f t="shared" si="53"/>
        <v>-5.5</v>
      </c>
    </row>
    <row r="1138" spans="1:11">
      <c r="A1138">
        <v>37.944</v>
      </c>
      <c r="B1138">
        <v>-157.9</v>
      </c>
      <c r="C1138">
        <v>194.3</v>
      </c>
      <c r="E1138">
        <v>37.911</v>
      </c>
      <c r="F1138">
        <v>-157.9</v>
      </c>
      <c r="G1138">
        <v>194.3</v>
      </c>
      <c r="I1138">
        <f t="shared" si="51"/>
        <v>37.9</v>
      </c>
      <c r="J1138">
        <f t="shared" si="52"/>
        <v>-7.90000000000001</v>
      </c>
      <c r="K1138">
        <f t="shared" si="53"/>
        <v>-5.5</v>
      </c>
    </row>
    <row r="1139" spans="1:11">
      <c r="A1139">
        <v>37.977</v>
      </c>
      <c r="B1139">
        <v>-157.8</v>
      </c>
      <c r="C1139">
        <v>192.5</v>
      </c>
      <c r="E1139">
        <v>37.944</v>
      </c>
      <c r="F1139">
        <v>-157.9</v>
      </c>
      <c r="G1139">
        <v>194.3</v>
      </c>
      <c r="I1139">
        <f t="shared" si="51"/>
        <v>37.9</v>
      </c>
      <c r="J1139">
        <f t="shared" si="52"/>
        <v>-7.90000000000001</v>
      </c>
      <c r="K1139">
        <f t="shared" si="53"/>
        <v>-5.5</v>
      </c>
    </row>
    <row r="1140" spans="1:11">
      <c r="A1140">
        <v>38.011</v>
      </c>
      <c r="B1140">
        <v>-157.7</v>
      </c>
      <c r="C1140">
        <v>191.1</v>
      </c>
      <c r="E1140">
        <v>37.977</v>
      </c>
      <c r="F1140">
        <v>-157.8</v>
      </c>
      <c r="G1140">
        <v>192.5</v>
      </c>
      <c r="I1140">
        <f t="shared" si="51"/>
        <v>37.95</v>
      </c>
      <c r="J1140">
        <f t="shared" si="52"/>
        <v>-7.80000000000001</v>
      </c>
      <c r="K1140">
        <f t="shared" si="53"/>
        <v>-5.5</v>
      </c>
    </row>
    <row r="1141" spans="1:11">
      <c r="A1141">
        <v>38.044</v>
      </c>
      <c r="B1141">
        <v>-157.6</v>
      </c>
      <c r="C1141">
        <v>191.4</v>
      </c>
      <c r="E1141">
        <v>38.011</v>
      </c>
      <c r="F1141">
        <v>-157.7</v>
      </c>
      <c r="G1141">
        <v>191.1</v>
      </c>
      <c r="I1141">
        <f t="shared" si="51"/>
        <v>38</v>
      </c>
      <c r="J1141">
        <f t="shared" si="52"/>
        <v>-7.69999999999999</v>
      </c>
      <c r="K1141">
        <f t="shared" si="53"/>
        <v>-5.5</v>
      </c>
    </row>
    <row r="1142" spans="1:11">
      <c r="A1142">
        <v>38.078</v>
      </c>
      <c r="B1142">
        <v>-157.5</v>
      </c>
      <c r="C1142">
        <v>190.7</v>
      </c>
      <c r="E1142">
        <v>38.044</v>
      </c>
      <c r="F1142">
        <v>-157.6</v>
      </c>
      <c r="G1142">
        <v>191.4</v>
      </c>
      <c r="I1142">
        <f t="shared" si="51"/>
        <v>38</v>
      </c>
      <c r="J1142">
        <f t="shared" si="52"/>
        <v>-7.59999999999999</v>
      </c>
      <c r="K1142">
        <f t="shared" si="53"/>
        <v>-5.5</v>
      </c>
    </row>
    <row r="1143" spans="1:11">
      <c r="A1143">
        <v>38.111</v>
      </c>
      <c r="B1143">
        <v>-157.4</v>
      </c>
      <c r="C1143">
        <v>189.5</v>
      </c>
      <c r="E1143">
        <v>38.078</v>
      </c>
      <c r="F1143">
        <v>-157.5</v>
      </c>
      <c r="G1143">
        <v>190.7</v>
      </c>
      <c r="I1143">
        <f t="shared" si="51"/>
        <v>38.05</v>
      </c>
      <c r="J1143">
        <f t="shared" si="52"/>
        <v>-7.5</v>
      </c>
      <c r="K1143">
        <f t="shared" si="53"/>
        <v>-5.5</v>
      </c>
    </row>
    <row r="1144" spans="1:11">
      <c r="A1144">
        <v>38.145</v>
      </c>
      <c r="B1144">
        <v>-157.3</v>
      </c>
      <c r="C1144">
        <v>189.1</v>
      </c>
      <c r="E1144">
        <v>38.111</v>
      </c>
      <c r="F1144">
        <v>-157.4</v>
      </c>
      <c r="G1144">
        <v>189.5</v>
      </c>
      <c r="I1144">
        <f t="shared" si="51"/>
        <v>38.1</v>
      </c>
      <c r="J1144">
        <f t="shared" si="52"/>
        <v>-7.40000000000001</v>
      </c>
      <c r="K1144">
        <f t="shared" si="53"/>
        <v>-5.5</v>
      </c>
    </row>
    <row r="1145" spans="1:11">
      <c r="A1145">
        <v>38.178</v>
      </c>
      <c r="B1145">
        <v>-157.2</v>
      </c>
      <c r="C1145">
        <v>188.6</v>
      </c>
      <c r="E1145">
        <v>38.145</v>
      </c>
      <c r="F1145">
        <v>-157.3</v>
      </c>
      <c r="G1145">
        <v>189.1</v>
      </c>
      <c r="I1145">
        <f t="shared" si="51"/>
        <v>38.1</v>
      </c>
      <c r="J1145">
        <f t="shared" si="52"/>
        <v>-7.30000000000001</v>
      </c>
      <c r="K1145">
        <f t="shared" si="53"/>
        <v>-5.5</v>
      </c>
    </row>
    <row r="1146" spans="1:11">
      <c r="A1146">
        <v>38.211</v>
      </c>
      <c r="B1146">
        <v>-157.1</v>
      </c>
      <c r="C1146">
        <v>188.1</v>
      </c>
      <c r="E1146">
        <v>38.178</v>
      </c>
      <c r="F1146">
        <v>-157.2</v>
      </c>
      <c r="G1146">
        <v>188.6</v>
      </c>
      <c r="I1146">
        <f t="shared" si="51"/>
        <v>38.15</v>
      </c>
      <c r="J1146">
        <f t="shared" si="52"/>
        <v>-7.19999999999999</v>
      </c>
      <c r="K1146">
        <f t="shared" si="53"/>
        <v>-5.5</v>
      </c>
    </row>
    <row r="1147" spans="1:11">
      <c r="A1147">
        <v>38.245</v>
      </c>
      <c r="B1147">
        <v>-156.9</v>
      </c>
      <c r="C1147">
        <v>186.9</v>
      </c>
      <c r="E1147">
        <v>38.211</v>
      </c>
      <c r="F1147">
        <v>-157.1</v>
      </c>
      <c r="G1147">
        <v>188.1</v>
      </c>
      <c r="I1147">
        <f t="shared" si="51"/>
        <v>38.2</v>
      </c>
      <c r="J1147">
        <f t="shared" si="52"/>
        <v>-7.09999999999999</v>
      </c>
      <c r="K1147">
        <f t="shared" si="53"/>
        <v>-5.5</v>
      </c>
    </row>
    <row r="1148" spans="1:11">
      <c r="A1148">
        <v>38.278</v>
      </c>
      <c r="B1148">
        <v>-156.3</v>
      </c>
      <c r="C1148">
        <v>185.4</v>
      </c>
      <c r="E1148">
        <v>38.245</v>
      </c>
      <c r="F1148">
        <v>-156.9</v>
      </c>
      <c r="G1148">
        <v>186.9</v>
      </c>
      <c r="I1148">
        <f t="shared" si="51"/>
        <v>38.2</v>
      </c>
      <c r="J1148">
        <f t="shared" si="52"/>
        <v>-6.90000000000001</v>
      </c>
      <c r="K1148">
        <f t="shared" si="53"/>
        <v>-5.5</v>
      </c>
    </row>
    <row r="1149" spans="1:11">
      <c r="A1149">
        <v>38.312</v>
      </c>
      <c r="B1149">
        <v>-156</v>
      </c>
      <c r="C1149">
        <v>184</v>
      </c>
      <c r="E1149">
        <v>38.278</v>
      </c>
      <c r="F1149">
        <v>-156.3</v>
      </c>
      <c r="G1149">
        <v>185.4</v>
      </c>
      <c r="I1149">
        <f t="shared" si="51"/>
        <v>38.25</v>
      </c>
      <c r="J1149">
        <f t="shared" si="52"/>
        <v>-6.30000000000001</v>
      </c>
      <c r="K1149">
        <f t="shared" si="53"/>
        <v>-5.5</v>
      </c>
    </row>
    <row r="1150" spans="1:11">
      <c r="A1150">
        <v>38.345</v>
      </c>
      <c r="B1150">
        <v>-155.9</v>
      </c>
      <c r="C1150">
        <v>183.6</v>
      </c>
      <c r="E1150">
        <v>38.312</v>
      </c>
      <c r="F1150">
        <v>-156</v>
      </c>
      <c r="G1150">
        <v>184</v>
      </c>
      <c r="I1150">
        <f t="shared" si="51"/>
        <v>38.3</v>
      </c>
      <c r="J1150">
        <f t="shared" si="52"/>
        <v>-6</v>
      </c>
      <c r="K1150">
        <f t="shared" si="53"/>
        <v>-5.5</v>
      </c>
    </row>
    <row r="1151" spans="1:11">
      <c r="A1151">
        <v>38.379</v>
      </c>
      <c r="B1151">
        <v>-155.3</v>
      </c>
      <c r="C1151">
        <v>182.7</v>
      </c>
      <c r="E1151">
        <v>38.345</v>
      </c>
      <c r="F1151">
        <v>-155.9</v>
      </c>
      <c r="G1151">
        <v>183.6</v>
      </c>
      <c r="I1151">
        <f t="shared" si="51"/>
        <v>38.3</v>
      </c>
      <c r="J1151">
        <f t="shared" si="52"/>
        <v>-5.90000000000001</v>
      </c>
      <c r="K1151">
        <f t="shared" si="53"/>
        <v>-5.5</v>
      </c>
    </row>
    <row r="1152" spans="1:11">
      <c r="A1152">
        <v>38.412</v>
      </c>
      <c r="B1152">
        <v>-155</v>
      </c>
      <c r="C1152">
        <v>181.5</v>
      </c>
      <c r="E1152">
        <v>38.379</v>
      </c>
      <c r="F1152">
        <v>-155.3</v>
      </c>
      <c r="G1152">
        <v>182.7</v>
      </c>
      <c r="I1152">
        <f t="shared" si="51"/>
        <v>38.35</v>
      </c>
      <c r="J1152">
        <f t="shared" si="52"/>
        <v>-5.30000000000001</v>
      </c>
      <c r="K1152">
        <f t="shared" si="53"/>
        <v>-5.5</v>
      </c>
    </row>
    <row r="1153" spans="1:11">
      <c r="A1153">
        <v>38.446</v>
      </c>
      <c r="B1153">
        <v>-154.7</v>
      </c>
      <c r="C1153">
        <v>181.8</v>
      </c>
      <c r="E1153">
        <v>38.412</v>
      </c>
      <c r="F1153">
        <v>-155</v>
      </c>
      <c r="G1153">
        <v>181.5</v>
      </c>
      <c r="I1153">
        <f t="shared" ref="I1153:I1216" si="54">FLOOR(E1153,0.05)</f>
        <v>38.4</v>
      </c>
      <c r="J1153">
        <f t="shared" si="52"/>
        <v>-5</v>
      </c>
      <c r="K1153">
        <f t="shared" si="53"/>
        <v>-5.5</v>
      </c>
    </row>
    <row r="1154" spans="1:11">
      <c r="A1154">
        <v>38.479</v>
      </c>
      <c r="B1154">
        <v>-154.2</v>
      </c>
      <c r="C1154">
        <v>180.6</v>
      </c>
      <c r="E1154">
        <v>38.446</v>
      </c>
      <c r="F1154">
        <v>-154.7</v>
      </c>
      <c r="G1154">
        <v>181.8</v>
      </c>
      <c r="I1154">
        <f t="shared" si="54"/>
        <v>38.4</v>
      </c>
      <c r="J1154">
        <f t="shared" si="52"/>
        <v>-4.69999999999999</v>
      </c>
      <c r="K1154">
        <f t="shared" si="53"/>
        <v>-5.5</v>
      </c>
    </row>
    <row r="1155" spans="1:11">
      <c r="A1155">
        <v>38.512</v>
      </c>
      <c r="B1155">
        <v>-154</v>
      </c>
      <c r="C1155">
        <v>178</v>
      </c>
      <c r="E1155">
        <v>38.479</v>
      </c>
      <c r="F1155">
        <v>-154.2</v>
      </c>
      <c r="G1155">
        <v>180.6</v>
      </c>
      <c r="I1155">
        <f t="shared" si="54"/>
        <v>38.45</v>
      </c>
      <c r="J1155">
        <f t="shared" si="52"/>
        <v>-4.19999999999999</v>
      </c>
      <c r="K1155">
        <f t="shared" si="53"/>
        <v>-5.5</v>
      </c>
    </row>
    <row r="1156" spans="1:11">
      <c r="A1156">
        <v>38.546</v>
      </c>
      <c r="B1156">
        <v>-154</v>
      </c>
      <c r="C1156">
        <v>177.8</v>
      </c>
      <c r="E1156">
        <v>38.512</v>
      </c>
      <c r="F1156">
        <v>-154</v>
      </c>
      <c r="G1156">
        <v>178</v>
      </c>
      <c r="I1156">
        <f t="shared" si="54"/>
        <v>38.5</v>
      </c>
      <c r="J1156">
        <f t="shared" si="52"/>
        <v>-4</v>
      </c>
      <c r="K1156">
        <f t="shared" si="53"/>
        <v>-5.5</v>
      </c>
    </row>
    <row r="1157" spans="1:11">
      <c r="A1157">
        <v>38.579</v>
      </c>
      <c r="B1157">
        <v>-153.8</v>
      </c>
      <c r="C1157">
        <v>176.8</v>
      </c>
      <c r="E1157">
        <v>38.546</v>
      </c>
      <c r="F1157">
        <v>-154</v>
      </c>
      <c r="G1157">
        <v>177.8</v>
      </c>
      <c r="I1157">
        <f t="shared" si="54"/>
        <v>38.5</v>
      </c>
      <c r="J1157">
        <f t="shared" ref="J1157:J1220" si="55">F1157+150</f>
        <v>-4</v>
      </c>
      <c r="K1157">
        <f t="shared" ref="K1157:K1220" si="56">IF(G1157&lt;230,-5.5,5)</f>
        <v>-5.5</v>
      </c>
    </row>
    <row r="1158" spans="1:11">
      <c r="A1158">
        <v>38.613</v>
      </c>
      <c r="B1158">
        <v>-153.5</v>
      </c>
      <c r="C1158">
        <v>175.5</v>
      </c>
      <c r="E1158">
        <v>38.579</v>
      </c>
      <c r="F1158">
        <v>-153.8</v>
      </c>
      <c r="G1158">
        <v>176.8</v>
      </c>
      <c r="I1158">
        <f t="shared" si="54"/>
        <v>38.55</v>
      </c>
      <c r="J1158">
        <f t="shared" si="55"/>
        <v>-3.80000000000001</v>
      </c>
      <c r="K1158">
        <f t="shared" si="56"/>
        <v>-5.5</v>
      </c>
    </row>
    <row r="1159" spans="1:11">
      <c r="A1159">
        <v>38.646</v>
      </c>
      <c r="B1159">
        <v>-153.3</v>
      </c>
      <c r="C1159">
        <v>175.1</v>
      </c>
      <c r="E1159">
        <v>38.613</v>
      </c>
      <c r="F1159">
        <v>-153.5</v>
      </c>
      <c r="G1159">
        <v>175.5</v>
      </c>
      <c r="I1159">
        <f t="shared" si="54"/>
        <v>38.6</v>
      </c>
      <c r="J1159">
        <f t="shared" si="55"/>
        <v>-3.5</v>
      </c>
      <c r="K1159">
        <f t="shared" si="56"/>
        <v>-5.5</v>
      </c>
    </row>
    <row r="1160" spans="1:11">
      <c r="A1160">
        <v>38.68</v>
      </c>
      <c r="B1160">
        <v>-153.3</v>
      </c>
      <c r="C1160">
        <v>173.7</v>
      </c>
      <c r="E1160">
        <v>38.646</v>
      </c>
      <c r="F1160">
        <v>-153.3</v>
      </c>
      <c r="G1160">
        <v>175.1</v>
      </c>
      <c r="I1160">
        <f t="shared" si="54"/>
        <v>38.6</v>
      </c>
      <c r="J1160">
        <f t="shared" si="55"/>
        <v>-3.30000000000001</v>
      </c>
      <c r="K1160">
        <f t="shared" si="56"/>
        <v>-5.5</v>
      </c>
    </row>
    <row r="1161" spans="1:11">
      <c r="A1161">
        <v>38.713</v>
      </c>
      <c r="B1161">
        <v>-153.3</v>
      </c>
      <c r="C1161">
        <v>173.4</v>
      </c>
      <c r="E1161">
        <v>38.68</v>
      </c>
      <c r="F1161">
        <v>-153.3</v>
      </c>
      <c r="G1161">
        <v>173.7</v>
      </c>
      <c r="I1161">
        <f t="shared" si="54"/>
        <v>38.65</v>
      </c>
      <c r="J1161">
        <f t="shared" si="55"/>
        <v>-3.30000000000001</v>
      </c>
      <c r="K1161">
        <f t="shared" si="56"/>
        <v>-5.5</v>
      </c>
    </row>
    <row r="1162" spans="1:11">
      <c r="A1162">
        <v>38.746</v>
      </c>
      <c r="B1162">
        <v>-153.4</v>
      </c>
      <c r="C1162">
        <v>172.2</v>
      </c>
      <c r="E1162">
        <v>38.713</v>
      </c>
      <c r="F1162">
        <v>-153.3</v>
      </c>
      <c r="G1162">
        <v>173.4</v>
      </c>
      <c r="I1162">
        <f t="shared" si="54"/>
        <v>38.7</v>
      </c>
      <c r="J1162">
        <f t="shared" si="55"/>
        <v>-3.30000000000001</v>
      </c>
      <c r="K1162">
        <f t="shared" si="56"/>
        <v>-5.5</v>
      </c>
    </row>
    <row r="1163" spans="1:11">
      <c r="A1163">
        <v>38.78</v>
      </c>
      <c r="B1163">
        <v>-153.4</v>
      </c>
      <c r="C1163">
        <v>172.4</v>
      </c>
      <c r="E1163">
        <v>38.746</v>
      </c>
      <c r="F1163">
        <v>-153.4</v>
      </c>
      <c r="G1163">
        <v>172.2</v>
      </c>
      <c r="I1163">
        <f t="shared" si="54"/>
        <v>38.7</v>
      </c>
      <c r="J1163">
        <f t="shared" si="55"/>
        <v>-3.40000000000001</v>
      </c>
      <c r="K1163">
        <f t="shared" si="56"/>
        <v>-5.5</v>
      </c>
    </row>
    <row r="1164" spans="1:11">
      <c r="A1164">
        <v>38.813</v>
      </c>
      <c r="B1164">
        <v>-153.5</v>
      </c>
      <c r="C1164">
        <v>170.5</v>
      </c>
      <c r="E1164">
        <v>38.78</v>
      </c>
      <c r="F1164">
        <v>-153.4</v>
      </c>
      <c r="G1164">
        <v>172.4</v>
      </c>
      <c r="I1164">
        <f t="shared" si="54"/>
        <v>38.75</v>
      </c>
      <c r="J1164">
        <f t="shared" si="55"/>
        <v>-3.40000000000001</v>
      </c>
      <c r="K1164">
        <f t="shared" si="56"/>
        <v>-5.5</v>
      </c>
    </row>
    <row r="1165" spans="1:11">
      <c r="A1165">
        <v>38.847</v>
      </c>
      <c r="B1165">
        <v>-153.6</v>
      </c>
      <c r="C1165">
        <v>168.8</v>
      </c>
      <c r="E1165">
        <v>38.813</v>
      </c>
      <c r="F1165">
        <v>-153.5</v>
      </c>
      <c r="G1165">
        <v>170.5</v>
      </c>
      <c r="I1165">
        <f t="shared" si="54"/>
        <v>38.8</v>
      </c>
      <c r="J1165">
        <f t="shared" si="55"/>
        <v>-3.5</v>
      </c>
      <c r="K1165">
        <f t="shared" si="56"/>
        <v>-5.5</v>
      </c>
    </row>
    <row r="1166" spans="1:11">
      <c r="A1166">
        <v>38.88</v>
      </c>
      <c r="B1166">
        <v>-153.7</v>
      </c>
      <c r="C1166">
        <v>169.1</v>
      </c>
      <c r="E1166">
        <v>38.847</v>
      </c>
      <c r="F1166">
        <v>-153.6</v>
      </c>
      <c r="G1166">
        <v>168.8</v>
      </c>
      <c r="I1166">
        <f t="shared" si="54"/>
        <v>38.8</v>
      </c>
      <c r="J1166">
        <f t="shared" si="55"/>
        <v>-3.59999999999999</v>
      </c>
      <c r="K1166">
        <f t="shared" si="56"/>
        <v>-5.5</v>
      </c>
    </row>
    <row r="1167" spans="1:11">
      <c r="A1167">
        <v>38.914</v>
      </c>
      <c r="B1167">
        <v>-153.8</v>
      </c>
      <c r="C1167">
        <v>168.5</v>
      </c>
      <c r="E1167">
        <v>38.88</v>
      </c>
      <c r="F1167">
        <v>-153.7</v>
      </c>
      <c r="G1167">
        <v>169.1</v>
      </c>
      <c r="I1167">
        <f t="shared" si="54"/>
        <v>38.85</v>
      </c>
      <c r="J1167">
        <f t="shared" si="55"/>
        <v>-3.69999999999999</v>
      </c>
      <c r="K1167">
        <f t="shared" si="56"/>
        <v>-5.5</v>
      </c>
    </row>
    <row r="1168" spans="1:11">
      <c r="A1168">
        <v>38.947</v>
      </c>
      <c r="B1168">
        <v>-153.9</v>
      </c>
      <c r="C1168">
        <v>167.1</v>
      </c>
      <c r="E1168">
        <v>38.914</v>
      </c>
      <c r="F1168">
        <v>-153.8</v>
      </c>
      <c r="G1168">
        <v>168.5</v>
      </c>
      <c r="I1168">
        <f t="shared" si="54"/>
        <v>38.9</v>
      </c>
      <c r="J1168">
        <f t="shared" si="55"/>
        <v>-3.80000000000001</v>
      </c>
      <c r="K1168">
        <f t="shared" si="56"/>
        <v>-5.5</v>
      </c>
    </row>
    <row r="1169" spans="1:11">
      <c r="A1169">
        <v>38.98</v>
      </c>
      <c r="B1169">
        <v>-154.1</v>
      </c>
      <c r="C1169">
        <v>166.1</v>
      </c>
      <c r="E1169">
        <v>38.947</v>
      </c>
      <c r="F1169">
        <v>-153.9</v>
      </c>
      <c r="G1169">
        <v>167.1</v>
      </c>
      <c r="I1169">
        <f t="shared" si="54"/>
        <v>38.9</v>
      </c>
      <c r="J1169">
        <f t="shared" si="55"/>
        <v>-3.90000000000001</v>
      </c>
      <c r="K1169">
        <f t="shared" si="56"/>
        <v>-5.5</v>
      </c>
    </row>
    <row r="1170" spans="1:11">
      <c r="A1170">
        <v>39.014</v>
      </c>
      <c r="B1170">
        <v>-154.6</v>
      </c>
      <c r="C1170">
        <v>164.6</v>
      </c>
      <c r="E1170">
        <v>38.98</v>
      </c>
      <c r="F1170">
        <v>-154.1</v>
      </c>
      <c r="G1170">
        <v>166.1</v>
      </c>
      <c r="I1170">
        <f t="shared" si="54"/>
        <v>38.95</v>
      </c>
      <c r="J1170">
        <f t="shared" si="55"/>
        <v>-4.09999999999999</v>
      </c>
      <c r="K1170">
        <f t="shared" si="56"/>
        <v>-5.5</v>
      </c>
    </row>
    <row r="1171" spans="1:11">
      <c r="A1171">
        <v>39.047</v>
      </c>
      <c r="B1171">
        <v>-154.9</v>
      </c>
      <c r="C1171">
        <v>164</v>
      </c>
      <c r="E1171">
        <v>39.014</v>
      </c>
      <c r="F1171">
        <v>-154.6</v>
      </c>
      <c r="G1171">
        <v>164.6</v>
      </c>
      <c r="I1171">
        <f t="shared" si="54"/>
        <v>39</v>
      </c>
      <c r="J1171">
        <f t="shared" si="55"/>
        <v>-4.59999999999999</v>
      </c>
      <c r="K1171">
        <f t="shared" si="56"/>
        <v>-5.5</v>
      </c>
    </row>
    <row r="1172" spans="1:11">
      <c r="A1172">
        <v>39.081</v>
      </c>
      <c r="B1172">
        <v>-155</v>
      </c>
      <c r="C1172">
        <v>163.2</v>
      </c>
      <c r="E1172">
        <v>39.047</v>
      </c>
      <c r="F1172">
        <v>-154.9</v>
      </c>
      <c r="G1172">
        <v>164</v>
      </c>
      <c r="I1172">
        <f t="shared" si="54"/>
        <v>39</v>
      </c>
      <c r="J1172">
        <f t="shared" si="55"/>
        <v>-4.90000000000001</v>
      </c>
      <c r="K1172">
        <f t="shared" si="56"/>
        <v>-5.5</v>
      </c>
    </row>
    <row r="1173" spans="1:11">
      <c r="A1173">
        <v>39.114</v>
      </c>
      <c r="B1173">
        <v>-155.7</v>
      </c>
      <c r="C1173">
        <v>162.1</v>
      </c>
      <c r="E1173">
        <v>39.081</v>
      </c>
      <c r="F1173">
        <v>-155</v>
      </c>
      <c r="G1173">
        <v>163.2</v>
      </c>
      <c r="I1173">
        <f t="shared" si="54"/>
        <v>39.05</v>
      </c>
      <c r="J1173">
        <f t="shared" si="55"/>
        <v>-5</v>
      </c>
      <c r="K1173">
        <f t="shared" si="56"/>
        <v>-5.5</v>
      </c>
    </row>
    <row r="1174" spans="1:11">
      <c r="A1174">
        <v>39.148</v>
      </c>
      <c r="B1174">
        <v>-156.1</v>
      </c>
      <c r="C1174">
        <v>160.5</v>
      </c>
      <c r="E1174">
        <v>39.114</v>
      </c>
      <c r="F1174">
        <v>-155.7</v>
      </c>
      <c r="G1174">
        <v>162.1</v>
      </c>
      <c r="I1174">
        <f t="shared" si="54"/>
        <v>39.1</v>
      </c>
      <c r="J1174">
        <f t="shared" si="55"/>
        <v>-5.69999999999999</v>
      </c>
      <c r="K1174">
        <f t="shared" si="56"/>
        <v>-5.5</v>
      </c>
    </row>
    <row r="1175" spans="1:11">
      <c r="A1175">
        <v>39.181</v>
      </c>
      <c r="B1175">
        <v>-156.7</v>
      </c>
      <c r="C1175">
        <v>159.9</v>
      </c>
      <c r="E1175">
        <v>39.148</v>
      </c>
      <c r="F1175">
        <v>-156.1</v>
      </c>
      <c r="G1175">
        <v>160.5</v>
      </c>
      <c r="I1175">
        <f t="shared" si="54"/>
        <v>39.1</v>
      </c>
      <c r="J1175">
        <f t="shared" si="55"/>
        <v>-6.09999999999999</v>
      </c>
      <c r="K1175">
        <f t="shared" si="56"/>
        <v>-5.5</v>
      </c>
    </row>
    <row r="1176" spans="1:11">
      <c r="A1176">
        <v>39.214</v>
      </c>
      <c r="B1176">
        <v>-157</v>
      </c>
      <c r="C1176">
        <v>157.8</v>
      </c>
      <c r="E1176">
        <v>39.181</v>
      </c>
      <c r="F1176">
        <v>-156.7</v>
      </c>
      <c r="G1176">
        <v>159.9</v>
      </c>
      <c r="I1176">
        <f t="shared" si="54"/>
        <v>39.15</v>
      </c>
      <c r="J1176">
        <f t="shared" si="55"/>
        <v>-6.69999999999999</v>
      </c>
      <c r="K1176">
        <f t="shared" si="56"/>
        <v>-5.5</v>
      </c>
    </row>
    <row r="1177" spans="1:11">
      <c r="A1177">
        <v>39.248</v>
      </c>
      <c r="B1177">
        <v>-157.2</v>
      </c>
      <c r="C1177">
        <v>159.1</v>
      </c>
      <c r="E1177">
        <v>39.214</v>
      </c>
      <c r="F1177">
        <v>-157</v>
      </c>
      <c r="G1177">
        <v>157.8</v>
      </c>
      <c r="I1177">
        <f t="shared" si="54"/>
        <v>39.2</v>
      </c>
      <c r="J1177">
        <f t="shared" si="55"/>
        <v>-7</v>
      </c>
      <c r="K1177">
        <f t="shared" si="56"/>
        <v>-5.5</v>
      </c>
    </row>
    <row r="1178" spans="1:11">
      <c r="A1178">
        <v>39.281</v>
      </c>
      <c r="B1178">
        <v>-157.6</v>
      </c>
      <c r="C1178">
        <v>156.8</v>
      </c>
      <c r="E1178">
        <v>39.248</v>
      </c>
      <c r="F1178">
        <v>-157.2</v>
      </c>
      <c r="G1178">
        <v>159.1</v>
      </c>
      <c r="I1178">
        <f t="shared" si="54"/>
        <v>39.2</v>
      </c>
      <c r="J1178">
        <f t="shared" si="55"/>
        <v>-7.19999999999999</v>
      </c>
      <c r="K1178">
        <f t="shared" si="56"/>
        <v>-5.5</v>
      </c>
    </row>
    <row r="1179" spans="1:11">
      <c r="A1179">
        <v>39.315</v>
      </c>
      <c r="B1179">
        <v>-157.8</v>
      </c>
      <c r="C1179">
        <v>155.9</v>
      </c>
      <c r="E1179">
        <v>39.281</v>
      </c>
      <c r="F1179">
        <v>-157.6</v>
      </c>
      <c r="G1179">
        <v>156.8</v>
      </c>
      <c r="I1179">
        <f t="shared" si="54"/>
        <v>39.25</v>
      </c>
      <c r="J1179">
        <f t="shared" si="55"/>
        <v>-7.59999999999999</v>
      </c>
      <c r="K1179">
        <f t="shared" si="56"/>
        <v>-5.5</v>
      </c>
    </row>
    <row r="1180" spans="1:11">
      <c r="A1180">
        <v>39.348</v>
      </c>
      <c r="B1180">
        <v>-157.8</v>
      </c>
      <c r="C1180">
        <v>153.7</v>
      </c>
      <c r="E1180">
        <v>39.315</v>
      </c>
      <c r="F1180">
        <v>-157.8</v>
      </c>
      <c r="G1180">
        <v>155.9</v>
      </c>
      <c r="I1180">
        <f t="shared" si="54"/>
        <v>39.3</v>
      </c>
      <c r="J1180">
        <f t="shared" si="55"/>
        <v>-7.80000000000001</v>
      </c>
      <c r="K1180">
        <f t="shared" si="56"/>
        <v>-5.5</v>
      </c>
    </row>
    <row r="1181" spans="1:11">
      <c r="A1181">
        <v>39.382</v>
      </c>
      <c r="B1181">
        <v>-157.9</v>
      </c>
      <c r="C1181">
        <v>153</v>
      </c>
      <c r="E1181">
        <v>39.348</v>
      </c>
      <c r="F1181">
        <v>-157.8</v>
      </c>
      <c r="G1181">
        <v>153.7</v>
      </c>
      <c r="I1181">
        <f t="shared" si="54"/>
        <v>39.3</v>
      </c>
      <c r="J1181">
        <f t="shared" si="55"/>
        <v>-7.80000000000001</v>
      </c>
      <c r="K1181">
        <f t="shared" si="56"/>
        <v>-5.5</v>
      </c>
    </row>
    <row r="1182" spans="1:11">
      <c r="A1182">
        <v>39.415</v>
      </c>
      <c r="B1182">
        <v>-157.9</v>
      </c>
      <c r="C1182">
        <v>151.2</v>
      </c>
      <c r="E1182">
        <v>39.382</v>
      </c>
      <c r="F1182">
        <v>-157.9</v>
      </c>
      <c r="G1182">
        <v>153</v>
      </c>
      <c r="I1182">
        <f t="shared" si="54"/>
        <v>39.35</v>
      </c>
      <c r="J1182">
        <f t="shared" si="55"/>
        <v>-7.90000000000001</v>
      </c>
      <c r="K1182">
        <f t="shared" si="56"/>
        <v>-5.5</v>
      </c>
    </row>
    <row r="1183" spans="1:11">
      <c r="A1183">
        <v>39.448</v>
      </c>
      <c r="B1183">
        <v>-157.8</v>
      </c>
      <c r="C1183">
        <v>150.7</v>
      </c>
      <c r="E1183">
        <v>39.415</v>
      </c>
      <c r="F1183">
        <v>-157.9</v>
      </c>
      <c r="G1183">
        <v>151.2</v>
      </c>
      <c r="I1183">
        <f t="shared" si="54"/>
        <v>39.4</v>
      </c>
      <c r="J1183">
        <f t="shared" si="55"/>
        <v>-7.90000000000001</v>
      </c>
      <c r="K1183">
        <f t="shared" si="56"/>
        <v>-5.5</v>
      </c>
    </row>
    <row r="1184" spans="1:11">
      <c r="A1184">
        <v>39.482</v>
      </c>
      <c r="B1184">
        <v>-157.8</v>
      </c>
      <c r="C1184">
        <v>148.9</v>
      </c>
      <c r="E1184">
        <v>39.448</v>
      </c>
      <c r="F1184">
        <v>-157.8</v>
      </c>
      <c r="G1184">
        <v>150.7</v>
      </c>
      <c r="I1184">
        <f t="shared" si="54"/>
        <v>39.4</v>
      </c>
      <c r="J1184">
        <f t="shared" si="55"/>
        <v>-7.80000000000001</v>
      </c>
      <c r="K1184">
        <f t="shared" si="56"/>
        <v>-5.5</v>
      </c>
    </row>
    <row r="1185" spans="1:11">
      <c r="A1185">
        <v>39.515</v>
      </c>
      <c r="B1185">
        <v>-157.7</v>
      </c>
      <c r="C1185">
        <v>148.4</v>
      </c>
      <c r="E1185">
        <v>39.482</v>
      </c>
      <c r="F1185">
        <v>-157.8</v>
      </c>
      <c r="G1185">
        <v>148.9</v>
      </c>
      <c r="I1185">
        <f t="shared" si="54"/>
        <v>39.45</v>
      </c>
      <c r="J1185">
        <f t="shared" si="55"/>
        <v>-7.80000000000001</v>
      </c>
      <c r="K1185">
        <f t="shared" si="56"/>
        <v>-5.5</v>
      </c>
    </row>
    <row r="1186" spans="1:11">
      <c r="A1186">
        <v>39.549</v>
      </c>
      <c r="B1186">
        <v>-157.6</v>
      </c>
      <c r="C1186">
        <v>147.3</v>
      </c>
      <c r="E1186">
        <v>39.515</v>
      </c>
      <c r="F1186">
        <v>-157.7</v>
      </c>
      <c r="G1186">
        <v>148.4</v>
      </c>
      <c r="I1186">
        <f t="shared" si="54"/>
        <v>39.5</v>
      </c>
      <c r="J1186">
        <f t="shared" si="55"/>
        <v>-7.69999999999999</v>
      </c>
      <c r="K1186">
        <f t="shared" si="56"/>
        <v>-5.5</v>
      </c>
    </row>
    <row r="1187" spans="1:11">
      <c r="A1187">
        <v>39.582</v>
      </c>
      <c r="B1187">
        <v>-157.6</v>
      </c>
      <c r="C1187">
        <v>146.2</v>
      </c>
      <c r="E1187">
        <v>39.549</v>
      </c>
      <c r="F1187">
        <v>-157.6</v>
      </c>
      <c r="G1187">
        <v>147.3</v>
      </c>
      <c r="I1187">
        <f t="shared" si="54"/>
        <v>39.5</v>
      </c>
      <c r="J1187">
        <f t="shared" si="55"/>
        <v>-7.59999999999999</v>
      </c>
      <c r="K1187">
        <f t="shared" si="56"/>
        <v>-5.5</v>
      </c>
    </row>
    <row r="1188" spans="1:11">
      <c r="A1188">
        <v>39.616</v>
      </c>
      <c r="B1188">
        <v>-157.5</v>
      </c>
      <c r="C1188">
        <v>145.1</v>
      </c>
      <c r="E1188">
        <v>39.582</v>
      </c>
      <c r="F1188">
        <v>-157.6</v>
      </c>
      <c r="G1188">
        <v>146.2</v>
      </c>
      <c r="I1188">
        <f t="shared" si="54"/>
        <v>39.55</v>
      </c>
      <c r="J1188">
        <f t="shared" si="55"/>
        <v>-7.59999999999999</v>
      </c>
      <c r="K1188">
        <f t="shared" si="56"/>
        <v>-5.5</v>
      </c>
    </row>
    <row r="1189" spans="1:11">
      <c r="A1189">
        <v>39.649</v>
      </c>
      <c r="B1189">
        <v>-157.4</v>
      </c>
      <c r="C1189">
        <v>143</v>
      </c>
      <c r="E1189">
        <v>39.616</v>
      </c>
      <c r="F1189">
        <v>-157.5</v>
      </c>
      <c r="G1189">
        <v>145.1</v>
      </c>
      <c r="I1189">
        <f t="shared" si="54"/>
        <v>39.6</v>
      </c>
      <c r="J1189">
        <f t="shared" si="55"/>
        <v>-7.5</v>
      </c>
      <c r="K1189">
        <f t="shared" si="56"/>
        <v>-5.5</v>
      </c>
    </row>
    <row r="1190" spans="1:11">
      <c r="A1190">
        <v>39.682</v>
      </c>
      <c r="B1190">
        <v>-157.3</v>
      </c>
      <c r="C1190">
        <v>143.1</v>
      </c>
      <c r="E1190">
        <v>39.649</v>
      </c>
      <c r="F1190">
        <v>-157.4</v>
      </c>
      <c r="G1190">
        <v>143</v>
      </c>
      <c r="I1190">
        <f t="shared" si="54"/>
        <v>39.6</v>
      </c>
      <c r="J1190">
        <f t="shared" si="55"/>
        <v>-7.40000000000001</v>
      </c>
      <c r="K1190">
        <f t="shared" si="56"/>
        <v>-5.5</v>
      </c>
    </row>
    <row r="1191" spans="1:11">
      <c r="A1191">
        <v>39.716</v>
      </c>
      <c r="B1191">
        <v>-157.2</v>
      </c>
      <c r="C1191">
        <v>142</v>
      </c>
      <c r="E1191">
        <v>39.682</v>
      </c>
      <c r="F1191">
        <v>-157.3</v>
      </c>
      <c r="G1191">
        <v>143.1</v>
      </c>
      <c r="I1191">
        <f t="shared" si="54"/>
        <v>39.65</v>
      </c>
      <c r="J1191">
        <f t="shared" si="55"/>
        <v>-7.30000000000001</v>
      </c>
      <c r="K1191">
        <f t="shared" si="56"/>
        <v>-5.5</v>
      </c>
    </row>
    <row r="1192" spans="1:11">
      <c r="A1192">
        <v>39.749</v>
      </c>
      <c r="B1192">
        <v>-157.1</v>
      </c>
      <c r="C1192">
        <v>139.7</v>
      </c>
      <c r="E1192">
        <v>39.716</v>
      </c>
      <c r="F1192">
        <v>-157.2</v>
      </c>
      <c r="G1192">
        <v>142</v>
      </c>
      <c r="I1192">
        <f t="shared" si="54"/>
        <v>39.7</v>
      </c>
      <c r="J1192">
        <f t="shared" si="55"/>
        <v>-7.19999999999999</v>
      </c>
      <c r="K1192">
        <f t="shared" si="56"/>
        <v>-5.5</v>
      </c>
    </row>
    <row r="1193" spans="1:11">
      <c r="A1193">
        <v>39.783</v>
      </c>
      <c r="B1193">
        <v>-156.8</v>
      </c>
      <c r="C1193">
        <v>137.7</v>
      </c>
      <c r="E1193">
        <v>39.749</v>
      </c>
      <c r="F1193">
        <v>-157.1</v>
      </c>
      <c r="G1193">
        <v>139.7</v>
      </c>
      <c r="I1193">
        <f t="shared" si="54"/>
        <v>39.7</v>
      </c>
      <c r="J1193">
        <f t="shared" si="55"/>
        <v>-7.09999999999999</v>
      </c>
      <c r="K1193">
        <f t="shared" si="56"/>
        <v>-5.5</v>
      </c>
    </row>
    <row r="1194" spans="1:11">
      <c r="A1194">
        <v>39.816</v>
      </c>
      <c r="B1194">
        <v>-156.4</v>
      </c>
      <c r="C1194">
        <v>137.4</v>
      </c>
      <c r="E1194">
        <v>39.783</v>
      </c>
      <c r="F1194">
        <v>-156.8</v>
      </c>
      <c r="G1194">
        <v>137.7</v>
      </c>
      <c r="I1194">
        <f t="shared" si="54"/>
        <v>39.75</v>
      </c>
      <c r="J1194">
        <f t="shared" si="55"/>
        <v>-6.80000000000001</v>
      </c>
      <c r="K1194">
        <f t="shared" si="56"/>
        <v>-5.5</v>
      </c>
    </row>
    <row r="1195" spans="1:11">
      <c r="A1195">
        <v>39.85</v>
      </c>
      <c r="B1195">
        <v>-156.1</v>
      </c>
      <c r="C1195">
        <v>135.8</v>
      </c>
      <c r="E1195">
        <v>39.816</v>
      </c>
      <c r="F1195">
        <v>-156.4</v>
      </c>
      <c r="G1195">
        <v>137.4</v>
      </c>
      <c r="I1195">
        <f t="shared" si="54"/>
        <v>39.8</v>
      </c>
      <c r="J1195">
        <f t="shared" si="55"/>
        <v>-6.40000000000001</v>
      </c>
      <c r="K1195">
        <f t="shared" si="56"/>
        <v>-5.5</v>
      </c>
    </row>
    <row r="1196" spans="1:11">
      <c r="A1196">
        <v>39.883</v>
      </c>
      <c r="B1196">
        <v>-155.9</v>
      </c>
      <c r="C1196">
        <v>134.8</v>
      </c>
      <c r="E1196">
        <v>39.85</v>
      </c>
      <c r="F1196">
        <v>-156.1</v>
      </c>
      <c r="G1196">
        <v>135.8</v>
      </c>
      <c r="I1196">
        <f t="shared" si="54"/>
        <v>39.85</v>
      </c>
      <c r="J1196">
        <f t="shared" si="55"/>
        <v>-6.09999999999999</v>
      </c>
      <c r="K1196">
        <f t="shared" si="56"/>
        <v>-5.5</v>
      </c>
    </row>
    <row r="1197" spans="1:11">
      <c r="A1197">
        <v>39.916</v>
      </c>
      <c r="B1197">
        <v>-155.3</v>
      </c>
      <c r="C1197">
        <v>132.9</v>
      </c>
      <c r="E1197">
        <v>39.883</v>
      </c>
      <c r="F1197">
        <v>-155.9</v>
      </c>
      <c r="G1197">
        <v>134.8</v>
      </c>
      <c r="I1197">
        <f t="shared" si="54"/>
        <v>39.85</v>
      </c>
      <c r="J1197">
        <f t="shared" si="55"/>
        <v>-5.90000000000001</v>
      </c>
      <c r="K1197">
        <f t="shared" si="56"/>
        <v>-5.5</v>
      </c>
    </row>
    <row r="1198" spans="1:11">
      <c r="A1198">
        <v>39.95</v>
      </c>
      <c r="B1198">
        <v>-155.1</v>
      </c>
      <c r="C1198">
        <v>131.4</v>
      </c>
      <c r="E1198">
        <v>39.916</v>
      </c>
      <c r="F1198">
        <v>-155.3</v>
      </c>
      <c r="G1198">
        <v>132.9</v>
      </c>
      <c r="I1198">
        <f t="shared" si="54"/>
        <v>39.9</v>
      </c>
      <c r="J1198">
        <f t="shared" si="55"/>
        <v>-5.30000000000001</v>
      </c>
      <c r="K1198">
        <f t="shared" si="56"/>
        <v>-5.5</v>
      </c>
    </row>
    <row r="1199" spans="1:11">
      <c r="A1199">
        <v>39.983</v>
      </c>
      <c r="B1199">
        <v>-155</v>
      </c>
      <c r="C1199">
        <v>130.5</v>
      </c>
      <c r="E1199">
        <v>39.95</v>
      </c>
      <c r="F1199">
        <v>-155.1</v>
      </c>
      <c r="G1199">
        <v>131.4</v>
      </c>
      <c r="I1199">
        <f t="shared" si="54"/>
        <v>39.95</v>
      </c>
      <c r="J1199">
        <f t="shared" si="55"/>
        <v>-5.09999999999999</v>
      </c>
      <c r="K1199">
        <f t="shared" si="56"/>
        <v>-5.5</v>
      </c>
    </row>
    <row r="1200" spans="1:11">
      <c r="A1200">
        <v>40.017</v>
      </c>
      <c r="B1200">
        <v>-154.4</v>
      </c>
      <c r="C1200">
        <v>128.2</v>
      </c>
      <c r="E1200">
        <v>39.983</v>
      </c>
      <c r="F1200">
        <v>-155</v>
      </c>
      <c r="G1200">
        <v>130.5</v>
      </c>
      <c r="I1200">
        <f t="shared" si="54"/>
        <v>39.95</v>
      </c>
      <c r="J1200">
        <f t="shared" si="55"/>
        <v>-5</v>
      </c>
      <c r="K1200">
        <f t="shared" si="56"/>
        <v>-5.5</v>
      </c>
    </row>
    <row r="1201" spans="1:11">
      <c r="A1201">
        <v>40.05</v>
      </c>
      <c r="B1201">
        <v>-154.2</v>
      </c>
      <c r="C1201">
        <v>127.6</v>
      </c>
      <c r="E1201">
        <v>40.017</v>
      </c>
      <c r="F1201">
        <v>-154.4</v>
      </c>
      <c r="G1201">
        <v>128.2</v>
      </c>
      <c r="I1201">
        <f t="shared" si="54"/>
        <v>40</v>
      </c>
      <c r="J1201">
        <f t="shared" si="55"/>
        <v>-4.40000000000001</v>
      </c>
      <c r="K1201">
        <f t="shared" si="56"/>
        <v>-5.5</v>
      </c>
    </row>
    <row r="1202" spans="1:11">
      <c r="A1202">
        <v>40.084</v>
      </c>
      <c r="B1202">
        <v>-154.1</v>
      </c>
      <c r="C1202">
        <v>125.9</v>
      </c>
      <c r="E1202">
        <v>40.05</v>
      </c>
      <c r="F1202">
        <v>-154.2</v>
      </c>
      <c r="G1202">
        <v>127.6</v>
      </c>
      <c r="I1202">
        <f t="shared" si="54"/>
        <v>40.05</v>
      </c>
      <c r="J1202">
        <f t="shared" si="55"/>
        <v>-4.19999999999999</v>
      </c>
      <c r="K1202">
        <f t="shared" si="56"/>
        <v>-5.5</v>
      </c>
    </row>
    <row r="1203" spans="1:11">
      <c r="A1203">
        <v>40.117</v>
      </c>
      <c r="B1203">
        <v>-153.9</v>
      </c>
      <c r="C1203">
        <v>125.2</v>
      </c>
      <c r="E1203">
        <v>40.084</v>
      </c>
      <c r="F1203">
        <v>-154.1</v>
      </c>
      <c r="G1203">
        <v>125.9</v>
      </c>
      <c r="I1203">
        <f t="shared" si="54"/>
        <v>40.05</v>
      </c>
      <c r="J1203">
        <f t="shared" si="55"/>
        <v>-4.09999999999999</v>
      </c>
      <c r="K1203">
        <f t="shared" si="56"/>
        <v>-5.5</v>
      </c>
    </row>
    <row r="1204" spans="1:11">
      <c r="A1204">
        <v>40.15</v>
      </c>
      <c r="B1204">
        <v>-153.6</v>
      </c>
      <c r="C1204">
        <v>123.9</v>
      </c>
      <c r="E1204">
        <v>40.117</v>
      </c>
      <c r="F1204">
        <v>-153.9</v>
      </c>
      <c r="G1204">
        <v>125.2</v>
      </c>
      <c r="I1204">
        <f t="shared" si="54"/>
        <v>40.1</v>
      </c>
      <c r="J1204">
        <f t="shared" si="55"/>
        <v>-3.90000000000001</v>
      </c>
      <c r="K1204">
        <f t="shared" si="56"/>
        <v>-5.5</v>
      </c>
    </row>
    <row r="1205" spans="1:11">
      <c r="A1205">
        <v>40.184</v>
      </c>
      <c r="B1205">
        <v>-153.5</v>
      </c>
      <c r="C1205">
        <v>122.1</v>
      </c>
      <c r="E1205">
        <v>40.15</v>
      </c>
      <c r="F1205">
        <v>-153.6</v>
      </c>
      <c r="G1205">
        <v>123.9</v>
      </c>
      <c r="I1205">
        <f t="shared" si="54"/>
        <v>40.15</v>
      </c>
      <c r="J1205">
        <f t="shared" si="55"/>
        <v>-3.59999999999999</v>
      </c>
      <c r="K1205">
        <f t="shared" si="56"/>
        <v>-5.5</v>
      </c>
    </row>
    <row r="1206" spans="1:11">
      <c r="A1206">
        <v>40.217</v>
      </c>
      <c r="B1206">
        <v>-153.4</v>
      </c>
      <c r="C1206">
        <v>120</v>
      </c>
      <c r="E1206">
        <v>40.184</v>
      </c>
      <c r="F1206">
        <v>-153.5</v>
      </c>
      <c r="G1206">
        <v>122.1</v>
      </c>
      <c r="I1206">
        <f t="shared" si="54"/>
        <v>40.15</v>
      </c>
      <c r="J1206">
        <f t="shared" si="55"/>
        <v>-3.5</v>
      </c>
      <c r="K1206">
        <f t="shared" si="56"/>
        <v>-5.5</v>
      </c>
    </row>
    <row r="1207" spans="1:11">
      <c r="A1207">
        <v>40.251</v>
      </c>
      <c r="B1207">
        <v>-153.4</v>
      </c>
      <c r="C1207">
        <v>117.7</v>
      </c>
      <c r="E1207">
        <v>40.217</v>
      </c>
      <c r="F1207">
        <v>-153.4</v>
      </c>
      <c r="G1207">
        <v>120</v>
      </c>
      <c r="I1207">
        <f t="shared" si="54"/>
        <v>40.2</v>
      </c>
      <c r="J1207">
        <f t="shared" si="55"/>
        <v>-3.40000000000001</v>
      </c>
      <c r="K1207">
        <f t="shared" si="56"/>
        <v>-5.5</v>
      </c>
    </row>
    <row r="1208" spans="1:11">
      <c r="A1208">
        <v>40.284</v>
      </c>
      <c r="B1208">
        <v>-153.4</v>
      </c>
      <c r="C1208">
        <v>116.7</v>
      </c>
      <c r="E1208">
        <v>40.251</v>
      </c>
      <c r="F1208">
        <v>-153.4</v>
      </c>
      <c r="G1208">
        <v>117.7</v>
      </c>
      <c r="I1208">
        <f t="shared" si="54"/>
        <v>40.25</v>
      </c>
      <c r="J1208">
        <f t="shared" si="55"/>
        <v>-3.40000000000001</v>
      </c>
      <c r="K1208">
        <f t="shared" si="56"/>
        <v>-5.5</v>
      </c>
    </row>
    <row r="1209" spans="1:11">
      <c r="A1209">
        <v>40.318</v>
      </c>
      <c r="B1209">
        <v>-153.5</v>
      </c>
      <c r="C1209">
        <v>114.6</v>
      </c>
      <c r="E1209">
        <v>40.284</v>
      </c>
      <c r="F1209">
        <v>-153.4</v>
      </c>
      <c r="G1209">
        <v>116.7</v>
      </c>
      <c r="I1209">
        <f t="shared" si="54"/>
        <v>40.25</v>
      </c>
      <c r="J1209">
        <f t="shared" si="55"/>
        <v>-3.40000000000001</v>
      </c>
      <c r="K1209">
        <f t="shared" si="56"/>
        <v>-5.5</v>
      </c>
    </row>
    <row r="1210" spans="1:11">
      <c r="A1210">
        <v>40.351</v>
      </c>
      <c r="B1210">
        <v>-153.6</v>
      </c>
      <c r="C1210">
        <v>113.4</v>
      </c>
      <c r="E1210">
        <v>40.318</v>
      </c>
      <c r="F1210">
        <v>-153.5</v>
      </c>
      <c r="G1210">
        <v>114.6</v>
      </c>
      <c r="I1210">
        <f t="shared" si="54"/>
        <v>40.3</v>
      </c>
      <c r="J1210">
        <f t="shared" si="55"/>
        <v>-3.5</v>
      </c>
      <c r="K1210">
        <f t="shared" si="56"/>
        <v>-5.5</v>
      </c>
    </row>
    <row r="1211" spans="1:11">
      <c r="A1211">
        <v>40.384</v>
      </c>
      <c r="B1211">
        <v>-153.7</v>
      </c>
      <c r="C1211">
        <v>111.1</v>
      </c>
      <c r="E1211">
        <v>40.351</v>
      </c>
      <c r="F1211">
        <v>-153.6</v>
      </c>
      <c r="G1211">
        <v>113.4</v>
      </c>
      <c r="I1211">
        <f t="shared" si="54"/>
        <v>40.35</v>
      </c>
      <c r="J1211">
        <f t="shared" si="55"/>
        <v>-3.59999999999999</v>
      </c>
      <c r="K1211">
        <f t="shared" si="56"/>
        <v>-5.5</v>
      </c>
    </row>
    <row r="1212" spans="1:11">
      <c r="A1212">
        <v>40.418</v>
      </c>
      <c r="B1212">
        <v>-153.8</v>
      </c>
      <c r="C1212">
        <v>108.7</v>
      </c>
      <c r="E1212">
        <v>40.384</v>
      </c>
      <c r="F1212">
        <v>-153.7</v>
      </c>
      <c r="G1212">
        <v>111.1</v>
      </c>
      <c r="I1212">
        <f t="shared" si="54"/>
        <v>40.35</v>
      </c>
      <c r="J1212">
        <f t="shared" si="55"/>
        <v>-3.69999999999999</v>
      </c>
      <c r="K1212">
        <f t="shared" si="56"/>
        <v>-5.5</v>
      </c>
    </row>
    <row r="1213" spans="1:11">
      <c r="A1213">
        <v>40.451</v>
      </c>
      <c r="B1213">
        <v>-153.9</v>
      </c>
      <c r="C1213">
        <v>107.9</v>
      </c>
      <c r="E1213">
        <v>40.418</v>
      </c>
      <c r="F1213">
        <v>-153.8</v>
      </c>
      <c r="G1213">
        <v>108.7</v>
      </c>
      <c r="I1213">
        <f t="shared" si="54"/>
        <v>40.4</v>
      </c>
      <c r="J1213">
        <f t="shared" si="55"/>
        <v>-3.80000000000001</v>
      </c>
      <c r="K1213">
        <f t="shared" si="56"/>
        <v>-5.5</v>
      </c>
    </row>
    <row r="1214" spans="1:11">
      <c r="A1214">
        <v>40.485</v>
      </c>
      <c r="B1214">
        <v>-154</v>
      </c>
      <c r="C1214">
        <v>106.5</v>
      </c>
      <c r="E1214">
        <v>40.451</v>
      </c>
      <c r="F1214">
        <v>-153.9</v>
      </c>
      <c r="G1214">
        <v>107.9</v>
      </c>
      <c r="I1214">
        <f t="shared" si="54"/>
        <v>40.45</v>
      </c>
      <c r="J1214">
        <f t="shared" si="55"/>
        <v>-3.90000000000001</v>
      </c>
      <c r="K1214">
        <f t="shared" si="56"/>
        <v>-5.5</v>
      </c>
    </row>
    <row r="1215" spans="1:11">
      <c r="A1215">
        <v>40.518</v>
      </c>
      <c r="B1215">
        <v>-154.6</v>
      </c>
      <c r="C1215">
        <v>105</v>
      </c>
      <c r="E1215">
        <v>40.485</v>
      </c>
      <c r="F1215">
        <v>-154</v>
      </c>
      <c r="G1215">
        <v>106.5</v>
      </c>
      <c r="I1215">
        <f t="shared" si="54"/>
        <v>40.45</v>
      </c>
      <c r="J1215">
        <f t="shared" si="55"/>
        <v>-4</v>
      </c>
      <c r="K1215">
        <f t="shared" si="56"/>
        <v>-5.5</v>
      </c>
    </row>
    <row r="1216" spans="1:11">
      <c r="A1216">
        <v>40.552</v>
      </c>
      <c r="B1216">
        <v>-154.9</v>
      </c>
      <c r="C1216">
        <v>102.9</v>
      </c>
      <c r="E1216">
        <v>40.518</v>
      </c>
      <c r="F1216">
        <v>-154.6</v>
      </c>
      <c r="G1216">
        <v>105</v>
      </c>
      <c r="I1216">
        <f t="shared" si="54"/>
        <v>40.5</v>
      </c>
      <c r="J1216">
        <f t="shared" si="55"/>
        <v>-4.59999999999999</v>
      </c>
      <c r="K1216">
        <f t="shared" si="56"/>
        <v>-5.5</v>
      </c>
    </row>
    <row r="1217" spans="1:11">
      <c r="A1217">
        <v>40.585</v>
      </c>
      <c r="B1217">
        <v>-155.1</v>
      </c>
      <c r="C1217">
        <v>101.4</v>
      </c>
      <c r="E1217">
        <v>40.552</v>
      </c>
      <c r="F1217">
        <v>-154.9</v>
      </c>
      <c r="G1217">
        <v>102.9</v>
      </c>
      <c r="I1217">
        <f t="shared" ref="I1217:I1280" si="57">FLOOR(E1217,0.05)</f>
        <v>40.55</v>
      </c>
      <c r="J1217">
        <f t="shared" si="55"/>
        <v>-4.90000000000001</v>
      </c>
      <c r="K1217">
        <f t="shared" si="56"/>
        <v>-5.5</v>
      </c>
    </row>
    <row r="1218" spans="1:11">
      <c r="A1218">
        <v>40.619</v>
      </c>
      <c r="B1218">
        <v>-155.7</v>
      </c>
      <c r="C1218">
        <v>99.3</v>
      </c>
      <c r="E1218">
        <v>40.585</v>
      </c>
      <c r="F1218">
        <v>-155.1</v>
      </c>
      <c r="G1218">
        <v>101.4</v>
      </c>
      <c r="I1218">
        <f t="shared" si="57"/>
        <v>40.55</v>
      </c>
      <c r="J1218">
        <f t="shared" si="55"/>
        <v>-5.09999999999999</v>
      </c>
      <c r="K1218">
        <f t="shared" si="56"/>
        <v>-5.5</v>
      </c>
    </row>
    <row r="1219" spans="1:11">
      <c r="A1219">
        <v>40.652</v>
      </c>
      <c r="B1219">
        <v>-156</v>
      </c>
      <c r="C1219">
        <v>97.5</v>
      </c>
      <c r="E1219">
        <v>40.619</v>
      </c>
      <c r="F1219">
        <v>-155.7</v>
      </c>
      <c r="G1219">
        <v>99.3</v>
      </c>
      <c r="I1219">
        <f t="shared" si="57"/>
        <v>40.6</v>
      </c>
      <c r="J1219">
        <f t="shared" si="55"/>
        <v>-5.69999999999999</v>
      </c>
      <c r="K1219">
        <f t="shared" si="56"/>
        <v>-5.5</v>
      </c>
    </row>
    <row r="1220" spans="1:11">
      <c r="A1220">
        <v>40.685</v>
      </c>
      <c r="B1220">
        <v>-156.2</v>
      </c>
      <c r="C1220">
        <v>95.2</v>
      </c>
      <c r="E1220">
        <v>40.652</v>
      </c>
      <c r="F1220">
        <v>-156</v>
      </c>
      <c r="G1220">
        <v>97.5</v>
      </c>
      <c r="I1220">
        <f t="shared" si="57"/>
        <v>40.65</v>
      </c>
      <c r="J1220">
        <f t="shared" si="55"/>
        <v>-6</v>
      </c>
      <c r="K1220">
        <f t="shared" si="56"/>
        <v>-5.5</v>
      </c>
    </row>
    <row r="1221" spans="1:11">
      <c r="A1221">
        <v>40.719</v>
      </c>
      <c r="B1221">
        <v>-156.7</v>
      </c>
      <c r="C1221">
        <v>93.3</v>
      </c>
      <c r="E1221">
        <v>40.685</v>
      </c>
      <c r="F1221">
        <v>-156.2</v>
      </c>
      <c r="G1221">
        <v>95.2</v>
      </c>
      <c r="I1221">
        <f t="shared" si="57"/>
        <v>40.65</v>
      </c>
      <c r="J1221">
        <f t="shared" ref="J1221:J1284" si="58">F1221+150</f>
        <v>-6.19999999999999</v>
      </c>
      <c r="K1221">
        <f t="shared" ref="K1221:K1284" si="59">IF(G1221&lt;230,-5.5,5)</f>
        <v>-5.5</v>
      </c>
    </row>
    <row r="1222" spans="1:11">
      <c r="A1222">
        <v>40.752</v>
      </c>
      <c r="B1222">
        <v>-156.9</v>
      </c>
      <c r="C1222">
        <v>90.5</v>
      </c>
      <c r="E1222">
        <v>40.719</v>
      </c>
      <c r="F1222">
        <v>-156.7</v>
      </c>
      <c r="G1222">
        <v>93.3</v>
      </c>
      <c r="I1222">
        <f t="shared" si="57"/>
        <v>40.7</v>
      </c>
      <c r="J1222">
        <f t="shared" si="58"/>
        <v>-6.69999999999999</v>
      </c>
      <c r="K1222">
        <f t="shared" si="59"/>
        <v>-5.5</v>
      </c>
    </row>
    <row r="1223" spans="1:11">
      <c r="A1223">
        <v>40.786</v>
      </c>
      <c r="B1223">
        <v>-157.1</v>
      </c>
      <c r="C1223">
        <v>88</v>
      </c>
      <c r="E1223">
        <v>40.752</v>
      </c>
      <c r="F1223">
        <v>-156.9</v>
      </c>
      <c r="G1223">
        <v>90.5</v>
      </c>
      <c r="I1223">
        <f t="shared" si="57"/>
        <v>40.75</v>
      </c>
      <c r="J1223">
        <f t="shared" si="58"/>
        <v>-6.90000000000001</v>
      </c>
      <c r="K1223">
        <f t="shared" si="59"/>
        <v>-5.5</v>
      </c>
    </row>
    <row r="1224" spans="1:11">
      <c r="A1224">
        <v>40.819</v>
      </c>
      <c r="B1224">
        <v>-157.6</v>
      </c>
      <c r="C1224">
        <v>85.3</v>
      </c>
      <c r="E1224">
        <v>40.786</v>
      </c>
      <c r="F1224">
        <v>-157.1</v>
      </c>
      <c r="G1224">
        <v>88</v>
      </c>
      <c r="I1224">
        <f t="shared" si="57"/>
        <v>40.75</v>
      </c>
      <c r="J1224">
        <f t="shared" si="58"/>
        <v>-7.09999999999999</v>
      </c>
      <c r="K1224">
        <f t="shared" si="59"/>
        <v>-5.5</v>
      </c>
    </row>
    <row r="1225" spans="1:11">
      <c r="A1225">
        <v>40.853</v>
      </c>
      <c r="B1225">
        <v>-157.7</v>
      </c>
      <c r="C1225">
        <v>84.8</v>
      </c>
      <c r="E1225">
        <v>40.819</v>
      </c>
      <c r="F1225">
        <v>-157.6</v>
      </c>
      <c r="G1225">
        <v>85.3</v>
      </c>
      <c r="I1225">
        <f t="shared" si="57"/>
        <v>40.8</v>
      </c>
      <c r="J1225">
        <f t="shared" si="58"/>
        <v>-7.59999999999999</v>
      </c>
      <c r="K1225">
        <f t="shared" si="59"/>
        <v>-5.5</v>
      </c>
    </row>
    <row r="1226" spans="1:11">
      <c r="A1226">
        <v>40.886</v>
      </c>
      <c r="B1226">
        <v>-157.8</v>
      </c>
      <c r="C1226">
        <v>81.3</v>
      </c>
      <c r="E1226">
        <v>40.853</v>
      </c>
      <c r="F1226">
        <v>-157.7</v>
      </c>
      <c r="G1226">
        <v>84.8</v>
      </c>
      <c r="I1226">
        <f t="shared" si="57"/>
        <v>40.85</v>
      </c>
      <c r="J1226">
        <f t="shared" si="58"/>
        <v>-7.69999999999999</v>
      </c>
      <c r="K1226">
        <f t="shared" si="59"/>
        <v>-5.5</v>
      </c>
    </row>
    <row r="1227" spans="1:11">
      <c r="A1227">
        <v>40.919</v>
      </c>
      <c r="B1227">
        <v>-157.8</v>
      </c>
      <c r="C1227">
        <v>80.3</v>
      </c>
      <c r="E1227">
        <v>40.886</v>
      </c>
      <c r="F1227">
        <v>-157.8</v>
      </c>
      <c r="G1227">
        <v>81.3</v>
      </c>
      <c r="I1227">
        <f t="shared" si="57"/>
        <v>40.85</v>
      </c>
      <c r="J1227">
        <f t="shared" si="58"/>
        <v>-7.80000000000001</v>
      </c>
      <c r="K1227">
        <f t="shared" si="59"/>
        <v>-5.5</v>
      </c>
    </row>
    <row r="1228" spans="1:11">
      <c r="A1228">
        <v>40.953</v>
      </c>
      <c r="B1228">
        <v>-157.8</v>
      </c>
      <c r="C1228">
        <v>78.1</v>
      </c>
      <c r="E1228">
        <v>40.919</v>
      </c>
      <c r="F1228">
        <v>-157.8</v>
      </c>
      <c r="G1228">
        <v>80.3</v>
      </c>
      <c r="I1228">
        <f t="shared" si="57"/>
        <v>40.9</v>
      </c>
      <c r="J1228">
        <f t="shared" si="58"/>
        <v>-7.80000000000001</v>
      </c>
      <c r="K1228">
        <f t="shared" si="59"/>
        <v>-5.5</v>
      </c>
    </row>
    <row r="1229" spans="1:11">
      <c r="A1229">
        <v>40.986</v>
      </c>
      <c r="B1229">
        <v>-157.7</v>
      </c>
      <c r="C1229">
        <v>75.6</v>
      </c>
      <c r="E1229">
        <v>40.953</v>
      </c>
      <c r="F1229">
        <v>-157.8</v>
      </c>
      <c r="G1229">
        <v>78.1</v>
      </c>
      <c r="I1229">
        <f t="shared" si="57"/>
        <v>40.95</v>
      </c>
      <c r="J1229">
        <f t="shared" si="58"/>
        <v>-7.80000000000001</v>
      </c>
      <c r="K1229">
        <f t="shared" si="59"/>
        <v>-5.5</v>
      </c>
    </row>
    <row r="1230" spans="1:11">
      <c r="A1230">
        <v>41.02</v>
      </c>
      <c r="B1230">
        <v>-157.7</v>
      </c>
      <c r="C1230">
        <v>72.1</v>
      </c>
      <c r="E1230">
        <v>40.986</v>
      </c>
      <c r="F1230">
        <v>-157.7</v>
      </c>
      <c r="G1230">
        <v>75.6</v>
      </c>
      <c r="I1230">
        <f t="shared" si="57"/>
        <v>40.95</v>
      </c>
      <c r="J1230">
        <f t="shared" si="58"/>
        <v>-7.69999999999999</v>
      </c>
      <c r="K1230">
        <f t="shared" si="59"/>
        <v>-5.5</v>
      </c>
    </row>
    <row r="1231" spans="1:11">
      <c r="A1231">
        <v>41.053</v>
      </c>
      <c r="B1231">
        <v>-157.6</v>
      </c>
      <c r="C1231">
        <v>71.7</v>
      </c>
      <c r="E1231">
        <v>41.02</v>
      </c>
      <c r="F1231">
        <v>-157.7</v>
      </c>
      <c r="G1231">
        <v>72.1</v>
      </c>
      <c r="I1231">
        <f t="shared" si="57"/>
        <v>41</v>
      </c>
      <c r="J1231">
        <f t="shared" si="58"/>
        <v>-7.69999999999999</v>
      </c>
      <c r="K1231">
        <f t="shared" si="59"/>
        <v>-5.5</v>
      </c>
    </row>
    <row r="1232" spans="1:11">
      <c r="A1232">
        <v>41.087</v>
      </c>
      <c r="B1232">
        <v>-157.6</v>
      </c>
      <c r="C1232">
        <v>70</v>
      </c>
      <c r="E1232">
        <v>41.053</v>
      </c>
      <c r="F1232">
        <v>-157.6</v>
      </c>
      <c r="G1232">
        <v>71.7</v>
      </c>
      <c r="I1232">
        <f t="shared" si="57"/>
        <v>41.05</v>
      </c>
      <c r="J1232">
        <f t="shared" si="58"/>
        <v>-7.59999999999999</v>
      </c>
      <c r="K1232">
        <f t="shared" si="59"/>
        <v>-5.5</v>
      </c>
    </row>
    <row r="1233" spans="1:11">
      <c r="A1233">
        <v>41.12</v>
      </c>
      <c r="B1233">
        <v>-157.5</v>
      </c>
      <c r="C1233">
        <v>68.9</v>
      </c>
      <c r="E1233">
        <v>41.087</v>
      </c>
      <c r="F1233">
        <v>-157.6</v>
      </c>
      <c r="G1233">
        <v>70</v>
      </c>
      <c r="I1233">
        <f t="shared" si="57"/>
        <v>41.05</v>
      </c>
      <c r="J1233">
        <f t="shared" si="58"/>
        <v>-7.59999999999999</v>
      </c>
      <c r="K1233">
        <f t="shared" si="59"/>
        <v>-5.5</v>
      </c>
    </row>
    <row r="1234" spans="1:11">
      <c r="A1234">
        <v>41.153</v>
      </c>
      <c r="B1234">
        <v>-157.4</v>
      </c>
      <c r="C1234">
        <v>69</v>
      </c>
      <c r="E1234">
        <v>41.12</v>
      </c>
      <c r="F1234">
        <v>-157.5</v>
      </c>
      <c r="G1234">
        <v>68.9</v>
      </c>
      <c r="I1234">
        <f t="shared" si="57"/>
        <v>41.1</v>
      </c>
      <c r="J1234">
        <f t="shared" si="58"/>
        <v>-7.5</v>
      </c>
      <c r="K1234">
        <f t="shared" si="59"/>
        <v>-5.5</v>
      </c>
    </row>
    <row r="1235" spans="1:11">
      <c r="A1235">
        <v>41.187</v>
      </c>
      <c r="B1235">
        <v>-157.3</v>
      </c>
      <c r="C1235">
        <v>68.4</v>
      </c>
      <c r="E1235">
        <v>41.153</v>
      </c>
      <c r="F1235">
        <v>-157.4</v>
      </c>
      <c r="G1235">
        <v>69</v>
      </c>
      <c r="I1235">
        <f t="shared" si="57"/>
        <v>41.15</v>
      </c>
      <c r="J1235">
        <f t="shared" si="58"/>
        <v>-7.40000000000001</v>
      </c>
      <c r="K1235">
        <f t="shared" si="59"/>
        <v>-5.5</v>
      </c>
    </row>
    <row r="1236" spans="1:11">
      <c r="A1236">
        <v>41.22</v>
      </c>
      <c r="B1236">
        <v>-157.2</v>
      </c>
      <c r="C1236">
        <v>68.4</v>
      </c>
      <c r="E1236">
        <v>41.187</v>
      </c>
      <c r="F1236">
        <v>-157.3</v>
      </c>
      <c r="G1236">
        <v>68.4</v>
      </c>
      <c r="I1236">
        <f t="shared" si="57"/>
        <v>41.15</v>
      </c>
      <c r="J1236">
        <f t="shared" si="58"/>
        <v>-7.30000000000001</v>
      </c>
      <c r="K1236">
        <f t="shared" si="59"/>
        <v>-5.5</v>
      </c>
    </row>
    <row r="1237" spans="1:11">
      <c r="A1237">
        <v>41.254</v>
      </c>
      <c r="B1237">
        <v>-157</v>
      </c>
      <c r="C1237">
        <v>68</v>
      </c>
      <c r="E1237">
        <v>41.22</v>
      </c>
      <c r="F1237">
        <v>-157.2</v>
      </c>
      <c r="G1237">
        <v>68.4</v>
      </c>
      <c r="I1237">
        <f t="shared" si="57"/>
        <v>41.2</v>
      </c>
      <c r="J1237">
        <f t="shared" si="58"/>
        <v>-7.19999999999999</v>
      </c>
      <c r="K1237">
        <f t="shared" si="59"/>
        <v>-5.5</v>
      </c>
    </row>
    <row r="1238" spans="1:11">
      <c r="A1238">
        <v>41.287</v>
      </c>
      <c r="B1238">
        <v>-156.7</v>
      </c>
      <c r="C1238">
        <v>67.7</v>
      </c>
      <c r="E1238">
        <v>41.254</v>
      </c>
      <c r="F1238">
        <v>-157</v>
      </c>
      <c r="G1238">
        <v>68</v>
      </c>
      <c r="I1238">
        <f t="shared" si="57"/>
        <v>41.25</v>
      </c>
      <c r="J1238">
        <f t="shared" si="58"/>
        <v>-7</v>
      </c>
      <c r="K1238">
        <f t="shared" si="59"/>
        <v>-5.5</v>
      </c>
    </row>
    <row r="1239" spans="1:11">
      <c r="A1239">
        <v>41.321</v>
      </c>
      <c r="B1239">
        <v>-156.3</v>
      </c>
      <c r="C1239">
        <v>66.7</v>
      </c>
      <c r="E1239">
        <v>41.287</v>
      </c>
      <c r="F1239">
        <v>-156.7</v>
      </c>
      <c r="G1239">
        <v>67.7</v>
      </c>
      <c r="I1239">
        <f t="shared" si="57"/>
        <v>41.25</v>
      </c>
      <c r="J1239">
        <f t="shared" si="58"/>
        <v>-6.69999999999999</v>
      </c>
      <c r="K1239">
        <f t="shared" si="59"/>
        <v>-5.5</v>
      </c>
    </row>
    <row r="1240" spans="1:11">
      <c r="A1240">
        <v>41.354</v>
      </c>
      <c r="B1240">
        <v>-156.1</v>
      </c>
      <c r="C1240">
        <v>65.9</v>
      </c>
      <c r="E1240">
        <v>41.321</v>
      </c>
      <c r="F1240">
        <v>-156.3</v>
      </c>
      <c r="G1240">
        <v>66.7</v>
      </c>
      <c r="I1240">
        <f t="shared" si="57"/>
        <v>41.3</v>
      </c>
      <c r="J1240">
        <f t="shared" si="58"/>
        <v>-6.30000000000001</v>
      </c>
      <c r="K1240">
        <f t="shared" si="59"/>
        <v>-5.5</v>
      </c>
    </row>
    <row r="1241" spans="1:11">
      <c r="A1241">
        <v>41.387</v>
      </c>
      <c r="B1241">
        <v>-155.8</v>
      </c>
      <c r="C1241">
        <v>65</v>
      </c>
      <c r="E1241">
        <v>41.354</v>
      </c>
      <c r="F1241">
        <v>-156.1</v>
      </c>
      <c r="G1241">
        <v>65.9</v>
      </c>
      <c r="I1241">
        <f t="shared" si="57"/>
        <v>41.35</v>
      </c>
      <c r="J1241">
        <f t="shared" si="58"/>
        <v>-6.09999999999999</v>
      </c>
      <c r="K1241">
        <f t="shared" si="59"/>
        <v>-5.5</v>
      </c>
    </row>
    <row r="1242" spans="1:11">
      <c r="A1242">
        <v>41.421</v>
      </c>
      <c r="B1242">
        <v>-155.3</v>
      </c>
      <c r="C1242">
        <v>63.2</v>
      </c>
      <c r="E1242">
        <v>41.387</v>
      </c>
      <c r="F1242">
        <v>-155.8</v>
      </c>
      <c r="G1242">
        <v>65</v>
      </c>
      <c r="I1242">
        <f t="shared" si="57"/>
        <v>41.35</v>
      </c>
      <c r="J1242">
        <f t="shared" si="58"/>
        <v>-5.80000000000001</v>
      </c>
      <c r="K1242">
        <f t="shared" si="59"/>
        <v>-5.5</v>
      </c>
    </row>
    <row r="1243" spans="1:11">
      <c r="A1243">
        <v>41.454</v>
      </c>
      <c r="B1243">
        <v>-155.1</v>
      </c>
      <c r="C1243">
        <v>62.8</v>
      </c>
      <c r="E1243">
        <v>41.421</v>
      </c>
      <c r="F1243">
        <v>-155.3</v>
      </c>
      <c r="G1243">
        <v>63.2</v>
      </c>
      <c r="I1243">
        <f t="shared" si="57"/>
        <v>41.4</v>
      </c>
      <c r="J1243">
        <f t="shared" si="58"/>
        <v>-5.30000000000001</v>
      </c>
      <c r="K1243">
        <f t="shared" si="59"/>
        <v>-5.5</v>
      </c>
    </row>
    <row r="1244" spans="1:11">
      <c r="A1244">
        <v>41.488</v>
      </c>
      <c r="B1244">
        <v>-154.8</v>
      </c>
      <c r="C1244">
        <v>62.4</v>
      </c>
      <c r="E1244">
        <v>41.454</v>
      </c>
      <c r="F1244">
        <v>-155.1</v>
      </c>
      <c r="G1244">
        <v>62.8</v>
      </c>
      <c r="I1244">
        <f t="shared" si="57"/>
        <v>41.45</v>
      </c>
      <c r="J1244">
        <f t="shared" si="58"/>
        <v>-5.09999999999999</v>
      </c>
      <c r="K1244">
        <f t="shared" si="59"/>
        <v>-5.5</v>
      </c>
    </row>
    <row r="1245" spans="1:11">
      <c r="A1245">
        <v>41.521</v>
      </c>
      <c r="B1245">
        <v>-154.3</v>
      </c>
      <c r="C1245">
        <v>61.4</v>
      </c>
      <c r="E1245">
        <v>41.488</v>
      </c>
      <c r="F1245">
        <v>-154.8</v>
      </c>
      <c r="G1245">
        <v>62.4</v>
      </c>
      <c r="I1245">
        <f t="shared" si="57"/>
        <v>41.45</v>
      </c>
      <c r="J1245">
        <f t="shared" si="58"/>
        <v>-4.80000000000001</v>
      </c>
      <c r="K1245">
        <f t="shared" si="59"/>
        <v>-5.5</v>
      </c>
    </row>
    <row r="1246" spans="1:11">
      <c r="A1246">
        <v>41.555</v>
      </c>
      <c r="B1246">
        <v>-154.1</v>
      </c>
      <c r="C1246">
        <v>61</v>
      </c>
      <c r="E1246">
        <v>41.521</v>
      </c>
      <c r="F1246">
        <v>-154.3</v>
      </c>
      <c r="G1246">
        <v>61.4</v>
      </c>
      <c r="I1246">
        <f t="shared" si="57"/>
        <v>41.5</v>
      </c>
      <c r="J1246">
        <f t="shared" si="58"/>
        <v>-4.30000000000001</v>
      </c>
      <c r="K1246">
        <f t="shared" si="59"/>
        <v>-5.5</v>
      </c>
    </row>
    <row r="1247" spans="1:11">
      <c r="A1247">
        <v>41.588</v>
      </c>
      <c r="B1247">
        <v>-154.1</v>
      </c>
      <c r="C1247">
        <v>61</v>
      </c>
      <c r="E1247">
        <v>41.555</v>
      </c>
      <c r="F1247">
        <v>-154.1</v>
      </c>
      <c r="G1247">
        <v>61</v>
      </c>
      <c r="I1247">
        <f t="shared" si="57"/>
        <v>41.55</v>
      </c>
      <c r="J1247">
        <f t="shared" si="58"/>
        <v>-4.09999999999999</v>
      </c>
      <c r="K1247">
        <f t="shared" si="59"/>
        <v>-5.5</v>
      </c>
    </row>
    <row r="1248" spans="1:11">
      <c r="A1248">
        <v>41.621</v>
      </c>
      <c r="B1248">
        <v>-154</v>
      </c>
      <c r="C1248">
        <v>60.7</v>
      </c>
      <c r="E1248">
        <v>41.588</v>
      </c>
      <c r="F1248">
        <v>-154.1</v>
      </c>
      <c r="G1248">
        <v>61</v>
      </c>
      <c r="I1248">
        <f t="shared" si="57"/>
        <v>41.55</v>
      </c>
      <c r="J1248">
        <f t="shared" si="58"/>
        <v>-4.09999999999999</v>
      </c>
      <c r="K1248">
        <f t="shared" si="59"/>
        <v>-5.5</v>
      </c>
    </row>
    <row r="1249" spans="1:11">
      <c r="A1249">
        <v>41.655</v>
      </c>
      <c r="B1249">
        <v>-154</v>
      </c>
      <c r="C1249">
        <v>60.6</v>
      </c>
      <c r="E1249">
        <v>41.621</v>
      </c>
      <c r="F1249">
        <v>-154</v>
      </c>
      <c r="G1249">
        <v>60.7</v>
      </c>
      <c r="I1249">
        <f t="shared" si="57"/>
        <v>41.6</v>
      </c>
      <c r="J1249">
        <f t="shared" si="58"/>
        <v>-4</v>
      </c>
      <c r="K1249">
        <f t="shared" si="59"/>
        <v>-5.5</v>
      </c>
    </row>
    <row r="1250" spans="1:11">
      <c r="A1250">
        <v>41.688</v>
      </c>
      <c r="B1250">
        <v>-154.1</v>
      </c>
      <c r="C1250">
        <v>60.5</v>
      </c>
      <c r="E1250">
        <v>41.655</v>
      </c>
      <c r="F1250">
        <v>-154</v>
      </c>
      <c r="G1250">
        <v>60.6</v>
      </c>
      <c r="I1250">
        <f t="shared" si="57"/>
        <v>41.65</v>
      </c>
      <c r="J1250">
        <f t="shared" si="58"/>
        <v>-4</v>
      </c>
      <c r="K1250">
        <f t="shared" si="59"/>
        <v>-5.5</v>
      </c>
    </row>
    <row r="1251" spans="1:11">
      <c r="A1251">
        <v>41.722</v>
      </c>
      <c r="B1251">
        <v>-154.1</v>
      </c>
      <c r="C1251">
        <v>60.6</v>
      </c>
      <c r="E1251">
        <v>41.688</v>
      </c>
      <c r="F1251">
        <v>-154.1</v>
      </c>
      <c r="G1251">
        <v>60.5</v>
      </c>
      <c r="I1251">
        <f t="shared" si="57"/>
        <v>41.65</v>
      </c>
      <c r="J1251">
        <f t="shared" si="58"/>
        <v>-4.09999999999999</v>
      </c>
      <c r="K1251">
        <f t="shared" si="59"/>
        <v>-5.5</v>
      </c>
    </row>
    <row r="1252" spans="1:11">
      <c r="A1252">
        <v>41.755</v>
      </c>
      <c r="B1252">
        <v>-154.2</v>
      </c>
      <c r="C1252">
        <v>60.5</v>
      </c>
      <c r="E1252">
        <v>41.722</v>
      </c>
      <c r="F1252">
        <v>-154.1</v>
      </c>
      <c r="G1252">
        <v>60.6</v>
      </c>
      <c r="I1252">
        <f t="shared" si="57"/>
        <v>41.7</v>
      </c>
      <c r="J1252">
        <f t="shared" si="58"/>
        <v>-4.09999999999999</v>
      </c>
      <c r="K1252">
        <f t="shared" si="59"/>
        <v>-5.5</v>
      </c>
    </row>
    <row r="1253" spans="1:11">
      <c r="A1253">
        <v>41.789</v>
      </c>
      <c r="B1253">
        <v>-154.3</v>
      </c>
      <c r="C1253">
        <v>60.5</v>
      </c>
      <c r="E1253">
        <v>41.755</v>
      </c>
      <c r="F1253">
        <v>-154.2</v>
      </c>
      <c r="G1253">
        <v>60.5</v>
      </c>
      <c r="I1253">
        <f t="shared" si="57"/>
        <v>41.75</v>
      </c>
      <c r="J1253">
        <f t="shared" si="58"/>
        <v>-4.19999999999999</v>
      </c>
      <c r="K1253">
        <f t="shared" si="59"/>
        <v>-5.5</v>
      </c>
    </row>
    <row r="1254" spans="1:11">
      <c r="A1254">
        <v>41.822</v>
      </c>
      <c r="B1254">
        <v>-154.4</v>
      </c>
      <c r="C1254">
        <v>60.5</v>
      </c>
      <c r="E1254">
        <v>41.789</v>
      </c>
      <c r="F1254">
        <v>-154.3</v>
      </c>
      <c r="G1254">
        <v>60.5</v>
      </c>
      <c r="I1254">
        <f t="shared" si="57"/>
        <v>41.75</v>
      </c>
      <c r="J1254">
        <f t="shared" si="58"/>
        <v>-4.30000000000001</v>
      </c>
      <c r="K1254">
        <f t="shared" si="59"/>
        <v>-5.5</v>
      </c>
    </row>
    <row r="1255" spans="1:11">
      <c r="A1255">
        <v>41.855</v>
      </c>
      <c r="B1255">
        <v>-154.4</v>
      </c>
      <c r="C1255">
        <v>60.5</v>
      </c>
      <c r="E1255">
        <v>41.822</v>
      </c>
      <c r="F1255">
        <v>-154.4</v>
      </c>
      <c r="G1255">
        <v>60.5</v>
      </c>
      <c r="I1255">
        <f t="shared" si="57"/>
        <v>41.8</v>
      </c>
      <c r="J1255">
        <f t="shared" si="58"/>
        <v>-4.40000000000001</v>
      </c>
      <c r="K1255">
        <f t="shared" si="59"/>
        <v>-5.5</v>
      </c>
    </row>
    <row r="1256" spans="1:11">
      <c r="A1256">
        <v>41.889</v>
      </c>
      <c r="B1256">
        <v>-154.5</v>
      </c>
      <c r="C1256">
        <v>60.4</v>
      </c>
      <c r="E1256">
        <v>41.855</v>
      </c>
      <c r="F1256">
        <v>-154.4</v>
      </c>
      <c r="G1256">
        <v>60.5</v>
      </c>
      <c r="I1256">
        <f t="shared" si="57"/>
        <v>41.85</v>
      </c>
      <c r="J1256">
        <f t="shared" si="58"/>
        <v>-4.40000000000001</v>
      </c>
      <c r="K1256">
        <f t="shared" si="59"/>
        <v>-5.5</v>
      </c>
    </row>
    <row r="1257" spans="1:11">
      <c r="A1257">
        <v>41.922</v>
      </c>
      <c r="B1257">
        <v>-154.6</v>
      </c>
      <c r="C1257">
        <v>60.4</v>
      </c>
      <c r="E1257">
        <v>41.889</v>
      </c>
      <c r="F1257">
        <v>-154.5</v>
      </c>
      <c r="G1257">
        <v>60.4</v>
      </c>
      <c r="I1257">
        <f t="shared" si="57"/>
        <v>41.85</v>
      </c>
      <c r="J1257">
        <f t="shared" si="58"/>
        <v>-4.5</v>
      </c>
      <c r="K1257">
        <f t="shared" si="59"/>
        <v>-5.5</v>
      </c>
    </row>
    <row r="1258" spans="1:11">
      <c r="A1258">
        <v>41.956</v>
      </c>
      <c r="B1258">
        <v>-154.7</v>
      </c>
      <c r="C1258">
        <v>60.4</v>
      </c>
      <c r="E1258">
        <v>41.922</v>
      </c>
      <c r="F1258">
        <v>-154.6</v>
      </c>
      <c r="G1258">
        <v>60.4</v>
      </c>
      <c r="I1258">
        <f t="shared" si="57"/>
        <v>41.9</v>
      </c>
      <c r="J1258">
        <f t="shared" si="58"/>
        <v>-4.59999999999999</v>
      </c>
      <c r="K1258">
        <f t="shared" si="59"/>
        <v>-5.5</v>
      </c>
    </row>
    <row r="1259" spans="1:11">
      <c r="A1259">
        <v>41.989</v>
      </c>
      <c r="B1259">
        <v>-154.8</v>
      </c>
      <c r="C1259">
        <v>60.4</v>
      </c>
      <c r="E1259">
        <v>41.956</v>
      </c>
      <c r="F1259">
        <v>-154.7</v>
      </c>
      <c r="G1259">
        <v>60.4</v>
      </c>
      <c r="I1259">
        <f t="shared" si="57"/>
        <v>41.95</v>
      </c>
      <c r="J1259">
        <f t="shared" si="58"/>
        <v>-4.69999999999999</v>
      </c>
      <c r="K1259">
        <f t="shared" si="59"/>
        <v>-5.5</v>
      </c>
    </row>
    <row r="1260" spans="1:11">
      <c r="A1260">
        <v>42.023</v>
      </c>
      <c r="B1260">
        <v>-154.9</v>
      </c>
      <c r="C1260">
        <v>60.4</v>
      </c>
      <c r="E1260">
        <v>41.989</v>
      </c>
      <c r="F1260">
        <v>-154.8</v>
      </c>
      <c r="G1260">
        <v>60.4</v>
      </c>
      <c r="I1260">
        <f t="shared" si="57"/>
        <v>41.95</v>
      </c>
      <c r="J1260">
        <f t="shared" si="58"/>
        <v>-4.80000000000001</v>
      </c>
      <c r="K1260">
        <f t="shared" si="59"/>
        <v>-5.5</v>
      </c>
    </row>
    <row r="1261" spans="1:11">
      <c r="A1261">
        <v>42.056</v>
      </c>
      <c r="B1261">
        <v>-155.1</v>
      </c>
      <c r="C1261">
        <v>60.3</v>
      </c>
      <c r="E1261">
        <v>42.023</v>
      </c>
      <c r="F1261">
        <v>-154.9</v>
      </c>
      <c r="G1261">
        <v>60.4</v>
      </c>
      <c r="I1261">
        <f t="shared" si="57"/>
        <v>42</v>
      </c>
      <c r="J1261">
        <f t="shared" si="58"/>
        <v>-4.90000000000001</v>
      </c>
      <c r="K1261">
        <f t="shared" si="59"/>
        <v>-5.5</v>
      </c>
    </row>
    <row r="1262" spans="1:11">
      <c r="A1262">
        <v>42.089</v>
      </c>
      <c r="B1262">
        <v>-155.6</v>
      </c>
      <c r="C1262">
        <v>60.4</v>
      </c>
      <c r="E1262">
        <v>42.056</v>
      </c>
      <c r="F1262">
        <v>-155.1</v>
      </c>
      <c r="G1262">
        <v>60.3</v>
      </c>
      <c r="I1262">
        <f t="shared" si="57"/>
        <v>42.05</v>
      </c>
      <c r="J1262">
        <f t="shared" si="58"/>
        <v>-5.09999999999999</v>
      </c>
      <c r="K1262">
        <f t="shared" si="59"/>
        <v>-5.5</v>
      </c>
    </row>
    <row r="1263" spans="1:11">
      <c r="A1263">
        <v>42.123</v>
      </c>
      <c r="B1263">
        <v>-155.9</v>
      </c>
      <c r="C1263">
        <v>60.4</v>
      </c>
      <c r="E1263">
        <v>42.089</v>
      </c>
      <c r="F1263">
        <v>-155.6</v>
      </c>
      <c r="G1263">
        <v>60.4</v>
      </c>
      <c r="I1263">
        <f t="shared" si="57"/>
        <v>42.05</v>
      </c>
      <c r="J1263">
        <f t="shared" si="58"/>
        <v>-5.59999999999999</v>
      </c>
      <c r="K1263">
        <f t="shared" si="59"/>
        <v>-5.5</v>
      </c>
    </row>
    <row r="1264" spans="1:11">
      <c r="A1264">
        <v>42.156</v>
      </c>
      <c r="B1264">
        <v>-156.2</v>
      </c>
      <c r="C1264">
        <v>60.4</v>
      </c>
      <c r="E1264">
        <v>42.123</v>
      </c>
      <c r="F1264">
        <v>-155.9</v>
      </c>
      <c r="G1264">
        <v>60.4</v>
      </c>
      <c r="I1264">
        <f t="shared" si="57"/>
        <v>42.1</v>
      </c>
      <c r="J1264">
        <f t="shared" si="58"/>
        <v>-5.90000000000001</v>
      </c>
      <c r="K1264">
        <f t="shared" si="59"/>
        <v>-5.5</v>
      </c>
    </row>
    <row r="1265" spans="1:11">
      <c r="A1265">
        <v>42.19</v>
      </c>
      <c r="B1265">
        <v>-156.7</v>
      </c>
      <c r="C1265">
        <v>60.5</v>
      </c>
      <c r="E1265">
        <v>42.156</v>
      </c>
      <c r="F1265">
        <v>-156.2</v>
      </c>
      <c r="G1265">
        <v>60.4</v>
      </c>
      <c r="I1265">
        <f t="shared" si="57"/>
        <v>42.15</v>
      </c>
      <c r="J1265">
        <f t="shared" si="58"/>
        <v>-6.19999999999999</v>
      </c>
      <c r="K1265">
        <f t="shared" si="59"/>
        <v>-5.5</v>
      </c>
    </row>
    <row r="1266" spans="1:11">
      <c r="A1266">
        <v>42.223</v>
      </c>
      <c r="B1266">
        <v>-156.9</v>
      </c>
      <c r="C1266">
        <v>60.2</v>
      </c>
      <c r="E1266">
        <v>42.19</v>
      </c>
      <c r="F1266">
        <v>-156.7</v>
      </c>
      <c r="G1266">
        <v>60.5</v>
      </c>
      <c r="I1266">
        <f t="shared" si="57"/>
        <v>42.15</v>
      </c>
      <c r="J1266">
        <f t="shared" si="58"/>
        <v>-6.69999999999999</v>
      </c>
      <c r="K1266">
        <f t="shared" si="59"/>
        <v>-5.5</v>
      </c>
    </row>
    <row r="1267" spans="1:11">
      <c r="A1267">
        <v>42.257</v>
      </c>
      <c r="B1267">
        <v>-157.1</v>
      </c>
      <c r="C1267">
        <v>60.3</v>
      </c>
      <c r="E1267">
        <v>42.223</v>
      </c>
      <c r="F1267">
        <v>-156.9</v>
      </c>
      <c r="G1267">
        <v>60.2</v>
      </c>
      <c r="I1267">
        <f t="shared" si="57"/>
        <v>42.2</v>
      </c>
      <c r="J1267">
        <f t="shared" si="58"/>
        <v>-6.90000000000001</v>
      </c>
      <c r="K1267">
        <f t="shared" si="59"/>
        <v>-5.5</v>
      </c>
    </row>
    <row r="1268" spans="1:11">
      <c r="A1268">
        <v>42.29</v>
      </c>
      <c r="B1268">
        <v>-157.7</v>
      </c>
      <c r="C1268">
        <v>60.2</v>
      </c>
      <c r="E1268">
        <v>42.257</v>
      </c>
      <c r="F1268">
        <v>-157.1</v>
      </c>
      <c r="G1268">
        <v>60.3</v>
      </c>
      <c r="I1268">
        <f t="shared" si="57"/>
        <v>42.25</v>
      </c>
      <c r="J1268">
        <f t="shared" si="58"/>
        <v>-7.09999999999999</v>
      </c>
      <c r="K1268">
        <f t="shared" si="59"/>
        <v>-5.5</v>
      </c>
    </row>
    <row r="1269" spans="1:11">
      <c r="A1269">
        <v>42.323</v>
      </c>
      <c r="B1269">
        <v>-157.8</v>
      </c>
      <c r="C1269">
        <v>60.3</v>
      </c>
      <c r="E1269">
        <v>42.29</v>
      </c>
      <c r="F1269">
        <v>-157.7</v>
      </c>
      <c r="G1269">
        <v>60.2</v>
      </c>
      <c r="I1269">
        <f t="shared" si="57"/>
        <v>42.25</v>
      </c>
      <c r="J1269">
        <f t="shared" si="58"/>
        <v>-7.69999999999999</v>
      </c>
      <c r="K1269">
        <f t="shared" si="59"/>
        <v>-5.5</v>
      </c>
    </row>
    <row r="1270" spans="1:11">
      <c r="A1270">
        <v>42.357</v>
      </c>
      <c r="B1270">
        <v>-158</v>
      </c>
      <c r="C1270">
        <v>60</v>
      </c>
      <c r="E1270">
        <v>42.323</v>
      </c>
      <c r="F1270">
        <v>-157.8</v>
      </c>
      <c r="G1270">
        <v>60.3</v>
      </c>
      <c r="I1270">
        <f t="shared" si="57"/>
        <v>42.3</v>
      </c>
      <c r="J1270">
        <f t="shared" si="58"/>
        <v>-7.80000000000001</v>
      </c>
      <c r="K1270">
        <f t="shared" si="59"/>
        <v>-5.5</v>
      </c>
    </row>
    <row r="1271" spans="1:11">
      <c r="A1271">
        <v>42.39</v>
      </c>
      <c r="B1271">
        <v>-157.9</v>
      </c>
      <c r="C1271">
        <v>60.4</v>
      </c>
      <c r="E1271">
        <v>42.357</v>
      </c>
      <c r="F1271">
        <v>-158</v>
      </c>
      <c r="G1271">
        <v>60</v>
      </c>
      <c r="I1271">
        <f t="shared" si="57"/>
        <v>42.35</v>
      </c>
      <c r="J1271">
        <f t="shared" si="58"/>
        <v>-8</v>
      </c>
      <c r="K1271">
        <f t="shared" si="59"/>
        <v>-5.5</v>
      </c>
    </row>
    <row r="1272" spans="1:11">
      <c r="A1272">
        <v>42.424</v>
      </c>
      <c r="B1272">
        <v>-157.9</v>
      </c>
      <c r="C1272">
        <v>60.1</v>
      </c>
      <c r="E1272">
        <v>42.39</v>
      </c>
      <c r="F1272">
        <v>-157.9</v>
      </c>
      <c r="G1272">
        <v>60.4</v>
      </c>
      <c r="I1272">
        <f t="shared" si="57"/>
        <v>42.35</v>
      </c>
      <c r="J1272">
        <f t="shared" si="58"/>
        <v>-7.90000000000001</v>
      </c>
      <c r="K1272">
        <f t="shared" si="59"/>
        <v>-5.5</v>
      </c>
    </row>
    <row r="1273" spans="1:11">
      <c r="A1273">
        <v>42.457</v>
      </c>
      <c r="B1273">
        <v>-157.9</v>
      </c>
      <c r="C1273">
        <v>60.1</v>
      </c>
      <c r="E1273">
        <v>42.424</v>
      </c>
      <c r="F1273">
        <v>-157.9</v>
      </c>
      <c r="G1273">
        <v>60.1</v>
      </c>
      <c r="I1273">
        <f t="shared" si="57"/>
        <v>42.4</v>
      </c>
      <c r="J1273">
        <f t="shared" si="58"/>
        <v>-7.90000000000001</v>
      </c>
      <c r="K1273">
        <f t="shared" si="59"/>
        <v>-5.5</v>
      </c>
    </row>
    <row r="1274" spans="1:11">
      <c r="A1274">
        <v>42.491</v>
      </c>
      <c r="B1274">
        <v>-157.8</v>
      </c>
      <c r="C1274">
        <v>60.3</v>
      </c>
      <c r="E1274">
        <v>42.457</v>
      </c>
      <c r="F1274">
        <v>-157.9</v>
      </c>
      <c r="G1274">
        <v>60.1</v>
      </c>
      <c r="I1274">
        <f t="shared" si="57"/>
        <v>42.45</v>
      </c>
      <c r="J1274">
        <f t="shared" si="58"/>
        <v>-7.90000000000001</v>
      </c>
      <c r="K1274">
        <f t="shared" si="59"/>
        <v>-5.5</v>
      </c>
    </row>
    <row r="1275" spans="1:11">
      <c r="A1275">
        <v>42.524</v>
      </c>
      <c r="B1275">
        <v>-157.8</v>
      </c>
      <c r="C1275">
        <v>60.3</v>
      </c>
      <c r="E1275">
        <v>42.491</v>
      </c>
      <c r="F1275">
        <v>-157.8</v>
      </c>
      <c r="G1275">
        <v>60.3</v>
      </c>
      <c r="I1275">
        <f t="shared" si="57"/>
        <v>42.45</v>
      </c>
      <c r="J1275">
        <f t="shared" si="58"/>
        <v>-7.80000000000001</v>
      </c>
      <c r="K1275">
        <f t="shared" si="59"/>
        <v>-5.5</v>
      </c>
    </row>
    <row r="1276" spans="1:11">
      <c r="A1276">
        <v>42.558</v>
      </c>
      <c r="B1276">
        <v>-157.7</v>
      </c>
      <c r="C1276">
        <v>59.8</v>
      </c>
      <c r="E1276">
        <v>42.524</v>
      </c>
      <c r="F1276">
        <v>-157.8</v>
      </c>
      <c r="G1276">
        <v>60.3</v>
      </c>
      <c r="I1276">
        <f t="shared" si="57"/>
        <v>42.5</v>
      </c>
      <c r="J1276">
        <f t="shared" si="58"/>
        <v>-7.80000000000001</v>
      </c>
      <c r="K1276">
        <f t="shared" si="59"/>
        <v>-5.5</v>
      </c>
    </row>
    <row r="1277" spans="1:11">
      <c r="A1277">
        <v>42.591</v>
      </c>
      <c r="B1277">
        <v>-157.6</v>
      </c>
      <c r="C1277">
        <v>60.1</v>
      </c>
      <c r="E1277">
        <v>42.558</v>
      </c>
      <c r="F1277">
        <v>-157.7</v>
      </c>
      <c r="G1277">
        <v>59.8</v>
      </c>
      <c r="I1277">
        <f t="shared" si="57"/>
        <v>42.55</v>
      </c>
      <c r="J1277">
        <f t="shared" si="58"/>
        <v>-7.69999999999999</v>
      </c>
      <c r="K1277">
        <f t="shared" si="59"/>
        <v>-5.5</v>
      </c>
    </row>
    <row r="1278" spans="1:11">
      <c r="A1278">
        <v>42.624</v>
      </c>
      <c r="B1278">
        <v>-157.5</v>
      </c>
      <c r="C1278">
        <v>60.2</v>
      </c>
      <c r="E1278">
        <v>42.591</v>
      </c>
      <c r="F1278">
        <v>-157.6</v>
      </c>
      <c r="G1278">
        <v>60.1</v>
      </c>
      <c r="I1278">
        <f t="shared" si="57"/>
        <v>42.55</v>
      </c>
      <c r="J1278">
        <f t="shared" si="58"/>
        <v>-7.59999999999999</v>
      </c>
      <c r="K1278">
        <f t="shared" si="59"/>
        <v>-5.5</v>
      </c>
    </row>
    <row r="1279" spans="1:11">
      <c r="A1279">
        <v>42.658</v>
      </c>
      <c r="B1279">
        <v>-157.4</v>
      </c>
      <c r="C1279">
        <v>60.2</v>
      </c>
      <c r="E1279">
        <v>42.624</v>
      </c>
      <c r="F1279">
        <v>-157.5</v>
      </c>
      <c r="G1279">
        <v>60.2</v>
      </c>
      <c r="I1279">
        <f t="shared" si="57"/>
        <v>42.6</v>
      </c>
      <c r="J1279">
        <f t="shared" si="58"/>
        <v>-7.5</v>
      </c>
      <c r="K1279">
        <f t="shared" si="59"/>
        <v>-5.5</v>
      </c>
    </row>
    <row r="1280" spans="1:11">
      <c r="A1280">
        <v>42.691</v>
      </c>
      <c r="B1280">
        <v>-157.3</v>
      </c>
      <c r="C1280">
        <v>59.9</v>
      </c>
      <c r="E1280">
        <v>42.658</v>
      </c>
      <c r="F1280">
        <v>-157.4</v>
      </c>
      <c r="G1280">
        <v>60.2</v>
      </c>
      <c r="I1280">
        <f t="shared" si="57"/>
        <v>42.65</v>
      </c>
      <c r="J1280">
        <f t="shared" si="58"/>
        <v>-7.40000000000001</v>
      </c>
      <c r="K1280">
        <f t="shared" si="59"/>
        <v>-5.5</v>
      </c>
    </row>
    <row r="1281" spans="1:11">
      <c r="A1281">
        <v>42.725</v>
      </c>
      <c r="B1281">
        <v>-157.2</v>
      </c>
      <c r="C1281">
        <v>59.9</v>
      </c>
      <c r="E1281">
        <v>42.691</v>
      </c>
      <c r="F1281">
        <v>-157.3</v>
      </c>
      <c r="G1281">
        <v>59.9</v>
      </c>
      <c r="I1281">
        <f t="shared" ref="I1281:I1344" si="60">FLOOR(E1281,0.05)</f>
        <v>42.65</v>
      </c>
      <c r="J1281">
        <f t="shared" si="58"/>
        <v>-7.30000000000001</v>
      </c>
      <c r="K1281">
        <f t="shared" si="59"/>
        <v>-5.5</v>
      </c>
    </row>
    <row r="1282" spans="1:11">
      <c r="A1282">
        <v>42.758</v>
      </c>
      <c r="B1282">
        <v>-157</v>
      </c>
      <c r="C1282">
        <v>60</v>
      </c>
      <c r="E1282">
        <v>42.725</v>
      </c>
      <c r="F1282">
        <v>-157.2</v>
      </c>
      <c r="G1282">
        <v>59.9</v>
      </c>
      <c r="I1282">
        <f t="shared" si="60"/>
        <v>42.7</v>
      </c>
      <c r="J1282">
        <f t="shared" si="58"/>
        <v>-7.19999999999999</v>
      </c>
      <c r="K1282">
        <f t="shared" si="59"/>
        <v>-5.5</v>
      </c>
    </row>
    <row r="1283" spans="1:11">
      <c r="A1283">
        <v>42.792</v>
      </c>
      <c r="B1283">
        <v>-156.9</v>
      </c>
      <c r="C1283">
        <v>59.9</v>
      </c>
      <c r="E1283">
        <v>42.758</v>
      </c>
      <c r="F1283">
        <v>-157</v>
      </c>
      <c r="G1283">
        <v>60</v>
      </c>
      <c r="I1283">
        <f t="shared" si="60"/>
        <v>42.75</v>
      </c>
      <c r="J1283">
        <f t="shared" si="58"/>
        <v>-7</v>
      </c>
      <c r="K1283">
        <f t="shared" si="59"/>
        <v>-5.5</v>
      </c>
    </row>
    <row r="1284" spans="1:11">
      <c r="A1284">
        <v>42.825</v>
      </c>
      <c r="B1284">
        <v>-156.3</v>
      </c>
      <c r="C1284">
        <v>59.5</v>
      </c>
      <c r="E1284">
        <v>42.792</v>
      </c>
      <c r="F1284">
        <v>-156.9</v>
      </c>
      <c r="G1284">
        <v>59.9</v>
      </c>
      <c r="I1284">
        <f t="shared" si="60"/>
        <v>42.75</v>
      </c>
      <c r="J1284">
        <f t="shared" si="58"/>
        <v>-6.90000000000001</v>
      </c>
      <c r="K1284">
        <f t="shared" si="59"/>
        <v>-5.5</v>
      </c>
    </row>
    <row r="1285" spans="1:11">
      <c r="A1285">
        <v>42.858</v>
      </c>
      <c r="B1285">
        <v>-156.1</v>
      </c>
      <c r="C1285">
        <v>58.6</v>
      </c>
      <c r="E1285">
        <v>42.825</v>
      </c>
      <c r="F1285">
        <v>-156.3</v>
      </c>
      <c r="G1285">
        <v>59.5</v>
      </c>
      <c r="I1285">
        <f t="shared" si="60"/>
        <v>42.8</v>
      </c>
      <c r="J1285">
        <f t="shared" ref="J1285:J1348" si="61">F1285+150</f>
        <v>-6.30000000000001</v>
      </c>
      <c r="K1285">
        <f t="shared" ref="K1285:K1348" si="62">IF(G1285&lt;230,-5.5,5)</f>
        <v>-5.5</v>
      </c>
    </row>
    <row r="1286" spans="1:11">
      <c r="A1286">
        <v>42.892</v>
      </c>
      <c r="B1286">
        <v>-155.8</v>
      </c>
      <c r="C1286">
        <v>58.5</v>
      </c>
      <c r="E1286">
        <v>42.858</v>
      </c>
      <c r="F1286">
        <v>-156.1</v>
      </c>
      <c r="G1286">
        <v>58.6</v>
      </c>
      <c r="I1286">
        <f t="shared" si="60"/>
        <v>42.85</v>
      </c>
      <c r="J1286">
        <f t="shared" si="61"/>
        <v>-6.09999999999999</v>
      </c>
      <c r="K1286">
        <f t="shared" si="62"/>
        <v>-5.5</v>
      </c>
    </row>
    <row r="1287" spans="1:11">
      <c r="A1287">
        <v>42.925</v>
      </c>
      <c r="B1287">
        <v>-155.3</v>
      </c>
      <c r="C1287">
        <v>58.3</v>
      </c>
      <c r="E1287">
        <v>42.892</v>
      </c>
      <c r="F1287">
        <v>-155.8</v>
      </c>
      <c r="G1287">
        <v>58.5</v>
      </c>
      <c r="I1287">
        <f t="shared" si="60"/>
        <v>42.85</v>
      </c>
      <c r="J1287">
        <f t="shared" si="61"/>
        <v>-5.80000000000001</v>
      </c>
      <c r="K1287">
        <f t="shared" si="62"/>
        <v>-5.5</v>
      </c>
    </row>
    <row r="1288" spans="1:11">
      <c r="A1288">
        <v>42.959</v>
      </c>
      <c r="B1288">
        <v>-155</v>
      </c>
      <c r="C1288">
        <v>57.8</v>
      </c>
      <c r="E1288">
        <v>42.925</v>
      </c>
      <c r="F1288">
        <v>-155.3</v>
      </c>
      <c r="G1288">
        <v>58.3</v>
      </c>
      <c r="I1288">
        <f t="shared" si="60"/>
        <v>42.9</v>
      </c>
      <c r="J1288">
        <f t="shared" si="61"/>
        <v>-5.30000000000001</v>
      </c>
      <c r="K1288">
        <f t="shared" si="62"/>
        <v>-5.5</v>
      </c>
    </row>
    <row r="1289" spans="1:11">
      <c r="A1289">
        <v>42.992</v>
      </c>
      <c r="B1289">
        <v>-154.4</v>
      </c>
      <c r="C1289">
        <v>57.2</v>
      </c>
      <c r="E1289">
        <v>42.959</v>
      </c>
      <c r="F1289">
        <v>-155</v>
      </c>
      <c r="G1289">
        <v>57.8</v>
      </c>
      <c r="I1289">
        <f t="shared" si="60"/>
        <v>42.95</v>
      </c>
      <c r="J1289">
        <f t="shared" si="61"/>
        <v>-5</v>
      </c>
      <c r="K1289">
        <f t="shared" si="62"/>
        <v>-5.5</v>
      </c>
    </row>
    <row r="1290" spans="1:11">
      <c r="A1290">
        <v>43.026</v>
      </c>
      <c r="B1290">
        <v>-154.2</v>
      </c>
      <c r="C1290">
        <v>56.6</v>
      </c>
      <c r="E1290">
        <v>42.992</v>
      </c>
      <c r="F1290">
        <v>-154.4</v>
      </c>
      <c r="G1290">
        <v>57.2</v>
      </c>
      <c r="I1290">
        <f t="shared" si="60"/>
        <v>42.95</v>
      </c>
      <c r="J1290">
        <f t="shared" si="61"/>
        <v>-4.40000000000001</v>
      </c>
      <c r="K1290">
        <f t="shared" si="62"/>
        <v>-5.5</v>
      </c>
    </row>
    <row r="1291" spans="1:11">
      <c r="A1291">
        <v>43.059</v>
      </c>
      <c r="B1291">
        <v>-154.1</v>
      </c>
      <c r="C1291">
        <v>55.6</v>
      </c>
      <c r="E1291">
        <v>43.026</v>
      </c>
      <c r="F1291">
        <v>-154.2</v>
      </c>
      <c r="G1291">
        <v>56.6</v>
      </c>
      <c r="I1291">
        <f t="shared" si="60"/>
        <v>43</v>
      </c>
      <c r="J1291">
        <f t="shared" si="61"/>
        <v>-4.19999999999999</v>
      </c>
      <c r="K1291">
        <f t="shared" si="62"/>
        <v>-5.5</v>
      </c>
    </row>
    <row r="1292" spans="1:11">
      <c r="A1292">
        <v>43.092</v>
      </c>
      <c r="B1292">
        <v>-153.9</v>
      </c>
      <c r="C1292">
        <v>54.8</v>
      </c>
      <c r="E1292">
        <v>43.059</v>
      </c>
      <c r="F1292">
        <v>-154.1</v>
      </c>
      <c r="G1292">
        <v>55.6</v>
      </c>
      <c r="I1292">
        <f t="shared" si="60"/>
        <v>43.05</v>
      </c>
      <c r="J1292">
        <f t="shared" si="61"/>
        <v>-4.09999999999999</v>
      </c>
      <c r="K1292">
        <f t="shared" si="62"/>
        <v>-5.5</v>
      </c>
    </row>
    <row r="1293" spans="1:11">
      <c r="A1293">
        <v>43.126</v>
      </c>
      <c r="B1293">
        <v>-153.4</v>
      </c>
      <c r="C1293">
        <v>53.9</v>
      </c>
      <c r="E1293">
        <v>43.092</v>
      </c>
      <c r="F1293">
        <v>-153.9</v>
      </c>
      <c r="G1293">
        <v>54.8</v>
      </c>
      <c r="I1293">
        <f t="shared" si="60"/>
        <v>43.05</v>
      </c>
      <c r="J1293">
        <f t="shared" si="61"/>
        <v>-3.90000000000001</v>
      </c>
      <c r="K1293">
        <f t="shared" si="62"/>
        <v>-5.5</v>
      </c>
    </row>
    <row r="1294" spans="1:11">
      <c r="A1294">
        <v>43.159</v>
      </c>
      <c r="B1294">
        <v>-153.3</v>
      </c>
      <c r="C1294">
        <v>52.7</v>
      </c>
      <c r="E1294">
        <v>43.126</v>
      </c>
      <c r="F1294">
        <v>-153.4</v>
      </c>
      <c r="G1294">
        <v>53.9</v>
      </c>
      <c r="I1294">
        <f t="shared" si="60"/>
        <v>43.1</v>
      </c>
      <c r="J1294">
        <f t="shared" si="61"/>
        <v>-3.40000000000001</v>
      </c>
      <c r="K1294">
        <f t="shared" si="62"/>
        <v>-5.5</v>
      </c>
    </row>
    <row r="1295" spans="1:11">
      <c r="A1295">
        <v>43.193</v>
      </c>
      <c r="B1295">
        <v>-153.3</v>
      </c>
      <c r="C1295">
        <v>51.2</v>
      </c>
      <c r="E1295">
        <v>43.159</v>
      </c>
      <c r="F1295">
        <v>-153.3</v>
      </c>
      <c r="G1295">
        <v>52.7</v>
      </c>
      <c r="I1295">
        <f t="shared" si="60"/>
        <v>43.15</v>
      </c>
      <c r="J1295">
        <f t="shared" si="61"/>
        <v>-3.30000000000001</v>
      </c>
      <c r="K1295">
        <f t="shared" si="62"/>
        <v>-5.5</v>
      </c>
    </row>
    <row r="1296" spans="1:11">
      <c r="A1296">
        <v>43.226</v>
      </c>
      <c r="B1296">
        <v>-153.3</v>
      </c>
      <c r="C1296">
        <v>50.4</v>
      </c>
      <c r="E1296">
        <v>43.193</v>
      </c>
      <c r="F1296">
        <v>-153.3</v>
      </c>
      <c r="G1296">
        <v>51.2</v>
      </c>
      <c r="I1296">
        <f t="shared" si="60"/>
        <v>43.15</v>
      </c>
      <c r="J1296">
        <f t="shared" si="61"/>
        <v>-3.30000000000001</v>
      </c>
      <c r="K1296">
        <f t="shared" si="62"/>
        <v>-5.5</v>
      </c>
    </row>
    <row r="1297" spans="1:11">
      <c r="A1297">
        <v>43.26</v>
      </c>
      <c r="B1297">
        <v>-153.3</v>
      </c>
      <c r="C1297">
        <v>49.5</v>
      </c>
      <c r="E1297">
        <v>43.226</v>
      </c>
      <c r="F1297">
        <v>-153.3</v>
      </c>
      <c r="G1297">
        <v>50.4</v>
      </c>
      <c r="I1297">
        <f t="shared" si="60"/>
        <v>43.2</v>
      </c>
      <c r="J1297">
        <f t="shared" si="61"/>
        <v>-3.30000000000001</v>
      </c>
      <c r="K1297">
        <f t="shared" si="62"/>
        <v>-5.5</v>
      </c>
    </row>
    <row r="1298" spans="1:11">
      <c r="A1298">
        <v>43.293</v>
      </c>
      <c r="B1298">
        <v>-153.3</v>
      </c>
      <c r="C1298">
        <v>48.6</v>
      </c>
      <c r="E1298">
        <v>43.26</v>
      </c>
      <c r="F1298">
        <v>-153.3</v>
      </c>
      <c r="G1298">
        <v>49.5</v>
      </c>
      <c r="I1298">
        <f t="shared" si="60"/>
        <v>43.25</v>
      </c>
      <c r="J1298">
        <f t="shared" si="61"/>
        <v>-3.30000000000001</v>
      </c>
      <c r="K1298">
        <f t="shared" si="62"/>
        <v>-5.5</v>
      </c>
    </row>
    <row r="1299" spans="1:11">
      <c r="A1299">
        <v>43.326</v>
      </c>
      <c r="B1299">
        <v>-153.4</v>
      </c>
      <c r="C1299">
        <v>47.1</v>
      </c>
      <c r="E1299">
        <v>43.293</v>
      </c>
      <c r="F1299">
        <v>-153.3</v>
      </c>
      <c r="G1299">
        <v>48.6</v>
      </c>
      <c r="I1299">
        <f t="shared" si="60"/>
        <v>43.25</v>
      </c>
      <c r="J1299">
        <f t="shared" si="61"/>
        <v>-3.30000000000001</v>
      </c>
      <c r="K1299">
        <f t="shared" si="62"/>
        <v>-5.5</v>
      </c>
    </row>
    <row r="1300" spans="1:11">
      <c r="A1300">
        <v>43.36</v>
      </c>
      <c r="B1300">
        <v>-153.5</v>
      </c>
      <c r="C1300">
        <v>45.8</v>
      </c>
      <c r="E1300">
        <v>43.326</v>
      </c>
      <c r="F1300">
        <v>-153.4</v>
      </c>
      <c r="G1300">
        <v>47.1</v>
      </c>
      <c r="I1300">
        <f t="shared" si="60"/>
        <v>43.3</v>
      </c>
      <c r="J1300">
        <f t="shared" si="61"/>
        <v>-3.40000000000001</v>
      </c>
      <c r="K1300">
        <f t="shared" si="62"/>
        <v>-5.5</v>
      </c>
    </row>
    <row r="1301" spans="1:11">
      <c r="A1301">
        <v>43.393</v>
      </c>
      <c r="B1301">
        <v>-153.6</v>
      </c>
      <c r="C1301">
        <v>44.6</v>
      </c>
      <c r="E1301">
        <v>43.36</v>
      </c>
      <c r="F1301">
        <v>-153.5</v>
      </c>
      <c r="G1301">
        <v>45.8</v>
      </c>
      <c r="I1301">
        <f t="shared" si="60"/>
        <v>43.35</v>
      </c>
      <c r="J1301">
        <f t="shared" si="61"/>
        <v>-3.5</v>
      </c>
      <c r="K1301">
        <f t="shared" si="62"/>
        <v>-5.5</v>
      </c>
    </row>
    <row r="1302" spans="1:11">
      <c r="A1302">
        <v>43.427</v>
      </c>
      <c r="B1302">
        <v>-153.6</v>
      </c>
      <c r="C1302">
        <v>44.1</v>
      </c>
      <c r="E1302">
        <v>43.393</v>
      </c>
      <c r="F1302">
        <v>-153.6</v>
      </c>
      <c r="G1302">
        <v>44.6</v>
      </c>
      <c r="I1302">
        <f t="shared" si="60"/>
        <v>43.35</v>
      </c>
      <c r="J1302">
        <f t="shared" si="61"/>
        <v>-3.59999999999999</v>
      </c>
      <c r="K1302">
        <f t="shared" si="62"/>
        <v>-5.5</v>
      </c>
    </row>
    <row r="1303" spans="1:11">
      <c r="A1303">
        <v>43.46</v>
      </c>
      <c r="B1303">
        <v>-153.8</v>
      </c>
      <c r="C1303">
        <v>43.5</v>
      </c>
      <c r="E1303">
        <v>43.427</v>
      </c>
      <c r="F1303">
        <v>-153.6</v>
      </c>
      <c r="G1303">
        <v>44.1</v>
      </c>
      <c r="I1303">
        <f t="shared" si="60"/>
        <v>43.4</v>
      </c>
      <c r="J1303">
        <f t="shared" si="61"/>
        <v>-3.59999999999999</v>
      </c>
      <c r="K1303">
        <f t="shared" si="62"/>
        <v>-5.5</v>
      </c>
    </row>
    <row r="1304" spans="1:11">
      <c r="A1304">
        <v>43.494</v>
      </c>
      <c r="B1304">
        <v>-153.9</v>
      </c>
      <c r="C1304">
        <v>42.1</v>
      </c>
      <c r="E1304">
        <v>43.46</v>
      </c>
      <c r="F1304">
        <v>-153.8</v>
      </c>
      <c r="G1304">
        <v>43.5</v>
      </c>
      <c r="I1304">
        <f t="shared" si="60"/>
        <v>43.45</v>
      </c>
      <c r="J1304">
        <f t="shared" si="61"/>
        <v>-3.80000000000001</v>
      </c>
      <c r="K1304">
        <f t="shared" si="62"/>
        <v>-5.5</v>
      </c>
    </row>
    <row r="1305" spans="1:11">
      <c r="A1305">
        <v>43.527</v>
      </c>
      <c r="B1305">
        <v>-154</v>
      </c>
      <c r="C1305">
        <v>41.4</v>
      </c>
      <c r="E1305">
        <v>43.494</v>
      </c>
      <c r="F1305">
        <v>-153.9</v>
      </c>
      <c r="G1305">
        <v>42.1</v>
      </c>
      <c r="I1305">
        <f t="shared" si="60"/>
        <v>43.45</v>
      </c>
      <c r="J1305">
        <f t="shared" si="61"/>
        <v>-3.90000000000001</v>
      </c>
      <c r="K1305">
        <f t="shared" si="62"/>
        <v>-5.5</v>
      </c>
    </row>
    <row r="1306" spans="1:11">
      <c r="A1306">
        <v>43.56</v>
      </c>
      <c r="B1306">
        <v>-154.2</v>
      </c>
      <c r="C1306">
        <v>39.8</v>
      </c>
      <c r="E1306">
        <v>43.527</v>
      </c>
      <c r="F1306">
        <v>-154</v>
      </c>
      <c r="G1306">
        <v>41.4</v>
      </c>
      <c r="I1306">
        <f t="shared" si="60"/>
        <v>43.5</v>
      </c>
      <c r="J1306">
        <f t="shared" si="61"/>
        <v>-4</v>
      </c>
      <c r="K1306">
        <f t="shared" si="62"/>
        <v>-5.5</v>
      </c>
    </row>
    <row r="1307" spans="1:11">
      <c r="A1307">
        <v>43.594</v>
      </c>
      <c r="B1307">
        <v>-154.7</v>
      </c>
      <c r="C1307">
        <v>39</v>
      </c>
      <c r="E1307">
        <v>43.56</v>
      </c>
      <c r="F1307">
        <v>-154.2</v>
      </c>
      <c r="G1307">
        <v>39.8</v>
      </c>
      <c r="I1307">
        <f t="shared" si="60"/>
        <v>43.55</v>
      </c>
      <c r="J1307">
        <f t="shared" si="61"/>
        <v>-4.19999999999999</v>
      </c>
      <c r="K1307">
        <f t="shared" si="62"/>
        <v>-5.5</v>
      </c>
    </row>
    <row r="1308" spans="1:11">
      <c r="A1308">
        <v>43.627</v>
      </c>
      <c r="B1308">
        <v>-154.9</v>
      </c>
      <c r="C1308">
        <v>38.5</v>
      </c>
      <c r="E1308">
        <v>43.594</v>
      </c>
      <c r="F1308">
        <v>-154.7</v>
      </c>
      <c r="G1308">
        <v>39</v>
      </c>
      <c r="I1308">
        <f t="shared" si="60"/>
        <v>43.55</v>
      </c>
      <c r="J1308">
        <f t="shared" si="61"/>
        <v>-4.69999999999999</v>
      </c>
      <c r="K1308">
        <f t="shared" si="62"/>
        <v>-5.5</v>
      </c>
    </row>
    <row r="1309" spans="1:11">
      <c r="A1309">
        <v>43.661</v>
      </c>
      <c r="B1309">
        <v>-155.2</v>
      </c>
      <c r="C1309">
        <v>37.4</v>
      </c>
      <c r="E1309">
        <v>43.627</v>
      </c>
      <c r="F1309">
        <v>-154.9</v>
      </c>
      <c r="G1309">
        <v>38.5</v>
      </c>
      <c r="I1309">
        <f t="shared" si="60"/>
        <v>43.6</v>
      </c>
      <c r="J1309">
        <f t="shared" si="61"/>
        <v>-4.90000000000001</v>
      </c>
      <c r="K1309">
        <f t="shared" si="62"/>
        <v>-5.5</v>
      </c>
    </row>
    <row r="1310" spans="1:11">
      <c r="A1310">
        <v>43.694</v>
      </c>
      <c r="B1310">
        <v>-155.8</v>
      </c>
      <c r="C1310">
        <v>37.1</v>
      </c>
      <c r="E1310">
        <v>43.661</v>
      </c>
      <c r="F1310">
        <v>-155.2</v>
      </c>
      <c r="G1310">
        <v>37.4</v>
      </c>
      <c r="I1310">
        <f t="shared" si="60"/>
        <v>43.65</v>
      </c>
      <c r="J1310">
        <f t="shared" si="61"/>
        <v>-5.19999999999999</v>
      </c>
      <c r="K1310">
        <f t="shared" si="62"/>
        <v>-5.5</v>
      </c>
    </row>
    <row r="1311" spans="1:11">
      <c r="A1311">
        <v>43.728</v>
      </c>
      <c r="B1311">
        <v>-156.1</v>
      </c>
      <c r="C1311">
        <v>36</v>
      </c>
      <c r="E1311">
        <v>43.694</v>
      </c>
      <c r="F1311">
        <v>-155.8</v>
      </c>
      <c r="G1311">
        <v>37.1</v>
      </c>
      <c r="I1311">
        <f t="shared" si="60"/>
        <v>43.65</v>
      </c>
      <c r="J1311">
        <f t="shared" si="61"/>
        <v>-5.80000000000001</v>
      </c>
      <c r="K1311">
        <f t="shared" si="62"/>
        <v>-5.5</v>
      </c>
    </row>
    <row r="1312" spans="1:11">
      <c r="A1312">
        <v>43.761</v>
      </c>
      <c r="B1312">
        <v>-156.6</v>
      </c>
      <c r="C1312">
        <v>34.7</v>
      </c>
      <c r="E1312">
        <v>43.728</v>
      </c>
      <c r="F1312">
        <v>-156.1</v>
      </c>
      <c r="G1312">
        <v>36</v>
      </c>
      <c r="I1312">
        <f t="shared" si="60"/>
        <v>43.7</v>
      </c>
      <c r="J1312">
        <f t="shared" si="61"/>
        <v>-6.09999999999999</v>
      </c>
      <c r="K1312">
        <f t="shared" si="62"/>
        <v>-5.5</v>
      </c>
    </row>
    <row r="1313" spans="1:11">
      <c r="A1313">
        <v>43.794</v>
      </c>
      <c r="B1313">
        <v>-156.9</v>
      </c>
      <c r="C1313">
        <v>34.2</v>
      </c>
      <c r="E1313">
        <v>43.761</v>
      </c>
      <c r="F1313">
        <v>-156.6</v>
      </c>
      <c r="G1313">
        <v>34.7</v>
      </c>
      <c r="I1313">
        <f t="shared" si="60"/>
        <v>43.75</v>
      </c>
      <c r="J1313">
        <f t="shared" si="61"/>
        <v>-6.59999999999999</v>
      </c>
      <c r="K1313">
        <f t="shared" si="62"/>
        <v>-5.5</v>
      </c>
    </row>
    <row r="1314" spans="1:11">
      <c r="A1314">
        <v>43.828</v>
      </c>
      <c r="B1314">
        <v>-157</v>
      </c>
      <c r="C1314">
        <v>33.3</v>
      </c>
      <c r="E1314">
        <v>43.794</v>
      </c>
      <c r="F1314">
        <v>-156.9</v>
      </c>
      <c r="G1314">
        <v>34.2</v>
      </c>
      <c r="I1314">
        <f t="shared" si="60"/>
        <v>43.75</v>
      </c>
      <c r="J1314">
        <f t="shared" si="61"/>
        <v>-6.90000000000001</v>
      </c>
      <c r="K1314">
        <f t="shared" si="62"/>
        <v>-5.5</v>
      </c>
    </row>
    <row r="1315" spans="1:11">
      <c r="A1315">
        <v>43.861</v>
      </c>
      <c r="B1315">
        <v>-157.5</v>
      </c>
      <c r="C1315">
        <v>32.3</v>
      </c>
      <c r="E1315">
        <v>43.828</v>
      </c>
      <c r="F1315">
        <v>-157</v>
      </c>
      <c r="G1315">
        <v>33.3</v>
      </c>
      <c r="I1315">
        <f t="shared" si="60"/>
        <v>43.8</v>
      </c>
      <c r="J1315">
        <f t="shared" si="61"/>
        <v>-7</v>
      </c>
      <c r="K1315">
        <f t="shared" si="62"/>
        <v>-5.5</v>
      </c>
    </row>
    <row r="1316" spans="1:11">
      <c r="A1316">
        <v>43.895</v>
      </c>
      <c r="B1316">
        <v>-157.7</v>
      </c>
      <c r="C1316">
        <v>31.8</v>
      </c>
      <c r="E1316">
        <v>43.861</v>
      </c>
      <c r="F1316">
        <v>-157.5</v>
      </c>
      <c r="G1316">
        <v>32.3</v>
      </c>
      <c r="I1316">
        <f t="shared" si="60"/>
        <v>43.85</v>
      </c>
      <c r="J1316">
        <f t="shared" si="61"/>
        <v>-7.5</v>
      </c>
      <c r="K1316">
        <f t="shared" si="62"/>
        <v>-5.5</v>
      </c>
    </row>
    <row r="1317" spans="1:11">
      <c r="A1317">
        <v>43.928</v>
      </c>
      <c r="B1317">
        <v>-157.7</v>
      </c>
      <c r="C1317">
        <v>31.5</v>
      </c>
      <c r="E1317">
        <v>43.895</v>
      </c>
      <c r="F1317">
        <v>-157.7</v>
      </c>
      <c r="G1317">
        <v>31.8</v>
      </c>
      <c r="I1317">
        <f t="shared" si="60"/>
        <v>43.85</v>
      </c>
      <c r="J1317">
        <f t="shared" si="61"/>
        <v>-7.69999999999999</v>
      </c>
      <c r="K1317">
        <f t="shared" si="62"/>
        <v>-5.5</v>
      </c>
    </row>
    <row r="1318" spans="1:11">
      <c r="A1318">
        <v>43.962</v>
      </c>
      <c r="B1318">
        <v>-157.8</v>
      </c>
      <c r="C1318">
        <v>31.4</v>
      </c>
      <c r="E1318">
        <v>43.928</v>
      </c>
      <c r="F1318">
        <v>-157.7</v>
      </c>
      <c r="G1318">
        <v>31.5</v>
      </c>
      <c r="I1318">
        <f t="shared" si="60"/>
        <v>43.9</v>
      </c>
      <c r="J1318">
        <f t="shared" si="61"/>
        <v>-7.69999999999999</v>
      </c>
      <c r="K1318">
        <f t="shared" si="62"/>
        <v>-5.5</v>
      </c>
    </row>
    <row r="1319" spans="1:11">
      <c r="A1319">
        <v>43.995</v>
      </c>
      <c r="B1319">
        <v>-157.7</v>
      </c>
      <c r="C1319">
        <v>30.1</v>
      </c>
      <c r="E1319">
        <v>43.962</v>
      </c>
      <c r="F1319">
        <v>-157.8</v>
      </c>
      <c r="G1319">
        <v>31.4</v>
      </c>
      <c r="I1319">
        <f t="shared" si="60"/>
        <v>43.95</v>
      </c>
      <c r="J1319">
        <f t="shared" si="61"/>
        <v>-7.80000000000001</v>
      </c>
      <c r="K1319">
        <f t="shared" si="62"/>
        <v>-5.5</v>
      </c>
    </row>
    <row r="1320" spans="1:11">
      <c r="A1320">
        <v>44.028</v>
      </c>
      <c r="B1320">
        <v>-157.7</v>
      </c>
      <c r="C1320">
        <v>29.7</v>
      </c>
      <c r="E1320">
        <v>43.995</v>
      </c>
      <c r="F1320">
        <v>-157.7</v>
      </c>
      <c r="G1320">
        <v>30.1</v>
      </c>
      <c r="I1320">
        <f t="shared" si="60"/>
        <v>43.95</v>
      </c>
      <c r="J1320">
        <f t="shared" si="61"/>
        <v>-7.69999999999999</v>
      </c>
      <c r="K1320">
        <f t="shared" si="62"/>
        <v>-5.5</v>
      </c>
    </row>
    <row r="1321" spans="1:11">
      <c r="A1321">
        <v>44.062</v>
      </c>
      <c r="B1321">
        <v>-157.6</v>
      </c>
      <c r="C1321">
        <v>29.5</v>
      </c>
      <c r="E1321">
        <v>44.028</v>
      </c>
      <c r="F1321">
        <v>-157.7</v>
      </c>
      <c r="G1321">
        <v>29.7</v>
      </c>
      <c r="I1321">
        <f t="shared" si="60"/>
        <v>44</v>
      </c>
      <c r="J1321">
        <f t="shared" si="61"/>
        <v>-7.69999999999999</v>
      </c>
      <c r="K1321">
        <f t="shared" si="62"/>
        <v>-5.5</v>
      </c>
    </row>
    <row r="1322" spans="1:11">
      <c r="A1322">
        <v>44.095</v>
      </c>
      <c r="B1322">
        <v>-157.6</v>
      </c>
      <c r="C1322">
        <v>29.1</v>
      </c>
      <c r="E1322">
        <v>44.062</v>
      </c>
      <c r="F1322">
        <v>-157.6</v>
      </c>
      <c r="G1322">
        <v>29.5</v>
      </c>
      <c r="I1322">
        <f t="shared" si="60"/>
        <v>44.05</v>
      </c>
      <c r="J1322">
        <f t="shared" si="61"/>
        <v>-7.59999999999999</v>
      </c>
      <c r="K1322">
        <f t="shared" si="62"/>
        <v>-5.5</v>
      </c>
    </row>
    <row r="1323" spans="1:11">
      <c r="A1323">
        <v>44.129</v>
      </c>
      <c r="B1323">
        <v>-157.5</v>
      </c>
      <c r="C1323">
        <v>28.4</v>
      </c>
      <c r="E1323">
        <v>44.095</v>
      </c>
      <c r="F1323">
        <v>-157.6</v>
      </c>
      <c r="G1323">
        <v>29.1</v>
      </c>
      <c r="I1323">
        <f t="shared" si="60"/>
        <v>44.05</v>
      </c>
      <c r="J1323">
        <f t="shared" si="61"/>
        <v>-7.59999999999999</v>
      </c>
      <c r="K1323">
        <f t="shared" si="62"/>
        <v>-5.5</v>
      </c>
    </row>
    <row r="1324" spans="1:11">
      <c r="A1324">
        <v>44.162</v>
      </c>
      <c r="B1324">
        <v>-157.4</v>
      </c>
      <c r="C1324">
        <v>28.4</v>
      </c>
      <c r="E1324">
        <v>44.129</v>
      </c>
      <c r="F1324">
        <v>-157.5</v>
      </c>
      <c r="G1324">
        <v>28.4</v>
      </c>
      <c r="I1324">
        <f t="shared" si="60"/>
        <v>44.1</v>
      </c>
      <c r="J1324">
        <f t="shared" si="61"/>
        <v>-7.5</v>
      </c>
      <c r="K1324">
        <f t="shared" si="62"/>
        <v>-5.5</v>
      </c>
    </row>
    <row r="1325" spans="1:11">
      <c r="A1325">
        <v>44.196</v>
      </c>
      <c r="B1325">
        <v>-157.3</v>
      </c>
      <c r="C1325">
        <v>27.9</v>
      </c>
      <c r="E1325">
        <v>44.162</v>
      </c>
      <c r="F1325">
        <v>-157.4</v>
      </c>
      <c r="G1325">
        <v>28.4</v>
      </c>
      <c r="I1325">
        <f t="shared" si="60"/>
        <v>44.15</v>
      </c>
      <c r="J1325">
        <f t="shared" si="61"/>
        <v>-7.40000000000001</v>
      </c>
      <c r="K1325">
        <f t="shared" si="62"/>
        <v>-5.5</v>
      </c>
    </row>
    <row r="1326" spans="1:11">
      <c r="A1326">
        <v>44.229</v>
      </c>
      <c r="B1326">
        <v>-157.2</v>
      </c>
      <c r="C1326">
        <v>28.1</v>
      </c>
      <c r="E1326">
        <v>44.196</v>
      </c>
      <c r="F1326">
        <v>-157.3</v>
      </c>
      <c r="G1326">
        <v>27.9</v>
      </c>
      <c r="I1326">
        <f t="shared" si="60"/>
        <v>44.15</v>
      </c>
      <c r="J1326">
        <f t="shared" si="61"/>
        <v>-7.30000000000001</v>
      </c>
      <c r="K1326">
        <f t="shared" si="62"/>
        <v>-5.5</v>
      </c>
    </row>
    <row r="1327" spans="1:11">
      <c r="A1327">
        <v>44.262</v>
      </c>
      <c r="B1327">
        <v>-157.1</v>
      </c>
      <c r="C1327">
        <v>27.7</v>
      </c>
      <c r="E1327">
        <v>44.229</v>
      </c>
      <c r="F1327">
        <v>-157.2</v>
      </c>
      <c r="G1327">
        <v>28.1</v>
      </c>
      <c r="I1327">
        <f t="shared" si="60"/>
        <v>44.2</v>
      </c>
      <c r="J1327">
        <f t="shared" si="61"/>
        <v>-7.19999999999999</v>
      </c>
      <c r="K1327">
        <f t="shared" si="62"/>
        <v>-5.5</v>
      </c>
    </row>
    <row r="1328" spans="1:11">
      <c r="A1328">
        <v>44.296</v>
      </c>
      <c r="B1328">
        <v>-156.8</v>
      </c>
      <c r="C1328">
        <v>27.7</v>
      </c>
      <c r="E1328">
        <v>44.262</v>
      </c>
      <c r="F1328">
        <v>-157.1</v>
      </c>
      <c r="G1328">
        <v>27.7</v>
      </c>
      <c r="I1328">
        <f t="shared" si="60"/>
        <v>44.25</v>
      </c>
      <c r="J1328">
        <f t="shared" si="61"/>
        <v>-7.09999999999999</v>
      </c>
      <c r="K1328">
        <f t="shared" si="62"/>
        <v>-5.5</v>
      </c>
    </row>
    <row r="1329" spans="1:11">
      <c r="A1329">
        <v>44.329</v>
      </c>
      <c r="B1329">
        <v>-156.3</v>
      </c>
      <c r="C1329">
        <v>27.6</v>
      </c>
      <c r="E1329">
        <v>44.296</v>
      </c>
      <c r="F1329">
        <v>-156.8</v>
      </c>
      <c r="G1329">
        <v>27.7</v>
      </c>
      <c r="I1329">
        <f t="shared" si="60"/>
        <v>44.25</v>
      </c>
      <c r="J1329">
        <f t="shared" si="61"/>
        <v>-6.80000000000001</v>
      </c>
      <c r="K1329">
        <f t="shared" si="62"/>
        <v>-5.5</v>
      </c>
    </row>
    <row r="1330" spans="1:11">
      <c r="A1330">
        <v>44.363</v>
      </c>
      <c r="B1330">
        <v>-156.2</v>
      </c>
      <c r="C1330">
        <v>27.4</v>
      </c>
      <c r="E1330">
        <v>44.329</v>
      </c>
      <c r="F1330">
        <v>-156.3</v>
      </c>
      <c r="G1330">
        <v>27.6</v>
      </c>
      <c r="I1330">
        <f t="shared" si="60"/>
        <v>44.3</v>
      </c>
      <c r="J1330">
        <f t="shared" si="61"/>
        <v>-6.30000000000001</v>
      </c>
      <c r="K1330">
        <f t="shared" si="62"/>
        <v>-5.5</v>
      </c>
    </row>
    <row r="1331" spans="1:11">
      <c r="A1331">
        <v>44.396</v>
      </c>
      <c r="B1331">
        <v>-155.9</v>
      </c>
      <c r="C1331">
        <v>27.4</v>
      </c>
      <c r="E1331">
        <v>44.363</v>
      </c>
      <c r="F1331">
        <v>-156.2</v>
      </c>
      <c r="G1331">
        <v>27.4</v>
      </c>
      <c r="I1331">
        <f t="shared" si="60"/>
        <v>44.35</v>
      </c>
      <c r="J1331">
        <f t="shared" si="61"/>
        <v>-6.19999999999999</v>
      </c>
      <c r="K1331">
        <f t="shared" si="62"/>
        <v>-5.5</v>
      </c>
    </row>
    <row r="1332" spans="1:11">
      <c r="A1332">
        <v>44.43</v>
      </c>
      <c r="B1332">
        <v>-155.4</v>
      </c>
      <c r="C1332">
        <v>27.5</v>
      </c>
      <c r="E1332">
        <v>44.396</v>
      </c>
      <c r="F1332">
        <v>-155.9</v>
      </c>
      <c r="G1332">
        <v>27.4</v>
      </c>
      <c r="I1332">
        <f t="shared" si="60"/>
        <v>44.35</v>
      </c>
      <c r="J1332">
        <f t="shared" si="61"/>
        <v>-5.90000000000001</v>
      </c>
      <c r="K1332">
        <f t="shared" si="62"/>
        <v>-5.5</v>
      </c>
    </row>
    <row r="1333" spans="1:11">
      <c r="A1333">
        <v>44.463</v>
      </c>
      <c r="B1333">
        <v>-155.1</v>
      </c>
      <c r="C1333">
        <v>27.3</v>
      </c>
      <c r="E1333">
        <v>44.43</v>
      </c>
      <c r="F1333">
        <v>-155.4</v>
      </c>
      <c r="G1333">
        <v>27.5</v>
      </c>
      <c r="I1333">
        <f t="shared" si="60"/>
        <v>44.4</v>
      </c>
      <c r="J1333">
        <f t="shared" si="61"/>
        <v>-5.40000000000001</v>
      </c>
      <c r="K1333">
        <f t="shared" si="62"/>
        <v>-5.5</v>
      </c>
    </row>
    <row r="1334" spans="1:11">
      <c r="A1334">
        <v>44.496</v>
      </c>
      <c r="B1334">
        <v>-154.9</v>
      </c>
      <c r="C1334">
        <v>27.3</v>
      </c>
      <c r="E1334">
        <v>44.463</v>
      </c>
      <c r="F1334">
        <v>-155.1</v>
      </c>
      <c r="G1334">
        <v>27.3</v>
      </c>
      <c r="I1334">
        <f t="shared" si="60"/>
        <v>44.45</v>
      </c>
      <c r="J1334">
        <f t="shared" si="61"/>
        <v>-5.09999999999999</v>
      </c>
      <c r="K1334">
        <f t="shared" si="62"/>
        <v>-5.5</v>
      </c>
    </row>
    <row r="1335" spans="1:11">
      <c r="A1335">
        <v>44.53</v>
      </c>
      <c r="B1335">
        <v>-154.3</v>
      </c>
      <c r="C1335">
        <v>27</v>
      </c>
      <c r="E1335">
        <v>44.496</v>
      </c>
      <c r="F1335">
        <v>-154.9</v>
      </c>
      <c r="G1335">
        <v>27.3</v>
      </c>
      <c r="I1335">
        <f t="shared" si="60"/>
        <v>44.45</v>
      </c>
      <c r="J1335">
        <f t="shared" si="61"/>
        <v>-4.90000000000001</v>
      </c>
      <c r="K1335">
        <f t="shared" si="62"/>
        <v>-5.5</v>
      </c>
    </row>
    <row r="1336" spans="1:11">
      <c r="A1336">
        <v>44.563</v>
      </c>
      <c r="B1336">
        <v>-154.1</v>
      </c>
      <c r="C1336">
        <v>27.3</v>
      </c>
      <c r="E1336">
        <v>44.53</v>
      </c>
      <c r="F1336">
        <v>-154.3</v>
      </c>
      <c r="G1336">
        <v>27</v>
      </c>
      <c r="I1336">
        <f t="shared" si="60"/>
        <v>44.5</v>
      </c>
      <c r="J1336">
        <f t="shared" si="61"/>
        <v>-4.30000000000001</v>
      </c>
      <c r="K1336">
        <f t="shared" si="62"/>
        <v>-5.5</v>
      </c>
    </row>
    <row r="1337" spans="1:11">
      <c r="A1337">
        <v>44.597</v>
      </c>
      <c r="B1337">
        <v>-154.1</v>
      </c>
      <c r="C1337">
        <v>26.9</v>
      </c>
      <c r="E1337">
        <v>44.563</v>
      </c>
      <c r="F1337">
        <v>-154.1</v>
      </c>
      <c r="G1337">
        <v>27.3</v>
      </c>
      <c r="I1337">
        <f t="shared" si="60"/>
        <v>44.55</v>
      </c>
      <c r="J1337">
        <f t="shared" si="61"/>
        <v>-4.09999999999999</v>
      </c>
      <c r="K1337">
        <f t="shared" si="62"/>
        <v>-5.5</v>
      </c>
    </row>
    <row r="1338" spans="1:11">
      <c r="A1338">
        <v>44.63</v>
      </c>
      <c r="B1338">
        <v>-154</v>
      </c>
      <c r="C1338">
        <v>26.7</v>
      </c>
      <c r="E1338">
        <v>44.597</v>
      </c>
      <c r="F1338">
        <v>-154.1</v>
      </c>
      <c r="G1338">
        <v>26.9</v>
      </c>
      <c r="I1338">
        <f t="shared" si="60"/>
        <v>44.55</v>
      </c>
      <c r="J1338">
        <f t="shared" si="61"/>
        <v>-4.09999999999999</v>
      </c>
      <c r="K1338">
        <f t="shared" si="62"/>
        <v>-5.5</v>
      </c>
    </row>
    <row r="1339" spans="1:11">
      <c r="A1339">
        <v>44.664</v>
      </c>
      <c r="B1339">
        <v>-153.9</v>
      </c>
      <c r="C1339">
        <v>27.2</v>
      </c>
      <c r="E1339">
        <v>44.63</v>
      </c>
      <c r="F1339">
        <v>-154</v>
      </c>
      <c r="G1339">
        <v>26.7</v>
      </c>
      <c r="I1339">
        <f t="shared" si="60"/>
        <v>44.6</v>
      </c>
      <c r="J1339">
        <f t="shared" si="61"/>
        <v>-4</v>
      </c>
      <c r="K1339">
        <f t="shared" si="62"/>
        <v>-5.5</v>
      </c>
    </row>
    <row r="1340" spans="1:11">
      <c r="A1340">
        <v>44.697</v>
      </c>
      <c r="B1340">
        <v>-153.6</v>
      </c>
      <c r="C1340">
        <v>26.9</v>
      </c>
      <c r="E1340">
        <v>44.664</v>
      </c>
      <c r="F1340">
        <v>-153.9</v>
      </c>
      <c r="G1340">
        <v>27.2</v>
      </c>
      <c r="I1340">
        <f t="shared" si="60"/>
        <v>44.65</v>
      </c>
      <c r="J1340">
        <f t="shared" si="61"/>
        <v>-3.90000000000001</v>
      </c>
      <c r="K1340">
        <f t="shared" si="62"/>
        <v>-5.5</v>
      </c>
    </row>
    <row r="1341" spans="1:11">
      <c r="A1341">
        <v>44.731</v>
      </c>
      <c r="B1341">
        <v>-153.5</v>
      </c>
      <c r="C1341">
        <v>26.9</v>
      </c>
      <c r="E1341">
        <v>44.697</v>
      </c>
      <c r="F1341">
        <v>-153.6</v>
      </c>
      <c r="G1341">
        <v>26.9</v>
      </c>
      <c r="I1341">
        <f t="shared" si="60"/>
        <v>44.65</v>
      </c>
      <c r="J1341">
        <f t="shared" si="61"/>
        <v>-3.59999999999999</v>
      </c>
      <c r="K1341">
        <f t="shared" si="62"/>
        <v>-5.5</v>
      </c>
    </row>
    <row r="1342" spans="1:11">
      <c r="A1342">
        <v>44.764</v>
      </c>
      <c r="B1342">
        <v>-153.4</v>
      </c>
      <c r="C1342">
        <v>27</v>
      </c>
      <c r="E1342">
        <v>44.731</v>
      </c>
      <c r="F1342">
        <v>-153.5</v>
      </c>
      <c r="G1342">
        <v>26.9</v>
      </c>
      <c r="I1342">
        <f t="shared" si="60"/>
        <v>44.7</v>
      </c>
      <c r="J1342">
        <f t="shared" si="61"/>
        <v>-3.5</v>
      </c>
      <c r="K1342">
        <f t="shared" si="62"/>
        <v>-5.5</v>
      </c>
    </row>
    <row r="1343" spans="1:11">
      <c r="A1343">
        <v>44.797</v>
      </c>
      <c r="B1343">
        <v>-153.4</v>
      </c>
      <c r="C1343">
        <v>27</v>
      </c>
      <c r="E1343">
        <v>44.764</v>
      </c>
      <c r="F1343">
        <v>-153.4</v>
      </c>
      <c r="G1343">
        <v>27</v>
      </c>
      <c r="I1343">
        <f t="shared" si="60"/>
        <v>44.75</v>
      </c>
      <c r="J1343">
        <f t="shared" si="61"/>
        <v>-3.40000000000001</v>
      </c>
      <c r="K1343">
        <f t="shared" si="62"/>
        <v>-5.5</v>
      </c>
    </row>
    <row r="1344" spans="1:11">
      <c r="A1344">
        <v>44.831</v>
      </c>
      <c r="B1344">
        <v>-153.4</v>
      </c>
      <c r="C1344">
        <v>27</v>
      </c>
      <c r="E1344">
        <v>44.797</v>
      </c>
      <c r="F1344">
        <v>-153.4</v>
      </c>
      <c r="G1344">
        <v>27</v>
      </c>
      <c r="I1344">
        <f t="shared" si="60"/>
        <v>44.75</v>
      </c>
      <c r="J1344">
        <f t="shared" si="61"/>
        <v>-3.40000000000001</v>
      </c>
      <c r="K1344">
        <f t="shared" si="62"/>
        <v>-5.5</v>
      </c>
    </row>
    <row r="1345" spans="1:11">
      <c r="A1345">
        <v>44.864</v>
      </c>
      <c r="B1345">
        <v>-153.6</v>
      </c>
      <c r="C1345">
        <v>27.1</v>
      </c>
      <c r="E1345">
        <v>44.831</v>
      </c>
      <c r="F1345">
        <v>-153.4</v>
      </c>
      <c r="G1345">
        <v>27</v>
      </c>
      <c r="I1345">
        <f t="shared" ref="I1345:I1378" si="63">FLOOR(E1345,0.05)</f>
        <v>44.8</v>
      </c>
      <c r="J1345">
        <f t="shared" si="61"/>
        <v>-3.40000000000001</v>
      </c>
      <c r="K1345">
        <f t="shared" si="62"/>
        <v>-5.5</v>
      </c>
    </row>
    <row r="1346" spans="1:11">
      <c r="A1346">
        <v>44.898</v>
      </c>
      <c r="B1346">
        <v>-153.6</v>
      </c>
      <c r="C1346">
        <v>26.9</v>
      </c>
      <c r="E1346">
        <v>44.864</v>
      </c>
      <c r="F1346">
        <v>-153.6</v>
      </c>
      <c r="G1346">
        <v>27.1</v>
      </c>
      <c r="I1346">
        <f t="shared" si="63"/>
        <v>44.85</v>
      </c>
      <c r="J1346">
        <f t="shared" si="61"/>
        <v>-3.59999999999999</v>
      </c>
      <c r="K1346">
        <f t="shared" si="62"/>
        <v>-5.5</v>
      </c>
    </row>
    <row r="1347" spans="1:11">
      <c r="A1347">
        <v>44.931</v>
      </c>
      <c r="B1347">
        <v>-153.7</v>
      </c>
      <c r="C1347">
        <v>26.9</v>
      </c>
      <c r="E1347">
        <v>44.898</v>
      </c>
      <c r="F1347">
        <v>-153.6</v>
      </c>
      <c r="G1347">
        <v>26.9</v>
      </c>
      <c r="I1347">
        <f t="shared" si="63"/>
        <v>44.85</v>
      </c>
      <c r="J1347">
        <f t="shared" si="61"/>
        <v>-3.59999999999999</v>
      </c>
      <c r="K1347">
        <f t="shared" si="62"/>
        <v>-5.5</v>
      </c>
    </row>
    <row r="1348" spans="1:11">
      <c r="A1348">
        <v>44.965</v>
      </c>
      <c r="B1348">
        <v>-153.7</v>
      </c>
      <c r="C1348">
        <v>27.1</v>
      </c>
      <c r="E1348">
        <v>44.931</v>
      </c>
      <c r="F1348">
        <v>-153.7</v>
      </c>
      <c r="G1348">
        <v>26.9</v>
      </c>
      <c r="I1348">
        <f t="shared" si="63"/>
        <v>44.9</v>
      </c>
      <c r="J1348">
        <f t="shared" si="61"/>
        <v>-3.69999999999999</v>
      </c>
      <c r="K1348">
        <f t="shared" si="62"/>
        <v>-5.5</v>
      </c>
    </row>
    <row r="1349" spans="1:11">
      <c r="A1349">
        <v>44.998</v>
      </c>
      <c r="B1349">
        <v>-153.9</v>
      </c>
      <c r="C1349">
        <v>27.1</v>
      </c>
      <c r="E1349">
        <v>44.965</v>
      </c>
      <c r="F1349">
        <v>-153.7</v>
      </c>
      <c r="G1349">
        <v>27.1</v>
      </c>
      <c r="I1349">
        <f t="shared" si="63"/>
        <v>44.95</v>
      </c>
      <c r="J1349">
        <f t="shared" ref="J1349:J1412" si="64">F1349+150</f>
        <v>-3.69999999999999</v>
      </c>
      <c r="K1349">
        <f t="shared" ref="K1349:K1412" si="65">IF(G1349&lt;230,-5.5,5)</f>
        <v>-5.5</v>
      </c>
    </row>
    <row r="1350" spans="1:11">
      <c r="A1350">
        <v>45.031</v>
      </c>
      <c r="B1350">
        <v>-153.9</v>
      </c>
      <c r="C1350">
        <v>27.2</v>
      </c>
      <c r="E1350">
        <v>44.998</v>
      </c>
      <c r="F1350">
        <v>-153.9</v>
      </c>
      <c r="G1350">
        <v>27.1</v>
      </c>
      <c r="I1350">
        <f t="shared" si="63"/>
        <v>44.95</v>
      </c>
      <c r="J1350">
        <f t="shared" si="64"/>
        <v>-3.90000000000001</v>
      </c>
      <c r="K1350">
        <f t="shared" si="65"/>
        <v>-5.5</v>
      </c>
    </row>
    <row r="1351" spans="1:11">
      <c r="A1351">
        <v>45.065</v>
      </c>
      <c r="B1351">
        <v>-154.1</v>
      </c>
      <c r="C1351">
        <v>27.2</v>
      </c>
      <c r="E1351">
        <v>45.031</v>
      </c>
      <c r="F1351">
        <v>-153.9</v>
      </c>
      <c r="G1351">
        <v>27.2</v>
      </c>
      <c r="I1351">
        <f t="shared" si="63"/>
        <v>45</v>
      </c>
      <c r="J1351">
        <f t="shared" si="64"/>
        <v>-3.90000000000001</v>
      </c>
      <c r="K1351">
        <f t="shared" si="65"/>
        <v>-5.5</v>
      </c>
    </row>
    <row r="1352" spans="1:11">
      <c r="A1352">
        <v>45.098</v>
      </c>
      <c r="B1352">
        <v>-154.6</v>
      </c>
      <c r="C1352">
        <v>27.2</v>
      </c>
      <c r="E1352">
        <v>45.065</v>
      </c>
      <c r="F1352">
        <v>-154.1</v>
      </c>
      <c r="G1352">
        <v>27.2</v>
      </c>
      <c r="I1352">
        <f t="shared" si="63"/>
        <v>45.05</v>
      </c>
      <c r="J1352">
        <f t="shared" si="64"/>
        <v>-4.09999999999999</v>
      </c>
      <c r="K1352">
        <f t="shared" si="65"/>
        <v>-5.5</v>
      </c>
    </row>
    <row r="1353" spans="1:11">
      <c r="A1353">
        <v>45.132</v>
      </c>
      <c r="B1353">
        <v>-155</v>
      </c>
      <c r="C1353">
        <v>27.1</v>
      </c>
      <c r="E1353">
        <v>45.098</v>
      </c>
      <c r="F1353">
        <v>-154.6</v>
      </c>
      <c r="G1353">
        <v>27.2</v>
      </c>
      <c r="I1353">
        <f t="shared" si="63"/>
        <v>45.05</v>
      </c>
      <c r="J1353">
        <f t="shared" si="64"/>
        <v>-4.59999999999999</v>
      </c>
      <c r="K1353">
        <f t="shared" si="65"/>
        <v>-5.5</v>
      </c>
    </row>
    <row r="1354" spans="1:11">
      <c r="A1354">
        <v>45.165</v>
      </c>
      <c r="B1354">
        <v>-155.2</v>
      </c>
      <c r="C1354">
        <v>27.3</v>
      </c>
      <c r="E1354">
        <v>45.132</v>
      </c>
      <c r="F1354">
        <v>-155</v>
      </c>
      <c r="G1354">
        <v>27.1</v>
      </c>
      <c r="I1354">
        <f t="shared" si="63"/>
        <v>45.1</v>
      </c>
      <c r="J1354">
        <f t="shared" si="64"/>
        <v>-5</v>
      </c>
      <c r="K1354">
        <f t="shared" si="65"/>
        <v>-5.5</v>
      </c>
    </row>
    <row r="1355" spans="1:11">
      <c r="A1355">
        <v>45.199</v>
      </c>
      <c r="B1355">
        <v>-155.7</v>
      </c>
      <c r="C1355">
        <v>26.7</v>
      </c>
      <c r="E1355">
        <v>45.165</v>
      </c>
      <c r="F1355">
        <v>-155.2</v>
      </c>
      <c r="G1355">
        <v>27.3</v>
      </c>
      <c r="I1355">
        <f t="shared" si="63"/>
        <v>45.15</v>
      </c>
      <c r="J1355">
        <f t="shared" si="64"/>
        <v>-5.19999999999999</v>
      </c>
      <c r="K1355">
        <f t="shared" si="65"/>
        <v>-5.5</v>
      </c>
    </row>
    <row r="1356" spans="1:11">
      <c r="A1356">
        <v>45.232</v>
      </c>
      <c r="B1356">
        <v>-155.9</v>
      </c>
      <c r="C1356">
        <v>26.9</v>
      </c>
      <c r="E1356">
        <v>45.199</v>
      </c>
      <c r="F1356">
        <v>-155.7</v>
      </c>
      <c r="G1356">
        <v>26.7</v>
      </c>
      <c r="I1356">
        <f t="shared" si="63"/>
        <v>45.15</v>
      </c>
      <c r="J1356">
        <f t="shared" si="64"/>
        <v>-5.69999999999999</v>
      </c>
      <c r="K1356">
        <f t="shared" si="65"/>
        <v>-5.5</v>
      </c>
    </row>
    <row r="1357" spans="1:11">
      <c r="A1357">
        <v>45.265</v>
      </c>
      <c r="B1357">
        <v>-156.2</v>
      </c>
      <c r="C1357">
        <v>27</v>
      </c>
      <c r="E1357">
        <v>45.232</v>
      </c>
      <c r="F1357">
        <v>-155.9</v>
      </c>
      <c r="G1357">
        <v>26.9</v>
      </c>
      <c r="I1357">
        <f t="shared" si="63"/>
        <v>45.2</v>
      </c>
      <c r="J1357">
        <f t="shared" si="64"/>
        <v>-5.90000000000001</v>
      </c>
      <c r="K1357">
        <f t="shared" si="65"/>
        <v>-5.5</v>
      </c>
    </row>
    <row r="1358" spans="1:11">
      <c r="A1358">
        <v>45.299</v>
      </c>
      <c r="B1358">
        <v>-156.7</v>
      </c>
      <c r="C1358">
        <v>26.5</v>
      </c>
      <c r="E1358">
        <v>45.265</v>
      </c>
      <c r="F1358">
        <v>-156.2</v>
      </c>
      <c r="G1358">
        <v>27</v>
      </c>
      <c r="I1358">
        <f t="shared" si="63"/>
        <v>45.25</v>
      </c>
      <c r="J1358">
        <f t="shared" si="64"/>
        <v>-6.19999999999999</v>
      </c>
      <c r="K1358">
        <f t="shared" si="65"/>
        <v>-5.5</v>
      </c>
    </row>
    <row r="1359" spans="1:11">
      <c r="A1359">
        <v>45.332</v>
      </c>
      <c r="B1359">
        <v>-156.9</v>
      </c>
      <c r="C1359">
        <v>26.5</v>
      </c>
      <c r="E1359">
        <v>45.299</v>
      </c>
      <c r="F1359">
        <v>-156.7</v>
      </c>
      <c r="G1359">
        <v>26.5</v>
      </c>
      <c r="I1359">
        <f t="shared" si="63"/>
        <v>45.25</v>
      </c>
      <c r="J1359">
        <f t="shared" si="64"/>
        <v>-6.69999999999999</v>
      </c>
      <c r="K1359">
        <f t="shared" si="65"/>
        <v>-5.5</v>
      </c>
    </row>
    <row r="1360" spans="1:11">
      <c r="A1360">
        <v>45.366</v>
      </c>
      <c r="B1360">
        <v>-157</v>
      </c>
      <c r="C1360">
        <v>27.3</v>
      </c>
      <c r="E1360">
        <v>45.332</v>
      </c>
      <c r="F1360">
        <v>-156.9</v>
      </c>
      <c r="G1360">
        <v>26.5</v>
      </c>
      <c r="I1360">
        <f t="shared" si="63"/>
        <v>45.3</v>
      </c>
      <c r="J1360">
        <f t="shared" si="64"/>
        <v>-6.90000000000001</v>
      </c>
      <c r="K1360">
        <f t="shared" si="65"/>
        <v>-5.5</v>
      </c>
    </row>
    <row r="1361" spans="1:11">
      <c r="A1361">
        <v>45.399</v>
      </c>
      <c r="B1361">
        <v>-157</v>
      </c>
      <c r="C1361">
        <v>27.3</v>
      </c>
      <c r="E1361">
        <v>45.366</v>
      </c>
      <c r="F1361">
        <v>-157</v>
      </c>
      <c r="G1361">
        <v>27.3</v>
      </c>
      <c r="I1361">
        <f t="shared" si="63"/>
        <v>45.35</v>
      </c>
      <c r="J1361">
        <f t="shared" si="64"/>
        <v>-7</v>
      </c>
      <c r="K1361">
        <f t="shared" si="65"/>
        <v>-5.5</v>
      </c>
    </row>
    <row r="1362" spans="1:11">
      <c r="A1362">
        <v>45.433</v>
      </c>
      <c r="B1362">
        <v>-157.4</v>
      </c>
      <c r="C1362">
        <v>27.2</v>
      </c>
      <c r="E1362">
        <v>45.399</v>
      </c>
      <c r="F1362">
        <v>-157</v>
      </c>
      <c r="G1362">
        <v>27.3</v>
      </c>
      <c r="I1362">
        <f t="shared" si="63"/>
        <v>45.35</v>
      </c>
      <c r="J1362">
        <f t="shared" si="64"/>
        <v>-7</v>
      </c>
      <c r="K1362">
        <f t="shared" si="65"/>
        <v>-5.5</v>
      </c>
    </row>
    <row r="1363" spans="1:11">
      <c r="A1363">
        <v>45.466</v>
      </c>
      <c r="B1363">
        <v>-157.6</v>
      </c>
      <c r="C1363">
        <v>27.2</v>
      </c>
      <c r="E1363">
        <v>45.433</v>
      </c>
      <c r="F1363">
        <v>-157.4</v>
      </c>
      <c r="G1363">
        <v>27.2</v>
      </c>
      <c r="I1363">
        <f t="shared" si="63"/>
        <v>45.4</v>
      </c>
      <c r="J1363">
        <f t="shared" si="64"/>
        <v>-7.40000000000001</v>
      </c>
      <c r="K1363">
        <f t="shared" si="65"/>
        <v>-5.5</v>
      </c>
    </row>
    <row r="1364" spans="1:11">
      <c r="A1364">
        <v>45.499</v>
      </c>
      <c r="B1364">
        <v>-157.6</v>
      </c>
      <c r="C1364">
        <v>27</v>
      </c>
      <c r="E1364">
        <v>45.466</v>
      </c>
      <c r="F1364">
        <v>-157.6</v>
      </c>
      <c r="G1364">
        <v>27.2</v>
      </c>
      <c r="I1364">
        <f t="shared" si="63"/>
        <v>45.45</v>
      </c>
      <c r="J1364">
        <f t="shared" si="64"/>
        <v>-7.59999999999999</v>
      </c>
      <c r="K1364">
        <f t="shared" si="65"/>
        <v>-5.5</v>
      </c>
    </row>
    <row r="1365" spans="1:11">
      <c r="A1365">
        <v>45.533</v>
      </c>
      <c r="B1365">
        <v>-157.6</v>
      </c>
      <c r="C1365">
        <v>27</v>
      </c>
      <c r="E1365">
        <v>45.499</v>
      </c>
      <c r="F1365">
        <v>-157.6</v>
      </c>
      <c r="G1365">
        <v>27</v>
      </c>
      <c r="I1365">
        <f t="shared" si="63"/>
        <v>45.45</v>
      </c>
      <c r="J1365">
        <f t="shared" si="64"/>
        <v>-7.59999999999999</v>
      </c>
      <c r="K1365">
        <f t="shared" si="65"/>
        <v>-5.5</v>
      </c>
    </row>
    <row r="1366" spans="1:11">
      <c r="A1366">
        <v>45.566</v>
      </c>
      <c r="B1366">
        <v>-157.6</v>
      </c>
      <c r="C1366">
        <v>26.8</v>
      </c>
      <c r="E1366">
        <v>45.533</v>
      </c>
      <c r="F1366">
        <v>-157.6</v>
      </c>
      <c r="G1366">
        <v>27</v>
      </c>
      <c r="I1366">
        <f t="shared" si="63"/>
        <v>45.5</v>
      </c>
      <c r="J1366">
        <f t="shared" si="64"/>
        <v>-7.59999999999999</v>
      </c>
      <c r="K1366">
        <f t="shared" si="65"/>
        <v>-5.5</v>
      </c>
    </row>
    <row r="1367" spans="1:11">
      <c r="A1367">
        <v>45.6</v>
      </c>
      <c r="B1367">
        <v>-157.5</v>
      </c>
      <c r="C1367">
        <v>26.8</v>
      </c>
      <c r="E1367">
        <v>45.566</v>
      </c>
      <c r="F1367">
        <v>-157.6</v>
      </c>
      <c r="G1367">
        <v>26.8</v>
      </c>
      <c r="I1367">
        <f t="shared" si="63"/>
        <v>45.55</v>
      </c>
      <c r="J1367">
        <f t="shared" si="64"/>
        <v>-7.59999999999999</v>
      </c>
      <c r="K1367">
        <f t="shared" si="65"/>
        <v>-5.5</v>
      </c>
    </row>
    <row r="1368" spans="1:11">
      <c r="A1368">
        <v>45.633</v>
      </c>
      <c r="B1368">
        <v>-157.5</v>
      </c>
      <c r="C1368">
        <v>27.3</v>
      </c>
      <c r="E1368">
        <v>45.6</v>
      </c>
      <c r="F1368">
        <v>-157.5</v>
      </c>
      <c r="G1368">
        <v>26.8</v>
      </c>
      <c r="I1368">
        <f t="shared" si="63"/>
        <v>45.6</v>
      </c>
      <c r="J1368">
        <f t="shared" si="64"/>
        <v>-7.5</v>
      </c>
      <c r="K1368">
        <f t="shared" si="65"/>
        <v>-5.5</v>
      </c>
    </row>
    <row r="1369" spans="1:11">
      <c r="A1369">
        <v>45.667</v>
      </c>
      <c r="B1369">
        <v>-157.4</v>
      </c>
      <c r="C1369">
        <v>27.1</v>
      </c>
      <c r="E1369">
        <v>45.633</v>
      </c>
      <c r="F1369">
        <v>-157.5</v>
      </c>
      <c r="G1369">
        <v>27.3</v>
      </c>
      <c r="I1369">
        <f t="shared" si="63"/>
        <v>45.6</v>
      </c>
      <c r="J1369">
        <f t="shared" si="64"/>
        <v>-7.5</v>
      </c>
      <c r="K1369">
        <f t="shared" si="65"/>
        <v>-5.5</v>
      </c>
    </row>
    <row r="1370" spans="1:11">
      <c r="A1370">
        <v>45.7</v>
      </c>
      <c r="B1370">
        <v>-157.3</v>
      </c>
      <c r="C1370">
        <v>26.9</v>
      </c>
      <c r="E1370">
        <v>45.667</v>
      </c>
      <c r="F1370">
        <v>-157.4</v>
      </c>
      <c r="G1370">
        <v>27.1</v>
      </c>
      <c r="I1370">
        <f t="shared" si="63"/>
        <v>45.65</v>
      </c>
      <c r="J1370">
        <f t="shared" si="64"/>
        <v>-7.40000000000001</v>
      </c>
      <c r="K1370">
        <f t="shared" si="65"/>
        <v>-5.5</v>
      </c>
    </row>
    <row r="1371" spans="1:11">
      <c r="A1371">
        <v>45.733</v>
      </c>
      <c r="B1371">
        <v>-157.2</v>
      </c>
      <c r="C1371">
        <v>26.6</v>
      </c>
      <c r="E1371">
        <v>45.7</v>
      </c>
      <c r="F1371">
        <v>-157.3</v>
      </c>
      <c r="G1371">
        <v>26.9</v>
      </c>
      <c r="I1371">
        <f t="shared" si="63"/>
        <v>45.7</v>
      </c>
      <c r="J1371">
        <f t="shared" si="64"/>
        <v>-7.30000000000001</v>
      </c>
      <c r="K1371">
        <f t="shared" si="65"/>
        <v>-5.5</v>
      </c>
    </row>
    <row r="1372" spans="1:11">
      <c r="A1372">
        <v>45.767</v>
      </c>
      <c r="B1372">
        <v>-157.1</v>
      </c>
      <c r="C1372">
        <v>26.9</v>
      </c>
      <c r="E1372">
        <v>45.733</v>
      </c>
      <c r="F1372">
        <v>-157.2</v>
      </c>
      <c r="G1372">
        <v>26.6</v>
      </c>
      <c r="I1372">
        <f t="shared" si="63"/>
        <v>45.7</v>
      </c>
      <c r="J1372">
        <f t="shared" si="64"/>
        <v>-7.19999999999999</v>
      </c>
      <c r="K1372">
        <f t="shared" si="65"/>
        <v>-5.5</v>
      </c>
    </row>
    <row r="1373" spans="1:11">
      <c r="A1373">
        <v>45.8</v>
      </c>
      <c r="B1373">
        <v>-156.9</v>
      </c>
      <c r="C1373">
        <v>27.4</v>
      </c>
      <c r="E1373">
        <v>45.767</v>
      </c>
      <c r="F1373">
        <v>-157.1</v>
      </c>
      <c r="G1373">
        <v>26.9</v>
      </c>
      <c r="I1373">
        <f t="shared" si="63"/>
        <v>45.75</v>
      </c>
      <c r="J1373">
        <f t="shared" si="64"/>
        <v>-7.09999999999999</v>
      </c>
      <c r="K1373">
        <f t="shared" si="65"/>
        <v>-5.5</v>
      </c>
    </row>
    <row r="1374" spans="1:11">
      <c r="A1374">
        <v>45.834</v>
      </c>
      <c r="B1374">
        <v>-156.4</v>
      </c>
      <c r="C1374">
        <v>27.3</v>
      </c>
      <c r="E1374">
        <v>45.8</v>
      </c>
      <c r="F1374">
        <v>-156.9</v>
      </c>
      <c r="G1374">
        <v>27.4</v>
      </c>
      <c r="I1374">
        <f t="shared" si="63"/>
        <v>45.8</v>
      </c>
      <c r="J1374">
        <f t="shared" si="64"/>
        <v>-6.90000000000001</v>
      </c>
      <c r="K1374">
        <f t="shared" si="65"/>
        <v>-5.5</v>
      </c>
    </row>
    <row r="1375" spans="1:11">
      <c r="A1375">
        <v>45.867</v>
      </c>
      <c r="B1375">
        <v>-156.1</v>
      </c>
      <c r="C1375">
        <v>27.1</v>
      </c>
      <c r="E1375">
        <v>45.834</v>
      </c>
      <c r="F1375">
        <v>-156.4</v>
      </c>
      <c r="G1375">
        <v>27.3</v>
      </c>
      <c r="I1375">
        <f t="shared" si="63"/>
        <v>45.8</v>
      </c>
      <c r="J1375">
        <f t="shared" si="64"/>
        <v>-6.40000000000001</v>
      </c>
      <c r="K1375">
        <f t="shared" si="65"/>
        <v>-5.5</v>
      </c>
    </row>
    <row r="1376" spans="1:11">
      <c r="A1376">
        <v>45.901</v>
      </c>
      <c r="B1376">
        <v>-156</v>
      </c>
      <c r="C1376">
        <v>26.6</v>
      </c>
      <c r="E1376">
        <v>45.867</v>
      </c>
      <c r="F1376">
        <v>-156.1</v>
      </c>
      <c r="G1376">
        <v>27.1</v>
      </c>
      <c r="I1376">
        <f t="shared" si="63"/>
        <v>45.85</v>
      </c>
      <c r="J1376">
        <f t="shared" si="64"/>
        <v>-6.09999999999999</v>
      </c>
      <c r="K1376">
        <f t="shared" si="65"/>
        <v>-5.5</v>
      </c>
    </row>
    <row r="1377" spans="1:11">
      <c r="A1377">
        <v>45.934</v>
      </c>
      <c r="B1377">
        <v>-155.4</v>
      </c>
      <c r="C1377">
        <v>27.2</v>
      </c>
      <c r="E1377">
        <v>45.901</v>
      </c>
      <c r="F1377">
        <v>-156</v>
      </c>
      <c r="G1377">
        <v>26.6</v>
      </c>
      <c r="I1377">
        <f t="shared" si="63"/>
        <v>45.9</v>
      </c>
      <c r="J1377">
        <f t="shared" si="64"/>
        <v>-6</v>
      </c>
      <c r="K1377">
        <f t="shared" si="65"/>
        <v>-5.5</v>
      </c>
    </row>
    <row r="1378" spans="1:11">
      <c r="A1378">
        <v>45.967</v>
      </c>
      <c r="B1378">
        <v>-155.2</v>
      </c>
      <c r="C1378">
        <v>27.2</v>
      </c>
      <c r="E1378">
        <v>45.934</v>
      </c>
      <c r="F1378">
        <v>-155.4</v>
      </c>
      <c r="G1378">
        <v>27.2</v>
      </c>
      <c r="I1378">
        <f t="shared" si="63"/>
        <v>45.9</v>
      </c>
      <c r="J1378">
        <f t="shared" si="64"/>
        <v>-5.40000000000001</v>
      </c>
      <c r="K1378">
        <f t="shared" si="65"/>
        <v>-5.5</v>
      </c>
    </row>
    <row r="1379" spans="1:11">
      <c r="A1379">
        <v>46.001</v>
      </c>
      <c r="B1379">
        <v>-155</v>
      </c>
      <c r="C1379">
        <v>27.2</v>
      </c>
      <c r="E1379">
        <v>45.967</v>
      </c>
      <c r="F1379">
        <v>-155.2</v>
      </c>
      <c r="G1379">
        <v>27.2</v>
      </c>
      <c r="I1379">
        <f t="shared" ref="I1379:I1442" si="66">FLOOR(E1379,0.05)</f>
        <v>45.95</v>
      </c>
      <c r="J1379">
        <f t="shared" si="64"/>
        <v>-5.19999999999999</v>
      </c>
      <c r="K1379">
        <f t="shared" si="65"/>
        <v>-5.5</v>
      </c>
    </row>
    <row r="1380" spans="1:11">
      <c r="A1380">
        <v>46.034</v>
      </c>
      <c r="B1380">
        <v>-154.7</v>
      </c>
      <c r="C1380">
        <v>27.3</v>
      </c>
      <c r="E1380">
        <v>46.001</v>
      </c>
      <c r="F1380">
        <v>-155</v>
      </c>
      <c r="G1380">
        <v>27.2</v>
      </c>
      <c r="I1380">
        <f t="shared" si="66"/>
        <v>46</v>
      </c>
      <c r="J1380">
        <f t="shared" si="64"/>
        <v>-5</v>
      </c>
      <c r="K1380">
        <f t="shared" si="65"/>
        <v>-5.5</v>
      </c>
    </row>
    <row r="1381" spans="1:11">
      <c r="A1381">
        <v>46.068</v>
      </c>
      <c r="B1381">
        <v>-154.3</v>
      </c>
      <c r="C1381">
        <v>27.3</v>
      </c>
      <c r="E1381">
        <v>46.034</v>
      </c>
      <c r="F1381">
        <v>-154.7</v>
      </c>
      <c r="G1381">
        <v>27.3</v>
      </c>
      <c r="I1381">
        <f t="shared" si="66"/>
        <v>46</v>
      </c>
      <c r="J1381">
        <f t="shared" si="64"/>
        <v>-4.69999999999999</v>
      </c>
      <c r="K1381">
        <f t="shared" si="65"/>
        <v>-5.5</v>
      </c>
    </row>
    <row r="1382" spans="1:11">
      <c r="A1382">
        <v>46.101</v>
      </c>
      <c r="B1382">
        <v>-154.2</v>
      </c>
      <c r="C1382">
        <v>26.9</v>
      </c>
      <c r="E1382">
        <v>46.068</v>
      </c>
      <c r="F1382">
        <v>-154.3</v>
      </c>
      <c r="G1382">
        <v>27.3</v>
      </c>
      <c r="I1382">
        <f t="shared" si="66"/>
        <v>46.05</v>
      </c>
      <c r="J1382">
        <f t="shared" si="64"/>
        <v>-4.30000000000001</v>
      </c>
      <c r="K1382">
        <f t="shared" si="65"/>
        <v>-5.5</v>
      </c>
    </row>
    <row r="1383" spans="1:11">
      <c r="A1383">
        <v>46.135</v>
      </c>
      <c r="B1383">
        <v>-154.1</v>
      </c>
      <c r="C1383">
        <v>26.8</v>
      </c>
      <c r="E1383">
        <v>46.101</v>
      </c>
      <c r="F1383">
        <v>-154.2</v>
      </c>
      <c r="G1383">
        <v>26.9</v>
      </c>
      <c r="I1383">
        <f t="shared" si="66"/>
        <v>46.1</v>
      </c>
      <c r="J1383">
        <f t="shared" si="64"/>
        <v>-4.19999999999999</v>
      </c>
      <c r="K1383">
        <f t="shared" si="65"/>
        <v>-5.5</v>
      </c>
    </row>
    <row r="1384" spans="1:11">
      <c r="A1384">
        <v>46.168</v>
      </c>
      <c r="B1384">
        <v>-154.1</v>
      </c>
      <c r="C1384">
        <v>27.2</v>
      </c>
      <c r="E1384">
        <v>46.135</v>
      </c>
      <c r="F1384">
        <v>-154.1</v>
      </c>
      <c r="G1384">
        <v>26.8</v>
      </c>
      <c r="I1384">
        <f t="shared" si="66"/>
        <v>46.1</v>
      </c>
      <c r="J1384">
        <f t="shared" si="64"/>
        <v>-4.09999999999999</v>
      </c>
      <c r="K1384">
        <f t="shared" si="65"/>
        <v>-5.5</v>
      </c>
    </row>
    <row r="1385" spans="1:11">
      <c r="A1385">
        <v>46.201</v>
      </c>
      <c r="B1385">
        <v>-154.1</v>
      </c>
      <c r="C1385">
        <v>27</v>
      </c>
      <c r="E1385">
        <v>46.168</v>
      </c>
      <c r="F1385">
        <v>-154.1</v>
      </c>
      <c r="G1385">
        <v>27.2</v>
      </c>
      <c r="I1385">
        <f t="shared" si="66"/>
        <v>46.15</v>
      </c>
      <c r="J1385">
        <f t="shared" si="64"/>
        <v>-4.09999999999999</v>
      </c>
      <c r="K1385">
        <f t="shared" si="65"/>
        <v>-5.5</v>
      </c>
    </row>
    <row r="1386" spans="1:11">
      <c r="A1386">
        <v>46.235</v>
      </c>
      <c r="B1386">
        <v>-154.1</v>
      </c>
      <c r="C1386">
        <v>26.4</v>
      </c>
      <c r="E1386">
        <v>46.201</v>
      </c>
      <c r="F1386">
        <v>-154.1</v>
      </c>
      <c r="G1386">
        <v>27</v>
      </c>
      <c r="I1386">
        <f t="shared" si="66"/>
        <v>46.2</v>
      </c>
      <c r="J1386">
        <f t="shared" si="64"/>
        <v>-4.09999999999999</v>
      </c>
      <c r="K1386">
        <f t="shared" si="65"/>
        <v>-5.5</v>
      </c>
    </row>
    <row r="1387" spans="1:11">
      <c r="A1387">
        <v>46.268</v>
      </c>
      <c r="B1387">
        <v>-154.1</v>
      </c>
      <c r="C1387">
        <v>27.5</v>
      </c>
      <c r="E1387">
        <v>46.235</v>
      </c>
      <c r="F1387">
        <v>-154.1</v>
      </c>
      <c r="G1387">
        <v>26.4</v>
      </c>
      <c r="I1387">
        <f t="shared" si="66"/>
        <v>46.2</v>
      </c>
      <c r="J1387">
        <f t="shared" si="64"/>
        <v>-4.09999999999999</v>
      </c>
      <c r="K1387">
        <f t="shared" si="65"/>
        <v>-5.5</v>
      </c>
    </row>
    <row r="1388" spans="1:11">
      <c r="A1388">
        <v>46.302</v>
      </c>
      <c r="B1388">
        <v>-154.2</v>
      </c>
      <c r="C1388">
        <v>26.9</v>
      </c>
      <c r="E1388">
        <v>46.268</v>
      </c>
      <c r="F1388">
        <v>-154.1</v>
      </c>
      <c r="G1388">
        <v>27.5</v>
      </c>
      <c r="I1388">
        <f t="shared" si="66"/>
        <v>46.25</v>
      </c>
      <c r="J1388">
        <f t="shared" si="64"/>
        <v>-4.09999999999999</v>
      </c>
      <c r="K1388">
        <f t="shared" si="65"/>
        <v>-5.5</v>
      </c>
    </row>
    <row r="1389" spans="1:11">
      <c r="A1389">
        <v>46.335</v>
      </c>
      <c r="B1389">
        <v>-154.3</v>
      </c>
      <c r="C1389">
        <v>26.7</v>
      </c>
      <c r="E1389">
        <v>46.302</v>
      </c>
      <c r="F1389">
        <v>-154.2</v>
      </c>
      <c r="G1389">
        <v>26.9</v>
      </c>
      <c r="I1389">
        <f t="shared" si="66"/>
        <v>46.3</v>
      </c>
      <c r="J1389">
        <f t="shared" si="64"/>
        <v>-4.19999999999999</v>
      </c>
      <c r="K1389">
        <f t="shared" si="65"/>
        <v>-5.5</v>
      </c>
    </row>
    <row r="1390" spans="1:11">
      <c r="A1390">
        <v>46.369</v>
      </c>
      <c r="B1390">
        <v>-154.3</v>
      </c>
      <c r="C1390">
        <v>26.7</v>
      </c>
      <c r="E1390">
        <v>46.335</v>
      </c>
      <c r="F1390">
        <v>-154.3</v>
      </c>
      <c r="G1390">
        <v>26.7</v>
      </c>
      <c r="I1390">
        <f t="shared" si="66"/>
        <v>46.3</v>
      </c>
      <c r="J1390">
        <f t="shared" si="64"/>
        <v>-4.30000000000001</v>
      </c>
      <c r="K1390">
        <f t="shared" si="65"/>
        <v>-5.5</v>
      </c>
    </row>
    <row r="1391" spans="1:11">
      <c r="A1391">
        <v>46.402</v>
      </c>
      <c r="B1391">
        <v>-154.4</v>
      </c>
      <c r="C1391">
        <v>26.9</v>
      </c>
      <c r="E1391">
        <v>46.369</v>
      </c>
      <c r="F1391">
        <v>-154.3</v>
      </c>
      <c r="G1391">
        <v>26.7</v>
      </c>
      <c r="I1391">
        <f t="shared" si="66"/>
        <v>46.35</v>
      </c>
      <c r="J1391">
        <f t="shared" si="64"/>
        <v>-4.30000000000001</v>
      </c>
      <c r="K1391">
        <f t="shared" si="65"/>
        <v>-5.5</v>
      </c>
    </row>
    <row r="1392" spans="1:11">
      <c r="A1392">
        <v>46.435</v>
      </c>
      <c r="B1392">
        <v>-154.5</v>
      </c>
      <c r="C1392">
        <v>26.8</v>
      </c>
      <c r="E1392">
        <v>46.402</v>
      </c>
      <c r="F1392">
        <v>-154.4</v>
      </c>
      <c r="G1392">
        <v>26.9</v>
      </c>
      <c r="I1392">
        <f t="shared" si="66"/>
        <v>46.4</v>
      </c>
      <c r="J1392">
        <f t="shared" si="64"/>
        <v>-4.40000000000001</v>
      </c>
      <c r="K1392">
        <f t="shared" si="65"/>
        <v>-5.5</v>
      </c>
    </row>
    <row r="1393" spans="1:11">
      <c r="A1393">
        <v>46.469</v>
      </c>
      <c r="B1393">
        <v>-154.5</v>
      </c>
      <c r="C1393">
        <v>26.8</v>
      </c>
      <c r="E1393">
        <v>46.435</v>
      </c>
      <c r="F1393">
        <v>-154.5</v>
      </c>
      <c r="G1393">
        <v>26.8</v>
      </c>
      <c r="I1393">
        <f t="shared" si="66"/>
        <v>46.4</v>
      </c>
      <c r="J1393">
        <f t="shared" si="64"/>
        <v>-4.5</v>
      </c>
      <c r="K1393">
        <f t="shared" si="65"/>
        <v>-5.5</v>
      </c>
    </row>
    <row r="1394" spans="1:11">
      <c r="A1394">
        <v>46.502</v>
      </c>
      <c r="B1394">
        <v>-154.7</v>
      </c>
      <c r="C1394">
        <v>26.7</v>
      </c>
      <c r="E1394">
        <v>46.469</v>
      </c>
      <c r="F1394">
        <v>-154.5</v>
      </c>
      <c r="G1394">
        <v>26.8</v>
      </c>
      <c r="I1394">
        <f t="shared" si="66"/>
        <v>46.45</v>
      </c>
      <c r="J1394">
        <f t="shared" si="64"/>
        <v>-4.5</v>
      </c>
      <c r="K1394">
        <f t="shared" si="65"/>
        <v>-5.5</v>
      </c>
    </row>
    <row r="1395" spans="1:11">
      <c r="A1395">
        <v>46.536</v>
      </c>
      <c r="B1395">
        <v>-154.7</v>
      </c>
      <c r="C1395">
        <v>26.7</v>
      </c>
      <c r="E1395">
        <v>46.502</v>
      </c>
      <c r="F1395">
        <v>-154.7</v>
      </c>
      <c r="G1395">
        <v>26.7</v>
      </c>
      <c r="I1395">
        <f t="shared" si="66"/>
        <v>46.5</v>
      </c>
      <c r="J1395">
        <f t="shared" si="64"/>
        <v>-4.69999999999999</v>
      </c>
      <c r="K1395">
        <f t="shared" si="65"/>
        <v>-5.5</v>
      </c>
    </row>
    <row r="1396" spans="1:11">
      <c r="A1396">
        <v>46.569</v>
      </c>
      <c r="B1396">
        <v>-154.8</v>
      </c>
      <c r="C1396">
        <v>26.7</v>
      </c>
      <c r="E1396">
        <v>46.536</v>
      </c>
      <c r="F1396">
        <v>-154.7</v>
      </c>
      <c r="G1396">
        <v>26.7</v>
      </c>
      <c r="I1396">
        <f t="shared" si="66"/>
        <v>46.5</v>
      </c>
      <c r="J1396">
        <f t="shared" si="64"/>
        <v>-4.69999999999999</v>
      </c>
      <c r="K1396">
        <f t="shared" si="65"/>
        <v>-5.5</v>
      </c>
    </row>
    <row r="1397" spans="1:11">
      <c r="A1397">
        <v>46.603</v>
      </c>
      <c r="B1397">
        <v>-155</v>
      </c>
      <c r="C1397">
        <v>26.6</v>
      </c>
      <c r="E1397">
        <v>46.569</v>
      </c>
      <c r="F1397">
        <v>-154.8</v>
      </c>
      <c r="G1397">
        <v>26.7</v>
      </c>
      <c r="I1397">
        <f t="shared" si="66"/>
        <v>46.55</v>
      </c>
      <c r="J1397">
        <f t="shared" si="64"/>
        <v>-4.80000000000001</v>
      </c>
      <c r="K1397">
        <f t="shared" si="65"/>
        <v>-5.5</v>
      </c>
    </row>
    <row r="1398" spans="1:11">
      <c r="A1398">
        <v>46.636</v>
      </c>
      <c r="B1398">
        <v>-155.1</v>
      </c>
      <c r="C1398">
        <v>26.7</v>
      </c>
      <c r="E1398">
        <v>46.603</v>
      </c>
      <c r="F1398">
        <v>-155</v>
      </c>
      <c r="G1398">
        <v>26.6</v>
      </c>
      <c r="I1398">
        <f t="shared" si="66"/>
        <v>46.6</v>
      </c>
      <c r="J1398">
        <f t="shared" si="64"/>
        <v>-5</v>
      </c>
      <c r="K1398">
        <f t="shared" si="65"/>
        <v>-5.5</v>
      </c>
    </row>
    <row r="1399" spans="1:11">
      <c r="A1399">
        <v>46.67</v>
      </c>
      <c r="B1399">
        <v>-155.7</v>
      </c>
      <c r="C1399">
        <v>26.9</v>
      </c>
      <c r="E1399">
        <v>46.636</v>
      </c>
      <c r="F1399">
        <v>-155.1</v>
      </c>
      <c r="G1399">
        <v>26.7</v>
      </c>
      <c r="I1399">
        <f t="shared" si="66"/>
        <v>46.6</v>
      </c>
      <c r="J1399">
        <f t="shared" si="64"/>
        <v>-5.09999999999999</v>
      </c>
      <c r="K1399">
        <f t="shared" si="65"/>
        <v>-5.5</v>
      </c>
    </row>
    <row r="1400" spans="1:11">
      <c r="A1400">
        <v>46.703</v>
      </c>
      <c r="B1400">
        <v>-155.9</v>
      </c>
      <c r="C1400">
        <v>27.1</v>
      </c>
      <c r="E1400">
        <v>46.67</v>
      </c>
      <c r="F1400">
        <v>-155.7</v>
      </c>
      <c r="G1400">
        <v>26.9</v>
      </c>
      <c r="I1400">
        <f t="shared" si="66"/>
        <v>46.65</v>
      </c>
      <c r="J1400">
        <f t="shared" si="64"/>
        <v>-5.69999999999999</v>
      </c>
      <c r="K1400">
        <f t="shared" si="65"/>
        <v>-5.5</v>
      </c>
    </row>
    <row r="1401" spans="1:11">
      <c r="A1401">
        <v>46.736</v>
      </c>
      <c r="B1401">
        <v>-156.1</v>
      </c>
      <c r="C1401">
        <v>26.7</v>
      </c>
      <c r="E1401">
        <v>46.703</v>
      </c>
      <c r="F1401">
        <v>-155.9</v>
      </c>
      <c r="G1401">
        <v>27.1</v>
      </c>
      <c r="I1401">
        <f t="shared" si="66"/>
        <v>46.7</v>
      </c>
      <c r="J1401">
        <f t="shared" si="64"/>
        <v>-5.90000000000001</v>
      </c>
      <c r="K1401">
        <f t="shared" si="65"/>
        <v>-5.5</v>
      </c>
    </row>
    <row r="1402" spans="1:11">
      <c r="A1402">
        <v>46.77</v>
      </c>
      <c r="B1402">
        <v>-156.6</v>
      </c>
      <c r="C1402">
        <v>26.8</v>
      </c>
      <c r="E1402">
        <v>46.736</v>
      </c>
      <c r="F1402">
        <v>-156.1</v>
      </c>
      <c r="G1402">
        <v>26.7</v>
      </c>
      <c r="I1402">
        <f t="shared" si="66"/>
        <v>46.7</v>
      </c>
      <c r="J1402">
        <f t="shared" si="64"/>
        <v>-6.09999999999999</v>
      </c>
      <c r="K1402">
        <f t="shared" si="65"/>
        <v>-5.5</v>
      </c>
    </row>
    <row r="1403" spans="1:11">
      <c r="A1403">
        <v>46.803</v>
      </c>
      <c r="B1403">
        <v>-156.8</v>
      </c>
      <c r="C1403">
        <v>26.8</v>
      </c>
      <c r="E1403">
        <v>46.77</v>
      </c>
      <c r="F1403">
        <v>-156.6</v>
      </c>
      <c r="G1403">
        <v>26.8</v>
      </c>
      <c r="I1403">
        <f t="shared" si="66"/>
        <v>46.75</v>
      </c>
      <c r="J1403">
        <f t="shared" si="64"/>
        <v>-6.59999999999999</v>
      </c>
      <c r="K1403">
        <f t="shared" si="65"/>
        <v>-5.5</v>
      </c>
    </row>
    <row r="1404" spans="1:11">
      <c r="A1404">
        <v>46.837</v>
      </c>
      <c r="B1404">
        <v>-157</v>
      </c>
      <c r="C1404">
        <v>26.8</v>
      </c>
      <c r="E1404">
        <v>46.803</v>
      </c>
      <c r="F1404">
        <v>-156.8</v>
      </c>
      <c r="G1404">
        <v>26.8</v>
      </c>
      <c r="I1404">
        <f t="shared" si="66"/>
        <v>46.8</v>
      </c>
      <c r="J1404">
        <f t="shared" si="64"/>
        <v>-6.80000000000001</v>
      </c>
      <c r="K1404">
        <f t="shared" si="65"/>
        <v>-5.5</v>
      </c>
    </row>
    <row r="1405" spans="1:11">
      <c r="A1405">
        <v>46.87</v>
      </c>
      <c r="B1405">
        <v>-157.5</v>
      </c>
      <c r="C1405">
        <v>26.8</v>
      </c>
      <c r="E1405">
        <v>46.837</v>
      </c>
      <c r="F1405">
        <v>-157</v>
      </c>
      <c r="G1405">
        <v>26.8</v>
      </c>
      <c r="I1405">
        <f t="shared" si="66"/>
        <v>46.8</v>
      </c>
      <c r="J1405">
        <f t="shared" si="64"/>
        <v>-7</v>
      </c>
      <c r="K1405">
        <f t="shared" si="65"/>
        <v>-5.5</v>
      </c>
    </row>
    <row r="1406" spans="1:11">
      <c r="A1406">
        <v>46.904</v>
      </c>
      <c r="B1406">
        <v>-157.7</v>
      </c>
      <c r="C1406">
        <v>26.7</v>
      </c>
      <c r="E1406">
        <v>46.87</v>
      </c>
      <c r="F1406">
        <v>-157.5</v>
      </c>
      <c r="G1406">
        <v>26.8</v>
      </c>
      <c r="I1406">
        <f t="shared" si="66"/>
        <v>46.85</v>
      </c>
      <c r="J1406">
        <f t="shared" si="64"/>
        <v>-7.5</v>
      </c>
      <c r="K1406">
        <f t="shared" si="65"/>
        <v>-5.5</v>
      </c>
    </row>
    <row r="1407" spans="1:11">
      <c r="A1407">
        <v>46.937</v>
      </c>
      <c r="B1407">
        <v>-157.8</v>
      </c>
      <c r="C1407">
        <v>26.7</v>
      </c>
      <c r="E1407">
        <v>46.904</v>
      </c>
      <c r="F1407">
        <v>-157.7</v>
      </c>
      <c r="G1407">
        <v>26.7</v>
      </c>
      <c r="I1407">
        <f t="shared" si="66"/>
        <v>46.9</v>
      </c>
      <c r="J1407">
        <f t="shared" si="64"/>
        <v>-7.69999999999999</v>
      </c>
      <c r="K1407">
        <f t="shared" si="65"/>
        <v>-5.5</v>
      </c>
    </row>
    <row r="1408" spans="1:11">
      <c r="A1408">
        <v>46.97</v>
      </c>
      <c r="B1408">
        <v>-157.8</v>
      </c>
      <c r="C1408">
        <v>26.9</v>
      </c>
      <c r="E1408">
        <v>46.937</v>
      </c>
      <c r="F1408">
        <v>-157.8</v>
      </c>
      <c r="G1408">
        <v>26.7</v>
      </c>
      <c r="I1408">
        <f t="shared" si="66"/>
        <v>46.9</v>
      </c>
      <c r="J1408">
        <f t="shared" si="64"/>
        <v>-7.80000000000001</v>
      </c>
      <c r="K1408">
        <f t="shared" si="65"/>
        <v>-5.5</v>
      </c>
    </row>
    <row r="1409" spans="1:11">
      <c r="A1409">
        <v>47.004</v>
      </c>
      <c r="B1409">
        <v>-157.8</v>
      </c>
      <c r="C1409">
        <v>26.7</v>
      </c>
      <c r="E1409">
        <v>46.97</v>
      </c>
      <c r="F1409">
        <v>-157.8</v>
      </c>
      <c r="G1409">
        <v>26.9</v>
      </c>
      <c r="I1409">
        <f t="shared" si="66"/>
        <v>46.95</v>
      </c>
      <c r="J1409">
        <f t="shared" si="64"/>
        <v>-7.80000000000001</v>
      </c>
      <c r="K1409">
        <f t="shared" si="65"/>
        <v>-5.5</v>
      </c>
    </row>
    <row r="1410" spans="1:11">
      <c r="A1410">
        <v>47.037</v>
      </c>
      <c r="B1410">
        <v>-157.8</v>
      </c>
      <c r="C1410">
        <v>27.5</v>
      </c>
      <c r="E1410">
        <v>47.004</v>
      </c>
      <c r="F1410">
        <v>-157.8</v>
      </c>
      <c r="G1410">
        <v>26.7</v>
      </c>
      <c r="I1410">
        <f t="shared" si="66"/>
        <v>47</v>
      </c>
      <c r="J1410">
        <f t="shared" si="64"/>
        <v>-7.80000000000001</v>
      </c>
      <c r="K1410">
        <f t="shared" si="65"/>
        <v>-5.5</v>
      </c>
    </row>
    <row r="1411" spans="1:11">
      <c r="A1411">
        <v>47.071</v>
      </c>
      <c r="B1411">
        <v>-157.7</v>
      </c>
      <c r="C1411">
        <v>26.7</v>
      </c>
      <c r="E1411">
        <v>47.037</v>
      </c>
      <c r="F1411">
        <v>-157.8</v>
      </c>
      <c r="G1411">
        <v>27.5</v>
      </c>
      <c r="I1411">
        <f t="shared" si="66"/>
        <v>47</v>
      </c>
      <c r="J1411">
        <f t="shared" si="64"/>
        <v>-7.80000000000001</v>
      </c>
      <c r="K1411">
        <f t="shared" si="65"/>
        <v>-5.5</v>
      </c>
    </row>
    <row r="1412" spans="1:11">
      <c r="A1412">
        <v>47.104</v>
      </c>
      <c r="B1412">
        <v>-157.6</v>
      </c>
      <c r="C1412">
        <v>26.5</v>
      </c>
      <c r="E1412">
        <v>47.071</v>
      </c>
      <c r="F1412">
        <v>-157.7</v>
      </c>
      <c r="G1412">
        <v>26.7</v>
      </c>
      <c r="I1412">
        <f t="shared" si="66"/>
        <v>47.05</v>
      </c>
      <c r="J1412">
        <f t="shared" si="64"/>
        <v>-7.69999999999999</v>
      </c>
      <c r="K1412">
        <f t="shared" si="65"/>
        <v>-5.5</v>
      </c>
    </row>
    <row r="1413" spans="1:11">
      <c r="A1413">
        <v>47.138</v>
      </c>
      <c r="B1413">
        <v>-157.5</v>
      </c>
      <c r="C1413">
        <v>26.8</v>
      </c>
      <c r="E1413">
        <v>47.104</v>
      </c>
      <c r="F1413">
        <v>-157.6</v>
      </c>
      <c r="G1413">
        <v>26.5</v>
      </c>
      <c r="I1413">
        <f t="shared" si="66"/>
        <v>47.1</v>
      </c>
      <c r="J1413">
        <f t="shared" ref="J1413:J1476" si="67">F1413+150</f>
        <v>-7.59999999999999</v>
      </c>
      <c r="K1413">
        <f t="shared" ref="K1413:K1476" si="68">IF(G1413&lt;230,-5.5,5)</f>
        <v>-5.5</v>
      </c>
    </row>
    <row r="1414" spans="1:11">
      <c r="A1414">
        <v>47.171</v>
      </c>
      <c r="B1414">
        <v>-157.4</v>
      </c>
      <c r="C1414">
        <v>27.4</v>
      </c>
      <c r="E1414">
        <v>47.138</v>
      </c>
      <c r="F1414">
        <v>-157.5</v>
      </c>
      <c r="G1414">
        <v>26.8</v>
      </c>
      <c r="I1414">
        <f t="shared" si="66"/>
        <v>47.1</v>
      </c>
      <c r="J1414">
        <f t="shared" si="67"/>
        <v>-7.5</v>
      </c>
      <c r="K1414">
        <f t="shared" si="68"/>
        <v>-5.5</v>
      </c>
    </row>
    <row r="1415" spans="1:11">
      <c r="A1415">
        <v>47.204</v>
      </c>
      <c r="B1415">
        <v>-157.4</v>
      </c>
      <c r="C1415">
        <v>26.7</v>
      </c>
      <c r="E1415">
        <v>47.171</v>
      </c>
      <c r="F1415">
        <v>-157.4</v>
      </c>
      <c r="G1415">
        <v>27.4</v>
      </c>
      <c r="I1415">
        <f t="shared" si="66"/>
        <v>47.15</v>
      </c>
      <c r="J1415">
        <f t="shared" si="67"/>
        <v>-7.40000000000001</v>
      </c>
      <c r="K1415">
        <f t="shared" si="68"/>
        <v>-5.5</v>
      </c>
    </row>
    <row r="1416" spans="1:11">
      <c r="A1416">
        <v>47.238</v>
      </c>
      <c r="B1416">
        <v>-157.3</v>
      </c>
      <c r="C1416">
        <v>26.7</v>
      </c>
      <c r="E1416">
        <v>47.204</v>
      </c>
      <c r="F1416">
        <v>-157.4</v>
      </c>
      <c r="G1416">
        <v>26.7</v>
      </c>
      <c r="I1416">
        <f t="shared" si="66"/>
        <v>47.2</v>
      </c>
      <c r="J1416">
        <f t="shared" si="67"/>
        <v>-7.40000000000001</v>
      </c>
      <c r="K1416">
        <f t="shared" si="68"/>
        <v>-5.5</v>
      </c>
    </row>
    <row r="1417" spans="1:11">
      <c r="A1417">
        <v>47.271</v>
      </c>
      <c r="B1417">
        <v>-157.1</v>
      </c>
      <c r="C1417">
        <v>26.7</v>
      </c>
      <c r="E1417">
        <v>47.238</v>
      </c>
      <c r="F1417">
        <v>-157.3</v>
      </c>
      <c r="G1417">
        <v>26.7</v>
      </c>
      <c r="I1417">
        <f t="shared" si="66"/>
        <v>47.2</v>
      </c>
      <c r="J1417">
        <f t="shared" si="67"/>
        <v>-7.30000000000001</v>
      </c>
      <c r="K1417">
        <f t="shared" si="68"/>
        <v>-5.5</v>
      </c>
    </row>
    <row r="1418" spans="1:11">
      <c r="A1418">
        <v>47.305</v>
      </c>
      <c r="B1418">
        <v>-156.9</v>
      </c>
      <c r="C1418">
        <v>27</v>
      </c>
      <c r="E1418">
        <v>47.271</v>
      </c>
      <c r="F1418">
        <v>-157.1</v>
      </c>
      <c r="G1418">
        <v>26.7</v>
      </c>
      <c r="I1418">
        <f t="shared" si="66"/>
        <v>47.25</v>
      </c>
      <c r="J1418">
        <f t="shared" si="67"/>
        <v>-7.09999999999999</v>
      </c>
      <c r="K1418">
        <f t="shared" si="68"/>
        <v>-5.5</v>
      </c>
    </row>
    <row r="1419" spans="1:11">
      <c r="A1419">
        <v>47.338</v>
      </c>
      <c r="B1419">
        <v>-156.5</v>
      </c>
      <c r="C1419">
        <v>27</v>
      </c>
      <c r="E1419">
        <v>47.305</v>
      </c>
      <c r="F1419">
        <v>-156.9</v>
      </c>
      <c r="G1419">
        <v>27</v>
      </c>
      <c r="I1419">
        <f t="shared" si="66"/>
        <v>47.3</v>
      </c>
      <c r="J1419">
        <f t="shared" si="67"/>
        <v>-6.90000000000001</v>
      </c>
      <c r="K1419">
        <f t="shared" si="68"/>
        <v>-5.5</v>
      </c>
    </row>
    <row r="1420" spans="1:11">
      <c r="A1420">
        <v>47.372</v>
      </c>
      <c r="B1420">
        <v>-156.2</v>
      </c>
      <c r="C1420">
        <v>26.8</v>
      </c>
      <c r="E1420">
        <v>47.338</v>
      </c>
      <c r="F1420">
        <v>-156.5</v>
      </c>
      <c r="G1420">
        <v>27</v>
      </c>
      <c r="I1420">
        <f t="shared" si="66"/>
        <v>47.3</v>
      </c>
      <c r="J1420">
        <f t="shared" si="67"/>
        <v>-6.5</v>
      </c>
      <c r="K1420">
        <f t="shared" si="68"/>
        <v>-5.5</v>
      </c>
    </row>
    <row r="1421" spans="1:11">
      <c r="A1421">
        <v>47.405</v>
      </c>
      <c r="B1421">
        <v>-156.1</v>
      </c>
      <c r="C1421">
        <v>27</v>
      </c>
      <c r="E1421">
        <v>47.372</v>
      </c>
      <c r="F1421">
        <v>-156.2</v>
      </c>
      <c r="G1421">
        <v>26.8</v>
      </c>
      <c r="I1421">
        <f t="shared" si="66"/>
        <v>47.35</v>
      </c>
      <c r="J1421">
        <f t="shared" si="67"/>
        <v>-6.19999999999999</v>
      </c>
      <c r="K1421">
        <f t="shared" si="68"/>
        <v>-5.5</v>
      </c>
    </row>
    <row r="1422" spans="1:11">
      <c r="A1422">
        <v>47.438</v>
      </c>
      <c r="B1422">
        <v>-155.9</v>
      </c>
      <c r="C1422">
        <v>27</v>
      </c>
      <c r="E1422">
        <v>47.405</v>
      </c>
      <c r="F1422">
        <v>-156.1</v>
      </c>
      <c r="G1422">
        <v>27</v>
      </c>
      <c r="I1422">
        <f t="shared" si="66"/>
        <v>47.4</v>
      </c>
      <c r="J1422">
        <f t="shared" si="67"/>
        <v>-6.09999999999999</v>
      </c>
      <c r="K1422">
        <f t="shared" si="68"/>
        <v>-5.5</v>
      </c>
    </row>
    <row r="1423" spans="1:11">
      <c r="A1423">
        <v>47.472</v>
      </c>
      <c r="B1423">
        <v>-155.4</v>
      </c>
      <c r="C1423">
        <v>26.2</v>
      </c>
      <c r="E1423">
        <v>47.438</v>
      </c>
      <c r="F1423">
        <v>-155.9</v>
      </c>
      <c r="G1423">
        <v>27</v>
      </c>
      <c r="I1423">
        <f t="shared" si="66"/>
        <v>47.4</v>
      </c>
      <c r="J1423">
        <f t="shared" si="67"/>
        <v>-5.90000000000001</v>
      </c>
      <c r="K1423">
        <f t="shared" si="68"/>
        <v>-5.5</v>
      </c>
    </row>
    <row r="1424" spans="1:11">
      <c r="A1424">
        <v>47.505</v>
      </c>
      <c r="B1424">
        <v>-155.1</v>
      </c>
      <c r="C1424">
        <v>27.1</v>
      </c>
      <c r="E1424">
        <v>47.472</v>
      </c>
      <c r="F1424">
        <v>-155.4</v>
      </c>
      <c r="G1424">
        <v>26.2</v>
      </c>
      <c r="I1424">
        <f t="shared" si="66"/>
        <v>47.45</v>
      </c>
      <c r="J1424">
        <f t="shared" si="67"/>
        <v>-5.40000000000001</v>
      </c>
      <c r="K1424">
        <f t="shared" si="68"/>
        <v>-5.5</v>
      </c>
    </row>
    <row r="1425" spans="1:11">
      <c r="A1425">
        <v>47.539</v>
      </c>
      <c r="B1425">
        <v>-155</v>
      </c>
      <c r="C1425">
        <v>26.8</v>
      </c>
      <c r="E1425">
        <v>47.505</v>
      </c>
      <c r="F1425">
        <v>-155.1</v>
      </c>
      <c r="G1425">
        <v>27.1</v>
      </c>
      <c r="I1425">
        <f t="shared" si="66"/>
        <v>47.5</v>
      </c>
      <c r="J1425">
        <f t="shared" si="67"/>
        <v>-5.09999999999999</v>
      </c>
      <c r="K1425">
        <f t="shared" si="68"/>
        <v>-5.5</v>
      </c>
    </row>
    <row r="1426" spans="1:11">
      <c r="A1426">
        <v>47.572</v>
      </c>
      <c r="B1426">
        <v>-154.8</v>
      </c>
      <c r="C1426">
        <v>26.9</v>
      </c>
      <c r="E1426">
        <v>47.539</v>
      </c>
      <c r="F1426">
        <v>-155</v>
      </c>
      <c r="G1426">
        <v>26.8</v>
      </c>
      <c r="I1426">
        <f t="shared" si="66"/>
        <v>47.5</v>
      </c>
      <c r="J1426">
        <f t="shared" si="67"/>
        <v>-5</v>
      </c>
      <c r="K1426">
        <f t="shared" si="68"/>
        <v>-5.5</v>
      </c>
    </row>
    <row r="1427" spans="1:11">
      <c r="A1427">
        <v>47.606</v>
      </c>
      <c r="B1427">
        <v>-154.4</v>
      </c>
      <c r="C1427">
        <v>26.9</v>
      </c>
      <c r="E1427">
        <v>47.572</v>
      </c>
      <c r="F1427">
        <v>-154.8</v>
      </c>
      <c r="G1427">
        <v>26.9</v>
      </c>
      <c r="I1427">
        <f t="shared" si="66"/>
        <v>47.55</v>
      </c>
      <c r="J1427">
        <f t="shared" si="67"/>
        <v>-4.80000000000001</v>
      </c>
      <c r="K1427">
        <f t="shared" si="68"/>
        <v>-5.5</v>
      </c>
    </row>
    <row r="1428" spans="1:11">
      <c r="A1428">
        <v>47.639</v>
      </c>
      <c r="B1428">
        <v>-154.2</v>
      </c>
      <c r="C1428">
        <v>26.2</v>
      </c>
      <c r="E1428">
        <v>47.606</v>
      </c>
      <c r="F1428">
        <v>-154.4</v>
      </c>
      <c r="G1428">
        <v>26.9</v>
      </c>
      <c r="I1428">
        <f t="shared" si="66"/>
        <v>47.6</v>
      </c>
      <c r="J1428">
        <f t="shared" si="67"/>
        <v>-4.40000000000001</v>
      </c>
      <c r="K1428">
        <f t="shared" si="68"/>
        <v>-5.5</v>
      </c>
    </row>
    <row r="1429" spans="1:11">
      <c r="A1429">
        <v>47.672</v>
      </c>
      <c r="B1429">
        <v>-154.2</v>
      </c>
      <c r="C1429">
        <v>26.7</v>
      </c>
      <c r="E1429">
        <v>47.639</v>
      </c>
      <c r="F1429">
        <v>-154.2</v>
      </c>
      <c r="G1429">
        <v>26.2</v>
      </c>
      <c r="I1429">
        <f t="shared" si="66"/>
        <v>47.6</v>
      </c>
      <c r="J1429">
        <f t="shared" si="67"/>
        <v>-4.19999999999999</v>
      </c>
      <c r="K1429">
        <f t="shared" si="68"/>
        <v>-5.5</v>
      </c>
    </row>
    <row r="1430" spans="1:11">
      <c r="A1430">
        <v>47.706</v>
      </c>
      <c r="B1430">
        <v>-154.1</v>
      </c>
      <c r="C1430">
        <v>27</v>
      </c>
      <c r="E1430">
        <v>47.672</v>
      </c>
      <c r="F1430">
        <v>-154.2</v>
      </c>
      <c r="G1430">
        <v>26.7</v>
      </c>
      <c r="I1430">
        <f t="shared" si="66"/>
        <v>47.65</v>
      </c>
      <c r="J1430">
        <f t="shared" si="67"/>
        <v>-4.19999999999999</v>
      </c>
      <c r="K1430">
        <f t="shared" si="68"/>
        <v>-5.5</v>
      </c>
    </row>
    <row r="1431" spans="1:11">
      <c r="A1431">
        <v>47.739</v>
      </c>
      <c r="B1431">
        <v>-154.1</v>
      </c>
      <c r="C1431">
        <v>27</v>
      </c>
      <c r="E1431">
        <v>47.706</v>
      </c>
      <c r="F1431">
        <v>-154.1</v>
      </c>
      <c r="G1431">
        <v>27</v>
      </c>
      <c r="I1431">
        <f t="shared" si="66"/>
        <v>47.7</v>
      </c>
      <c r="J1431">
        <f t="shared" si="67"/>
        <v>-4.09999999999999</v>
      </c>
      <c r="K1431">
        <f t="shared" si="68"/>
        <v>-5.5</v>
      </c>
    </row>
    <row r="1432" spans="1:11">
      <c r="A1432">
        <v>47.773</v>
      </c>
      <c r="B1432">
        <v>-154.2</v>
      </c>
      <c r="C1432">
        <v>26.9</v>
      </c>
      <c r="E1432">
        <v>47.739</v>
      </c>
      <c r="F1432">
        <v>-154.1</v>
      </c>
      <c r="G1432">
        <v>27</v>
      </c>
      <c r="I1432">
        <f t="shared" si="66"/>
        <v>47.7</v>
      </c>
      <c r="J1432">
        <f t="shared" si="67"/>
        <v>-4.09999999999999</v>
      </c>
      <c r="K1432">
        <f t="shared" si="68"/>
        <v>-5.5</v>
      </c>
    </row>
    <row r="1433" spans="1:11">
      <c r="A1433">
        <v>47.806</v>
      </c>
      <c r="B1433">
        <v>-154.2</v>
      </c>
      <c r="C1433">
        <v>26.9</v>
      </c>
      <c r="E1433">
        <v>47.773</v>
      </c>
      <c r="F1433">
        <v>-154.2</v>
      </c>
      <c r="G1433">
        <v>26.9</v>
      </c>
      <c r="I1433">
        <f t="shared" si="66"/>
        <v>47.75</v>
      </c>
      <c r="J1433">
        <f t="shared" si="67"/>
        <v>-4.19999999999999</v>
      </c>
      <c r="K1433">
        <f t="shared" si="68"/>
        <v>-5.5</v>
      </c>
    </row>
    <row r="1434" spans="1:11">
      <c r="A1434">
        <v>47.84</v>
      </c>
      <c r="B1434">
        <v>-154.3</v>
      </c>
      <c r="C1434">
        <v>27.1</v>
      </c>
      <c r="E1434">
        <v>47.806</v>
      </c>
      <c r="F1434">
        <v>-154.2</v>
      </c>
      <c r="G1434">
        <v>26.9</v>
      </c>
      <c r="I1434">
        <f t="shared" si="66"/>
        <v>47.8</v>
      </c>
      <c r="J1434">
        <f t="shared" si="67"/>
        <v>-4.19999999999999</v>
      </c>
      <c r="K1434">
        <f t="shared" si="68"/>
        <v>-5.5</v>
      </c>
    </row>
    <row r="1435" spans="1:11">
      <c r="A1435">
        <v>47.873</v>
      </c>
      <c r="B1435">
        <v>-154.3</v>
      </c>
      <c r="C1435">
        <v>26.5</v>
      </c>
      <c r="E1435">
        <v>47.84</v>
      </c>
      <c r="F1435">
        <v>-154.3</v>
      </c>
      <c r="G1435">
        <v>27.1</v>
      </c>
      <c r="I1435">
        <f t="shared" si="66"/>
        <v>47.8</v>
      </c>
      <c r="J1435">
        <f t="shared" si="67"/>
        <v>-4.30000000000001</v>
      </c>
      <c r="K1435">
        <f t="shared" si="68"/>
        <v>-5.5</v>
      </c>
    </row>
    <row r="1436" spans="1:11">
      <c r="A1436">
        <v>47.906</v>
      </c>
      <c r="B1436">
        <v>-154.4</v>
      </c>
      <c r="C1436">
        <v>26.8</v>
      </c>
      <c r="E1436">
        <v>47.873</v>
      </c>
      <c r="F1436">
        <v>-154.3</v>
      </c>
      <c r="G1436">
        <v>26.5</v>
      </c>
      <c r="I1436">
        <f t="shared" si="66"/>
        <v>47.85</v>
      </c>
      <c r="J1436">
        <f t="shared" si="67"/>
        <v>-4.30000000000001</v>
      </c>
      <c r="K1436">
        <f t="shared" si="68"/>
        <v>-5.5</v>
      </c>
    </row>
    <row r="1437" spans="1:11">
      <c r="A1437">
        <v>47.94</v>
      </c>
      <c r="B1437">
        <v>-154.5</v>
      </c>
      <c r="C1437">
        <v>26.7</v>
      </c>
      <c r="E1437">
        <v>47.906</v>
      </c>
      <c r="F1437">
        <v>-154.4</v>
      </c>
      <c r="G1437">
        <v>26.8</v>
      </c>
      <c r="I1437">
        <f t="shared" si="66"/>
        <v>47.9</v>
      </c>
      <c r="J1437">
        <f t="shared" si="67"/>
        <v>-4.40000000000001</v>
      </c>
      <c r="K1437">
        <f t="shared" si="68"/>
        <v>-5.5</v>
      </c>
    </row>
    <row r="1438" spans="1:11">
      <c r="A1438">
        <v>47.973</v>
      </c>
      <c r="B1438">
        <v>-154.5</v>
      </c>
      <c r="C1438">
        <v>27.1</v>
      </c>
      <c r="E1438">
        <v>47.94</v>
      </c>
      <c r="F1438">
        <v>-154.5</v>
      </c>
      <c r="G1438">
        <v>26.7</v>
      </c>
      <c r="I1438">
        <f t="shared" si="66"/>
        <v>47.9</v>
      </c>
      <c r="J1438">
        <f t="shared" si="67"/>
        <v>-4.5</v>
      </c>
      <c r="K1438">
        <f t="shared" si="68"/>
        <v>-5.5</v>
      </c>
    </row>
    <row r="1439" spans="1:11">
      <c r="A1439">
        <v>48.007</v>
      </c>
      <c r="B1439">
        <v>-154.6</v>
      </c>
      <c r="C1439">
        <v>27.3</v>
      </c>
      <c r="E1439">
        <v>47.973</v>
      </c>
      <c r="F1439">
        <v>-154.5</v>
      </c>
      <c r="G1439">
        <v>27.1</v>
      </c>
      <c r="I1439">
        <f t="shared" si="66"/>
        <v>47.95</v>
      </c>
      <c r="J1439">
        <f t="shared" si="67"/>
        <v>-4.5</v>
      </c>
      <c r="K1439">
        <f t="shared" si="68"/>
        <v>-5.5</v>
      </c>
    </row>
    <row r="1440" spans="1:11">
      <c r="A1440">
        <v>48.04</v>
      </c>
      <c r="B1440">
        <v>-154.7</v>
      </c>
      <c r="C1440">
        <v>27.4</v>
      </c>
      <c r="E1440">
        <v>48.007</v>
      </c>
      <c r="F1440">
        <v>-154.6</v>
      </c>
      <c r="G1440">
        <v>27.3</v>
      </c>
      <c r="I1440">
        <f t="shared" si="66"/>
        <v>48</v>
      </c>
      <c r="J1440">
        <f t="shared" si="67"/>
        <v>-4.59999999999999</v>
      </c>
      <c r="K1440">
        <f t="shared" si="68"/>
        <v>-5.5</v>
      </c>
    </row>
    <row r="1441" spans="1:11">
      <c r="A1441">
        <v>48.074</v>
      </c>
      <c r="B1441">
        <v>-154.8</v>
      </c>
      <c r="C1441">
        <v>26.9</v>
      </c>
      <c r="E1441">
        <v>48.04</v>
      </c>
      <c r="F1441">
        <v>-154.7</v>
      </c>
      <c r="G1441">
        <v>27.4</v>
      </c>
      <c r="I1441">
        <f t="shared" si="66"/>
        <v>48</v>
      </c>
      <c r="J1441">
        <f t="shared" si="67"/>
        <v>-4.69999999999999</v>
      </c>
      <c r="K1441">
        <f t="shared" si="68"/>
        <v>-5.5</v>
      </c>
    </row>
    <row r="1442" spans="1:11">
      <c r="A1442">
        <v>48.107</v>
      </c>
      <c r="B1442">
        <v>-154.9</v>
      </c>
      <c r="C1442">
        <v>26.9</v>
      </c>
      <c r="E1442">
        <v>48.074</v>
      </c>
      <c r="F1442">
        <v>-154.8</v>
      </c>
      <c r="G1442">
        <v>26.9</v>
      </c>
      <c r="I1442">
        <f t="shared" si="66"/>
        <v>48.05</v>
      </c>
      <c r="J1442">
        <f t="shared" si="67"/>
        <v>-4.80000000000001</v>
      </c>
      <c r="K1442">
        <f t="shared" si="68"/>
        <v>-5.5</v>
      </c>
    </row>
    <row r="1443" spans="1:11">
      <c r="A1443">
        <v>48.14</v>
      </c>
      <c r="B1443">
        <v>-154.9</v>
      </c>
      <c r="C1443">
        <v>27.1</v>
      </c>
      <c r="E1443">
        <v>48.107</v>
      </c>
      <c r="F1443">
        <v>-154.9</v>
      </c>
      <c r="G1443">
        <v>26.9</v>
      </c>
      <c r="I1443">
        <f t="shared" ref="I1443:I1506" si="69">FLOOR(E1443,0.05)</f>
        <v>48.1</v>
      </c>
      <c r="J1443">
        <f t="shared" si="67"/>
        <v>-4.90000000000001</v>
      </c>
      <c r="K1443">
        <f t="shared" si="68"/>
        <v>-5.5</v>
      </c>
    </row>
    <row r="1444" spans="1:11">
      <c r="A1444">
        <v>48.174</v>
      </c>
      <c r="B1444">
        <v>-155.1</v>
      </c>
      <c r="C1444">
        <v>26.8</v>
      </c>
      <c r="E1444">
        <v>48.14</v>
      </c>
      <c r="F1444">
        <v>-154.9</v>
      </c>
      <c r="G1444">
        <v>27.1</v>
      </c>
      <c r="I1444">
        <f t="shared" si="69"/>
        <v>48.1</v>
      </c>
      <c r="J1444">
        <f t="shared" si="67"/>
        <v>-4.90000000000001</v>
      </c>
      <c r="K1444">
        <f t="shared" si="68"/>
        <v>-5.5</v>
      </c>
    </row>
    <row r="1445" spans="1:11">
      <c r="A1445">
        <v>48.207</v>
      </c>
      <c r="B1445">
        <v>-155.6</v>
      </c>
      <c r="C1445">
        <v>26.9</v>
      </c>
      <c r="E1445">
        <v>48.174</v>
      </c>
      <c r="F1445">
        <v>-155.1</v>
      </c>
      <c r="G1445">
        <v>26.8</v>
      </c>
      <c r="I1445">
        <f t="shared" si="69"/>
        <v>48.15</v>
      </c>
      <c r="J1445">
        <f t="shared" si="67"/>
        <v>-5.09999999999999</v>
      </c>
      <c r="K1445">
        <f t="shared" si="68"/>
        <v>-5.5</v>
      </c>
    </row>
    <row r="1446" spans="1:11">
      <c r="A1446">
        <v>48.241</v>
      </c>
      <c r="B1446">
        <v>-155.9</v>
      </c>
      <c r="C1446">
        <v>27</v>
      </c>
      <c r="E1446">
        <v>48.207</v>
      </c>
      <c r="F1446">
        <v>-155.6</v>
      </c>
      <c r="G1446">
        <v>26.9</v>
      </c>
      <c r="I1446">
        <f t="shared" si="69"/>
        <v>48.2</v>
      </c>
      <c r="J1446">
        <f t="shared" si="67"/>
        <v>-5.59999999999999</v>
      </c>
      <c r="K1446">
        <f t="shared" si="68"/>
        <v>-5.5</v>
      </c>
    </row>
    <row r="1447" spans="1:11">
      <c r="A1447">
        <v>48.274</v>
      </c>
      <c r="B1447">
        <v>-156.2</v>
      </c>
      <c r="C1447">
        <v>26.6</v>
      </c>
      <c r="E1447">
        <v>48.241</v>
      </c>
      <c r="F1447">
        <v>-155.9</v>
      </c>
      <c r="G1447">
        <v>27</v>
      </c>
      <c r="I1447">
        <f t="shared" si="69"/>
        <v>48.2</v>
      </c>
      <c r="J1447">
        <f t="shared" si="67"/>
        <v>-5.90000000000001</v>
      </c>
      <c r="K1447">
        <f t="shared" si="68"/>
        <v>-5.5</v>
      </c>
    </row>
    <row r="1448" spans="1:11">
      <c r="A1448">
        <v>48.308</v>
      </c>
      <c r="B1448">
        <v>-156.6</v>
      </c>
      <c r="C1448">
        <v>26.8</v>
      </c>
      <c r="E1448">
        <v>48.274</v>
      </c>
      <c r="F1448">
        <v>-156.2</v>
      </c>
      <c r="G1448">
        <v>26.6</v>
      </c>
      <c r="I1448">
        <f t="shared" si="69"/>
        <v>48.25</v>
      </c>
      <c r="J1448">
        <f t="shared" si="67"/>
        <v>-6.19999999999999</v>
      </c>
      <c r="K1448">
        <f t="shared" si="68"/>
        <v>-5.5</v>
      </c>
    </row>
    <row r="1449" spans="1:11">
      <c r="A1449">
        <v>48.341</v>
      </c>
      <c r="B1449">
        <v>-156.8</v>
      </c>
      <c r="C1449">
        <v>26.8</v>
      </c>
      <c r="E1449">
        <v>48.308</v>
      </c>
      <c r="F1449">
        <v>-156.6</v>
      </c>
      <c r="G1449">
        <v>26.8</v>
      </c>
      <c r="I1449">
        <f t="shared" si="69"/>
        <v>48.3</v>
      </c>
      <c r="J1449">
        <f t="shared" si="67"/>
        <v>-6.59999999999999</v>
      </c>
      <c r="K1449">
        <f t="shared" si="68"/>
        <v>-5.5</v>
      </c>
    </row>
    <row r="1450" spans="1:11">
      <c r="A1450">
        <v>48.374</v>
      </c>
      <c r="B1450">
        <v>-156.9</v>
      </c>
      <c r="C1450">
        <v>26.6</v>
      </c>
      <c r="E1450">
        <v>48.341</v>
      </c>
      <c r="F1450">
        <v>-156.8</v>
      </c>
      <c r="G1450">
        <v>26.8</v>
      </c>
      <c r="I1450">
        <f t="shared" si="69"/>
        <v>48.3</v>
      </c>
      <c r="J1450">
        <f t="shared" si="67"/>
        <v>-6.80000000000001</v>
      </c>
      <c r="K1450">
        <f t="shared" si="68"/>
        <v>-5.5</v>
      </c>
    </row>
    <row r="1451" spans="1:11">
      <c r="A1451">
        <v>48.408</v>
      </c>
      <c r="B1451">
        <v>-156.9</v>
      </c>
      <c r="C1451">
        <v>27.1</v>
      </c>
      <c r="E1451">
        <v>48.374</v>
      </c>
      <c r="F1451">
        <v>-156.9</v>
      </c>
      <c r="G1451">
        <v>26.6</v>
      </c>
      <c r="I1451">
        <f t="shared" si="69"/>
        <v>48.35</v>
      </c>
      <c r="J1451">
        <f t="shared" si="67"/>
        <v>-6.90000000000001</v>
      </c>
      <c r="K1451">
        <f t="shared" si="68"/>
        <v>-5.5</v>
      </c>
    </row>
    <row r="1452" spans="1:11">
      <c r="A1452">
        <v>48.441</v>
      </c>
      <c r="B1452">
        <v>-156.9</v>
      </c>
      <c r="C1452">
        <v>27</v>
      </c>
      <c r="E1452">
        <v>48.408</v>
      </c>
      <c r="F1452">
        <v>-156.9</v>
      </c>
      <c r="G1452">
        <v>27.1</v>
      </c>
      <c r="I1452">
        <f t="shared" si="69"/>
        <v>48.4</v>
      </c>
      <c r="J1452">
        <f t="shared" si="67"/>
        <v>-6.90000000000001</v>
      </c>
      <c r="K1452">
        <f t="shared" si="68"/>
        <v>-5.5</v>
      </c>
    </row>
    <row r="1453" spans="1:11">
      <c r="A1453">
        <v>48.475</v>
      </c>
      <c r="B1453">
        <v>-156.9</v>
      </c>
      <c r="C1453">
        <v>26.9</v>
      </c>
      <c r="E1453">
        <v>48.441</v>
      </c>
      <c r="F1453">
        <v>-156.9</v>
      </c>
      <c r="G1453">
        <v>27</v>
      </c>
      <c r="I1453">
        <f t="shared" si="69"/>
        <v>48.4</v>
      </c>
      <c r="J1453">
        <f t="shared" si="67"/>
        <v>-6.90000000000001</v>
      </c>
      <c r="K1453">
        <f t="shared" si="68"/>
        <v>-5.5</v>
      </c>
    </row>
    <row r="1454" spans="1:11">
      <c r="A1454">
        <v>48.508</v>
      </c>
      <c r="B1454">
        <v>-156.9</v>
      </c>
      <c r="C1454">
        <v>26.7</v>
      </c>
      <c r="E1454">
        <v>48.475</v>
      </c>
      <c r="F1454">
        <v>-156.9</v>
      </c>
      <c r="G1454">
        <v>26.9</v>
      </c>
      <c r="I1454">
        <f t="shared" si="69"/>
        <v>48.45</v>
      </c>
      <c r="J1454">
        <f t="shared" si="67"/>
        <v>-6.90000000000001</v>
      </c>
      <c r="K1454">
        <f t="shared" si="68"/>
        <v>-5.5</v>
      </c>
    </row>
    <row r="1455" spans="1:11">
      <c r="A1455">
        <v>48.542</v>
      </c>
      <c r="B1455">
        <v>-156.9</v>
      </c>
      <c r="C1455">
        <v>26.7</v>
      </c>
      <c r="E1455">
        <v>48.508</v>
      </c>
      <c r="F1455">
        <v>-156.9</v>
      </c>
      <c r="G1455">
        <v>26.7</v>
      </c>
      <c r="I1455">
        <f t="shared" si="69"/>
        <v>48.5</v>
      </c>
      <c r="J1455">
        <f t="shared" si="67"/>
        <v>-6.90000000000001</v>
      </c>
      <c r="K1455">
        <f t="shared" si="68"/>
        <v>-5.5</v>
      </c>
    </row>
    <row r="1456" spans="1:11">
      <c r="A1456">
        <v>48.575</v>
      </c>
      <c r="B1456">
        <v>-156.8</v>
      </c>
      <c r="C1456">
        <v>26.8</v>
      </c>
      <c r="E1456">
        <v>48.542</v>
      </c>
      <c r="F1456">
        <v>-156.9</v>
      </c>
      <c r="G1456">
        <v>26.7</v>
      </c>
      <c r="I1456">
        <f t="shared" si="69"/>
        <v>48.5</v>
      </c>
      <c r="J1456">
        <f t="shared" si="67"/>
        <v>-6.90000000000001</v>
      </c>
      <c r="K1456">
        <f t="shared" si="68"/>
        <v>-5.5</v>
      </c>
    </row>
    <row r="1457" spans="1:11">
      <c r="A1457">
        <v>48.608</v>
      </c>
      <c r="B1457">
        <v>-156.7</v>
      </c>
      <c r="C1457">
        <v>27.2</v>
      </c>
      <c r="E1457">
        <v>48.575</v>
      </c>
      <c r="F1457">
        <v>-156.8</v>
      </c>
      <c r="G1457">
        <v>26.8</v>
      </c>
      <c r="I1457">
        <f t="shared" si="69"/>
        <v>48.55</v>
      </c>
      <c r="J1457">
        <f t="shared" si="67"/>
        <v>-6.80000000000001</v>
      </c>
      <c r="K1457">
        <f t="shared" si="68"/>
        <v>-5.5</v>
      </c>
    </row>
    <row r="1458" spans="1:11">
      <c r="A1458">
        <v>48.642</v>
      </c>
      <c r="B1458">
        <v>-156.6</v>
      </c>
      <c r="C1458">
        <v>26.8</v>
      </c>
      <c r="E1458">
        <v>48.608</v>
      </c>
      <c r="F1458">
        <v>-156.7</v>
      </c>
      <c r="G1458">
        <v>27.2</v>
      </c>
      <c r="I1458">
        <f t="shared" si="69"/>
        <v>48.6</v>
      </c>
      <c r="J1458">
        <f t="shared" si="67"/>
        <v>-6.69999999999999</v>
      </c>
      <c r="K1458">
        <f t="shared" si="68"/>
        <v>-5.5</v>
      </c>
    </row>
    <row r="1459" spans="1:11">
      <c r="A1459">
        <v>48.675</v>
      </c>
      <c r="B1459">
        <v>-156.6</v>
      </c>
      <c r="C1459">
        <v>26.8</v>
      </c>
      <c r="E1459">
        <v>48.642</v>
      </c>
      <c r="F1459">
        <v>-156.6</v>
      </c>
      <c r="G1459">
        <v>26.8</v>
      </c>
      <c r="I1459">
        <f t="shared" si="69"/>
        <v>48.6</v>
      </c>
      <c r="J1459">
        <f t="shared" si="67"/>
        <v>-6.59999999999999</v>
      </c>
      <c r="K1459">
        <f t="shared" si="68"/>
        <v>-5.5</v>
      </c>
    </row>
    <row r="1460" spans="1:11">
      <c r="A1460">
        <v>48.709</v>
      </c>
      <c r="B1460">
        <v>-156.5</v>
      </c>
      <c r="C1460">
        <v>26.6</v>
      </c>
      <c r="E1460">
        <v>48.675</v>
      </c>
      <c r="F1460">
        <v>-156.6</v>
      </c>
      <c r="G1460">
        <v>26.8</v>
      </c>
      <c r="I1460">
        <f t="shared" si="69"/>
        <v>48.65</v>
      </c>
      <c r="J1460">
        <f t="shared" si="67"/>
        <v>-6.59999999999999</v>
      </c>
      <c r="K1460">
        <f t="shared" si="68"/>
        <v>-5.5</v>
      </c>
    </row>
    <row r="1461" spans="1:11">
      <c r="A1461">
        <v>48.742</v>
      </c>
      <c r="B1461">
        <v>-156.4</v>
      </c>
      <c r="C1461">
        <v>26.4</v>
      </c>
      <c r="E1461">
        <v>48.709</v>
      </c>
      <c r="F1461">
        <v>-156.5</v>
      </c>
      <c r="G1461">
        <v>26.6</v>
      </c>
      <c r="I1461">
        <f t="shared" si="69"/>
        <v>48.7</v>
      </c>
      <c r="J1461">
        <f t="shared" si="67"/>
        <v>-6.5</v>
      </c>
      <c r="K1461">
        <f t="shared" si="68"/>
        <v>-5.5</v>
      </c>
    </row>
    <row r="1462" spans="1:11">
      <c r="A1462">
        <v>48.776</v>
      </c>
      <c r="B1462">
        <v>-156.2</v>
      </c>
      <c r="C1462">
        <v>26.5</v>
      </c>
      <c r="E1462">
        <v>48.742</v>
      </c>
      <c r="F1462">
        <v>-156.4</v>
      </c>
      <c r="G1462">
        <v>26.4</v>
      </c>
      <c r="I1462">
        <f t="shared" si="69"/>
        <v>48.7</v>
      </c>
      <c r="J1462">
        <f t="shared" si="67"/>
        <v>-6.40000000000001</v>
      </c>
      <c r="K1462">
        <f t="shared" si="68"/>
        <v>-5.5</v>
      </c>
    </row>
    <row r="1463" spans="1:11">
      <c r="A1463">
        <v>48.809</v>
      </c>
      <c r="B1463">
        <v>-156.2</v>
      </c>
      <c r="C1463">
        <v>26.9</v>
      </c>
      <c r="E1463">
        <v>48.776</v>
      </c>
      <c r="F1463">
        <v>-156.2</v>
      </c>
      <c r="G1463">
        <v>26.5</v>
      </c>
      <c r="I1463">
        <f t="shared" si="69"/>
        <v>48.75</v>
      </c>
      <c r="J1463">
        <f t="shared" si="67"/>
        <v>-6.19999999999999</v>
      </c>
      <c r="K1463">
        <f t="shared" si="68"/>
        <v>-5.5</v>
      </c>
    </row>
    <row r="1464" spans="1:11">
      <c r="A1464">
        <v>48.843</v>
      </c>
      <c r="B1464">
        <v>-156</v>
      </c>
      <c r="C1464">
        <v>27</v>
      </c>
      <c r="E1464">
        <v>48.809</v>
      </c>
      <c r="F1464">
        <v>-156.2</v>
      </c>
      <c r="G1464">
        <v>26.9</v>
      </c>
      <c r="I1464">
        <f t="shared" si="69"/>
        <v>48.8</v>
      </c>
      <c r="J1464">
        <f t="shared" si="67"/>
        <v>-6.19999999999999</v>
      </c>
      <c r="K1464">
        <f t="shared" si="68"/>
        <v>-5.5</v>
      </c>
    </row>
    <row r="1465" spans="1:11">
      <c r="A1465">
        <v>48.876</v>
      </c>
      <c r="B1465">
        <v>-155.9</v>
      </c>
      <c r="C1465">
        <v>26.5</v>
      </c>
      <c r="E1465">
        <v>48.843</v>
      </c>
      <c r="F1465">
        <v>-156</v>
      </c>
      <c r="G1465">
        <v>27</v>
      </c>
      <c r="I1465">
        <f t="shared" si="69"/>
        <v>48.8</v>
      </c>
      <c r="J1465">
        <f t="shared" si="67"/>
        <v>-6</v>
      </c>
      <c r="K1465">
        <f t="shared" si="68"/>
        <v>-5.5</v>
      </c>
    </row>
    <row r="1466" spans="1:11">
      <c r="A1466">
        <v>48.909</v>
      </c>
      <c r="B1466">
        <v>-155.4</v>
      </c>
      <c r="C1466">
        <v>26.5</v>
      </c>
      <c r="E1466">
        <v>48.876</v>
      </c>
      <c r="F1466">
        <v>-155.9</v>
      </c>
      <c r="G1466">
        <v>26.5</v>
      </c>
      <c r="I1466">
        <f t="shared" si="69"/>
        <v>48.85</v>
      </c>
      <c r="J1466">
        <f t="shared" si="67"/>
        <v>-5.90000000000001</v>
      </c>
      <c r="K1466">
        <f t="shared" si="68"/>
        <v>-5.5</v>
      </c>
    </row>
    <row r="1467" spans="1:11">
      <c r="A1467">
        <v>48.943</v>
      </c>
      <c r="B1467">
        <v>-155.2</v>
      </c>
      <c r="C1467">
        <v>26.8</v>
      </c>
      <c r="E1467">
        <v>48.909</v>
      </c>
      <c r="F1467">
        <v>-155.4</v>
      </c>
      <c r="G1467">
        <v>26.5</v>
      </c>
      <c r="I1467">
        <f t="shared" si="69"/>
        <v>48.9</v>
      </c>
      <c r="J1467">
        <f t="shared" si="67"/>
        <v>-5.40000000000001</v>
      </c>
      <c r="K1467">
        <f t="shared" si="68"/>
        <v>-5.5</v>
      </c>
    </row>
    <row r="1468" spans="1:11">
      <c r="A1468">
        <v>48.976</v>
      </c>
      <c r="B1468">
        <v>-155</v>
      </c>
      <c r="C1468">
        <v>26.8</v>
      </c>
      <c r="E1468">
        <v>48.943</v>
      </c>
      <c r="F1468">
        <v>-155.2</v>
      </c>
      <c r="G1468">
        <v>26.8</v>
      </c>
      <c r="I1468">
        <f t="shared" si="69"/>
        <v>48.9</v>
      </c>
      <c r="J1468">
        <f t="shared" si="67"/>
        <v>-5.19999999999999</v>
      </c>
      <c r="K1468">
        <f t="shared" si="68"/>
        <v>-5.5</v>
      </c>
    </row>
    <row r="1469" spans="1:11">
      <c r="A1469">
        <v>49.01</v>
      </c>
      <c r="B1469">
        <v>-154.8</v>
      </c>
      <c r="C1469">
        <v>27</v>
      </c>
      <c r="E1469">
        <v>48.976</v>
      </c>
      <c r="F1469">
        <v>-155</v>
      </c>
      <c r="G1469">
        <v>26.8</v>
      </c>
      <c r="I1469">
        <f t="shared" si="69"/>
        <v>48.95</v>
      </c>
      <c r="J1469">
        <f t="shared" si="67"/>
        <v>-5</v>
      </c>
      <c r="K1469">
        <f t="shared" si="68"/>
        <v>-5.5</v>
      </c>
    </row>
    <row r="1470" spans="1:11">
      <c r="A1470">
        <v>49.043</v>
      </c>
      <c r="B1470">
        <v>-154.4</v>
      </c>
      <c r="C1470">
        <v>26.8</v>
      </c>
      <c r="E1470">
        <v>49.01</v>
      </c>
      <c r="F1470">
        <v>-154.8</v>
      </c>
      <c r="G1470">
        <v>27</v>
      </c>
      <c r="I1470">
        <f t="shared" si="69"/>
        <v>49</v>
      </c>
      <c r="J1470">
        <f t="shared" si="67"/>
        <v>-4.80000000000001</v>
      </c>
      <c r="K1470">
        <f t="shared" si="68"/>
        <v>-5.5</v>
      </c>
    </row>
    <row r="1471" spans="1:11">
      <c r="A1471">
        <v>49.077</v>
      </c>
      <c r="B1471">
        <v>-154.2</v>
      </c>
      <c r="C1471">
        <v>26.5</v>
      </c>
      <c r="E1471">
        <v>49.043</v>
      </c>
      <c r="F1471">
        <v>-154.4</v>
      </c>
      <c r="G1471">
        <v>26.8</v>
      </c>
      <c r="I1471">
        <f t="shared" si="69"/>
        <v>49</v>
      </c>
      <c r="J1471">
        <f t="shared" si="67"/>
        <v>-4.40000000000001</v>
      </c>
      <c r="K1471">
        <f t="shared" si="68"/>
        <v>-5.5</v>
      </c>
    </row>
    <row r="1472" spans="1:11">
      <c r="A1472">
        <v>49.11</v>
      </c>
      <c r="B1472">
        <v>-154.1</v>
      </c>
      <c r="C1472">
        <v>26.1</v>
      </c>
      <c r="E1472">
        <v>49.077</v>
      </c>
      <c r="F1472">
        <v>-154.2</v>
      </c>
      <c r="G1472">
        <v>26.5</v>
      </c>
      <c r="I1472">
        <f t="shared" si="69"/>
        <v>49.05</v>
      </c>
      <c r="J1472">
        <f t="shared" si="67"/>
        <v>-4.19999999999999</v>
      </c>
      <c r="K1472">
        <f t="shared" si="68"/>
        <v>-5.5</v>
      </c>
    </row>
    <row r="1473" spans="1:11">
      <c r="A1473">
        <v>49.143</v>
      </c>
      <c r="B1473">
        <v>-154</v>
      </c>
      <c r="C1473">
        <v>27</v>
      </c>
      <c r="E1473">
        <v>49.11</v>
      </c>
      <c r="F1473">
        <v>-154.1</v>
      </c>
      <c r="G1473">
        <v>26.1</v>
      </c>
      <c r="I1473">
        <f t="shared" si="69"/>
        <v>49.1</v>
      </c>
      <c r="J1473">
        <f t="shared" si="67"/>
        <v>-4.09999999999999</v>
      </c>
      <c r="K1473">
        <f t="shared" si="68"/>
        <v>-5.5</v>
      </c>
    </row>
    <row r="1474" spans="1:11">
      <c r="A1474">
        <v>49.177</v>
      </c>
      <c r="B1474">
        <v>-153.5</v>
      </c>
      <c r="C1474">
        <v>26.8</v>
      </c>
      <c r="E1474">
        <v>49.143</v>
      </c>
      <c r="F1474">
        <v>-154</v>
      </c>
      <c r="G1474">
        <v>27</v>
      </c>
      <c r="I1474">
        <f t="shared" si="69"/>
        <v>49.1</v>
      </c>
      <c r="J1474">
        <f t="shared" si="67"/>
        <v>-4</v>
      </c>
      <c r="K1474">
        <f t="shared" si="68"/>
        <v>-5.5</v>
      </c>
    </row>
    <row r="1475" spans="1:11">
      <c r="A1475">
        <v>49.21</v>
      </c>
      <c r="B1475">
        <v>-153.4</v>
      </c>
      <c r="C1475">
        <v>26.9</v>
      </c>
      <c r="E1475">
        <v>49.177</v>
      </c>
      <c r="F1475">
        <v>-153.5</v>
      </c>
      <c r="G1475">
        <v>26.8</v>
      </c>
      <c r="I1475">
        <f t="shared" si="69"/>
        <v>49.15</v>
      </c>
      <c r="J1475">
        <f t="shared" si="67"/>
        <v>-3.5</v>
      </c>
      <c r="K1475">
        <f t="shared" si="68"/>
        <v>-5.5</v>
      </c>
    </row>
    <row r="1476" spans="1:11">
      <c r="A1476">
        <v>49.244</v>
      </c>
      <c r="B1476">
        <v>-153.3</v>
      </c>
      <c r="C1476">
        <v>27.4</v>
      </c>
      <c r="E1476">
        <v>49.21</v>
      </c>
      <c r="F1476">
        <v>-153.4</v>
      </c>
      <c r="G1476">
        <v>26.9</v>
      </c>
      <c r="I1476">
        <f t="shared" si="69"/>
        <v>49.2</v>
      </c>
      <c r="J1476">
        <f t="shared" si="67"/>
        <v>-3.40000000000001</v>
      </c>
      <c r="K1476">
        <f t="shared" si="68"/>
        <v>-5.5</v>
      </c>
    </row>
    <row r="1477" spans="1:11">
      <c r="A1477">
        <v>49.277</v>
      </c>
      <c r="B1477">
        <v>-153.3</v>
      </c>
      <c r="C1477">
        <v>26.9</v>
      </c>
      <c r="E1477">
        <v>49.244</v>
      </c>
      <c r="F1477">
        <v>-153.3</v>
      </c>
      <c r="G1477">
        <v>27.4</v>
      </c>
      <c r="I1477">
        <f t="shared" si="69"/>
        <v>49.2</v>
      </c>
      <c r="J1477">
        <f t="shared" ref="J1477:J1540" si="70">F1477+150</f>
        <v>-3.30000000000001</v>
      </c>
      <c r="K1477">
        <f t="shared" ref="K1477:K1540" si="71">IF(G1477&lt;230,-5.5,5)</f>
        <v>-5.5</v>
      </c>
    </row>
    <row r="1478" spans="1:11">
      <c r="A1478">
        <v>49.311</v>
      </c>
      <c r="B1478">
        <v>-153.3</v>
      </c>
      <c r="C1478">
        <v>26.8</v>
      </c>
      <c r="E1478">
        <v>49.277</v>
      </c>
      <c r="F1478">
        <v>-153.3</v>
      </c>
      <c r="G1478">
        <v>26.9</v>
      </c>
      <c r="I1478">
        <f t="shared" si="69"/>
        <v>49.25</v>
      </c>
      <c r="J1478">
        <f t="shared" si="70"/>
        <v>-3.30000000000001</v>
      </c>
      <c r="K1478">
        <f t="shared" si="71"/>
        <v>-5.5</v>
      </c>
    </row>
    <row r="1479" spans="1:11">
      <c r="A1479">
        <v>49.344</v>
      </c>
      <c r="B1479">
        <v>-153.4</v>
      </c>
      <c r="C1479">
        <v>26.8</v>
      </c>
      <c r="E1479">
        <v>49.311</v>
      </c>
      <c r="F1479">
        <v>-153.3</v>
      </c>
      <c r="G1479">
        <v>26.8</v>
      </c>
      <c r="I1479">
        <f t="shared" si="69"/>
        <v>49.3</v>
      </c>
      <c r="J1479">
        <f t="shared" si="70"/>
        <v>-3.30000000000001</v>
      </c>
      <c r="K1479">
        <f t="shared" si="71"/>
        <v>-5.5</v>
      </c>
    </row>
    <row r="1480" spans="1:11">
      <c r="A1480">
        <v>49.377</v>
      </c>
      <c r="B1480">
        <v>-153.4</v>
      </c>
      <c r="C1480">
        <v>26.8</v>
      </c>
      <c r="E1480">
        <v>49.344</v>
      </c>
      <c r="F1480">
        <v>-153.4</v>
      </c>
      <c r="G1480">
        <v>26.8</v>
      </c>
      <c r="I1480">
        <f t="shared" si="69"/>
        <v>49.3</v>
      </c>
      <c r="J1480">
        <f t="shared" si="70"/>
        <v>-3.40000000000001</v>
      </c>
      <c r="K1480">
        <f t="shared" si="71"/>
        <v>-5.5</v>
      </c>
    </row>
    <row r="1481" spans="1:11">
      <c r="A1481">
        <v>49.411</v>
      </c>
      <c r="B1481">
        <v>-153.5</v>
      </c>
      <c r="C1481">
        <v>26.9</v>
      </c>
      <c r="E1481">
        <v>49.377</v>
      </c>
      <c r="F1481">
        <v>-153.4</v>
      </c>
      <c r="G1481">
        <v>26.8</v>
      </c>
      <c r="I1481">
        <f t="shared" si="69"/>
        <v>49.35</v>
      </c>
      <c r="J1481">
        <f t="shared" si="70"/>
        <v>-3.40000000000001</v>
      </c>
      <c r="K1481">
        <f t="shared" si="71"/>
        <v>-5.5</v>
      </c>
    </row>
    <row r="1482" spans="1:11">
      <c r="A1482">
        <v>49.444</v>
      </c>
      <c r="B1482">
        <v>-153.5</v>
      </c>
      <c r="C1482">
        <v>27.1</v>
      </c>
      <c r="E1482">
        <v>49.411</v>
      </c>
      <c r="F1482">
        <v>-153.5</v>
      </c>
      <c r="G1482">
        <v>26.9</v>
      </c>
      <c r="I1482">
        <f t="shared" si="69"/>
        <v>49.4</v>
      </c>
      <c r="J1482">
        <f t="shared" si="70"/>
        <v>-3.5</v>
      </c>
      <c r="K1482">
        <f t="shared" si="71"/>
        <v>-5.5</v>
      </c>
    </row>
    <row r="1483" spans="1:11">
      <c r="A1483">
        <v>49.478</v>
      </c>
      <c r="B1483">
        <v>-153.6</v>
      </c>
      <c r="C1483">
        <v>26.7</v>
      </c>
      <c r="E1483">
        <v>49.444</v>
      </c>
      <c r="F1483">
        <v>-153.5</v>
      </c>
      <c r="G1483">
        <v>27.1</v>
      </c>
      <c r="I1483">
        <f t="shared" si="69"/>
        <v>49.4</v>
      </c>
      <c r="J1483">
        <f t="shared" si="70"/>
        <v>-3.5</v>
      </c>
      <c r="K1483">
        <f t="shared" si="71"/>
        <v>-5.5</v>
      </c>
    </row>
    <row r="1484" spans="1:11">
      <c r="A1484">
        <v>49.511</v>
      </c>
      <c r="B1484">
        <v>-153.7</v>
      </c>
      <c r="C1484">
        <v>26.9</v>
      </c>
      <c r="E1484">
        <v>49.478</v>
      </c>
      <c r="F1484">
        <v>-153.6</v>
      </c>
      <c r="G1484">
        <v>26.7</v>
      </c>
      <c r="I1484">
        <f t="shared" si="69"/>
        <v>49.45</v>
      </c>
      <c r="J1484">
        <f t="shared" si="70"/>
        <v>-3.59999999999999</v>
      </c>
      <c r="K1484">
        <f t="shared" si="71"/>
        <v>-5.5</v>
      </c>
    </row>
    <row r="1485" spans="1:11">
      <c r="A1485">
        <v>49.545</v>
      </c>
      <c r="B1485">
        <v>-153.8</v>
      </c>
      <c r="C1485">
        <v>26.7</v>
      </c>
      <c r="E1485">
        <v>49.511</v>
      </c>
      <c r="F1485">
        <v>-153.7</v>
      </c>
      <c r="G1485">
        <v>26.9</v>
      </c>
      <c r="I1485">
        <f t="shared" si="69"/>
        <v>49.5</v>
      </c>
      <c r="J1485">
        <f t="shared" si="70"/>
        <v>-3.69999999999999</v>
      </c>
      <c r="K1485">
        <f t="shared" si="71"/>
        <v>-5.5</v>
      </c>
    </row>
    <row r="1486" spans="1:11">
      <c r="A1486">
        <v>49.578</v>
      </c>
      <c r="B1486">
        <v>-153.9</v>
      </c>
      <c r="C1486">
        <v>27.5</v>
      </c>
      <c r="E1486">
        <v>49.545</v>
      </c>
      <c r="F1486">
        <v>-153.8</v>
      </c>
      <c r="G1486">
        <v>26.7</v>
      </c>
      <c r="I1486">
        <f t="shared" si="69"/>
        <v>49.5</v>
      </c>
      <c r="J1486">
        <f t="shared" si="70"/>
        <v>-3.80000000000001</v>
      </c>
      <c r="K1486">
        <f t="shared" si="71"/>
        <v>-5.5</v>
      </c>
    </row>
    <row r="1487" spans="1:11">
      <c r="A1487">
        <v>49.611</v>
      </c>
      <c r="B1487">
        <v>-154.1</v>
      </c>
      <c r="C1487">
        <v>26.4</v>
      </c>
      <c r="E1487">
        <v>49.578</v>
      </c>
      <c r="F1487">
        <v>-153.9</v>
      </c>
      <c r="G1487">
        <v>27.5</v>
      </c>
      <c r="I1487">
        <f t="shared" si="69"/>
        <v>49.55</v>
      </c>
      <c r="J1487">
        <f t="shared" si="70"/>
        <v>-3.90000000000001</v>
      </c>
      <c r="K1487">
        <f t="shared" si="71"/>
        <v>-5.5</v>
      </c>
    </row>
    <row r="1488" spans="1:11">
      <c r="A1488">
        <v>49.645</v>
      </c>
      <c r="B1488">
        <v>-154.5</v>
      </c>
      <c r="C1488">
        <v>27</v>
      </c>
      <c r="E1488">
        <v>49.611</v>
      </c>
      <c r="F1488">
        <v>-154.1</v>
      </c>
      <c r="G1488">
        <v>26.4</v>
      </c>
      <c r="I1488">
        <f t="shared" si="69"/>
        <v>49.6</v>
      </c>
      <c r="J1488">
        <f t="shared" si="70"/>
        <v>-4.09999999999999</v>
      </c>
      <c r="K1488">
        <f t="shared" si="71"/>
        <v>-5.5</v>
      </c>
    </row>
    <row r="1489" spans="1:11">
      <c r="A1489">
        <v>49.678</v>
      </c>
      <c r="B1489">
        <v>-154.8</v>
      </c>
      <c r="C1489">
        <v>27</v>
      </c>
      <c r="E1489">
        <v>49.645</v>
      </c>
      <c r="F1489">
        <v>-154.5</v>
      </c>
      <c r="G1489">
        <v>27</v>
      </c>
      <c r="I1489">
        <f t="shared" si="69"/>
        <v>49.6</v>
      </c>
      <c r="J1489">
        <f t="shared" si="70"/>
        <v>-4.5</v>
      </c>
      <c r="K1489">
        <f t="shared" si="71"/>
        <v>-5.5</v>
      </c>
    </row>
    <row r="1490" spans="1:11">
      <c r="A1490">
        <v>49.712</v>
      </c>
      <c r="B1490">
        <v>-154.9</v>
      </c>
      <c r="C1490">
        <v>26.7</v>
      </c>
      <c r="E1490">
        <v>49.678</v>
      </c>
      <c r="F1490">
        <v>-154.8</v>
      </c>
      <c r="G1490">
        <v>27</v>
      </c>
      <c r="I1490">
        <f t="shared" si="69"/>
        <v>49.65</v>
      </c>
      <c r="J1490">
        <f t="shared" si="70"/>
        <v>-4.80000000000001</v>
      </c>
      <c r="K1490">
        <f t="shared" si="71"/>
        <v>-5.5</v>
      </c>
    </row>
    <row r="1491" spans="1:11">
      <c r="A1491">
        <v>49.745</v>
      </c>
      <c r="B1491">
        <v>-155.1</v>
      </c>
      <c r="C1491">
        <v>26.6</v>
      </c>
      <c r="E1491">
        <v>49.712</v>
      </c>
      <c r="F1491">
        <v>-154.9</v>
      </c>
      <c r="G1491">
        <v>26.7</v>
      </c>
      <c r="I1491">
        <f t="shared" si="69"/>
        <v>49.7</v>
      </c>
      <c r="J1491">
        <f t="shared" si="70"/>
        <v>-4.90000000000001</v>
      </c>
      <c r="K1491">
        <f t="shared" si="71"/>
        <v>-5.5</v>
      </c>
    </row>
    <row r="1492" spans="1:11">
      <c r="A1492">
        <v>49.779</v>
      </c>
      <c r="B1492">
        <v>-155.6</v>
      </c>
      <c r="C1492">
        <v>26.6</v>
      </c>
      <c r="E1492">
        <v>49.745</v>
      </c>
      <c r="F1492">
        <v>-155.1</v>
      </c>
      <c r="G1492">
        <v>26.6</v>
      </c>
      <c r="I1492">
        <f t="shared" si="69"/>
        <v>49.7</v>
      </c>
      <c r="J1492">
        <f t="shared" si="70"/>
        <v>-5.09999999999999</v>
      </c>
      <c r="K1492">
        <f t="shared" si="71"/>
        <v>-5.5</v>
      </c>
    </row>
    <row r="1493" spans="1:11">
      <c r="A1493">
        <v>49.812</v>
      </c>
      <c r="B1493">
        <v>-155.8</v>
      </c>
      <c r="C1493">
        <v>26.8</v>
      </c>
      <c r="E1493">
        <v>49.779</v>
      </c>
      <c r="F1493">
        <v>-155.6</v>
      </c>
      <c r="G1493">
        <v>26.6</v>
      </c>
      <c r="I1493">
        <f t="shared" si="69"/>
        <v>49.75</v>
      </c>
      <c r="J1493">
        <f t="shared" si="70"/>
        <v>-5.59999999999999</v>
      </c>
      <c r="K1493">
        <f t="shared" si="71"/>
        <v>-5.5</v>
      </c>
    </row>
    <row r="1494" spans="1:11">
      <c r="A1494">
        <v>49.845</v>
      </c>
      <c r="B1494">
        <v>-156</v>
      </c>
      <c r="C1494">
        <v>26.9</v>
      </c>
      <c r="E1494">
        <v>49.812</v>
      </c>
      <c r="F1494">
        <v>-155.8</v>
      </c>
      <c r="G1494">
        <v>26.8</v>
      </c>
      <c r="I1494">
        <f t="shared" si="69"/>
        <v>49.8</v>
      </c>
      <c r="J1494">
        <f t="shared" si="70"/>
        <v>-5.80000000000001</v>
      </c>
      <c r="K1494">
        <f t="shared" si="71"/>
        <v>-5.5</v>
      </c>
    </row>
    <row r="1495" spans="1:11">
      <c r="A1495">
        <v>49.879</v>
      </c>
      <c r="B1495">
        <v>-156.1</v>
      </c>
      <c r="C1495">
        <v>27.2</v>
      </c>
      <c r="E1495">
        <v>49.845</v>
      </c>
      <c r="F1495">
        <v>-156</v>
      </c>
      <c r="G1495">
        <v>26.9</v>
      </c>
      <c r="I1495">
        <f t="shared" si="69"/>
        <v>49.8</v>
      </c>
      <c r="J1495">
        <f t="shared" si="70"/>
        <v>-6</v>
      </c>
      <c r="K1495">
        <f t="shared" si="71"/>
        <v>-5.5</v>
      </c>
    </row>
    <row r="1496" spans="1:11">
      <c r="A1496">
        <v>49.912</v>
      </c>
      <c r="B1496">
        <v>-156.5</v>
      </c>
      <c r="C1496">
        <v>26.9</v>
      </c>
      <c r="E1496">
        <v>49.879</v>
      </c>
      <c r="F1496">
        <v>-156.1</v>
      </c>
      <c r="G1496">
        <v>27.2</v>
      </c>
      <c r="I1496">
        <f t="shared" si="69"/>
        <v>49.85</v>
      </c>
      <c r="J1496">
        <f t="shared" si="70"/>
        <v>-6.09999999999999</v>
      </c>
      <c r="K1496">
        <f t="shared" si="71"/>
        <v>-5.5</v>
      </c>
    </row>
    <row r="1497" spans="1:11">
      <c r="A1497">
        <v>49.946</v>
      </c>
      <c r="B1497">
        <v>-156.7</v>
      </c>
      <c r="C1497">
        <v>26.4</v>
      </c>
      <c r="E1497">
        <v>49.912</v>
      </c>
      <c r="F1497">
        <v>-156.5</v>
      </c>
      <c r="G1497">
        <v>26.9</v>
      </c>
      <c r="I1497">
        <f t="shared" si="69"/>
        <v>49.9</v>
      </c>
      <c r="J1497">
        <f t="shared" si="70"/>
        <v>-6.5</v>
      </c>
      <c r="K1497">
        <f t="shared" si="71"/>
        <v>-5.5</v>
      </c>
    </row>
    <row r="1498" spans="1:11">
      <c r="A1498">
        <v>49.979</v>
      </c>
      <c r="B1498">
        <v>-156.7</v>
      </c>
      <c r="C1498">
        <v>26.8</v>
      </c>
      <c r="E1498">
        <v>49.946</v>
      </c>
      <c r="F1498">
        <v>-156.7</v>
      </c>
      <c r="G1498">
        <v>26.4</v>
      </c>
      <c r="I1498">
        <f t="shared" si="69"/>
        <v>49.9</v>
      </c>
      <c r="J1498">
        <f t="shared" si="70"/>
        <v>-6.69999999999999</v>
      </c>
      <c r="K1498">
        <f t="shared" si="71"/>
        <v>-5.5</v>
      </c>
    </row>
    <row r="1499" spans="1:11">
      <c r="A1499">
        <v>50.013</v>
      </c>
      <c r="B1499">
        <v>-156.8</v>
      </c>
      <c r="C1499">
        <v>27</v>
      </c>
      <c r="E1499">
        <v>49.979</v>
      </c>
      <c r="F1499">
        <v>-156.7</v>
      </c>
      <c r="G1499">
        <v>26.8</v>
      </c>
      <c r="I1499">
        <f t="shared" si="69"/>
        <v>49.95</v>
      </c>
      <c r="J1499">
        <f t="shared" si="70"/>
        <v>-6.69999999999999</v>
      </c>
      <c r="K1499">
        <f t="shared" si="71"/>
        <v>-5.5</v>
      </c>
    </row>
    <row r="1500" spans="1:11">
      <c r="A1500">
        <v>50.046</v>
      </c>
      <c r="B1500">
        <v>-156.7</v>
      </c>
      <c r="C1500">
        <v>27.1</v>
      </c>
      <c r="E1500">
        <v>50.013</v>
      </c>
      <c r="F1500">
        <v>-156.8</v>
      </c>
      <c r="G1500">
        <v>27</v>
      </c>
      <c r="I1500">
        <f t="shared" si="69"/>
        <v>50</v>
      </c>
      <c r="J1500">
        <f t="shared" si="70"/>
        <v>-6.80000000000001</v>
      </c>
      <c r="K1500">
        <f t="shared" si="71"/>
        <v>-5.5</v>
      </c>
    </row>
    <row r="1501" spans="1:11">
      <c r="A1501">
        <v>50.079</v>
      </c>
      <c r="B1501">
        <v>-156.7</v>
      </c>
      <c r="C1501">
        <v>27</v>
      </c>
      <c r="E1501">
        <v>50.046</v>
      </c>
      <c r="F1501">
        <v>-156.7</v>
      </c>
      <c r="G1501">
        <v>27.1</v>
      </c>
      <c r="I1501">
        <f t="shared" si="69"/>
        <v>50</v>
      </c>
      <c r="J1501">
        <f t="shared" si="70"/>
        <v>-6.69999999999999</v>
      </c>
      <c r="K1501">
        <f t="shared" si="71"/>
        <v>-5.5</v>
      </c>
    </row>
    <row r="1502" spans="1:11">
      <c r="A1502">
        <v>50.113</v>
      </c>
      <c r="B1502">
        <v>-156.6</v>
      </c>
      <c r="C1502">
        <v>27.1</v>
      </c>
      <c r="E1502">
        <v>50.079</v>
      </c>
      <c r="F1502">
        <v>-156.7</v>
      </c>
      <c r="G1502">
        <v>27</v>
      </c>
      <c r="I1502">
        <f t="shared" si="69"/>
        <v>50.05</v>
      </c>
      <c r="J1502">
        <f t="shared" si="70"/>
        <v>-6.69999999999999</v>
      </c>
      <c r="K1502">
        <f t="shared" si="71"/>
        <v>-5.5</v>
      </c>
    </row>
    <row r="1503" spans="1:11">
      <c r="A1503">
        <v>50.146</v>
      </c>
      <c r="B1503">
        <v>-156.6</v>
      </c>
      <c r="C1503">
        <v>26.5</v>
      </c>
      <c r="E1503">
        <v>50.113</v>
      </c>
      <c r="F1503">
        <v>-156.6</v>
      </c>
      <c r="G1503">
        <v>27.1</v>
      </c>
      <c r="I1503">
        <f t="shared" si="69"/>
        <v>50.1</v>
      </c>
      <c r="J1503">
        <f t="shared" si="70"/>
        <v>-6.59999999999999</v>
      </c>
      <c r="K1503">
        <f t="shared" si="71"/>
        <v>-5.5</v>
      </c>
    </row>
    <row r="1504" spans="1:11">
      <c r="A1504">
        <v>50.18</v>
      </c>
      <c r="B1504">
        <v>-156.5</v>
      </c>
      <c r="C1504">
        <v>26.6</v>
      </c>
      <c r="E1504">
        <v>50.146</v>
      </c>
      <c r="F1504">
        <v>-156.6</v>
      </c>
      <c r="G1504">
        <v>26.5</v>
      </c>
      <c r="I1504">
        <f t="shared" si="69"/>
        <v>50.1</v>
      </c>
      <c r="J1504">
        <f t="shared" si="70"/>
        <v>-6.59999999999999</v>
      </c>
      <c r="K1504">
        <f t="shared" si="71"/>
        <v>-5.5</v>
      </c>
    </row>
    <row r="1505" spans="1:11">
      <c r="A1505">
        <v>50.213</v>
      </c>
      <c r="B1505">
        <v>-156.4</v>
      </c>
      <c r="C1505">
        <v>26.9</v>
      </c>
      <c r="E1505">
        <v>50.18</v>
      </c>
      <c r="F1505">
        <v>-156.5</v>
      </c>
      <c r="G1505">
        <v>26.6</v>
      </c>
      <c r="I1505">
        <f t="shared" si="69"/>
        <v>50.15</v>
      </c>
      <c r="J1505">
        <f t="shared" si="70"/>
        <v>-6.5</v>
      </c>
      <c r="K1505">
        <f t="shared" si="71"/>
        <v>-5.5</v>
      </c>
    </row>
    <row r="1506" spans="1:11">
      <c r="A1506">
        <v>50.247</v>
      </c>
      <c r="B1506">
        <v>-156.3</v>
      </c>
      <c r="C1506">
        <v>26.6</v>
      </c>
      <c r="E1506">
        <v>50.213</v>
      </c>
      <c r="F1506">
        <v>-156.4</v>
      </c>
      <c r="G1506">
        <v>26.9</v>
      </c>
      <c r="I1506">
        <f t="shared" si="69"/>
        <v>50.2</v>
      </c>
      <c r="J1506">
        <f t="shared" si="70"/>
        <v>-6.40000000000001</v>
      </c>
      <c r="K1506">
        <f t="shared" si="71"/>
        <v>-5.5</v>
      </c>
    </row>
    <row r="1507" spans="1:11">
      <c r="A1507">
        <v>50.28</v>
      </c>
      <c r="B1507">
        <v>-156.3</v>
      </c>
      <c r="C1507">
        <v>27.2</v>
      </c>
      <c r="E1507">
        <v>50.247</v>
      </c>
      <c r="F1507">
        <v>-156.3</v>
      </c>
      <c r="G1507">
        <v>26.6</v>
      </c>
      <c r="I1507">
        <f t="shared" ref="I1507:I1570" si="72">FLOOR(E1507,0.05)</f>
        <v>50.2</v>
      </c>
      <c r="J1507">
        <f t="shared" si="70"/>
        <v>-6.30000000000001</v>
      </c>
      <c r="K1507">
        <f t="shared" si="71"/>
        <v>-5.5</v>
      </c>
    </row>
    <row r="1508" spans="1:11">
      <c r="A1508">
        <v>50.313</v>
      </c>
      <c r="B1508">
        <v>-156.2</v>
      </c>
      <c r="C1508">
        <v>27.4</v>
      </c>
      <c r="E1508">
        <v>50.28</v>
      </c>
      <c r="F1508">
        <v>-156.3</v>
      </c>
      <c r="G1508">
        <v>27.2</v>
      </c>
      <c r="I1508">
        <f t="shared" si="72"/>
        <v>50.25</v>
      </c>
      <c r="J1508">
        <f t="shared" si="70"/>
        <v>-6.30000000000001</v>
      </c>
      <c r="K1508">
        <f t="shared" si="71"/>
        <v>-5.5</v>
      </c>
    </row>
    <row r="1509" spans="1:11">
      <c r="A1509">
        <v>50.347</v>
      </c>
      <c r="B1509">
        <v>-156.1</v>
      </c>
      <c r="C1509">
        <v>27.2</v>
      </c>
      <c r="E1509">
        <v>50.313</v>
      </c>
      <c r="F1509">
        <v>-156.2</v>
      </c>
      <c r="G1509">
        <v>27.4</v>
      </c>
      <c r="I1509">
        <f t="shared" si="72"/>
        <v>50.3</v>
      </c>
      <c r="J1509">
        <f t="shared" si="70"/>
        <v>-6.19999999999999</v>
      </c>
      <c r="K1509">
        <f t="shared" si="71"/>
        <v>-5.5</v>
      </c>
    </row>
    <row r="1510" spans="1:11">
      <c r="A1510">
        <v>50.38</v>
      </c>
      <c r="B1510">
        <v>-156</v>
      </c>
      <c r="C1510">
        <v>27</v>
      </c>
      <c r="E1510">
        <v>50.347</v>
      </c>
      <c r="F1510">
        <v>-156.1</v>
      </c>
      <c r="G1510">
        <v>27.2</v>
      </c>
      <c r="I1510">
        <f t="shared" si="72"/>
        <v>50.3</v>
      </c>
      <c r="J1510">
        <f t="shared" si="70"/>
        <v>-6.09999999999999</v>
      </c>
      <c r="K1510">
        <f t="shared" si="71"/>
        <v>-5.5</v>
      </c>
    </row>
    <row r="1511" spans="1:11">
      <c r="A1511">
        <v>50.414</v>
      </c>
      <c r="B1511">
        <v>-156</v>
      </c>
      <c r="C1511">
        <v>27</v>
      </c>
      <c r="E1511">
        <v>50.38</v>
      </c>
      <c r="F1511">
        <v>-156</v>
      </c>
      <c r="G1511">
        <v>27</v>
      </c>
      <c r="I1511">
        <f t="shared" si="72"/>
        <v>50.35</v>
      </c>
      <c r="J1511">
        <f t="shared" si="70"/>
        <v>-6</v>
      </c>
      <c r="K1511">
        <f t="shared" si="71"/>
        <v>-5.5</v>
      </c>
    </row>
    <row r="1512" spans="1:11">
      <c r="A1512">
        <v>50.447</v>
      </c>
      <c r="B1512">
        <v>-155.4</v>
      </c>
      <c r="C1512">
        <v>27</v>
      </c>
      <c r="E1512">
        <v>50.414</v>
      </c>
      <c r="F1512">
        <v>-156</v>
      </c>
      <c r="G1512">
        <v>27</v>
      </c>
      <c r="I1512">
        <f t="shared" si="72"/>
        <v>50.4</v>
      </c>
      <c r="J1512">
        <f t="shared" si="70"/>
        <v>-6</v>
      </c>
      <c r="K1512">
        <f t="shared" si="71"/>
        <v>-5.5</v>
      </c>
    </row>
    <row r="1513" spans="1:11">
      <c r="A1513">
        <v>50.481</v>
      </c>
      <c r="B1513">
        <v>-155.1</v>
      </c>
      <c r="C1513">
        <v>27.2</v>
      </c>
      <c r="E1513">
        <v>50.447</v>
      </c>
      <c r="F1513">
        <v>-155.4</v>
      </c>
      <c r="G1513">
        <v>27</v>
      </c>
      <c r="I1513">
        <f t="shared" si="72"/>
        <v>50.4</v>
      </c>
      <c r="J1513">
        <f t="shared" si="70"/>
        <v>-5.40000000000001</v>
      </c>
      <c r="K1513">
        <f t="shared" si="71"/>
        <v>-5.5</v>
      </c>
    </row>
    <row r="1514" spans="1:11">
      <c r="A1514">
        <v>50.514</v>
      </c>
      <c r="B1514">
        <v>-155</v>
      </c>
      <c r="C1514">
        <v>27.2</v>
      </c>
      <c r="E1514">
        <v>50.481</v>
      </c>
      <c r="F1514">
        <v>-155.1</v>
      </c>
      <c r="G1514">
        <v>27.2</v>
      </c>
      <c r="I1514">
        <f t="shared" si="72"/>
        <v>50.45</v>
      </c>
      <c r="J1514">
        <f t="shared" si="70"/>
        <v>-5.09999999999999</v>
      </c>
      <c r="K1514">
        <f t="shared" si="71"/>
        <v>-5.5</v>
      </c>
    </row>
    <row r="1515" spans="1:11">
      <c r="A1515">
        <v>50.547</v>
      </c>
      <c r="B1515">
        <v>-154.4</v>
      </c>
      <c r="C1515">
        <v>26.8</v>
      </c>
      <c r="E1515">
        <v>50.514</v>
      </c>
      <c r="F1515">
        <v>-155</v>
      </c>
      <c r="G1515">
        <v>27.2</v>
      </c>
      <c r="I1515">
        <f t="shared" si="72"/>
        <v>50.5</v>
      </c>
      <c r="J1515">
        <f t="shared" si="70"/>
        <v>-5</v>
      </c>
      <c r="K1515">
        <f t="shared" si="71"/>
        <v>-5.5</v>
      </c>
    </row>
    <row r="1516" spans="1:11">
      <c r="A1516">
        <v>50.581</v>
      </c>
      <c r="B1516">
        <v>-154.2</v>
      </c>
      <c r="C1516">
        <v>26.9</v>
      </c>
      <c r="E1516">
        <v>50.547</v>
      </c>
      <c r="F1516">
        <v>-154.4</v>
      </c>
      <c r="G1516">
        <v>26.8</v>
      </c>
      <c r="I1516">
        <f t="shared" si="72"/>
        <v>50.5</v>
      </c>
      <c r="J1516">
        <f t="shared" si="70"/>
        <v>-4.40000000000001</v>
      </c>
      <c r="K1516">
        <f t="shared" si="71"/>
        <v>-5.5</v>
      </c>
    </row>
    <row r="1517" spans="1:11">
      <c r="A1517">
        <v>50.614</v>
      </c>
      <c r="B1517">
        <v>-154.1</v>
      </c>
      <c r="C1517">
        <v>26.8</v>
      </c>
      <c r="E1517">
        <v>50.581</v>
      </c>
      <c r="F1517">
        <v>-154.2</v>
      </c>
      <c r="G1517">
        <v>26.9</v>
      </c>
      <c r="I1517">
        <f t="shared" si="72"/>
        <v>50.55</v>
      </c>
      <c r="J1517">
        <f t="shared" si="70"/>
        <v>-4.19999999999999</v>
      </c>
      <c r="K1517">
        <f t="shared" si="71"/>
        <v>-5.5</v>
      </c>
    </row>
    <row r="1518" spans="1:11">
      <c r="A1518">
        <v>50.648</v>
      </c>
      <c r="B1518">
        <v>-154</v>
      </c>
      <c r="C1518">
        <v>26.8</v>
      </c>
      <c r="E1518">
        <v>50.614</v>
      </c>
      <c r="F1518">
        <v>-154.1</v>
      </c>
      <c r="G1518">
        <v>26.8</v>
      </c>
      <c r="I1518">
        <f t="shared" si="72"/>
        <v>50.6</v>
      </c>
      <c r="J1518">
        <f t="shared" si="70"/>
        <v>-4.09999999999999</v>
      </c>
      <c r="K1518">
        <f t="shared" si="71"/>
        <v>-5.5</v>
      </c>
    </row>
    <row r="1519" spans="1:11">
      <c r="A1519">
        <v>50.681</v>
      </c>
      <c r="B1519">
        <v>-154</v>
      </c>
      <c r="C1519">
        <v>27.4</v>
      </c>
      <c r="E1519">
        <v>50.648</v>
      </c>
      <c r="F1519">
        <v>-154</v>
      </c>
      <c r="G1519">
        <v>26.8</v>
      </c>
      <c r="I1519">
        <f t="shared" si="72"/>
        <v>50.6</v>
      </c>
      <c r="J1519">
        <f t="shared" si="70"/>
        <v>-4</v>
      </c>
      <c r="K1519">
        <f t="shared" si="71"/>
        <v>-5.5</v>
      </c>
    </row>
    <row r="1520" spans="1:11">
      <c r="A1520">
        <v>50.715</v>
      </c>
      <c r="B1520">
        <v>-154</v>
      </c>
      <c r="C1520">
        <v>26.9</v>
      </c>
      <c r="E1520">
        <v>50.681</v>
      </c>
      <c r="F1520">
        <v>-154</v>
      </c>
      <c r="G1520">
        <v>27.4</v>
      </c>
      <c r="I1520">
        <f t="shared" si="72"/>
        <v>50.65</v>
      </c>
      <c r="J1520">
        <f t="shared" si="70"/>
        <v>-4</v>
      </c>
      <c r="K1520">
        <f t="shared" si="71"/>
        <v>-5.5</v>
      </c>
    </row>
    <row r="1521" spans="1:11">
      <c r="A1521">
        <v>50.748</v>
      </c>
      <c r="B1521">
        <v>-153.6</v>
      </c>
      <c r="C1521">
        <v>26.9</v>
      </c>
      <c r="E1521">
        <v>50.715</v>
      </c>
      <c r="F1521">
        <v>-154</v>
      </c>
      <c r="G1521">
        <v>26.9</v>
      </c>
      <c r="I1521">
        <f t="shared" si="72"/>
        <v>50.7</v>
      </c>
      <c r="J1521">
        <f t="shared" si="70"/>
        <v>-4</v>
      </c>
      <c r="K1521">
        <f t="shared" si="71"/>
        <v>-5.5</v>
      </c>
    </row>
    <row r="1522" spans="1:11">
      <c r="A1522">
        <v>50.782</v>
      </c>
      <c r="B1522">
        <v>-153.5</v>
      </c>
      <c r="C1522">
        <v>26.4</v>
      </c>
      <c r="E1522">
        <v>50.748</v>
      </c>
      <c r="F1522">
        <v>-153.6</v>
      </c>
      <c r="G1522">
        <v>26.9</v>
      </c>
      <c r="I1522">
        <f t="shared" si="72"/>
        <v>50.7</v>
      </c>
      <c r="J1522">
        <f t="shared" si="70"/>
        <v>-3.59999999999999</v>
      </c>
      <c r="K1522">
        <f t="shared" si="71"/>
        <v>-5.5</v>
      </c>
    </row>
    <row r="1523" spans="1:11">
      <c r="A1523">
        <v>50.815</v>
      </c>
      <c r="B1523">
        <v>-153.4</v>
      </c>
      <c r="C1523">
        <v>26.6</v>
      </c>
      <c r="E1523">
        <v>50.782</v>
      </c>
      <c r="F1523">
        <v>-153.5</v>
      </c>
      <c r="G1523">
        <v>26.4</v>
      </c>
      <c r="I1523">
        <f t="shared" si="72"/>
        <v>50.75</v>
      </c>
      <c r="J1523">
        <f t="shared" si="70"/>
        <v>-3.5</v>
      </c>
      <c r="K1523">
        <f t="shared" si="71"/>
        <v>-5.5</v>
      </c>
    </row>
    <row r="1524" spans="1:11">
      <c r="A1524">
        <v>50.848</v>
      </c>
      <c r="B1524">
        <v>-153.4</v>
      </c>
      <c r="C1524">
        <v>26.9</v>
      </c>
      <c r="E1524">
        <v>50.815</v>
      </c>
      <c r="F1524">
        <v>-153.4</v>
      </c>
      <c r="G1524">
        <v>26.6</v>
      </c>
      <c r="I1524">
        <f t="shared" si="72"/>
        <v>50.8</v>
      </c>
      <c r="J1524">
        <f t="shared" si="70"/>
        <v>-3.40000000000001</v>
      </c>
      <c r="K1524">
        <f t="shared" si="71"/>
        <v>-5.5</v>
      </c>
    </row>
    <row r="1525" spans="1:11">
      <c r="A1525">
        <v>50.882</v>
      </c>
      <c r="B1525">
        <v>-153.4</v>
      </c>
      <c r="C1525">
        <v>26.5</v>
      </c>
      <c r="E1525">
        <v>50.848</v>
      </c>
      <c r="F1525">
        <v>-153.4</v>
      </c>
      <c r="G1525">
        <v>26.9</v>
      </c>
      <c r="I1525">
        <f t="shared" si="72"/>
        <v>50.8</v>
      </c>
      <c r="J1525">
        <f t="shared" si="70"/>
        <v>-3.40000000000001</v>
      </c>
      <c r="K1525">
        <f t="shared" si="71"/>
        <v>-5.5</v>
      </c>
    </row>
    <row r="1526" spans="1:11">
      <c r="A1526">
        <v>50.915</v>
      </c>
      <c r="B1526">
        <v>-153.5</v>
      </c>
      <c r="C1526">
        <v>27.1</v>
      </c>
      <c r="E1526">
        <v>50.882</v>
      </c>
      <c r="F1526">
        <v>-153.4</v>
      </c>
      <c r="G1526">
        <v>26.5</v>
      </c>
      <c r="I1526">
        <f t="shared" si="72"/>
        <v>50.85</v>
      </c>
      <c r="J1526">
        <f t="shared" si="70"/>
        <v>-3.40000000000001</v>
      </c>
      <c r="K1526">
        <f t="shared" si="71"/>
        <v>-5.5</v>
      </c>
    </row>
    <row r="1527" spans="1:11">
      <c r="A1527">
        <v>50.949</v>
      </c>
      <c r="B1527">
        <v>-153.6</v>
      </c>
      <c r="C1527">
        <v>27</v>
      </c>
      <c r="E1527">
        <v>50.915</v>
      </c>
      <c r="F1527">
        <v>-153.5</v>
      </c>
      <c r="G1527">
        <v>27.1</v>
      </c>
      <c r="I1527">
        <f t="shared" si="72"/>
        <v>50.9</v>
      </c>
      <c r="J1527">
        <f t="shared" si="70"/>
        <v>-3.5</v>
      </c>
      <c r="K1527">
        <f t="shared" si="71"/>
        <v>-5.5</v>
      </c>
    </row>
    <row r="1528" spans="1:11">
      <c r="A1528">
        <v>50.982</v>
      </c>
      <c r="B1528">
        <v>-153.6</v>
      </c>
      <c r="C1528">
        <v>27.3</v>
      </c>
      <c r="E1528">
        <v>50.949</v>
      </c>
      <c r="F1528">
        <v>-153.6</v>
      </c>
      <c r="G1528">
        <v>27</v>
      </c>
      <c r="I1528">
        <f t="shared" si="72"/>
        <v>50.9</v>
      </c>
      <c r="J1528">
        <f t="shared" si="70"/>
        <v>-3.59999999999999</v>
      </c>
      <c r="K1528">
        <f t="shared" si="71"/>
        <v>-5.5</v>
      </c>
    </row>
    <row r="1529" spans="1:11">
      <c r="A1529">
        <v>51.016</v>
      </c>
      <c r="B1529">
        <v>-153.7</v>
      </c>
      <c r="C1529">
        <v>27.2</v>
      </c>
      <c r="E1529">
        <v>50.982</v>
      </c>
      <c r="F1529">
        <v>-153.6</v>
      </c>
      <c r="G1529">
        <v>27.3</v>
      </c>
      <c r="I1529">
        <f t="shared" si="72"/>
        <v>50.95</v>
      </c>
      <c r="J1529">
        <f t="shared" si="70"/>
        <v>-3.59999999999999</v>
      </c>
      <c r="K1529">
        <f t="shared" si="71"/>
        <v>-5.5</v>
      </c>
    </row>
    <row r="1530" spans="1:11">
      <c r="A1530">
        <v>51.049</v>
      </c>
      <c r="B1530">
        <v>-153.8</v>
      </c>
      <c r="C1530">
        <v>26.6</v>
      </c>
      <c r="E1530">
        <v>51.016</v>
      </c>
      <c r="F1530">
        <v>-153.7</v>
      </c>
      <c r="G1530">
        <v>27.2</v>
      </c>
      <c r="I1530">
        <f t="shared" si="72"/>
        <v>51</v>
      </c>
      <c r="J1530">
        <f t="shared" si="70"/>
        <v>-3.69999999999999</v>
      </c>
      <c r="K1530">
        <f t="shared" si="71"/>
        <v>-5.5</v>
      </c>
    </row>
    <row r="1531" spans="1:11">
      <c r="A1531">
        <v>51.082</v>
      </c>
      <c r="B1531">
        <v>-153.9</v>
      </c>
      <c r="C1531">
        <v>26.6</v>
      </c>
      <c r="E1531">
        <v>51.049</v>
      </c>
      <c r="F1531">
        <v>-153.8</v>
      </c>
      <c r="G1531">
        <v>26.6</v>
      </c>
      <c r="I1531">
        <f t="shared" si="72"/>
        <v>51</v>
      </c>
      <c r="J1531">
        <f t="shared" si="70"/>
        <v>-3.80000000000001</v>
      </c>
      <c r="K1531">
        <f t="shared" si="71"/>
        <v>-5.5</v>
      </c>
    </row>
    <row r="1532" spans="1:11">
      <c r="A1532">
        <v>51.116</v>
      </c>
      <c r="B1532">
        <v>-154</v>
      </c>
      <c r="C1532">
        <v>27.7</v>
      </c>
      <c r="E1532">
        <v>51.082</v>
      </c>
      <c r="F1532">
        <v>-153.9</v>
      </c>
      <c r="G1532">
        <v>26.6</v>
      </c>
      <c r="I1532">
        <f t="shared" si="72"/>
        <v>51.05</v>
      </c>
      <c r="J1532">
        <f t="shared" si="70"/>
        <v>-3.90000000000001</v>
      </c>
      <c r="K1532">
        <f t="shared" si="71"/>
        <v>-5.5</v>
      </c>
    </row>
    <row r="1533" spans="1:11">
      <c r="A1533">
        <v>51.149</v>
      </c>
      <c r="B1533">
        <v>-154.5</v>
      </c>
      <c r="C1533">
        <v>26.9</v>
      </c>
      <c r="E1533">
        <v>51.116</v>
      </c>
      <c r="F1533">
        <v>-154</v>
      </c>
      <c r="G1533">
        <v>27.7</v>
      </c>
      <c r="I1533">
        <f t="shared" si="72"/>
        <v>51.1</v>
      </c>
      <c r="J1533">
        <f t="shared" si="70"/>
        <v>-4</v>
      </c>
      <c r="K1533">
        <f t="shared" si="71"/>
        <v>-5.5</v>
      </c>
    </row>
    <row r="1534" spans="1:11">
      <c r="A1534">
        <v>51.183</v>
      </c>
      <c r="B1534">
        <v>-154.7</v>
      </c>
      <c r="C1534">
        <v>26.7</v>
      </c>
      <c r="E1534">
        <v>51.149</v>
      </c>
      <c r="F1534">
        <v>-154.5</v>
      </c>
      <c r="G1534">
        <v>26.9</v>
      </c>
      <c r="I1534">
        <f t="shared" si="72"/>
        <v>51.1</v>
      </c>
      <c r="J1534">
        <f t="shared" si="70"/>
        <v>-4.5</v>
      </c>
      <c r="K1534">
        <f t="shared" si="71"/>
        <v>-5.5</v>
      </c>
    </row>
    <row r="1535" spans="1:11">
      <c r="A1535">
        <v>51.216</v>
      </c>
      <c r="B1535">
        <v>-154.9</v>
      </c>
      <c r="C1535">
        <v>27.3</v>
      </c>
      <c r="E1535">
        <v>51.183</v>
      </c>
      <c r="F1535">
        <v>-154.7</v>
      </c>
      <c r="G1535">
        <v>26.7</v>
      </c>
      <c r="I1535">
        <f t="shared" si="72"/>
        <v>51.15</v>
      </c>
      <c r="J1535">
        <f t="shared" si="70"/>
        <v>-4.69999999999999</v>
      </c>
      <c r="K1535">
        <f t="shared" si="71"/>
        <v>-5.5</v>
      </c>
    </row>
    <row r="1536" spans="1:11">
      <c r="A1536">
        <v>51.25</v>
      </c>
      <c r="B1536">
        <v>-155.1</v>
      </c>
      <c r="C1536">
        <v>26.9</v>
      </c>
      <c r="E1536">
        <v>51.216</v>
      </c>
      <c r="F1536">
        <v>-154.9</v>
      </c>
      <c r="G1536">
        <v>27.3</v>
      </c>
      <c r="I1536">
        <f t="shared" si="72"/>
        <v>51.2</v>
      </c>
      <c r="J1536">
        <f t="shared" si="70"/>
        <v>-4.90000000000001</v>
      </c>
      <c r="K1536">
        <f t="shared" si="71"/>
        <v>-5.5</v>
      </c>
    </row>
    <row r="1537" spans="1:11">
      <c r="A1537">
        <v>51.283</v>
      </c>
      <c r="B1537">
        <v>-155.6</v>
      </c>
      <c r="C1537">
        <v>26.7</v>
      </c>
      <c r="E1537">
        <v>51.25</v>
      </c>
      <c r="F1537">
        <v>-155.1</v>
      </c>
      <c r="G1537">
        <v>26.9</v>
      </c>
      <c r="I1537">
        <f t="shared" si="72"/>
        <v>51.25</v>
      </c>
      <c r="J1537">
        <f t="shared" si="70"/>
        <v>-5.09999999999999</v>
      </c>
      <c r="K1537">
        <f t="shared" si="71"/>
        <v>-5.5</v>
      </c>
    </row>
    <row r="1538" spans="1:11">
      <c r="A1538">
        <v>51.316</v>
      </c>
      <c r="B1538">
        <v>-155.8</v>
      </c>
      <c r="C1538">
        <v>26.8</v>
      </c>
      <c r="E1538">
        <v>51.283</v>
      </c>
      <c r="F1538">
        <v>-155.6</v>
      </c>
      <c r="G1538">
        <v>26.7</v>
      </c>
      <c r="I1538">
        <f t="shared" si="72"/>
        <v>51.25</v>
      </c>
      <c r="J1538">
        <f t="shared" si="70"/>
        <v>-5.59999999999999</v>
      </c>
      <c r="K1538">
        <f t="shared" si="71"/>
        <v>-5.5</v>
      </c>
    </row>
    <row r="1539" spans="1:11">
      <c r="A1539">
        <v>51.35</v>
      </c>
      <c r="B1539">
        <v>-156</v>
      </c>
      <c r="C1539">
        <v>26.9</v>
      </c>
      <c r="E1539">
        <v>51.316</v>
      </c>
      <c r="F1539">
        <v>-155.8</v>
      </c>
      <c r="G1539">
        <v>26.8</v>
      </c>
      <c r="I1539">
        <f t="shared" si="72"/>
        <v>51.3</v>
      </c>
      <c r="J1539">
        <f t="shared" si="70"/>
        <v>-5.80000000000001</v>
      </c>
      <c r="K1539">
        <f t="shared" si="71"/>
        <v>-5.5</v>
      </c>
    </row>
    <row r="1540" spans="1:11">
      <c r="A1540">
        <v>51.383</v>
      </c>
      <c r="B1540">
        <v>-156.1</v>
      </c>
      <c r="C1540">
        <v>26.5</v>
      </c>
      <c r="E1540">
        <v>51.35</v>
      </c>
      <c r="F1540">
        <v>-156</v>
      </c>
      <c r="G1540">
        <v>26.9</v>
      </c>
      <c r="I1540">
        <f t="shared" si="72"/>
        <v>51.35</v>
      </c>
      <c r="J1540">
        <f t="shared" si="70"/>
        <v>-6</v>
      </c>
      <c r="K1540">
        <f t="shared" si="71"/>
        <v>-5.5</v>
      </c>
    </row>
    <row r="1541" spans="1:11">
      <c r="A1541">
        <v>51.417</v>
      </c>
      <c r="B1541">
        <v>-156.5</v>
      </c>
      <c r="C1541">
        <v>26.7</v>
      </c>
      <c r="E1541">
        <v>51.383</v>
      </c>
      <c r="F1541">
        <v>-156.1</v>
      </c>
      <c r="G1541">
        <v>26.5</v>
      </c>
      <c r="I1541">
        <f t="shared" si="72"/>
        <v>51.35</v>
      </c>
      <c r="J1541">
        <f t="shared" ref="J1541:J1604" si="73">F1541+150</f>
        <v>-6.09999999999999</v>
      </c>
      <c r="K1541">
        <f t="shared" ref="K1541:K1604" si="74">IF(G1541&lt;230,-5.5,5)</f>
        <v>-5.5</v>
      </c>
    </row>
    <row r="1542" spans="1:11">
      <c r="A1542">
        <v>51.45</v>
      </c>
      <c r="B1542">
        <v>-156.7</v>
      </c>
      <c r="C1542">
        <v>26.9</v>
      </c>
      <c r="E1542">
        <v>51.417</v>
      </c>
      <c r="F1542">
        <v>-156.5</v>
      </c>
      <c r="G1542">
        <v>26.7</v>
      </c>
      <c r="I1542">
        <f t="shared" si="72"/>
        <v>51.4</v>
      </c>
      <c r="J1542">
        <f t="shared" si="73"/>
        <v>-6.5</v>
      </c>
      <c r="K1542">
        <f t="shared" si="74"/>
        <v>-5.5</v>
      </c>
    </row>
    <row r="1543" spans="1:11">
      <c r="A1543">
        <v>51.484</v>
      </c>
      <c r="B1543">
        <v>-156.7</v>
      </c>
      <c r="C1543">
        <v>26.5</v>
      </c>
      <c r="E1543">
        <v>51.45</v>
      </c>
      <c r="F1543">
        <v>-156.7</v>
      </c>
      <c r="G1543">
        <v>26.9</v>
      </c>
      <c r="I1543">
        <f t="shared" si="72"/>
        <v>51.45</v>
      </c>
      <c r="J1543">
        <f t="shared" si="73"/>
        <v>-6.69999999999999</v>
      </c>
      <c r="K1543">
        <f t="shared" si="74"/>
        <v>-5.5</v>
      </c>
    </row>
    <row r="1544" spans="1:11">
      <c r="A1544">
        <v>51.517</v>
      </c>
      <c r="B1544">
        <v>-156.8</v>
      </c>
      <c r="C1544">
        <v>26.7</v>
      </c>
      <c r="E1544">
        <v>51.484</v>
      </c>
      <c r="F1544">
        <v>-156.7</v>
      </c>
      <c r="G1544">
        <v>26.5</v>
      </c>
      <c r="I1544">
        <f t="shared" si="72"/>
        <v>51.45</v>
      </c>
      <c r="J1544">
        <f t="shared" si="73"/>
        <v>-6.69999999999999</v>
      </c>
      <c r="K1544">
        <f t="shared" si="74"/>
        <v>-5.5</v>
      </c>
    </row>
    <row r="1545" spans="1:11">
      <c r="A1545">
        <v>51.55</v>
      </c>
      <c r="B1545">
        <v>-156.7</v>
      </c>
      <c r="C1545">
        <v>26.7</v>
      </c>
      <c r="E1545">
        <v>51.517</v>
      </c>
      <c r="F1545">
        <v>-156.8</v>
      </c>
      <c r="G1545">
        <v>26.7</v>
      </c>
      <c r="I1545">
        <f t="shared" si="72"/>
        <v>51.5</v>
      </c>
      <c r="J1545">
        <f t="shared" si="73"/>
        <v>-6.80000000000001</v>
      </c>
      <c r="K1545">
        <f t="shared" si="74"/>
        <v>-5.5</v>
      </c>
    </row>
    <row r="1546" spans="1:11">
      <c r="A1546">
        <v>51.584</v>
      </c>
      <c r="B1546">
        <v>-156.8</v>
      </c>
      <c r="C1546">
        <v>26.9</v>
      </c>
      <c r="E1546">
        <v>51.55</v>
      </c>
      <c r="F1546">
        <v>-156.7</v>
      </c>
      <c r="G1546">
        <v>26.7</v>
      </c>
      <c r="I1546">
        <f t="shared" si="72"/>
        <v>51.55</v>
      </c>
      <c r="J1546">
        <f t="shared" si="73"/>
        <v>-6.69999999999999</v>
      </c>
      <c r="K1546">
        <f t="shared" si="74"/>
        <v>-5.5</v>
      </c>
    </row>
    <row r="1547" spans="1:11">
      <c r="A1547">
        <v>51.617</v>
      </c>
      <c r="B1547">
        <v>-156.7</v>
      </c>
      <c r="C1547">
        <v>26.9</v>
      </c>
      <c r="E1547">
        <v>51.584</v>
      </c>
      <c r="F1547">
        <v>-156.8</v>
      </c>
      <c r="G1547">
        <v>26.9</v>
      </c>
      <c r="I1547">
        <f t="shared" si="72"/>
        <v>51.55</v>
      </c>
      <c r="J1547">
        <f t="shared" si="73"/>
        <v>-6.80000000000001</v>
      </c>
      <c r="K1547">
        <f t="shared" si="74"/>
        <v>-5.5</v>
      </c>
    </row>
    <row r="1548" spans="1:11">
      <c r="A1548">
        <v>51.651</v>
      </c>
      <c r="B1548">
        <v>-156.6</v>
      </c>
      <c r="C1548">
        <v>27.1</v>
      </c>
      <c r="E1548">
        <v>51.617</v>
      </c>
      <c r="F1548">
        <v>-156.7</v>
      </c>
      <c r="G1548">
        <v>26.9</v>
      </c>
      <c r="I1548">
        <f t="shared" si="72"/>
        <v>51.6</v>
      </c>
      <c r="J1548">
        <f t="shared" si="73"/>
        <v>-6.69999999999999</v>
      </c>
      <c r="K1548">
        <f t="shared" si="74"/>
        <v>-5.5</v>
      </c>
    </row>
    <row r="1549" spans="1:11">
      <c r="A1549">
        <v>51.684</v>
      </c>
      <c r="B1549">
        <v>-156.6</v>
      </c>
      <c r="C1549">
        <v>27</v>
      </c>
      <c r="E1549">
        <v>51.651</v>
      </c>
      <c r="F1549">
        <v>-156.6</v>
      </c>
      <c r="G1549">
        <v>27.1</v>
      </c>
      <c r="I1549">
        <f t="shared" si="72"/>
        <v>51.65</v>
      </c>
      <c r="J1549">
        <f t="shared" si="73"/>
        <v>-6.59999999999999</v>
      </c>
      <c r="K1549">
        <f t="shared" si="74"/>
        <v>-5.5</v>
      </c>
    </row>
    <row r="1550" spans="1:11">
      <c r="A1550">
        <v>51.718</v>
      </c>
      <c r="B1550">
        <v>-156.5</v>
      </c>
      <c r="C1550">
        <v>26.7</v>
      </c>
      <c r="E1550">
        <v>51.684</v>
      </c>
      <c r="F1550">
        <v>-156.6</v>
      </c>
      <c r="G1550">
        <v>27</v>
      </c>
      <c r="I1550">
        <f t="shared" si="72"/>
        <v>51.65</v>
      </c>
      <c r="J1550">
        <f t="shared" si="73"/>
        <v>-6.59999999999999</v>
      </c>
      <c r="K1550">
        <f t="shared" si="74"/>
        <v>-5.5</v>
      </c>
    </row>
    <row r="1551" spans="1:11">
      <c r="A1551">
        <v>51.751</v>
      </c>
      <c r="B1551">
        <v>-156.4</v>
      </c>
      <c r="C1551">
        <v>26.7</v>
      </c>
      <c r="E1551">
        <v>51.718</v>
      </c>
      <c r="F1551">
        <v>-156.5</v>
      </c>
      <c r="G1551">
        <v>26.7</v>
      </c>
      <c r="I1551">
        <f t="shared" si="72"/>
        <v>51.7</v>
      </c>
      <c r="J1551">
        <f t="shared" si="73"/>
        <v>-6.5</v>
      </c>
      <c r="K1551">
        <f t="shared" si="74"/>
        <v>-5.5</v>
      </c>
    </row>
    <row r="1552" spans="1:11">
      <c r="A1552">
        <v>51.784</v>
      </c>
      <c r="B1552">
        <v>-156.4</v>
      </c>
      <c r="C1552">
        <v>26.8</v>
      </c>
      <c r="E1552">
        <v>51.751</v>
      </c>
      <c r="F1552">
        <v>-156.4</v>
      </c>
      <c r="G1552">
        <v>26.7</v>
      </c>
      <c r="I1552">
        <f t="shared" si="72"/>
        <v>51.75</v>
      </c>
      <c r="J1552">
        <f t="shared" si="73"/>
        <v>-6.40000000000001</v>
      </c>
      <c r="K1552">
        <f t="shared" si="74"/>
        <v>-5.5</v>
      </c>
    </row>
    <row r="1553" spans="1:11">
      <c r="A1553">
        <v>51.818</v>
      </c>
      <c r="B1553">
        <v>-156.3</v>
      </c>
      <c r="C1553">
        <v>26.6</v>
      </c>
      <c r="E1553">
        <v>51.784</v>
      </c>
      <c r="F1553">
        <v>-156.4</v>
      </c>
      <c r="G1553">
        <v>26.8</v>
      </c>
      <c r="I1553">
        <f t="shared" si="72"/>
        <v>51.75</v>
      </c>
      <c r="J1553">
        <f t="shared" si="73"/>
        <v>-6.40000000000001</v>
      </c>
      <c r="K1553">
        <f t="shared" si="74"/>
        <v>-5.5</v>
      </c>
    </row>
    <row r="1554" spans="1:11">
      <c r="A1554">
        <v>51.851</v>
      </c>
      <c r="B1554">
        <v>-156.2</v>
      </c>
      <c r="C1554">
        <v>26.8</v>
      </c>
      <c r="E1554">
        <v>51.818</v>
      </c>
      <c r="F1554">
        <v>-156.3</v>
      </c>
      <c r="G1554">
        <v>26.6</v>
      </c>
      <c r="I1554">
        <f t="shared" si="72"/>
        <v>51.8</v>
      </c>
      <c r="J1554">
        <f t="shared" si="73"/>
        <v>-6.30000000000001</v>
      </c>
      <c r="K1554">
        <f t="shared" si="74"/>
        <v>-5.5</v>
      </c>
    </row>
    <row r="1555" spans="1:11">
      <c r="A1555">
        <v>51.885</v>
      </c>
      <c r="B1555">
        <v>-156.1</v>
      </c>
      <c r="C1555">
        <v>26.6</v>
      </c>
      <c r="E1555">
        <v>51.851</v>
      </c>
      <c r="F1555">
        <v>-156.2</v>
      </c>
      <c r="G1555">
        <v>26.8</v>
      </c>
      <c r="I1555">
        <f t="shared" si="72"/>
        <v>51.85</v>
      </c>
      <c r="J1555">
        <f t="shared" si="73"/>
        <v>-6.19999999999999</v>
      </c>
      <c r="K1555">
        <f t="shared" si="74"/>
        <v>-5.5</v>
      </c>
    </row>
    <row r="1556" spans="1:11">
      <c r="A1556">
        <v>51.918</v>
      </c>
      <c r="B1556">
        <v>-156.1</v>
      </c>
      <c r="C1556">
        <v>26.9</v>
      </c>
      <c r="E1556">
        <v>51.885</v>
      </c>
      <c r="F1556">
        <v>-156.1</v>
      </c>
      <c r="G1556">
        <v>26.6</v>
      </c>
      <c r="I1556">
        <f t="shared" si="72"/>
        <v>51.85</v>
      </c>
      <c r="J1556">
        <f t="shared" si="73"/>
        <v>-6.09999999999999</v>
      </c>
      <c r="K1556">
        <f t="shared" si="74"/>
        <v>-5.5</v>
      </c>
    </row>
    <row r="1557" spans="1:11">
      <c r="A1557">
        <v>51.952</v>
      </c>
      <c r="B1557">
        <v>-156</v>
      </c>
      <c r="C1557">
        <v>26.9</v>
      </c>
      <c r="E1557">
        <v>51.918</v>
      </c>
      <c r="F1557">
        <v>-156.1</v>
      </c>
      <c r="G1557">
        <v>26.9</v>
      </c>
      <c r="I1557">
        <f t="shared" si="72"/>
        <v>51.9</v>
      </c>
      <c r="J1557">
        <f t="shared" si="73"/>
        <v>-6.09999999999999</v>
      </c>
      <c r="K1557">
        <f t="shared" si="74"/>
        <v>-5.5</v>
      </c>
    </row>
    <row r="1558" spans="1:11">
      <c r="A1558">
        <v>51.985</v>
      </c>
      <c r="B1558">
        <v>-155.8</v>
      </c>
      <c r="C1558">
        <v>26.8</v>
      </c>
      <c r="E1558">
        <v>51.952</v>
      </c>
      <c r="F1558">
        <v>-156</v>
      </c>
      <c r="G1558">
        <v>26.9</v>
      </c>
      <c r="I1558">
        <f t="shared" si="72"/>
        <v>51.95</v>
      </c>
      <c r="J1558">
        <f t="shared" si="73"/>
        <v>-6</v>
      </c>
      <c r="K1558">
        <f t="shared" si="74"/>
        <v>-5.5</v>
      </c>
    </row>
    <row r="1559" spans="1:11">
      <c r="A1559">
        <v>52.018</v>
      </c>
      <c r="B1559">
        <v>-155.3</v>
      </c>
      <c r="C1559">
        <v>27.1</v>
      </c>
      <c r="E1559">
        <v>51.985</v>
      </c>
      <c r="F1559">
        <v>-155.8</v>
      </c>
      <c r="G1559">
        <v>26.8</v>
      </c>
      <c r="I1559">
        <f t="shared" si="72"/>
        <v>51.95</v>
      </c>
      <c r="J1559">
        <f t="shared" si="73"/>
        <v>-5.80000000000001</v>
      </c>
      <c r="K1559">
        <f t="shared" si="74"/>
        <v>-5.5</v>
      </c>
    </row>
    <row r="1560" spans="1:11">
      <c r="A1560">
        <v>52.052</v>
      </c>
      <c r="B1560">
        <v>-155.1</v>
      </c>
      <c r="C1560">
        <v>26.8</v>
      </c>
      <c r="E1560">
        <v>52.018</v>
      </c>
      <c r="F1560">
        <v>-155.3</v>
      </c>
      <c r="G1560">
        <v>27.1</v>
      </c>
      <c r="I1560">
        <f t="shared" si="72"/>
        <v>52</v>
      </c>
      <c r="J1560">
        <f t="shared" si="73"/>
        <v>-5.30000000000001</v>
      </c>
      <c r="K1560">
        <f t="shared" si="74"/>
        <v>-5.5</v>
      </c>
    </row>
    <row r="1561" spans="1:11">
      <c r="A1561">
        <v>52.085</v>
      </c>
      <c r="B1561">
        <v>-155</v>
      </c>
      <c r="C1561">
        <v>26.8</v>
      </c>
      <c r="E1561">
        <v>52.052</v>
      </c>
      <c r="F1561">
        <v>-155.1</v>
      </c>
      <c r="G1561">
        <v>26.8</v>
      </c>
      <c r="I1561">
        <f t="shared" si="72"/>
        <v>52.05</v>
      </c>
      <c r="J1561">
        <f t="shared" si="73"/>
        <v>-5.09999999999999</v>
      </c>
      <c r="K1561">
        <f t="shared" si="74"/>
        <v>-5.5</v>
      </c>
    </row>
    <row r="1562" spans="1:11">
      <c r="A1562">
        <v>52.119</v>
      </c>
      <c r="B1562">
        <v>-154.9</v>
      </c>
      <c r="C1562">
        <v>26.7</v>
      </c>
      <c r="E1562">
        <v>52.085</v>
      </c>
      <c r="F1562">
        <v>-155</v>
      </c>
      <c r="G1562">
        <v>26.8</v>
      </c>
      <c r="I1562">
        <f t="shared" si="72"/>
        <v>52.05</v>
      </c>
      <c r="J1562">
        <f t="shared" si="73"/>
        <v>-5</v>
      </c>
      <c r="K1562">
        <f t="shared" si="74"/>
        <v>-5.5</v>
      </c>
    </row>
    <row r="1563" spans="1:11">
      <c r="A1563">
        <v>52.152</v>
      </c>
      <c r="B1563">
        <v>-154.4</v>
      </c>
      <c r="C1563">
        <v>27.4</v>
      </c>
      <c r="E1563">
        <v>52.119</v>
      </c>
      <c r="F1563">
        <v>-154.9</v>
      </c>
      <c r="G1563">
        <v>26.7</v>
      </c>
      <c r="I1563">
        <f t="shared" si="72"/>
        <v>52.1</v>
      </c>
      <c r="J1563">
        <f t="shared" si="73"/>
        <v>-4.90000000000001</v>
      </c>
      <c r="K1563">
        <f t="shared" si="74"/>
        <v>-5.5</v>
      </c>
    </row>
    <row r="1564" spans="1:11">
      <c r="A1564">
        <v>52.186</v>
      </c>
      <c r="B1564">
        <v>-154.2</v>
      </c>
      <c r="C1564">
        <v>26.8</v>
      </c>
      <c r="E1564">
        <v>52.152</v>
      </c>
      <c r="F1564">
        <v>-154.4</v>
      </c>
      <c r="G1564">
        <v>27.4</v>
      </c>
      <c r="I1564">
        <f t="shared" si="72"/>
        <v>52.15</v>
      </c>
      <c r="J1564">
        <f t="shared" si="73"/>
        <v>-4.40000000000001</v>
      </c>
      <c r="K1564">
        <f t="shared" si="74"/>
        <v>-5.5</v>
      </c>
    </row>
    <row r="1565" spans="1:11">
      <c r="A1565">
        <v>52.219</v>
      </c>
      <c r="B1565">
        <v>-154.1</v>
      </c>
      <c r="C1565">
        <v>26.6</v>
      </c>
      <c r="E1565">
        <v>52.186</v>
      </c>
      <c r="F1565">
        <v>-154.2</v>
      </c>
      <c r="G1565">
        <v>26.8</v>
      </c>
      <c r="I1565">
        <f t="shared" si="72"/>
        <v>52.15</v>
      </c>
      <c r="J1565">
        <f t="shared" si="73"/>
        <v>-4.19999999999999</v>
      </c>
      <c r="K1565">
        <f t="shared" si="74"/>
        <v>-5.5</v>
      </c>
    </row>
    <row r="1566" spans="1:11">
      <c r="A1566">
        <v>52.252</v>
      </c>
      <c r="B1566">
        <v>-154.1</v>
      </c>
      <c r="C1566">
        <v>27.1</v>
      </c>
      <c r="E1566">
        <v>52.219</v>
      </c>
      <c r="F1566">
        <v>-154.1</v>
      </c>
      <c r="G1566">
        <v>26.6</v>
      </c>
      <c r="I1566">
        <f t="shared" si="72"/>
        <v>52.2</v>
      </c>
      <c r="J1566">
        <f t="shared" si="73"/>
        <v>-4.09999999999999</v>
      </c>
      <c r="K1566">
        <f t="shared" si="74"/>
        <v>-5.5</v>
      </c>
    </row>
    <row r="1567" spans="1:11">
      <c r="A1567">
        <v>52.286</v>
      </c>
      <c r="B1567">
        <v>-154.1</v>
      </c>
      <c r="C1567">
        <v>27.1</v>
      </c>
      <c r="E1567">
        <v>52.252</v>
      </c>
      <c r="F1567">
        <v>-154.1</v>
      </c>
      <c r="G1567">
        <v>27.1</v>
      </c>
      <c r="I1567">
        <f t="shared" si="72"/>
        <v>52.25</v>
      </c>
      <c r="J1567">
        <f t="shared" si="73"/>
        <v>-4.09999999999999</v>
      </c>
      <c r="K1567">
        <f t="shared" si="74"/>
        <v>-5.5</v>
      </c>
    </row>
    <row r="1568" spans="1:11">
      <c r="A1568">
        <v>52.319</v>
      </c>
      <c r="B1568">
        <v>-154.1</v>
      </c>
      <c r="C1568">
        <v>27</v>
      </c>
      <c r="E1568">
        <v>52.286</v>
      </c>
      <c r="F1568">
        <v>-154.1</v>
      </c>
      <c r="G1568">
        <v>27.1</v>
      </c>
      <c r="I1568">
        <f t="shared" si="72"/>
        <v>52.25</v>
      </c>
      <c r="J1568">
        <f t="shared" si="73"/>
        <v>-4.09999999999999</v>
      </c>
      <c r="K1568">
        <f t="shared" si="74"/>
        <v>-5.5</v>
      </c>
    </row>
    <row r="1569" spans="1:11">
      <c r="A1569">
        <v>52.353</v>
      </c>
      <c r="B1569">
        <v>-154.2</v>
      </c>
      <c r="C1569">
        <v>27.1</v>
      </c>
      <c r="E1569">
        <v>52.319</v>
      </c>
      <c r="F1569">
        <v>-154.1</v>
      </c>
      <c r="G1569">
        <v>27</v>
      </c>
      <c r="I1569">
        <f t="shared" si="72"/>
        <v>52.3</v>
      </c>
      <c r="J1569">
        <f t="shared" si="73"/>
        <v>-4.09999999999999</v>
      </c>
      <c r="K1569">
        <f t="shared" si="74"/>
        <v>-5.5</v>
      </c>
    </row>
    <row r="1570" spans="1:11">
      <c r="A1570">
        <v>52.386</v>
      </c>
      <c r="B1570">
        <v>-154.3</v>
      </c>
      <c r="C1570">
        <v>26.7</v>
      </c>
      <c r="E1570">
        <v>52.353</v>
      </c>
      <c r="F1570">
        <v>-154.2</v>
      </c>
      <c r="G1570">
        <v>27.1</v>
      </c>
      <c r="I1570">
        <f t="shared" si="72"/>
        <v>52.35</v>
      </c>
      <c r="J1570">
        <f t="shared" si="73"/>
        <v>-4.19999999999999</v>
      </c>
      <c r="K1570">
        <f t="shared" si="74"/>
        <v>-5.5</v>
      </c>
    </row>
    <row r="1571" spans="1:11">
      <c r="A1571">
        <v>52.42</v>
      </c>
      <c r="B1571">
        <v>-154.3</v>
      </c>
      <c r="C1571">
        <v>26.9</v>
      </c>
      <c r="E1571">
        <v>52.386</v>
      </c>
      <c r="F1571">
        <v>-154.3</v>
      </c>
      <c r="G1571">
        <v>26.7</v>
      </c>
      <c r="I1571">
        <f t="shared" ref="I1571:I1634" si="75">FLOOR(E1571,0.05)</f>
        <v>52.35</v>
      </c>
      <c r="J1571">
        <f t="shared" si="73"/>
        <v>-4.30000000000001</v>
      </c>
      <c r="K1571">
        <f t="shared" si="74"/>
        <v>-5.5</v>
      </c>
    </row>
    <row r="1572" spans="1:11">
      <c r="A1572">
        <v>52.453</v>
      </c>
      <c r="B1572">
        <v>-154.4</v>
      </c>
      <c r="C1572">
        <v>26.4</v>
      </c>
      <c r="E1572">
        <v>52.42</v>
      </c>
      <c r="F1572">
        <v>-154.3</v>
      </c>
      <c r="G1572">
        <v>26.9</v>
      </c>
      <c r="I1572">
        <f t="shared" si="75"/>
        <v>52.4</v>
      </c>
      <c r="J1572">
        <f t="shared" si="73"/>
        <v>-4.30000000000001</v>
      </c>
      <c r="K1572">
        <f t="shared" si="74"/>
        <v>-5.5</v>
      </c>
    </row>
    <row r="1573" spans="1:11">
      <c r="A1573">
        <v>52.486</v>
      </c>
      <c r="B1573">
        <v>-154.4</v>
      </c>
      <c r="C1573">
        <v>26.8</v>
      </c>
      <c r="E1573">
        <v>52.453</v>
      </c>
      <c r="F1573">
        <v>-154.4</v>
      </c>
      <c r="G1573">
        <v>26.4</v>
      </c>
      <c r="I1573">
        <f t="shared" si="75"/>
        <v>52.45</v>
      </c>
      <c r="J1573">
        <f t="shared" si="73"/>
        <v>-4.40000000000001</v>
      </c>
      <c r="K1573">
        <f t="shared" si="74"/>
        <v>-5.5</v>
      </c>
    </row>
    <row r="1574" spans="1:11">
      <c r="A1574">
        <v>52.52</v>
      </c>
      <c r="B1574">
        <v>-154.5</v>
      </c>
      <c r="C1574">
        <v>26.9</v>
      </c>
      <c r="E1574">
        <v>52.486</v>
      </c>
      <c r="F1574">
        <v>-154.4</v>
      </c>
      <c r="G1574">
        <v>26.8</v>
      </c>
      <c r="I1574">
        <f t="shared" si="75"/>
        <v>52.45</v>
      </c>
      <c r="J1574">
        <f t="shared" si="73"/>
        <v>-4.40000000000001</v>
      </c>
      <c r="K1574">
        <f t="shared" si="74"/>
        <v>-5.5</v>
      </c>
    </row>
    <row r="1575" spans="1:11">
      <c r="A1575">
        <v>52.553</v>
      </c>
      <c r="B1575">
        <v>-154.6</v>
      </c>
      <c r="C1575">
        <v>26.7</v>
      </c>
      <c r="E1575">
        <v>52.52</v>
      </c>
      <c r="F1575">
        <v>-154.5</v>
      </c>
      <c r="G1575">
        <v>26.9</v>
      </c>
      <c r="I1575">
        <f t="shared" si="75"/>
        <v>52.5</v>
      </c>
      <c r="J1575">
        <f t="shared" si="73"/>
        <v>-4.5</v>
      </c>
      <c r="K1575">
        <f t="shared" si="74"/>
        <v>-5.5</v>
      </c>
    </row>
    <row r="1576" spans="1:11">
      <c r="A1576">
        <v>52.587</v>
      </c>
      <c r="B1576">
        <v>-154.7</v>
      </c>
      <c r="C1576">
        <v>27.2</v>
      </c>
      <c r="E1576">
        <v>52.553</v>
      </c>
      <c r="F1576">
        <v>-154.6</v>
      </c>
      <c r="G1576">
        <v>26.7</v>
      </c>
      <c r="I1576">
        <f t="shared" si="75"/>
        <v>52.55</v>
      </c>
      <c r="J1576">
        <f t="shared" si="73"/>
        <v>-4.59999999999999</v>
      </c>
      <c r="K1576">
        <f t="shared" si="74"/>
        <v>-5.5</v>
      </c>
    </row>
    <row r="1577" spans="1:11">
      <c r="A1577">
        <v>52.62</v>
      </c>
      <c r="B1577">
        <v>-154.8</v>
      </c>
      <c r="C1577">
        <v>27.5</v>
      </c>
      <c r="E1577">
        <v>52.587</v>
      </c>
      <c r="F1577">
        <v>-154.7</v>
      </c>
      <c r="G1577">
        <v>27.2</v>
      </c>
      <c r="I1577">
        <f t="shared" si="75"/>
        <v>52.55</v>
      </c>
      <c r="J1577">
        <f t="shared" si="73"/>
        <v>-4.69999999999999</v>
      </c>
      <c r="K1577">
        <f t="shared" si="74"/>
        <v>-5.5</v>
      </c>
    </row>
    <row r="1578" spans="1:11">
      <c r="A1578">
        <v>52.654</v>
      </c>
      <c r="B1578">
        <v>-154.9</v>
      </c>
      <c r="C1578">
        <v>27.4</v>
      </c>
      <c r="E1578">
        <v>52.62</v>
      </c>
      <c r="F1578">
        <v>-154.8</v>
      </c>
      <c r="G1578">
        <v>27.5</v>
      </c>
      <c r="I1578">
        <f t="shared" si="75"/>
        <v>52.6</v>
      </c>
      <c r="J1578">
        <f t="shared" si="73"/>
        <v>-4.80000000000001</v>
      </c>
      <c r="K1578">
        <f t="shared" si="74"/>
        <v>-5.5</v>
      </c>
    </row>
    <row r="1579" spans="1:11">
      <c r="A1579">
        <v>52.687</v>
      </c>
      <c r="B1579">
        <v>-154.9</v>
      </c>
      <c r="C1579">
        <v>26.8</v>
      </c>
      <c r="E1579">
        <v>52.654</v>
      </c>
      <c r="F1579">
        <v>-154.9</v>
      </c>
      <c r="G1579">
        <v>27.4</v>
      </c>
      <c r="I1579">
        <f t="shared" si="75"/>
        <v>52.65</v>
      </c>
      <c r="J1579">
        <f t="shared" si="73"/>
        <v>-4.90000000000001</v>
      </c>
      <c r="K1579">
        <f t="shared" si="74"/>
        <v>-5.5</v>
      </c>
    </row>
    <row r="1580" spans="1:11">
      <c r="A1580">
        <v>52.72</v>
      </c>
      <c r="B1580">
        <v>-155</v>
      </c>
      <c r="C1580">
        <v>26.8</v>
      </c>
      <c r="E1580">
        <v>52.687</v>
      </c>
      <c r="F1580">
        <v>-154.9</v>
      </c>
      <c r="G1580">
        <v>26.8</v>
      </c>
      <c r="I1580">
        <f t="shared" si="75"/>
        <v>52.65</v>
      </c>
      <c r="J1580">
        <f t="shared" si="73"/>
        <v>-4.90000000000001</v>
      </c>
      <c r="K1580">
        <f t="shared" si="74"/>
        <v>-5.5</v>
      </c>
    </row>
    <row r="1581" spans="1:11">
      <c r="A1581">
        <v>52.754</v>
      </c>
      <c r="B1581">
        <v>-155.5</v>
      </c>
      <c r="C1581">
        <v>26.8</v>
      </c>
      <c r="E1581">
        <v>52.72</v>
      </c>
      <c r="F1581">
        <v>-155</v>
      </c>
      <c r="G1581">
        <v>26.8</v>
      </c>
      <c r="I1581">
        <f t="shared" si="75"/>
        <v>52.7</v>
      </c>
      <c r="J1581">
        <f t="shared" si="73"/>
        <v>-5</v>
      </c>
      <c r="K1581">
        <f t="shared" si="74"/>
        <v>-5.5</v>
      </c>
    </row>
    <row r="1582" spans="1:11">
      <c r="A1582">
        <v>52.787</v>
      </c>
      <c r="B1582">
        <v>-155.8</v>
      </c>
      <c r="C1582">
        <v>27.1</v>
      </c>
      <c r="E1582">
        <v>52.754</v>
      </c>
      <c r="F1582">
        <v>-155.5</v>
      </c>
      <c r="G1582">
        <v>26.8</v>
      </c>
      <c r="I1582">
        <f t="shared" si="75"/>
        <v>52.75</v>
      </c>
      <c r="J1582">
        <f t="shared" si="73"/>
        <v>-5.5</v>
      </c>
      <c r="K1582">
        <f t="shared" si="74"/>
        <v>-5.5</v>
      </c>
    </row>
    <row r="1583" spans="1:11">
      <c r="A1583">
        <v>52.821</v>
      </c>
      <c r="B1583">
        <v>-155.9</v>
      </c>
      <c r="C1583">
        <v>26.5</v>
      </c>
      <c r="E1583">
        <v>52.787</v>
      </c>
      <c r="F1583">
        <v>-155.8</v>
      </c>
      <c r="G1583">
        <v>27.1</v>
      </c>
      <c r="I1583">
        <f t="shared" si="75"/>
        <v>52.75</v>
      </c>
      <c r="J1583">
        <f t="shared" si="73"/>
        <v>-5.80000000000001</v>
      </c>
      <c r="K1583">
        <f t="shared" si="74"/>
        <v>-5.5</v>
      </c>
    </row>
    <row r="1584" spans="1:11">
      <c r="A1584">
        <v>52.854</v>
      </c>
      <c r="B1584">
        <v>-156.1</v>
      </c>
      <c r="C1584">
        <v>26.9</v>
      </c>
      <c r="E1584">
        <v>52.821</v>
      </c>
      <c r="F1584">
        <v>-155.9</v>
      </c>
      <c r="G1584">
        <v>26.5</v>
      </c>
      <c r="I1584">
        <f t="shared" si="75"/>
        <v>52.8</v>
      </c>
      <c r="J1584">
        <f t="shared" si="73"/>
        <v>-5.90000000000001</v>
      </c>
      <c r="K1584">
        <f t="shared" si="74"/>
        <v>-5.5</v>
      </c>
    </row>
    <row r="1585" spans="1:11">
      <c r="A1585">
        <v>52.888</v>
      </c>
      <c r="B1585">
        <v>-156.4</v>
      </c>
      <c r="C1585">
        <v>27.5</v>
      </c>
      <c r="E1585">
        <v>52.854</v>
      </c>
      <c r="F1585">
        <v>-156.1</v>
      </c>
      <c r="G1585">
        <v>26.9</v>
      </c>
      <c r="I1585">
        <f t="shared" si="75"/>
        <v>52.85</v>
      </c>
      <c r="J1585">
        <f t="shared" si="73"/>
        <v>-6.09999999999999</v>
      </c>
      <c r="K1585">
        <f t="shared" si="74"/>
        <v>-5.5</v>
      </c>
    </row>
    <row r="1586" spans="1:11">
      <c r="A1586">
        <v>52.921</v>
      </c>
      <c r="B1586">
        <v>-156.7</v>
      </c>
      <c r="C1586">
        <v>27.2</v>
      </c>
      <c r="E1586">
        <v>52.888</v>
      </c>
      <c r="F1586">
        <v>-156.4</v>
      </c>
      <c r="G1586">
        <v>27.5</v>
      </c>
      <c r="I1586">
        <f t="shared" si="75"/>
        <v>52.85</v>
      </c>
      <c r="J1586">
        <f t="shared" si="73"/>
        <v>-6.40000000000001</v>
      </c>
      <c r="K1586">
        <f t="shared" si="74"/>
        <v>-5.5</v>
      </c>
    </row>
    <row r="1587" spans="1:11">
      <c r="A1587">
        <v>52.955</v>
      </c>
      <c r="B1587">
        <v>-156.7</v>
      </c>
      <c r="C1587">
        <v>27</v>
      </c>
      <c r="E1587">
        <v>52.921</v>
      </c>
      <c r="F1587">
        <v>-156.7</v>
      </c>
      <c r="G1587">
        <v>27.2</v>
      </c>
      <c r="I1587">
        <f t="shared" si="75"/>
        <v>52.9</v>
      </c>
      <c r="J1587">
        <f t="shared" si="73"/>
        <v>-6.69999999999999</v>
      </c>
      <c r="K1587">
        <f t="shared" si="74"/>
        <v>-5.5</v>
      </c>
    </row>
    <row r="1588" spans="1:11">
      <c r="A1588">
        <v>52.988</v>
      </c>
      <c r="B1588">
        <v>-156.8</v>
      </c>
      <c r="C1588">
        <v>27</v>
      </c>
      <c r="E1588">
        <v>52.955</v>
      </c>
      <c r="F1588">
        <v>-156.7</v>
      </c>
      <c r="G1588">
        <v>27</v>
      </c>
      <c r="I1588">
        <f t="shared" si="75"/>
        <v>52.95</v>
      </c>
      <c r="J1588">
        <f t="shared" si="73"/>
        <v>-6.69999999999999</v>
      </c>
      <c r="K1588">
        <f t="shared" si="74"/>
        <v>-5.5</v>
      </c>
    </row>
    <row r="1589" spans="1:11">
      <c r="A1589">
        <v>53.021</v>
      </c>
      <c r="B1589">
        <v>-156.8</v>
      </c>
      <c r="C1589">
        <v>26.4</v>
      </c>
      <c r="E1589">
        <v>52.988</v>
      </c>
      <c r="F1589">
        <v>-156.8</v>
      </c>
      <c r="G1589">
        <v>27</v>
      </c>
      <c r="I1589">
        <f t="shared" si="75"/>
        <v>52.95</v>
      </c>
      <c r="J1589">
        <f t="shared" si="73"/>
        <v>-6.80000000000001</v>
      </c>
      <c r="K1589">
        <f t="shared" si="74"/>
        <v>-5.5</v>
      </c>
    </row>
    <row r="1590" spans="1:11">
      <c r="A1590">
        <v>53.055</v>
      </c>
      <c r="B1590">
        <v>-156.8</v>
      </c>
      <c r="C1590">
        <v>27.3</v>
      </c>
      <c r="E1590">
        <v>53.021</v>
      </c>
      <c r="F1590">
        <v>-156.8</v>
      </c>
      <c r="G1590">
        <v>26.4</v>
      </c>
      <c r="I1590">
        <f t="shared" si="75"/>
        <v>53</v>
      </c>
      <c r="J1590">
        <f t="shared" si="73"/>
        <v>-6.80000000000001</v>
      </c>
      <c r="K1590">
        <f t="shared" si="74"/>
        <v>-5.5</v>
      </c>
    </row>
    <row r="1591" spans="1:11">
      <c r="A1591">
        <v>53.088</v>
      </c>
      <c r="B1591">
        <v>-156.8</v>
      </c>
      <c r="C1591">
        <v>27.9</v>
      </c>
      <c r="E1591">
        <v>53.055</v>
      </c>
      <c r="F1591">
        <v>-156.8</v>
      </c>
      <c r="G1591">
        <v>27.3</v>
      </c>
      <c r="I1591">
        <f t="shared" si="75"/>
        <v>53.05</v>
      </c>
      <c r="J1591">
        <f t="shared" si="73"/>
        <v>-6.80000000000001</v>
      </c>
      <c r="K1591">
        <f t="shared" si="74"/>
        <v>-5.5</v>
      </c>
    </row>
    <row r="1592" spans="1:11">
      <c r="A1592">
        <v>53.122</v>
      </c>
      <c r="B1592">
        <v>-156.7</v>
      </c>
      <c r="C1592">
        <v>26.7</v>
      </c>
      <c r="E1592">
        <v>53.088</v>
      </c>
      <c r="F1592">
        <v>-156.8</v>
      </c>
      <c r="G1592">
        <v>27.9</v>
      </c>
      <c r="I1592">
        <f t="shared" si="75"/>
        <v>53.05</v>
      </c>
      <c r="J1592">
        <f t="shared" si="73"/>
        <v>-6.80000000000001</v>
      </c>
      <c r="K1592">
        <f t="shared" si="74"/>
        <v>-5.5</v>
      </c>
    </row>
    <row r="1593" spans="1:11">
      <c r="A1593">
        <v>53.155</v>
      </c>
      <c r="B1593">
        <v>-156.6</v>
      </c>
      <c r="C1593">
        <v>26.8</v>
      </c>
      <c r="E1593">
        <v>53.122</v>
      </c>
      <c r="F1593">
        <v>-156.7</v>
      </c>
      <c r="G1593">
        <v>26.7</v>
      </c>
      <c r="I1593">
        <f t="shared" si="75"/>
        <v>53.1</v>
      </c>
      <c r="J1593">
        <f t="shared" si="73"/>
        <v>-6.69999999999999</v>
      </c>
      <c r="K1593">
        <f t="shared" si="74"/>
        <v>-5.5</v>
      </c>
    </row>
    <row r="1594" spans="1:11">
      <c r="A1594">
        <v>53.189</v>
      </c>
      <c r="B1594">
        <v>-156.6</v>
      </c>
      <c r="C1594">
        <v>27.4</v>
      </c>
      <c r="E1594">
        <v>53.155</v>
      </c>
      <c r="F1594">
        <v>-156.6</v>
      </c>
      <c r="G1594">
        <v>26.8</v>
      </c>
      <c r="I1594">
        <f t="shared" si="75"/>
        <v>53.15</v>
      </c>
      <c r="J1594">
        <f t="shared" si="73"/>
        <v>-6.59999999999999</v>
      </c>
      <c r="K1594">
        <f t="shared" si="74"/>
        <v>-5.5</v>
      </c>
    </row>
    <row r="1595" spans="1:11">
      <c r="A1595">
        <v>53.222</v>
      </c>
      <c r="B1595">
        <v>-156.5</v>
      </c>
      <c r="C1595">
        <v>27.1</v>
      </c>
      <c r="E1595">
        <v>53.189</v>
      </c>
      <c r="F1595">
        <v>-156.6</v>
      </c>
      <c r="G1595">
        <v>27.4</v>
      </c>
      <c r="I1595">
        <f t="shared" si="75"/>
        <v>53.15</v>
      </c>
      <c r="J1595">
        <f t="shared" si="73"/>
        <v>-6.59999999999999</v>
      </c>
      <c r="K1595">
        <f t="shared" si="74"/>
        <v>-5.5</v>
      </c>
    </row>
    <row r="1596" spans="1:11">
      <c r="A1596">
        <v>53.255</v>
      </c>
      <c r="B1596">
        <v>-156.4</v>
      </c>
      <c r="C1596">
        <v>27.3</v>
      </c>
      <c r="E1596">
        <v>53.222</v>
      </c>
      <c r="F1596">
        <v>-156.5</v>
      </c>
      <c r="G1596">
        <v>27.1</v>
      </c>
      <c r="I1596">
        <f t="shared" si="75"/>
        <v>53.2</v>
      </c>
      <c r="J1596">
        <f t="shared" si="73"/>
        <v>-6.5</v>
      </c>
      <c r="K1596">
        <f t="shared" si="74"/>
        <v>-5.5</v>
      </c>
    </row>
    <row r="1597" spans="1:11">
      <c r="A1597">
        <v>53.289</v>
      </c>
      <c r="B1597">
        <v>-156.4</v>
      </c>
      <c r="C1597">
        <v>26.7</v>
      </c>
      <c r="E1597">
        <v>53.255</v>
      </c>
      <c r="F1597">
        <v>-156.4</v>
      </c>
      <c r="G1597">
        <v>27.3</v>
      </c>
      <c r="I1597">
        <f t="shared" si="75"/>
        <v>53.25</v>
      </c>
      <c r="J1597">
        <f t="shared" si="73"/>
        <v>-6.40000000000001</v>
      </c>
      <c r="K1597">
        <f t="shared" si="74"/>
        <v>-5.5</v>
      </c>
    </row>
    <row r="1598" spans="1:11">
      <c r="A1598">
        <v>53.322</v>
      </c>
      <c r="B1598">
        <v>-156.3</v>
      </c>
      <c r="C1598">
        <v>27.3</v>
      </c>
      <c r="E1598">
        <v>53.289</v>
      </c>
      <c r="F1598">
        <v>-156.4</v>
      </c>
      <c r="G1598">
        <v>26.7</v>
      </c>
      <c r="I1598">
        <f t="shared" si="75"/>
        <v>53.25</v>
      </c>
      <c r="J1598">
        <f t="shared" si="73"/>
        <v>-6.40000000000001</v>
      </c>
      <c r="K1598">
        <f t="shared" si="74"/>
        <v>-5.5</v>
      </c>
    </row>
    <row r="1599" spans="1:11">
      <c r="A1599">
        <v>53.356</v>
      </c>
      <c r="B1599">
        <v>-156.2</v>
      </c>
      <c r="C1599">
        <v>26.9</v>
      </c>
      <c r="E1599">
        <v>53.322</v>
      </c>
      <c r="F1599">
        <v>-156.3</v>
      </c>
      <c r="G1599">
        <v>27.3</v>
      </c>
      <c r="I1599">
        <f t="shared" si="75"/>
        <v>53.3</v>
      </c>
      <c r="J1599">
        <f t="shared" si="73"/>
        <v>-6.30000000000001</v>
      </c>
      <c r="K1599">
        <f t="shared" si="74"/>
        <v>-5.5</v>
      </c>
    </row>
    <row r="1600" spans="1:11">
      <c r="A1600">
        <v>53.389</v>
      </c>
      <c r="B1600">
        <v>-156.2</v>
      </c>
      <c r="C1600">
        <v>26.9</v>
      </c>
      <c r="E1600">
        <v>53.356</v>
      </c>
      <c r="F1600">
        <v>-156.2</v>
      </c>
      <c r="G1600">
        <v>26.9</v>
      </c>
      <c r="I1600">
        <f t="shared" si="75"/>
        <v>53.35</v>
      </c>
      <c r="J1600">
        <f t="shared" si="73"/>
        <v>-6.19999999999999</v>
      </c>
      <c r="K1600">
        <f t="shared" si="74"/>
        <v>-5.5</v>
      </c>
    </row>
    <row r="1601" spans="1:11">
      <c r="A1601">
        <v>53.423</v>
      </c>
      <c r="B1601">
        <v>-156.1</v>
      </c>
      <c r="C1601">
        <v>27.3</v>
      </c>
      <c r="E1601">
        <v>53.389</v>
      </c>
      <c r="F1601">
        <v>-156.2</v>
      </c>
      <c r="G1601">
        <v>26.9</v>
      </c>
      <c r="I1601">
        <f t="shared" si="75"/>
        <v>53.35</v>
      </c>
      <c r="J1601">
        <f t="shared" si="73"/>
        <v>-6.19999999999999</v>
      </c>
      <c r="K1601">
        <f t="shared" si="74"/>
        <v>-5.5</v>
      </c>
    </row>
    <row r="1602" spans="1:11">
      <c r="A1602">
        <v>53.456</v>
      </c>
      <c r="B1602">
        <v>-156</v>
      </c>
      <c r="C1602">
        <v>27</v>
      </c>
      <c r="E1602">
        <v>53.423</v>
      </c>
      <c r="F1602">
        <v>-156.1</v>
      </c>
      <c r="G1602">
        <v>27.3</v>
      </c>
      <c r="I1602">
        <f t="shared" si="75"/>
        <v>53.4</v>
      </c>
      <c r="J1602">
        <f t="shared" si="73"/>
        <v>-6.09999999999999</v>
      </c>
      <c r="K1602">
        <f t="shared" si="74"/>
        <v>-5.5</v>
      </c>
    </row>
    <row r="1603" spans="1:11">
      <c r="A1603">
        <v>53.489</v>
      </c>
      <c r="B1603">
        <v>-155.9</v>
      </c>
      <c r="C1603">
        <v>27</v>
      </c>
      <c r="E1603">
        <v>53.456</v>
      </c>
      <c r="F1603">
        <v>-156</v>
      </c>
      <c r="G1603">
        <v>27</v>
      </c>
      <c r="I1603">
        <f t="shared" si="75"/>
        <v>53.45</v>
      </c>
      <c r="J1603">
        <f t="shared" si="73"/>
        <v>-6</v>
      </c>
      <c r="K1603">
        <f t="shared" si="74"/>
        <v>-5.5</v>
      </c>
    </row>
    <row r="1604" spans="1:11">
      <c r="A1604">
        <v>53.523</v>
      </c>
      <c r="B1604">
        <v>-155.4</v>
      </c>
      <c r="C1604">
        <v>27.1</v>
      </c>
      <c r="E1604">
        <v>53.489</v>
      </c>
      <c r="F1604">
        <v>-155.9</v>
      </c>
      <c r="G1604">
        <v>27</v>
      </c>
      <c r="I1604">
        <f t="shared" si="75"/>
        <v>53.45</v>
      </c>
      <c r="J1604">
        <f t="shared" si="73"/>
        <v>-5.90000000000001</v>
      </c>
      <c r="K1604">
        <f t="shared" si="74"/>
        <v>-5.5</v>
      </c>
    </row>
    <row r="1605" spans="1:11">
      <c r="A1605">
        <v>53.556</v>
      </c>
      <c r="B1605">
        <v>-155.1</v>
      </c>
      <c r="C1605">
        <v>26.8</v>
      </c>
      <c r="E1605">
        <v>53.523</v>
      </c>
      <c r="F1605">
        <v>-155.4</v>
      </c>
      <c r="G1605">
        <v>27.1</v>
      </c>
      <c r="I1605">
        <f t="shared" si="75"/>
        <v>53.5</v>
      </c>
      <c r="J1605">
        <f t="shared" ref="J1605:J1668" si="76">F1605+150</f>
        <v>-5.40000000000001</v>
      </c>
      <c r="K1605">
        <f t="shared" ref="K1605:K1668" si="77">IF(G1605&lt;230,-5.5,5)</f>
        <v>-5.5</v>
      </c>
    </row>
    <row r="1606" spans="1:11">
      <c r="A1606">
        <v>53.59</v>
      </c>
      <c r="B1606">
        <v>-154.9</v>
      </c>
      <c r="C1606">
        <v>27.4</v>
      </c>
      <c r="E1606">
        <v>53.556</v>
      </c>
      <c r="F1606">
        <v>-155.1</v>
      </c>
      <c r="G1606">
        <v>26.8</v>
      </c>
      <c r="I1606">
        <f t="shared" si="75"/>
        <v>53.55</v>
      </c>
      <c r="J1606">
        <f t="shared" si="76"/>
        <v>-5.09999999999999</v>
      </c>
      <c r="K1606">
        <f t="shared" si="77"/>
        <v>-5.5</v>
      </c>
    </row>
    <row r="1607" spans="1:11">
      <c r="A1607">
        <v>53.623</v>
      </c>
      <c r="B1607">
        <v>-154.4</v>
      </c>
      <c r="C1607">
        <v>26.9</v>
      </c>
      <c r="E1607">
        <v>53.59</v>
      </c>
      <c r="F1607">
        <v>-154.9</v>
      </c>
      <c r="G1607">
        <v>27.4</v>
      </c>
      <c r="I1607">
        <f t="shared" si="75"/>
        <v>53.55</v>
      </c>
      <c r="J1607">
        <f t="shared" si="76"/>
        <v>-4.90000000000001</v>
      </c>
      <c r="K1607">
        <f t="shared" si="77"/>
        <v>-5.5</v>
      </c>
    </row>
    <row r="1608" spans="1:11">
      <c r="A1608">
        <v>53.657</v>
      </c>
      <c r="B1608">
        <v>-154.3</v>
      </c>
      <c r="C1608">
        <v>27.1</v>
      </c>
      <c r="E1608">
        <v>53.623</v>
      </c>
      <c r="F1608">
        <v>-154.4</v>
      </c>
      <c r="G1608">
        <v>26.9</v>
      </c>
      <c r="I1608">
        <f t="shared" si="75"/>
        <v>53.6</v>
      </c>
      <c r="J1608">
        <f t="shared" si="76"/>
        <v>-4.40000000000001</v>
      </c>
      <c r="K1608">
        <f t="shared" si="77"/>
        <v>-5.5</v>
      </c>
    </row>
    <row r="1609" spans="1:11">
      <c r="A1609">
        <v>53.69</v>
      </c>
      <c r="B1609">
        <v>-154.1</v>
      </c>
      <c r="C1609">
        <v>27.5</v>
      </c>
      <c r="E1609">
        <v>53.657</v>
      </c>
      <c r="F1609">
        <v>-154.3</v>
      </c>
      <c r="G1609">
        <v>27.1</v>
      </c>
      <c r="I1609">
        <f t="shared" si="75"/>
        <v>53.65</v>
      </c>
      <c r="J1609">
        <f t="shared" si="76"/>
        <v>-4.30000000000001</v>
      </c>
      <c r="K1609">
        <f t="shared" si="77"/>
        <v>-5.5</v>
      </c>
    </row>
    <row r="1610" spans="1:11">
      <c r="A1610">
        <v>53.723</v>
      </c>
      <c r="B1610">
        <v>-154</v>
      </c>
      <c r="C1610">
        <v>27.2</v>
      </c>
      <c r="E1610">
        <v>53.69</v>
      </c>
      <c r="F1610">
        <v>-154.1</v>
      </c>
      <c r="G1610">
        <v>27.5</v>
      </c>
      <c r="I1610">
        <f t="shared" si="75"/>
        <v>53.65</v>
      </c>
      <c r="J1610">
        <f t="shared" si="76"/>
        <v>-4.09999999999999</v>
      </c>
      <c r="K1610">
        <f t="shared" si="77"/>
        <v>-5.5</v>
      </c>
    </row>
    <row r="1611" spans="1:11">
      <c r="A1611">
        <v>53.757</v>
      </c>
      <c r="B1611">
        <v>-154.1</v>
      </c>
      <c r="C1611">
        <v>27</v>
      </c>
      <c r="E1611">
        <v>53.723</v>
      </c>
      <c r="F1611">
        <v>-154</v>
      </c>
      <c r="G1611">
        <v>27.2</v>
      </c>
      <c r="I1611">
        <f t="shared" si="75"/>
        <v>53.7</v>
      </c>
      <c r="J1611">
        <f t="shared" si="76"/>
        <v>-4</v>
      </c>
      <c r="K1611">
        <f t="shared" si="77"/>
        <v>-5.5</v>
      </c>
    </row>
    <row r="1612" spans="1:11">
      <c r="A1612">
        <v>53.79</v>
      </c>
      <c r="B1612">
        <v>-154</v>
      </c>
      <c r="C1612">
        <v>27</v>
      </c>
      <c r="E1612">
        <v>53.757</v>
      </c>
      <c r="F1612">
        <v>-154.1</v>
      </c>
      <c r="G1612">
        <v>27</v>
      </c>
      <c r="I1612">
        <f t="shared" si="75"/>
        <v>53.75</v>
      </c>
      <c r="J1612">
        <f t="shared" si="76"/>
        <v>-4.09999999999999</v>
      </c>
      <c r="K1612">
        <f t="shared" si="77"/>
        <v>-5.5</v>
      </c>
    </row>
    <row r="1613" spans="1:11">
      <c r="A1613">
        <v>53.824</v>
      </c>
      <c r="B1613">
        <v>-154.1</v>
      </c>
      <c r="C1613">
        <v>27</v>
      </c>
      <c r="E1613">
        <v>53.79</v>
      </c>
      <c r="F1613">
        <v>-154</v>
      </c>
      <c r="G1613">
        <v>27</v>
      </c>
      <c r="I1613">
        <f t="shared" si="75"/>
        <v>53.75</v>
      </c>
      <c r="J1613">
        <f t="shared" si="76"/>
        <v>-4</v>
      </c>
      <c r="K1613">
        <f t="shared" si="77"/>
        <v>-5.5</v>
      </c>
    </row>
    <row r="1614" spans="1:11">
      <c r="A1614">
        <v>53.857</v>
      </c>
      <c r="B1614">
        <v>-154.2</v>
      </c>
      <c r="C1614">
        <v>27.1</v>
      </c>
      <c r="E1614">
        <v>53.824</v>
      </c>
      <c r="F1614">
        <v>-154.1</v>
      </c>
      <c r="G1614">
        <v>27</v>
      </c>
      <c r="I1614">
        <f t="shared" si="75"/>
        <v>53.8</v>
      </c>
      <c r="J1614">
        <f t="shared" si="76"/>
        <v>-4.09999999999999</v>
      </c>
      <c r="K1614">
        <f t="shared" si="77"/>
        <v>-5.5</v>
      </c>
    </row>
    <row r="1615" spans="1:11">
      <c r="A1615">
        <v>53.891</v>
      </c>
      <c r="B1615">
        <v>-154.2</v>
      </c>
      <c r="C1615">
        <v>26.8</v>
      </c>
      <c r="E1615">
        <v>53.857</v>
      </c>
      <c r="F1615">
        <v>-154.2</v>
      </c>
      <c r="G1615">
        <v>27.1</v>
      </c>
      <c r="I1615">
        <f t="shared" si="75"/>
        <v>53.85</v>
      </c>
      <c r="J1615">
        <f t="shared" si="76"/>
        <v>-4.19999999999999</v>
      </c>
      <c r="K1615">
        <f t="shared" si="77"/>
        <v>-5.5</v>
      </c>
    </row>
    <row r="1616" spans="1:11">
      <c r="A1616">
        <v>53.924</v>
      </c>
      <c r="B1616">
        <v>-154.3</v>
      </c>
      <c r="C1616">
        <v>26.8</v>
      </c>
      <c r="E1616">
        <v>53.891</v>
      </c>
      <c r="F1616">
        <v>-154.2</v>
      </c>
      <c r="G1616">
        <v>26.8</v>
      </c>
      <c r="I1616">
        <f t="shared" si="75"/>
        <v>53.85</v>
      </c>
      <c r="J1616">
        <f t="shared" si="76"/>
        <v>-4.19999999999999</v>
      </c>
      <c r="K1616">
        <f t="shared" si="77"/>
        <v>-5.5</v>
      </c>
    </row>
    <row r="1617" spans="1:11">
      <c r="A1617">
        <v>53.957</v>
      </c>
      <c r="B1617">
        <v>-154.3</v>
      </c>
      <c r="C1617">
        <v>26.7</v>
      </c>
      <c r="E1617">
        <v>53.924</v>
      </c>
      <c r="F1617">
        <v>-154.3</v>
      </c>
      <c r="G1617">
        <v>26.8</v>
      </c>
      <c r="I1617">
        <f t="shared" si="75"/>
        <v>53.9</v>
      </c>
      <c r="J1617">
        <f t="shared" si="76"/>
        <v>-4.30000000000001</v>
      </c>
      <c r="K1617">
        <f t="shared" si="77"/>
        <v>-5.5</v>
      </c>
    </row>
    <row r="1618" spans="1:11">
      <c r="A1618">
        <v>53.991</v>
      </c>
      <c r="B1618">
        <v>-154.4</v>
      </c>
      <c r="C1618">
        <v>26.8</v>
      </c>
      <c r="E1618">
        <v>53.957</v>
      </c>
      <c r="F1618">
        <v>-154.3</v>
      </c>
      <c r="G1618">
        <v>26.7</v>
      </c>
      <c r="I1618">
        <f t="shared" si="75"/>
        <v>53.95</v>
      </c>
      <c r="J1618">
        <f t="shared" si="76"/>
        <v>-4.30000000000001</v>
      </c>
      <c r="K1618">
        <f t="shared" si="77"/>
        <v>-5.5</v>
      </c>
    </row>
    <row r="1619" spans="1:11">
      <c r="A1619">
        <v>54.024</v>
      </c>
      <c r="B1619">
        <v>-154.5</v>
      </c>
      <c r="C1619">
        <v>26.8</v>
      </c>
      <c r="E1619">
        <v>53.991</v>
      </c>
      <c r="F1619">
        <v>-154.4</v>
      </c>
      <c r="G1619">
        <v>26.8</v>
      </c>
      <c r="I1619">
        <f t="shared" si="75"/>
        <v>53.95</v>
      </c>
      <c r="J1619">
        <f t="shared" si="76"/>
        <v>-4.40000000000001</v>
      </c>
      <c r="K1619">
        <f t="shared" si="77"/>
        <v>-5.5</v>
      </c>
    </row>
    <row r="1620" spans="1:11">
      <c r="A1620">
        <v>54.058</v>
      </c>
      <c r="B1620">
        <v>-154.5</v>
      </c>
      <c r="C1620">
        <v>26.9</v>
      </c>
      <c r="E1620">
        <v>54.024</v>
      </c>
      <c r="F1620">
        <v>-154.5</v>
      </c>
      <c r="G1620">
        <v>26.8</v>
      </c>
      <c r="I1620">
        <f t="shared" si="75"/>
        <v>54</v>
      </c>
      <c r="J1620">
        <f t="shared" si="76"/>
        <v>-4.5</v>
      </c>
      <c r="K1620">
        <f t="shared" si="77"/>
        <v>-5.5</v>
      </c>
    </row>
    <row r="1621" spans="1:11">
      <c r="A1621">
        <v>54.091</v>
      </c>
      <c r="B1621">
        <v>-154.6</v>
      </c>
      <c r="C1621">
        <v>26.8</v>
      </c>
      <c r="E1621">
        <v>54.058</v>
      </c>
      <c r="F1621">
        <v>-154.5</v>
      </c>
      <c r="G1621">
        <v>26.9</v>
      </c>
      <c r="I1621">
        <f t="shared" si="75"/>
        <v>54.05</v>
      </c>
      <c r="J1621">
        <f t="shared" si="76"/>
        <v>-4.5</v>
      </c>
      <c r="K1621">
        <f t="shared" si="77"/>
        <v>-5.5</v>
      </c>
    </row>
    <row r="1622" spans="1:11">
      <c r="A1622">
        <v>54.125</v>
      </c>
      <c r="B1622">
        <v>-154.7</v>
      </c>
      <c r="C1622">
        <v>27</v>
      </c>
      <c r="E1622">
        <v>54.091</v>
      </c>
      <c r="F1622">
        <v>-154.6</v>
      </c>
      <c r="G1622">
        <v>26.8</v>
      </c>
      <c r="I1622">
        <f t="shared" si="75"/>
        <v>54.05</v>
      </c>
      <c r="J1622">
        <f t="shared" si="76"/>
        <v>-4.59999999999999</v>
      </c>
      <c r="K1622">
        <f t="shared" si="77"/>
        <v>-5.5</v>
      </c>
    </row>
    <row r="1623" spans="1:11">
      <c r="A1623">
        <v>54.158</v>
      </c>
      <c r="B1623">
        <v>-154.7</v>
      </c>
      <c r="C1623">
        <v>26.8</v>
      </c>
      <c r="E1623">
        <v>54.125</v>
      </c>
      <c r="F1623">
        <v>-154.7</v>
      </c>
      <c r="G1623">
        <v>27</v>
      </c>
      <c r="I1623">
        <f t="shared" si="75"/>
        <v>54.1</v>
      </c>
      <c r="J1623">
        <f t="shared" si="76"/>
        <v>-4.69999999999999</v>
      </c>
      <c r="K1623">
        <f t="shared" si="77"/>
        <v>-5.5</v>
      </c>
    </row>
    <row r="1624" spans="1:11">
      <c r="A1624">
        <v>54.191</v>
      </c>
      <c r="B1624">
        <v>-154.8</v>
      </c>
      <c r="C1624">
        <v>26.9</v>
      </c>
      <c r="E1624">
        <v>54.158</v>
      </c>
      <c r="F1624">
        <v>-154.7</v>
      </c>
      <c r="G1624">
        <v>26.8</v>
      </c>
      <c r="I1624">
        <f t="shared" si="75"/>
        <v>54.15</v>
      </c>
      <c r="J1624">
        <f t="shared" si="76"/>
        <v>-4.69999999999999</v>
      </c>
      <c r="K1624">
        <f t="shared" si="77"/>
        <v>-5.5</v>
      </c>
    </row>
    <row r="1625" spans="1:11">
      <c r="A1625">
        <v>54.225</v>
      </c>
      <c r="B1625">
        <v>-154.9</v>
      </c>
      <c r="C1625">
        <v>27.2</v>
      </c>
      <c r="E1625">
        <v>54.191</v>
      </c>
      <c r="F1625">
        <v>-154.8</v>
      </c>
      <c r="G1625">
        <v>26.9</v>
      </c>
      <c r="I1625">
        <f t="shared" si="75"/>
        <v>54.15</v>
      </c>
      <c r="J1625">
        <f t="shared" si="76"/>
        <v>-4.80000000000001</v>
      </c>
      <c r="K1625">
        <f t="shared" si="77"/>
        <v>-5.5</v>
      </c>
    </row>
    <row r="1626" spans="1:11">
      <c r="A1626">
        <v>54.258</v>
      </c>
      <c r="B1626">
        <v>-155</v>
      </c>
      <c r="C1626">
        <v>26.9</v>
      </c>
      <c r="E1626">
        <v>54.225</v>
      </c>
      <c r="F1626">
        <v>-154.9</v>
      </c>
      <c r="G1626">
        <v>27.2</v>
      </c>
      <c r="I1626">
        <f t="shared" si="75"/>
        <v>54.2</v>
      </c>
      <c r="J1626">
        <f t="shared" si="76"/>
        <v>-4.90000000000001</v>
      </c>
      <c r="K1626">
        <f t="shared" si="77"/>
        <v>-5.5</v>
      </c>
    </row>
    <row r="1627" spans="1:11">
      <c r="A1627">
        <v>54.292</v>
      </c>
      <c r="B1627">
        <v>-155.1</v>
      </c>
      <c r="C1627">
        <v>27</v>
      </c>
      <c r="E1627">
        <v>54.258</v>
      </c>
      <c r="F1627">
        <v>-155</v>
      </c>
      <c r="G1627">
        <v>26.9</v>
      </c>
      <c r="I1627">
        <f t="shared" si="75"/>
        <v>54.25</v>
      </c>
      <c r="J1627">
        <f t="shared" si="76"/>
        <v>-5</v>
      </c>
      <c r="K1627">
        <f t="shared" si="77"/>
        <v>-5.5</v>
      </c>
    </row>
    <row r="1628" spans="1:11">
      <c r="A1628">
        <v>54.325</v>
      </c>
      <c r="B1628">
        <v>-155.6</v>
      </c>
      <c r="C1628">
        <v>26.7</v>
      </c>
      <c r="E1628">
        <v>54.292</v>
      </c>
      <c r="F1628">
        <v>-155.1</v>
      </c>
      <c r="G1628">
        <v>27</v>
      </c>
      <c r="I1628">
        <f t="shared" si="75"/>
        <v>54.25</v>
      </c>
      <c r="J1628">
        <f t="shared" si="76"/>
        <v>-5.09999999999999</v>
      </c>
      <c r="K1628">
        <f t="shared" si="77"/>
        <v>-5.5</v>
      </c>
    </row>
    <row r="1629" spans="1:11">
      <c r="A1629">
        <v>54.359</v>
      </c>
      <c r="B1629">
        <v>-155.7</v>
      </c>
      <c r="C1629">
        <v>26.8</v>
      </c>
      <c r="E1629">
        <v>54.325</v>
      </c>
      <c r="F1629">
        <v>-155.6</v>
      </c>
      <c r="G1629">
        <v>26.7</v>
      </c>
      <c r="I1629">
        <f t="shared" si="75"/>
        <v>54.3</v>
      </c>
      <c r="J1629">
        <f t="shared" si="76"/>
        <v>-5.59999999999999</v>
      </c>
      <c r="K1629">
        <f t="shared" si="77"/>
        <v>-5.5</v>
      </c>
    </row>
    <row r="1630" spans="1:11">
      <c r="A1630">
        <v>54.392</v>
      </c>
      <c r="B1630">
        <v>-155.9</v>
      </c>
      <c r="C1630">
        <v>26.5</v>
      </c>
      <c r="E1630">
        <v>54.359</v>
      </c>
      <c r="F1630">
        <v>-155.7</v>
      </c>
      <c r="G1630">
        <v>26.8</v>
      </c>
      <c r="I1630">
        <f t="shared" si="75"/>
        <v>54.35</v>
      </c>
      <c r="J1630">
        <f t="shared" si="76"/>
        <v>-5.69999999999999</v>
      </c>
      <c r="K1630">
        <f t="shared" si="77"/>
        <v>-5.5</v>
      </c>
    </row>
    <row r="1631" spans="1:11">
      <c r="A1631">
        <v>54.425</v>
      </c>
      <c r="B1631">
        <v>-155.9</v>
      </c>
      <c r="C1631">
        <v>26.4</v>
      </c>
      <c r="E1631">
        <v>54.392</v>
      </c>
      <c r="F1631">
        <v>-155.9</v>
      </c>
      <c r="G1631">
        <v>26.5</v>
      </c>
      <c r="I1631">
        <f t="shared" si="75"/>
        <v>54.35</v>
      </c>
      <c r="J1631">
        <f t="shared" si="76"/>
        <v>-5.90000000000001</v>
      </c>
      <c r="K1631">
        <f t="shared" si="77"/>
        <v>-5.5</v>
      </c>
    </row>
    <row r="1632" spans="1:11">
      <c r="A1632">
        <v>54.459</v>
      </c>
      <c r="B1632">
        <v>-155.9</v>
      </c>
      <c r="C1632">
        <v>26.6</v>
      </c>
      <c r="E1632">
        <v>54.425</v>
      </c>
      <c r="F1632">
        <v>-155.9</v>
      </c>
      <c r="G1632">
        <v>26.4</v>
      </c>
      <c r="I1632">
        <f t="shared" si="75"/>
        <v>54.4</v>
      </c>
      <c r="J1632">
        <f t="shared" si="76"/>
        <v>-5.90000000000001</v>
      </c>
      <c r="K1632">
        <f t="shared" si="77"/>
        <v>-5.5</v>
      </c>
    </row>
    <row r="1633" spans="1:11">
      <c r="A1633">
        <v>54.492</v>
      </c>
      <c r="B1633">
        <v>-155.9</v>
      </c>
      <c r="C1633">
        <v>26.8</v>
      </c>
      <c r="E1633">
        <v>54.459</v>
      </c>
      <c r="F1633">
        <v>-155.9</v>
      </c>
      <c r="G1633">
        <v>26.6</v>
      </c>
      <c r="I1633">
        <f t="shared" si="75"/>
        <v>54.45</v>
      </c>
      <c r="J1633">
        <f t="shared" si="76"/>
        <v>-5.90000000000001</v>
      </c>
      <c r="K1633">
        <f t="shared" si="77"/>
        <v>-5.5</v>
      </c>
    </row>
    <row r="1634" spans="1:11">
      <c r="A1634">
        <v>54.526</v>
      </c>
      <c r="B1634">
        <v>-155.9</v>
      </c>
      <c r="C1634">
        <v>26.8</v>
      </c>
      <c r="E1634">
        <v>54.492</v>
      </c>
      <c r="F1634">
        <v>-155.9</v>
      </c>
      <c r="G1634">
        <v>26.8</v>
      </c>
      <c r="I1634">
        <f t="shared" si="75"/>
        <v>54.45</v>
      </c>
      <c r="J1634">
        <f t="shared" si="76"/>
        <v>-5.90000000000001</v>
      </c>
      <c r="K1634">
        <f t="shared" si="77"/>
        <v>-5.5</v>
      </c>
    </row>
    <row r="1635" spans="1:11">
      <c r="A1635">
        <v>54.559</v>
      </c>
      <c r="B1635">
        <v>-155.9</v>
      </c>
      <c r="C1635">
        <v>26.6</v>
      </c>
      <c r="E1635">
        <v>54.526</v>
      </c>
      <c r="F1635">
        <v>-155.9</v>
      </c>
      <c r="G1635">
        <v>26.8</v>
      </c>
      <c r="I1635">
        <f t="shared" ref="I1635:I1698" si="78">FLOOR(E1635,0.05)</f>
        <v>54.5</v>
      </c>
      <c r="J1635">
        <f t="shared" si="76"/>
        <v>-5.90000000000001</v>
      </c>
      <c r="K1635">
        <f t="shared" si="77"/>
        <v>-5.5</v>
      </c>
    </row>
    <row r="1636" spans="1:11">
      <c r="A1636">
        <v>54.593</v>
      </c>
      <c r="B1636">
        <v>-155.8</v>
      </c>
      <c r="C1636">
        <v>26.6</v>
      </c>
      <c r="E1636">
        <v>54.559</v>
      </c>
      <c r="F1636">
        <v>-155.9</v>
      </c>
      <c r="G1636">
        <v>26.6</v>
      </c>
      <c r="I1636">
        <f t="shared" si="78"/>
        <v>54.55</v>
      </c>
      <c r="J1636">
        <f t="shared" si="76"/>
        <v>-5.90000000000001</v>
      </c>
      <c r="K1636">
        <f t="shared" si="77"/>
        <v>-5.5</v>
      </c>
    </row>
    <row r="1637" spans="1:11">
      <c r="A1637">
        <v>54.626</v>
      </c>
      <c r="B1637">
        <v>-155.7</v>
      </c>
      <c r="C1637">
        <v>27</v>
      </c>
      <c r="E1637">
        <v>54.593</v>
      </c>
      <c r="F1637">
        <v>-155.8</v>
      </c>
      <c r="G1637">
        <v>26.6</v>
      </c>
      <c r="I1637">
        <f t="shared" si="78"/>
        <v>54.55</v>
      </c>
      <c r="J1637">
        <f t="shared" si="76"/>
        <v>-5.80000000000001</v>
      </c>
      <c r="K1637">
        <f t="shared" si="77"/>
        <v>-5.5</v>
      </c>
    </row>
    <row r="1638" spans="1:11">
      <c r="A1638">
        <v>54.659</v>
      </c>
      <c r="B1638">
        <v>-155.7</v>
      </c>
      <c r="C1638">
        <v>26.8</v>
      </c>
      <c r="E1638">
        <v>54.626</v>
      </c>
      <c r="F1638">
        <v>-155.7</v>
      </c>
      <c r="G1638">
        <v>27</v>
      </c>
      <c r="I1638">
        <f t="shared" si="78"/>
        <v>54.6</v>
      </c>
      <c r="J1638">
        <f t="shared" si="76"/>
        <v>-5.69999999999999</v>
      </c>
      <c r="K1638">
        <f t="shared" si="77"/>
        <v>-5.5</v>
      </c>
    </row>
    <row r="1639" spans="1:11">
      <c r="A1639">
        <v>54.693</v>
      </c>
      <c r="B1639">
        <v>-155.7</v>
      </c>
      <c r="C1639">
        <v>27</v>
      </c>
      <c r="E1639">
        <v>54.659</v>
      </c>
      <c r="F1639">
        <v>-155.7</v>
      </c>
      <c r="G1639">
        <v>26.8</v>
      </c>
      <c r="I1639">
        <f t="shared" si="78"/>
        <v>54.65</v>
      </c>
      <c r="J1639">
        <f t="shared" si="76"/>
        <v>-5.69999999999999</v>
      </c>
      <c r="K1639">
        <f t="shared" si="77"/>
        <v>-5.5</v>
      </c>
    </row>
    <row r="1640" spans="1:11">
      <c r="A1640">
        <v>54.726</v>
      </c>
      <c r="B1640">
        <v>-155.6</v>
      </c>
      <c r="C1640">
        <v>26.8</v>
      </c>
      <c r="E1640">
        <v>54.693</v>
      </c>
      <c r="F1640">
        <v>-155.7</v>
      </c>
      <c r="G1640">
        <v>27</v>
      </c>
      <c r="I1640">
        <f t="shared" si="78"/>
        <v>54.65</v>
      </c>
      <c r="J1640">
        <f t="shared" si="76"/>
        <v>-5.69999999999999</v>
      </c>
      <c r="K1640">
        <f t="shared" si="77"/>
        <v>-5.5</v>
      </c>
    </row>
    <row r="1641" spans="1:11">
      <c r="A1641">
        <v>54.76</v>
      </c>
      <c r="B1641">
        <v>-155.5</v>
      </c>
      <c r="C1641">
        <v>26.5</v>
      </c>
      <c r="E1641">
        <v>54.726</v>
      </c>
      <c r="F1641">
        <v>-155.6</v>
      </c>
      <c r="G1641">
        <v>26.8</v>
      </c>
      <c r="I1641">
        <f t="shared" si="78"/>
        <v>54.7</v>
      </c>
      <c r="J1641">
        <f t="shared" si="76"/>
        <v>-5.59999999999999</v>
      </c>
      <c r="K1641">
        <f t="shared" si="77"/>
        <v>-5.5</v>
      </c>
    </row>
    <row r="1642" spans="1:11">
      <c r="A1642">
        <v>54.793</v>
      </c>
      <c r="B1642">
        <v>-155.5</v>
      </c>
      <c r="C1642">
        <v>26.5</v>
      </c>
      <c r="E1642">
        <v>54.76</v>
      </c>
      <c r="F1642">
        <v>-155.5</v>
      </c>
      <c r="G1642">
        <v>26.5</v>
      </c>
      <c r="I1642">
        <f t="shared" si="78"/>
        <v>54.75</v>
      </c>
      <c r="J1642">
        <f t="shared" si="76"/>
        <v>-5.5</v>
      </c>
      <c r="K1642">
        <f t="shared" si="77"/>
        <v>-5.5</v>
      </c>
    </row>
    <row r="1643" spans="1:11">
      <c r="A1643">
        <v>54.827</v>
      </c>
      <c r="B1643">
        <v>-155.4</v>
      </c>
      <c r="C1643">
        <v>26.6</v>
      </c>
      <c r="E1643">
        <v>54.793</v>
      </c>
      <c r="F1643">
        <v>-155.5</v>
      </c>
      <c r="G1643">
        <v>26.5</v>
      </c>
      <c r="I1643">
        <f t="shared" si="78"/>
        <v>54.75</v>
      </c>
      <c r="J1643">
        <f t="shared" si="76"/>
        <v>-5.5</v>
      </c>
      <c r="K1643">
        <f t="shared" si="77"/>
        <v>-5.5</v>
      </c>
    </row>
    <row r="1644" spans="1:11">
      <c r="A1644">
        <v>54.86</v>
      </c>
      <c r="B1644">
        <v>-155.4</v>
      </c>
      <c r="C1644">
        <v>27.1</v>
      </c>
      <c r="E1644">
        <v>54.827</v>
      </c>
      <c r="F1644">
        <v>-155.4</v>
      </c>
      <c r="G1644">
        <v>26.6</v>
      </c>
      <c r="I1644">
        <f t="shared" si="78"/>
        <v>54.8</v>
      </c>
      <c r="J1644">
        <f t="shared" si="76"/>
        <v>-5.40000000000001</v>
      </c>
      <c r="K1644">
        <f t="shared" si="77"/>
        <v>-5.5</v>
      </c>
    </row>
    <row r="1645" spans="1:11">
      <c r="A1645">
        <v>54.893</v>
      </c>
      <c r="B1645">
        <v>-155.3</v>
      </c>
      <c r="C1645">
        <v>26.8</v>
      </c>
      <c r="E1645">
        <v>54.86</v>
      </c>
      <c r="F1645">
        <v>-155.4</v>
      </c>
      <c r="G1645">
        <v>27.1</v>
      </c>
      <c r="I1645">
        <f t="shared" si="78"/>
        <v>54.85</v>
      </c>
      <c r="J1645">
        <f t="shared" si="76"/>
        <v>-5.40000000000001</v>
      </c>
      <c r="K1645">
        <f t="shared" si="77"/>
        <v>-5.5</v>
      </c>
    </row>
    <row r="1646" spans="1:11">
      <c r="A1646">
        <v>54.927</v>
      </c>
      <c r="B1646">
        <v>-155.2</v>
      </c>
      <c r="C1646">
        <v>26.6</v>
      </c>
      <c r="E1646">
        <v>54.893</v>
      </c>
      <c r="F1646">
        <v>-155.3</v>
      </c>
      <c r="G1646">
        <v>26.8</v>
      </c>
      <c r="I1646">
        <f t="shared" si="78"/>
        <v>54.85</v>
      </c>
      <c r="J1646">
        <f t="shared" si="76"/>
        <v>-5.30000000000001</v>
      </c>
      <c r="K1646">
        <f t="shared" si="77"/>
        <v>-5.5</v>
      </c>
    </row>
    <row r="1647" spans="1:11">
      <c r="A1647">
        <v>54.96</v>
      </c>
      <c r="B1647">
        <v>-155.1</v>
      </c>
      <c r="C1647">
        <v>26.9</v>
      </c>
      <c r="E1647">
        <v>54.927</v>
      </c>
      <c r="F1647">
        <v>-155.2</v>
      </c>
      <c r="G1647">
        <v>26.6</v>
      </c>
      <c r="I1647">
        <f t="shared" si="78"/>
        <v>54.9</v>
      </c>
      <c r="J1647">
        <f t="shared" si="76"/>
        <v>-5.19999999999999</v>
      </c>
      <c r="K1647">
        <f t="shared" si="77"/>
        <v>-5.5</v>
      </c>
    </row>
    <row r="1648" spans="1:11">
      <c r="A1648">
        <v>54.994</v>
      </c>
      <c r="B1648">
        <v>-155</v>
      </c>
      <c r="C1648">
        <v>26.9</v>
      </c>
      <c r="E1648">
        <v>54.96</v>
      </c>
      <c r="F1648">
        <v>-155.1</v>
      </c>
      <c r="G1648">
        <v>26.9</v>
      </c>
      <c r="I1648">
        <f t="shared" si="78"/>
        <v>54.95</v>
      </c>
      <c r="J1648">
        <f t="shared" si="76"/>
        <v>-5.09999999999999</v>
      </c>
      <c r="K1648">
        <f t="shared" si="77"/>
        <v>-5.5</v>
      </c>
    </row>
    <row r="1649" spans="1:11">
      <c r="A1649">
        <v>55.027</v>
      </c>
      <c r="B1649">
        <v>-154.9</v>
      </c>
      <c r="C1649">
        <v>26.9</v>
      </c>
      <c r="E1649">
        <v>54.994</v>
      </c>
      <c r="F1649">
        <v>-155</v>
      </c>
      <c r="G1649">
        <v>26.9</v>
      </c>
      <c r="I1649">
        <f t="shared" si="78"/>
        <v>54.95</v>
      </c>
      <c r="J1649">
        <f t="shared" si="76"/>
        <v>-5</v>
      </c>
      <c r="K1649">
        <f t="shared" si="77"/>
        <v>-5.5</v>
      </c>
    </row>
    <row r="1650" spans="1:11">
      <c r="A1650">
        <v>55.061</v>
      </c>
      <c r="B1650">
        <v>-154.4</v>
      </c>
      <c r="C1650">
        <v>26.9</v>
      </c>
      <c r="E1650">
        <v>55.027</v>
      </c>
      <c r="F1650">
        <v>-154.9</v>
      </c>
      <c r="G1650">
        <v>26.9</v>
      </c>
      <c r="I1650">
        <f t="shared" si="78"/>
        <v>55</v>
      </c>
      <c r="J1650">
        <f t="shared" si="76"/>
        <v>-4.90000000000001</v>
      </c>
      <c r="K1650">
        <f t="shared" si="77"/>
        <v>-5.5</v>
      </c>
    </row>
    <row r="1651" spans="1:11">
      <c r="A1651">
        <v>55.094</v>
      </c>
      <c r="B1651">
        <v>-154.2</v>
      </c>
      <c r="C1651">
        <v>26.9</v>
      </c>
      <c r="E1651">
        <v>55.061</v>
      </c>
      <c r="F1651">
        <v>-154.4</v>
      </c>
      <c r="G1651">
        <v>26.9</v>
      </c>
      <c r="I1651">
        <f t="shared" si="78"/>
        <v>55.05</v>
      </c>
      <c r="J1651">
        <f t="shared" si="76"/>
        <v>-4.40000000000001</v>
      </c>
      <c r="K1651">
        <f t="shared" si="77"/>
        <v>-5.5</v>
      </c>
    </row>
    <row r="1652" spans="1:11">
      <c r="A1652">
        <v>55.128</v>
      </c>
      <c r="B1652">
        <v>-154.1</v>
      </c>
      <c r="C1652">
        <v>26.9</v>
      </c>
      <c r="E1652">
        <v>55.094</v>
      </c>
      <c r="F1652">
        <v>-154.2</v>
      </c>
      <c r="G1652">
        <v>26.9</v>
      </c>
      <c r="I1652">
        <f t="shared" si="78"/>
        <v>55.05</v>
      </c>
      <c r="J1652">
        <f t="shared" si="76"/>
        <v>-4.19999999999999</v>
      </c>
      <c r="K1652">
        <f t="shared" si="77"/>
        <v>-5.5</v>
      </c>
    </row>
    <row r="1653" spans="1:11">
      <c r="A1653">
        <v>55.161</v>
      </c>
      <c r="B1653">
        <v>-154</v>
      </c>
      <c r="C1653">
        <v>27.1</v>
      </c>
      <c r="E1653">
        <v>55.128</v>
      </c>
      <c r="F1653">
        <v>-154.1</v>
      </c>
      <c r="G1653">
        <v>26.9</v>
      </c>
      <c r="I1653">
        <f t="shared" si="78"/>
        <v>55.1</v>
      </c>
      <c r="J1653">
        <f t="shared" si="76"/>
        <v>-4.09999999999999</v>
      </c>
      <c r="K1653">
        <f t="shared" si="77"/>
        <v>-5.5</v>
      </c>
    </row>
    <row r="1654" spans="1:11">
      <c r="A1654">
        <v>55.194</v>
      </c>
      <c r="B1654">
        <v>-153.9</v>
      </c>
      <c r="C1654">
        <v>27.8</v>
      </c>
      <c r="E1654">
        <v>55.161</v>
      </c>
      <c r="F1654">
        <v>-154</v>
      </c>
      <c r="G1654">
        <v>27.1</v>
      </c>
      <c r="I1654">
        <f t="shared" si="78"/>
        <v>55.15</v>
      </c>
      <c r="J1654">
        <f t="shared" si="76"/>
        <v>-4</v>
      </c>
      <c r="K1654">
        <f t="shared" si="77"/>
        <v>-5.5</v>
      </c>
    </row>
    <row r="1655" spans="1:11">
      <c r="A1655">
        <v>55.228</v>
      </c>
      <c r="B1655">
        <v>-153.5</v>
      </c>
      <c r="C1655">
        <v>26.9</v>
      </c>
      <c r="E1655">
        <v>55.194</v>
      </c>
      <c r="F1655">
        <v>-153.9</v>
      </c>
      <c r="G1655">
        <v>27.8</v>
      </c>
      <c r="I1655">
        <f t="shared" si="78"/>
        <v>55.15</v>
      </c>
      <c r="J1655">
        <f t="shared" si="76"/>
        <v>-3.90000000000001</v>
      </c>
      <c r="K1655">
        <f t="shared" si="77"/>
        <v>-5.5</v>
      </c>
    </row>
    <row r="1656" spans="1:11">
      <c r="A1656">
        <v>55.261</v>
      </c>
      <c r="B1656">
        <v>-153.4</v>
      </c>
      <c r="C1656">
        <v>26.9</v>
      </c>
      <c r="E1656">
        <v>55.228</v>
      </c>
      <c r="F1656">
        <v>-153.5</v>
      </c>
      <c r="G1656">
        <v>26.9</v>
      </c>
      <c r="I1656">
        <f t="shared" si="78"/>
        <v>55.2</v>
      </c>
      <c r="J1656">
        <f t="shared" si="76"/>
        <v>-3.5</v>
      </c>
      <c r="K1656">
        <f t="shared" si="77"/>
        <v>-5.5</v>
      </c>
    </row>
    <row r="1657" spans="1:11">
      <c r="A1657">
        <v>55.295</v>
      </c>
      <c r="B1657">
        <v>-153.3</v>
      </c>
      <c r="C1657">
        <v>27.1</v>
      </c>
      <c r="E1657">
        <v>55.261</v>
      </c>
      <c r="F1657">
        <v>-153.4</v>
      </c>
      <c r="G1657">
        <v>26.9</v>
      </c>
      <c r="I1657">
        <f t="shared" si="78"/>
        <v>55.25</v>
      </c>
      <c r="J1657">
        <f t="shared" si="76"/>
        <v>-3.40000000000001</v>
      </c>
      <c r="K1657">
        <f t="shared" si="77"/>
        <v>-5.5</v>
      </c>
    </row>
    <row r="1658" spans="1:11">
      <c r="A1658">
        <v>55.328</v>
      </c>
      <c r="B1658">
        <v>-153.3</v>
      </c>
      <c r="C1658">
        <v>27.4</v>
      </c>
      <c r="E1658">
        <v>55.295</v>
      </c>
      <c r="F1658">
        <v>-153.3</v>
      </c>
      <c r="G1658">
        <v>27.1</v>
      </c>
      <c r="I1658">
        <f t="shared" si="78"/>
        <v>55.25</v>
      </c>
      <c r="J1658">
        <f t="shared" si="76"/>
        <v>-3.30000000000001</v>
      </c>
      <c r="K1658">
        <f t="shared" si="77"/>
        <v>-5.5</v>
      </c>
    </row>
    <row r="1659" spans="1:11">
      <c r="A1659">
        <v>55.362</v>
      </c>
      <c r="B1659">
        <v>-153.3</v>
      </c>
      <c r="C1659">
        <v>27.2</v>
      </c>
      <c r="E1659">
        <v>55.328</v>
      </c>
      <c r="F1659">
        <v>-153.3</v>
      </c>
      <c r="G1659">
        <v>27.4</v>
      </c>
      <c r="I1659">
        <f t="shared" si="78"/>
        <v>55.3</v>
      </c>
      <c r="J1659">
        <f t="shared" si="76"/>
        <v>-3.30000000000001</v>
      </c>
      <c r="K1659">
        <f t="shared" si="77"/>
        <v>-5.5</v>
      </c>
    </row>
    <row r="1660" spans="1:11">
      <c r="A1660">
        <v>55.395</v>
      </c>
      <c r="B1660">
        <v>-153.3</v>
      </c>
      <c r="C1660">
        <v>27.3</v>
      </c>
      <c r="E1660">
        <v>55.362</v>
      </c>
      <c r="F1660">
        <v>-153.3</v>
      </c>
      <c r="G1660">
        <v>27.2</v>
      </c>
      <c r="I1660">
        <f t="shared" si="78"/>
        <v>55.35</v>
      </c>
      <c r="J1660">
        <f t="shared" si="76"/>
        <v>-3.30000000000001</v>
      </c>
      <c r="K1660">
        <f t="shared" si="77"/>
        <v>-5.5</v>
      </c>
    </row>
    <row r="1661" spans="1:11">
      <c r="A1661">
        <v>55.428</v>
      </c>
      <c r="B1661">
        <v>-153.3</v>
      </c>
      <c r="C1661">
        <v>27</v>
      </c>
      <c r="E1661">
        <v>55.395</v>
      </c>
      <c r="F1661">
        <v>-153.3</v>
      </c>
      <c r="G1661">
        <v>27.3</v>
      </c>
      <c r="I1661">
        <f t="shared" si="78"/>
        <v>55.35</v>
      </c>
      <c r="J1661">
        <f t="shared" si="76"/>
        <v>-3.30000000000001</v>
      </c>
      <c r="K1661">
        <f t="shared" si="77"/>
        <v>-5.5</v>
      </c>
    </row>
    <row r="1662" spans="1:11">
      <c r="A1662">
        <v>55.462</v>
      </c>
      <c r="B1662">
        <v>-153.4</v>
      </c>
      <c r="C1662">
        <v>27.1</v>
      </c>
      <c r="E1662">
        <v>55.428</v>
      </c>
      <c r="F1662">
        <v>-153.3</v>
      </c>
      <c r="G1662">
        <v>27</v>
      </c>
      <c r="I1662">
        <f t="shared" si="78"/>
        <v>55.4</v>
      </c>
      <c r="J1662">
        <f t="shared" si="76"/>
        <v>-3.30000000000001</v>
      </c>
      <c r="K1662">
        <f t="shared" si="77"/>
        <v>-5.5</v>
      </c>
    </row>
    <row r="1663" spans="1:11">
      <c r="A1663">
        <v>55.495</v>
      </c>
      <c r="B1663">
        <v>-153.5</v>
      </c>
      <c r="C1663">
        <v>26.9</v>
      </c>
      <c r="E1663">
        <v>55.462</v>
      </c>
      <c r="F1663">
        <v>-153.4</v>
      </c>
      <c r="G1663">
        <v>27.1</v>
      </c>
      <c r="I1663">
        <f t="shared" si="78"/>
        <v>55.45</v>
      </c>
      <c r="J1663">
        <f t="shared" si="76"/>
        <v>-3.40000000000001</v>
      </c>
      <c r="K1663">
        <f t="shared" si="77"/>
        <v>-5.5</v>
      </c>
    </row>
    <row r="1664" spans="1:11">
      <c r="A1664">
        <v>55.529</v>
      </c>
      <c r="B1664">
        <v>-153.5</v>
      </c>
      <c r="C1664">
        <v>26.8</v>
      </c>
      <c r="E1664">
        <v>55.495</v>
      </c>
      <c r="F1664">
        <v>-153.5</v>
      </c>
      <c r="G1664">
        <v>26.9</v>
      </c>
      <c r="I1664">
        <f t="shared" si="78"/>
        <v>55.45</v>
      </c>
      <c r="J1664">
        <f t="shared" si="76"/>
        <v>-3.5</v>
      </c>
      <c r="K1664">
        <f t="shared" si="77"/>
        <v>-5.5</v>
      </c>
    </row>
    <row r="1665" spans="1:11">
      <c r="A1665">
        <v>55.562</v>
      </c>
      <c r="B1665">
        <v>-153.6</v>
      </c>
      <c r="C1665">
        <v>26.9</v>
      </c>
      <c r="E1665">
        <v>55.529</v>
      </c>
      <c r="F1665">
        <v>-153.5</v>
      </c>
      <c r="G1665">
        <v>26.8</v>
      </c>
      <c r="I1665">
        <f t="shared" si="78"/>
        <v>55.5</v>
      </c>
      <c r="J1665">
        <f t="shared" si="76"/>
        <v>-3.5</v>
      </c>
      <c r="K1665">
        <f t="shared" si="77"/>
        <v>-5.5</v>
      </c>
    </row>
    <row r="1666" spans="1:11">
      <c r="A1666">
        <v>55.596</v>
      </c>
      <c r="B1666">
        <v>-153.7</v>
      </c>
      <c r="C1666">
        <v>27.3</v>
      </c>
      <c r="E1666">
        <v>55.562</v>
      </c>
      <c r="F1666">
        <v>-153.6</v>
      </c>
      <c r="G1666">
        <v>26.9</v>
      </c>
      <c r="I1666">
        <f t="shared" si="78"/>
        <v>55.55</v>
      </c>
      <c r="J1666">
        <f t="shared" si="76"/>
        <v>-3.59999999999999</v>
      </c>
      <c r="K1666">
        <f t="shared" si="77"/>
        <v>-5.5</v>
      </c>
    </row>
    <row r="1667" spans="1:11">
      <c r="A1667">
        <v>55.629</v>
      </c>
      <c r="B1667">
        <v>-153.7</v>
      </c>
      <c r="C1667">
        <v>27.1</v>
      </c>
      <c r="E1667">
        <v>55.596</v>
      </c>
      <c r="F1667">
        <v>-153.7</v>
      </c>
      <c r="G1667">
        <v>27.3</v>
      </c>
      <c r="I1667">
        <f t="shared" si="78"/>
        <v>55.55</v>
      </c>
      <c r="J1667">
        <f t="shared" si="76"/>
        <v>-3.69999999999999</v>
      </c>
      <c r="K1667">
        <f t="shared" si="77"/>
        <v>-5.5</v>
      </c>
    </row>
    <row r="1668" spans="1:11">
      <c r="A1668">
        <v>55.662</v>
      </c>
      <c r="B1668">
        <v>-153.8</v>
      </c>
      <c r="C1668">
        <v>27.1</v>
      </c>
      <c r="E1668">
        <v>55.629</v>
      </c>
      <c r="F1668">
        <v>-153.7</v>
      </c>
      <c r="G1668">
        <v>27.1</v>
      </c>
      <c r="I1668">
        <f t="shared" si="78"/>
        <v>55.6</v>
      </c>
      <c r="J1668">
        <f t="shared" si="76"/>
        <v>-3.69999999999999</v>
      </c>
      <c r="K1668">
        <f t="shared" si="77"/>
        <v>-5.5</v>
      </c>
    </row>
    <row r="1669" spans="1:11">
      <c r="A1669">
        <v>55.696</v>
      </c>
      <c r="B1669">
        <v>-153.9</v>
      </c>
      <c r="C1669">
        <v>26.5</v>
      </c>
      <c r="E1669">
        <v>55.662</v>
      </c>
      <c r="F1669">
        <v>-153.8</v>
      </c>
      <c r="G1669">
        <v>27.1</v>
      </c>
      <c r="I1669">
        <f t="shared" si="78"/>
        <v>55.65</v>
      </c>
      <c r="J1669">
        <f t="shared" ref="J1669:J1732" si="79">F1669+150</f>
        <v>-3.80000000000001</v>
      </c>
      <c r="K1669">
        <f t="shared" ref="K1669:K1732" si="80">IF(G1669&lt;230,-5.5,5)</f>
        <v>-5.5</v>
      </c>
    </row>
    <row r="1670" spans="1:11">
      <c r="A1670">
        <v>55.729</v>
      </c>
      <c r="B1670">
        <v>-154</v>
      </c>
      <c r="C1670">
        <v>27.1</v>
      </c>
      <c r="E1670">
        <v>55.696</v>
      </c>
      <c r="F1670">
        <v>-153.9</v>
      </c>
      <c r="G1670">
        <v>26.5</v>
      </c>
      <c r="I1670">
        <f t="shared" si="78"/>
        <v>55.65</v>
      </c>
      <c r="J1670">
        <f t="shared" si="79"/>
        <v>-3.90000000000001</v>
      </c>
      <c r="K1670">
        <f t="shared" si="80"/>
        <v>-5.5</v>
      </c>
    </row>
    <row r="1671" spans="1:11">
      <c r="A1671">
        <v>55.763</v>
      </c>
      <c r="B1671">
        <v>-154.1</v>
      </c>
      <c r="C1671">
        <v>27.4</v>
      </c>
      <c r="E1671">
        <v>55.729</v>
      </c>
      <c r="F1671">
        <v>-154</v>
      </c>
      <c r="G1671">
        <v>27.1</v>
      </c>
      <c r="I1671">
        <f t="shared" si="78"/>
        <v>55.7</v>
      </c>
      <c r="J1671">
        <f t="shared" si="79"/>
        <v>-4</v>
      </c>
      <c r="K1671">
        <f t="shared" si="80"/>
        <v>-5.5</v>
      </c>
    </row>
    <row r="1672" spans="1:11">
      <c r="A1672">
        <v>55.796</v>
      </c>
      <c r="B1672">
        <v>-154.5</v>
      </c>
      <c r="C1672">
        <v>26.9</v>
      </c>
      <c r="E1672">
        <v>55.763</v>
      </c>
      <c r="F1672">
        <v>-154.1</v>
      </c>
      <c r="G1672">
        <v>27.4</v>
      </c>
      <c r="I1672">
        <f t="shared" si="78"/>
        <v>55.75</v>
      </c>
      <c r="J1672">
        <f t="shared" si="79"/>
        <v>-4.09999999999999</v>
      </c>
      <c r="K1672">
        <f t="shared" si="80"/>
        <v>-5.5</v>
      </c>
    </row>
    <row r="1673" spans="1:11">
      <c r="A1673">
        <v>55.83</v>
      </c>
      <c r="B1673">
        <v>-154.7</v>
      </c>
      <c r="C1673">
        <v>27.1</v>
      </c>
      <c r="E1673">
        <v>55.796</v>
      </c>
      <c r="F1673">
        <v>-154.5</v>
      </c>
      <c r="G1673">
        <v>26.9</v>
      </c>
      <c r="I1673">
        <f t="shared" si="78"/>
        <v>55.75</v>
      </c>
      <c r="J1673">
        <f t="shared" si="79"/>
        <v>-4.5</v>
      </c>
      <c r="K1673">
        <f t="shared" si="80"/>
        <v>-5.5</v>
      </c>
    </row>
    <row r="1674" spans="1:11">
      <c r="A1674">
        <v>55.863</v>
      </c>
      <c r="B1674">
        <v>-154.9</v>
      </c>
      <c r="C1674">
        <v>27</v>
      </c>
      <c r="E1674">
        <v>55.83</v>
      </c>
      <c r="F1674">
        <v>-154.7</v>
      </c>
      <c r="G1674">
        <v>27.1</v>
      </c>
      <c r="I1674">
        <f t="shared" si="78"/>
        <v>55.8</v>
      </c>
      <c r="J1674">
        <f t="shared" si="79"/>
        <v>-4.69999999999999</v>
      </c>
      <c r="K1674">
        <f t="shared" si="80"/>
        <v>-5.5</v>
      </c>
    </row>
    <row r="1675" spans="1:11">
      <c r="A1675">
        <v>55.896</v>
      </c>
      <c r="B1675">
        <v>-155</v>
      </c>
      <c r="C1675">
        <v>26.8</v>
      </c>
      <c r="E1675">
        <v>55.863</v>
      </c>
      <c r="F1675">
        <v>-154.9</v>
      </c>
      <c r="G1675">
        <v>27</v>
      </c>
      <c r="I1675">
        <f t="shared" si="78"/>
        <v>55.85</v>
      </c>
      <c r="J1675">
        <f t="shared" si="79"/>
        <v>-4.90000000000001</v>
      </c>
      <c r="K1675">
        <f t="shared" si="80"/>
        <v>-5.5</v>
      </c>
    </row>
    <row r="1676" spans="1:11">
      <c r="A1676">
        <v>55.93</v>
      </c>
      <c r="B1676">
        <v>-154.9</v>
      </c>
      <c r="C1676">
        <v>27</v>
      </c>
      <c r="E1676">
        <v>55.896</v>
      </c>
      <c r="F1676">
        <v>-155</v>
      </c>
      <c r="G1676">
        <v>26.8</v>
      </c>
      <c r="I1676">
        <f t="shared" si="78"/>
        <v>55.85</v>
      </c>
      <c r="J1676">
        <f t="shared" si="79"/>
        <v>-5</v>
      </c>
      <c r="K1676">
        <f t="shared" si="80"/>
        <v>-5.5</v>
      </c>
    </row>
    <row r="1677" spans="1:11">
      <c r="A1677">
        <v>55.963</v>
      </c>
      <c r="B1677">
        <v>-155</v>
      </c>
      <c r="C1677">
        <v>27</v>
      </c>
      <c r="E1677">
        <v>55.93</v>
      </c>
      <c r="F1677">
        <v>-154.9</v>
      </c>
      <c r="G1677">
        <v>27</v>
      </c>
      <c r="I1677">
        <f t="shared" si="78"/>
        <v>55.9</v>
      </c>
      <c r="J1677">
        <f t="shared" si="79"/>
        <v>-4.90000000000001</v>
      </c>
      <c r="K1677">
        <f t="shared" si="80"/>
        <v>-5.5</v>
      </c>
    </row>
    <row r="1678" spans="1:11">
      <c r="A1678">
        <v>55.997</v>
      </c>
      <c r="B1678">
        <v>-155</v>
      </c>
      <c r="C1678">
        <v>26.8</v>
      </c>
      <c r="E1678">
        <v>55.963</v>
      </c>
      <c r="F1678">
        <v>-155</v>
      </c>
      <c r="G1678">
        <v>27</v>
      </c>
      <c r="I1678">
        <f t="shared" si="78"/>
        <v>55.95</v>
      </c>
      <c r="J1678">
        <f t="shared" si="79"/>
        <v>-5</v>
      </c>
      <c r="K1678">
        <f t="shared" si="80"/>
        <v>-5.5</v>
      </c>
    </row>
    <row r="1679" spans="1:11">
      <c r="A1679">
        <v>56.03</v>
      </c>
      <c r="B1679">
        <v>-155.4</v>
      </c>
      <c r="C1679">
        <v>26.8</v>
      </c>
      <c r="E1679">
        <v>55.997</v>
      </c>
      <c r="F1679">
        <v>-155</v>
      </c>
      <c r="G1679">
        <v>26.8</v>
      </c>
      <c r="I1679">
        <f t="shared" si="78"/>
        <v>55.95</v>
      </c>
      <c r="J1679">
        <f t="shared" si="79"/>
        <v>-5</v>
      </c>
      <c r="K1679">
        <f t="shared" si="80"/>
        <v>-5.5</v>
      </c>
    </row>
    <row r="1680" spans="1:11">
      <c r="A1680">
        <v>56.064</v>
      </c>
      <c r="B1680">
        <v>-155.6</v>
      </c>
      <c r="C1680">
        <v>27</v>
      </c>
      <c r="E1680">
        <v>56.03</v>
      </c>
      <c r="F1680">
        <v>-155.4</v>
      </c>
      <c r="G1680">
        <v>26.8</v>
      </c>
      <c r="I1680">
        <f t="shared" si="78"/>
        <v>56</v>
      </c>
      <c r="J1680">
        <f t="shared" si="79"/>
        <v>-5.40000000000001</v>
      </c>
      <c r="K1680">
        <f t="shared" si="80"/>
        <v>-5.5</v>
      </c>
    </row>
    <row r="1681" spans="1:11">
      <c r="A1681">
        <v>56.097</v>
      </c>
      <c r="B1681">
        <v>-155.6</v>
      </c>
      <c r="C1681">
        <v>26.8</v>
      </c>
      <c r="E1681">
        <v>56.064</v>
      </c>
      <c r="F1681">
        <v>-155.6</v>
      </c>
      <c r="G1681">
        <v>27</v>
      </c>
      <c r="I1681">
        <f t="shared" si="78"/>
        <v>56.05</v>
      </c>
      <c r="J1681">
        <f t="shared" si="79"/>
        <v>-5.59999999999999</v>
      </c>
      <c r="K1681">
        <f t="shared" si="80"/>
        <v>-5.5</v>
      </c>
    </row>
    <row r="1682" spans="1:11">
      <c r="A1682">
        <v>56.13</v>
      </c>
      <c r="B1682">
        <v>-155.6</v>
      </c>
      <c r="C1682">
        <v>27.4</v>
      </c>
      <c r="E1682">
        <v>56.097</v>
      </c>
      <c r="F1682">
        <v>-155.6</v>
      </c>
      <c r="G1682">
        <v>26.8</v>
      </c>
      <c r="I1682">
        <f t="shared" si="78"/>
        <v>56.05</v>
      </c>
      <c r="J1682">
        <f t="shared" si="79"/>
        <v>-5.59999999999999</v>
      </c>
      <c r="K1682">
        <f t="shared" si="80"/>
        <v>-5.5</v>
      </c>
    </row>
    <row r="1683" spans="1:11">
      <c r="A1683">
        <v>56.164</v>
      </c>
      <c r="B1683">
        <v>-155.6</v>
      </c>
      <c r="C1683">
        <v>26.7</v>
      </c>
      <c r="E1683">
        <v>56.13</v>
      </c>
      <c r="F1683">
        <v>-155.6</v>
      </c>
      <c r="G1683">
        <v>27.4</v>
      </c>
      <c r="I1683">
        <f t="shared" si="78"/>
        <v>56.1</v>
      </c>
      <c r="J1683">
        <f t="shared" si="79"/>
        <v>-5.59999999999999</v>
      </c>
      <c r="K1683">
        <f t="shared" si="80"/>
        <v>-5.5</v>
      </c>
    </row>
    <row r="1684" spans="1:11">
      <c r="A1684">
        <v>56.197</v>
      </c>
      <c r="B1684">
        <v>-155.6</v>
      </c>
      <c r="C1684">
        <v>27.2</v>
      </c>
      <c r="E1684">
        <v>56.164</v>
      </c>
      <c r="F1684">
        <v>-155.6</v>
      </c>
      <c r="G1684">
        <v>26.7</v>
      </c>
      <c r="I1684">
        <f t="shared" si="78"/>
        <v>56.15</v>
      </c>
      <c r="J1684">
        <f t="shared" si="79"/>
        <v>-5.59999999999999</v>
      </c>
      <c r="K1684">
        <f t="shared" si="80"/>
        <v>-5.5</v>
      </c>
    </row>
    <row r="1685" spans="1:11">
      <c r="A1685">
        <v>56.231</v>
      </c>
      <c r="B1685">
        <v>-155.6</v>
      </c>
      <c r="C1685">
        <v>26.9</v>
      </c>
      <c r="E1685">
        <v>56.197</v>
      </c>
      <c r="F1685">
        <v>-155.6</v>
      </c>
      <c r="G1685">
        <v>27.2</v>
      </c>
      <c r="I1685">
        <f t="shared" si="78"/>
        <v>56.15</v>
      </c>
      <c r="J1685">
        <f t="shared" si="79"/>
        <v>-5.59999999999999</v>
      </c>
      <c r="K1685">
        <f t="shared" si="80"/>
        <v>-5.5</v>
      </c>
    </row>
    <row r="1686" spans="1:11">
      <c r="A1686">
        <v>56.264</v>
      </c>
      <c r="B1686">
        <v>-155.5</v>
      </c>
      <c r="C1686">
        <v>27.1</v>
      </c>
      <c r="E1686">
        <v>56.231</v>
      </c>
      <c r="F1686">
        <v>-155.6</v>
      </c>
      <c r="G1686">
        <v>26.9</v>
      </c>
      <c r="I1686">
        <f t="shared" si="78"/>
        <v>56.2</v>
      </c>
      <c r="J1686">
        <f t="shared" si="79"/>
        <v>-5.59999999999999</v>
      </c>
      <c r="K1686">
        <f t="shared" si="80"/>
        <v>-5.5</v>
      </c>
    </row>
    <row r="1687" spans="1:11">
      <c r="A1687">
        <v>56.298</v>
      </c>
      <c r="B1687">
        <v>-155.4</v>
      </c>
      <c r="C1687">
        <v>26.9</v>
      </c>
      <c r="E1687">
        <v>56.264</v>
      </c>
      <c r="F1687">
        <v>-155.5</v>
      </c>
      <c r="G1687">
        <v>27.1</v>
      </c>
      <c r="I1687">
        <f t="shared" si="78"/>
        <v>56.25</v>
      </c>
      <c r="J1687">
        <f t="shared" si="79"/>
        <v>-5.5</v>
      </c>
      <c r="K1687">
        <f t="shared" si="80"/>
        <v>-5.5</v>
      </c>
    </row>
    <row r="1688" spans="1:11">
      <c r="A1688">
        <v>56.331</v>
      </c>
      <c r="B1688">
        <v>-155.3</v>
      </c>
      <c r="C1688">
        <v>26.8</v>
      </c>
      <c r="E1688">
        <v>56.298</v>
      </c>
      <c r="F1688">
        <v>-155.4</v>
      </c>
      <c r="G1688">
        <v>26.9</v>
      </c>
      <c r="I1688">
        <f t="shared" si="78"/>
        <v>56.25</v>
      </c>
      <c r="J1688">
        <f t="shared" si="79"/>
        <v>-5.40000000000001</v>
      </c>
      <c r="K1688">
        <f t="shared" si="80"/>
        <v>-5.5</v>
      </c>
    </row>
    <row r="1689" spans="1:11">
      <c r="A1689">
        <v>56.364</v>
      </c>
      <c r="B1689">
        <v>-155.3</v>
      </c>
      <c r="C1689">
        <v>26.6</v>
      </c>
      <c r="E1689">
        <v>56.331</v>
      </c>
      <c r="F1689">
        <v>-155.3</v>
      </c>
      <c r="G1689">
        <v>26.8</v>
      </c>
      <c r="I1689">
        <f t="shared" si="78"/>
        <v>56.3</v>
      </c>
      <c r="J1689">
        <f t="shared" si="79"/>
        <v>-5.30000000000001</v>
      </c>
      <c r="K1689">
        <f t="shared" si="80"/>
        <v>-5.5</v>
      </c>
    </row>
    <row r="1690" spans="1:11">
      <c r="A1690">
        <v>56.398</v>
      </c>
      <c r="B1690">
        <v>-155.3</v>
      </c>
      <c r="C1690">
        <v>26.9</v>
      </c>
      <c r="E1690">
        <v>56.364</v>
      </c>
      <c r="F1690">
        <v>-155.3</v>
      </c>
      <c r="G1690">
        <v>26.6</v>
      </c>
      <c r="I1690">
        <f t="shared" si="78"/>
        <v>56.35</v>
      </c>
      <c r="J1690">
        <f t="shared" si="79"/>
        <v>-5.30000000000001</v>
      </c>
      <c r="K1690">
        <f t="shared" si="80"/>
        <v>-5.5</v>
      </c>
    </row>
    <row r="1691" spans="1:11">
      <c r="A1691">
        <v>56.431</v>
      </c>
      <c r="B1691">
        <v>-155.2</v>
      </c>
      <c r="C1691">
        <v>26.5</v>
      </c>
      <c r="E1691">
        <v>56.398</v>
      </c>
      <c r="F1691">
        <v>-155.3</v>
      </c>
      <c r="G1691">
        <v>26.9</v>
      </c>
      <c r="I1691">
        <f t="shared" si="78"/>
        <v>56.35</v>
      </c>
      <c r="J1691">
        <f t="shared" si="79"/>
        <v>-5.30000000000001</v>
      </c>
      <c r="K1691">
        <f t="shared" si="80"/>
        <v>-5.5</v>
      </c>
    </row>
    <row r="1692" spans="1:11">
      <c r="A1692">
        <v>56.465</v>
      </c>
      <c r="B1692">
        <v>-155.1</v>
      </c>
      <c r="C1692">
        <v>26.8</v>
      </c>
      <c r="E1692">
        <v>56.431</v>
      </c>
      <c r="F1692">
        <v>-155.2</v>
      </c>
      <c r="G1692">
        <v>26.5</v>
      </c>
      <c r="I1692">
        <f t="shared" si="78"/>
        <v>56.4</v>
      </c>
      <c r="J1692">
        <f t="shared" si="79"/>
        <v>-5.19999999999999</v>
      </c>
      <c r="K1692">
        <f t="shared" si="80"/>
        <v>-5.5</v>
      </c>
    </row>
    <row r="1693" spans="1:11">
      <c r="A1693">
        <v>56.498</v>
      </c>
      <c r="B1693">
        <v>-155.1</v>
      </c>
      <c r="C1693">
        <v>26.8</v>
      </c>
      <c r="E1693">
        <v>56.465</v>
      </c>
      <c r="F1693">
        <v>-155.1</v>
      </c>
      <c r="G1693">
        <v>26.8</v>
      </c>
      <c r="I1693">
        <f t="shared" si="78"/>
        <v>56.45</v>
      </c>
      <c r="J1693">
        <f t="shared" si="79"/>
        <v>-5.09999999999999</v>
      </c>
      <c r="K1693">
        <f t="shared" si="80"/>
        <v>-5.5</v>
      </c>
    </row>
    <row r="1694" spans="1:11">
      <c r="A1694">
        <v>56.532</v>
      </c>
      <c r="B1694">
        <v>-155</v>
      </c>
      <c r="C1694">
        <v>26.5</v>
      </c>
      <c r="E1694">
        <v>56.498</v>
      </c>
      <c r="F1694">
        <v>-155.1</v>
      </c>
      <c r="G1694">
        <v>26.8</v>
      </c>
      <c r="I1694">
        <f t="shared" si="78"/>
        <v>56.45</v>
      </c>
      <c r="J1694">
        <f t="shared" si="79"/>
        <v>-5.09999999999999</v>
      </c>
      <c r="K1694">
        <f t="shared" si="80"/>
        <v>-5.5</v>
      </c>
    </row>
    <row r="1695" spans="1:11">
      <c r="A1695">
        <v>56.565</v>
      </c>
      <c r="B1695">
        <v>-154.9</v>
      </c>
      <c r="C1695">
        <v>26.7</v>
      </c>
      <c r="E1695">
        <v>56.532</v>
      </c>
      <c r="F1695">
        <v>-155</v>
      </c>
      <c r="G1695">
        <v>26.5</v>
      </c>
      <c r="I1695">
        <f t="shared" si="78"/>
        <v>56.5</v>
      </c>
      <c r="J1695">
        <f t="shared" si="79"/>
        <v>-5</v>
      </c>
      <c r="K1695">
        <f t="shared" si="80"/>
        <v>-5.5</v>
      </c>
    </row>
    <row r="1696" spans="1:11">
      <c r="A1696">
        <v>56.598</v>
      </c>
      <c r="B1696">
        <v>-154.4</v>
      </c>
      <c r="C1696">
        <v>27.1</v>
      </c>
      <c r="E1696">
        <v>56.565</v>
      </c>
      <c r="F1696">
        <v>-154.9</v>
      </c>
      <c r="G1696">
        <v>26.7</v>
      </c>
      <c r="I1696">
        <f t="shared" si="78"/>
        <v>56.55</v>
      </c>
      <c r="J1696">
        <f t="shared" si="79"/>
        <v>-4.90000000000001</v>
      </c>
      <c r="K1696">
        <f t="shared" si="80"/>
        <v>-5.5</v>
      </c>
    </row>
    <row r="1697" spans="1:11">
      <c r="A1697">
        <v>56.632</v>
      </c>
      <c r="B1697">
        <v>-154.2</v>
      </c>
      <c r="C1697">
        <v>27.1</v>
      </c>
      <c r="E1697">
        <v>56.598</v>
      </c>
      <c r="F1697">
        <v>-154.4</v>
      </c>
      <c r="G1697">
        <v>27.1</v>
      </c>
      <c r="I1697">
        <f t="shared" si="78"/>
        <v>56.55</v>
      </c>
      <c r="J1697">
        <f t="shared" si="79"/>
        <v>-4.40000000000001</v>
      </c>
      <c r="K1697">
        <f t="shared" si="80"/>
        <v>-5.5</v>
      </c>
    </row>
    <row r="1698" spans="1:11">
      <c r="A1698">
        <v>56.665</v>
      </c>
      <c r="B1698">
        <v>-154.1</v>
      </c>
      <c r="C1698">
        <v>27.1</v>
      </c>
      <c r="E1698">
        <v>56.632</v>
      </c>
      <c r="F1698">
        <v>-154.2</v>
      </c>
      <c r="G1698">
        <v>27.1</v>
      </c>
      <c r="I1698">
        <f t="shared" si="78"/>
        <v>56.6</v>
      </c>
      <c r="J1698">
        <f t="shared" si="79"/>
        <v>-4.19999999999999</v>
      </c>
      <c r="K1698">
        <f t="shared" si="80"/>
        <v>-5.5</v>
      </c>
    </row>
    <row r="1699" spans="1:11">
      <c r="A1699">
        <v>56.699</v>
      </c>
      <c r="B1699">
        <v>-154</v>
      </c>
      <c r="C1699">
        <v>26.6</v>
      </c>
      <c r="E1699">
        <v>56.665</v>
      </c>
      <c r="F1699">
        <v>-154.1</v>
      </c>
      <c r="G1699">
        <v>27.1</v>
      </c>
      <c r="I1699">
        <f t="shared" ref="I1699:I1762" si="81">FLOOR(E1699,0.05)</f>
        <v>56.65</v>
      </c>
      <c r="J1699">
        <f t="shared" si="79"/>
        <v>-4.09999999999999</v>
      </c>
      <c r="K1699">
        <f t="shared" si="80"/>
        <v>-5.5</v>
      </c>
    </row>
    <row r="1700" spans="1:11">
      <c r="A1700">
        <v>56.732</v>
      </c>
      <c r="B1700">
        <v>-154</v>
      </c>
      <c r="C1700">
        <v>26.9</v>
      </c>
      <c r="E1700">
        <v>56.699</v>
      </c>
      <c r="F1700">
        <v>-154</v>
      </c>
      <c r="G1700">
        <v>26.6</v>
      </c>
      <c r="I1700">
        <f t="shared" si="81"/>
        <v>56.65</v>
      </c>
      <c r="J1700">
        <f t="shared" si="79"/>
        <v>-4</v>
      </c>
      <c r="K1700">
        <f t="shared" si="80"/>
        <v>-5.5</v>
      </c>
    </row>
    <row r="1701" spans="1:11">
      <c r="A1701">
        <v>56.766</v>
      </c>
      <c r="B1701">
        <v>-154</v>
      </c>
      <c r="C1701">
        <v>26.9</v>
      </c>
      <c r="E1701">
        <v>56.732</v>
      </c>
      <c r="F1701">
        <v>-154</v>
      </c>
      <c r="G1701">
        <v>26.9</v>
      </c>
      <c r="I1701">
        <f t="shared" si="81"/>
        <v>56.7</v>
      </c>
      <c r="J1701">
        <f t="shared" si="79"/>
        <v>-4</v>
      </c>
      <c r="K1701">
        <f t="shared" si="80"/>
        <v>-5.5</v>
      </c>
    </row>
    <row r="1702" spans="1:11">
      <c r="A1702">
        <v>56.799</v>
      </c>
      <c r="B1702">
        <v>-153.6</v>
      </c>
      <c r="C1702">
        <v>26.6</v>
      </c>
      <c r="E1702">
        <v>56.766</v>
      </c>
      <c r="F1702">
        <v>-154</v>
      </c>
      <c r="G1702">
        <v>26.9</v>
      </c>
      <c r="I1702">
        <f t="shared" si="81"/>
        <v>56.75</v>
      </c>
      <c r="J1702">
        <f t="shared" si="79"/>
        <v>-4</v>
      </c>
      <c r="K1702">
        <f t="shared" si="80"/>
        <v>-5.5</v>
      </c>
    </row>
    <row r="1703" spans="1:11">
      <c r="A1703">
        <v>56.832</v>
      </c>
      <c r="B1703">
        <v>-153.5</v>
      </c>
      <c r="C1703">
        <v>27.5</v>
      </c>
      <c r="E1703">
        <v>56.799</v>
      </c>
      <c r="F1703">
        <v>-153.6</v>
      </c>
      <c r="G1703">
        <v>26.6</v>
      </c>
      <c r="I1703">
        <f t="shared" si="81"/>
        <v>56.75</v>
      </c>
      <c r="J1703">
        <f t="shared" si="79"/>
        <v>-3.59999999999999</v>
      </c>
      <c r="K1703">
        <f t="shared" si="80"/>
        <v>-5.5</v>
      </c>
    </row>
    <row r="1704" spans="1:11">
      <c r="A1704">
        <v>56.866</v>
      </c>
      <c r="B1704">
        <v>-153.4</v>
      </c>
      <c r="C1704">
        <v>26.7</v>
      </c>
      <c r="E1704">
        <v>56.832</v>
      </c>
      <c r="F1704">
        <v>-153.5</v>
      </c>
      <c r="G1704">
        <v>27.5</v>
      </c>
      <c r="I1704">
        <f t="shared" si="81"/>
        <v>56.8</v>
      </c>
      <c r="J1704">
        <f t="shared" si="79"/>
        <v>-3.5</v>
      </c>
      <c r="K1704">
        <f t="shared" si="80"/>
        <v>-5.5</v>
      </c>
    </row>
    <row r="1705" spans="1:11">
      <c r="A1705">
        <v>56.899</v>
      </c>
      <c r="B1705">
        <v>-153.4</v>
      </c>
      <c r="C1705">
        <v>26.7</v>
      </c>
      <c r="E1705">
        <v>56.866</v>
      </c>
      <c r="F1705">
        <v>-153.4</v>
      </c>
      <c r="G1705">
        <v>26.7</v>
      </c>
      <c r="I1705">
        <f t="shared" si="81"/>
        <v>56.85</v>
      </c>
      <c r="J1705">
        <f t="shared" si="79"/>
        <v>-3.40000000000001</v>
      </c>
      <c r="K1705">
        <f t="shared" si="80"/>
        <v>-5.5</v>
      </c>
    </row>
    <row r="1706" spans="1:11">
      <c r="A1706">
        <v>56.933</v>
      </c>
      <c r="B1706">
        <v>-153.4</v>
      </c>
      <c r="C1706">
        <v>26.7</v>
      </c>
      <c r="E1706">
        <v>56.899</v>
      </c>
      <c r="F1706">
        <v>-153.4</v>
      </c>
      <c r="G1706">
        <v>26.7</v>
      </c>
      <c r="I1706">
        <f t="shared" si="81"/>
        <v>56.85</v>
      </c>
      <c r="J1706">
        <f t="shared" si="79"/>
        <v>-3.40000000000001</v>
      </c>
      <c r="K1706">
        <f t="shared" si="80"/>
        <v>-5.5</v>
      </c>
    </row>
    <row r="1707" spans="1:11">
      <c r="A1707">
        <v>56.966</v>
      </c>
      <c r="B1707">
        <v>-153.5</v>
      </c>
      <c r="C1707">
        <v>27.5</v>
      </c>
      <c r="E1707">
        <v>56.933</v>
      </c>
      <c r="F1707">
        <v>-153.4</v>
      </c>
      <c r="G1707">
        <v>26.7</v>
      </c>
      <c r="I1707">
        <f t="shared" si="81"/>
        <v>56.9</v>
      </c>
      <c r="J1707">
        <f t="shared" si="79"/>
        <v>-3.40000000000001</v>
      </c>
      <c r="K1707">
        <f t="shared" si="80"/>
        <v>-5.5</v>
      </c>
    </row>
    <row r="1708" spans="1:11">
      <c r="A1708">
        <v>57</v>
      </c>
      <c r="B1708">
        <v>-153.5</v>
      </c>
      <c r="C1708">
        <v>26.8</v>
      </c>
      <c r="E1708">
        <v>56.966</v>
      </c>
      <c r="F1708">
        <v>-153.5</v>
      </c>
      <c r="G1708">
        <v>27.5</v>
      </c>
      <c r="I1708">
        <f t="shared" si="81"/>
        <v>56.95</v>
      </c>
      <c r="J1708">
        <f t="shared" si="79"/>
        <v>-3.5</v>
      </c>
      <c r="K1708">
        <f t="shared" si="80"/>
        <v>-5.5</v>
      </c>
    </row>
    <row r="1709" spans="1:11">
      <c r="A1709">
        <v>57.033</v>
      </c>
      <c r="B1709">
        <v>-153.5</v>
      </c>
      <c r="C1709">
        <v>26.9</v>
      </c>
      <c r="E1709">
        <v>57</v>
      </c>
      <c r="F1709">
        <v>-153.5</v>
      </c>
      <c r="G1709">
        <v>26.8</v>
      </c>
      <c r="I1709">
        <f t="shared" si="81"/>
        <v>57</v>
      </c>
      <c r="J1709">
        <f t="shared" si="79"/>
        <v>-3.5</v>
      </c>
      <c r="K1709">
        <f t="shared" si="80"/>
        <v>-5.5</v>
      </c>
    </row>
    <row r="1710" spans="1:11">
      <c r="A1710">
        <v>57.067</v>
      </c>
      <c r="B1710">
        <v>-153.6</v>
      </c>
      <c r="C1710">
        <v>27.1</v>
      </c>
      <c r="E1710">
        <v>57.033</v>
      </c>
      <c r="F1710">
        <v>-153.5</v>
      </c>
      <c r="G1710">
        <v>26.9</v>
      </c>
      <c r="I1710">
        <f t="shared" si="81"/>
        <v>57</v>
      </c>
      <c r="J1710">
        <f t="shared" si="79"/>
        <v>-3.5</v>
      </c>
      <c r="K1710">
        <f t="shared" si="80"/>
        <v>-5.5</v>
      </c>
    </row>
    <row r="1711" spans="1:11">
      <c r="A1711">
        <v>57.1</v>
      </c>
      <c r="B1711">
        <v>-153.7</v>
      </c>
      <c r="C1711">
        <v>26.9</v>
      </c>
      <c r="E1711">
        <v>57.067</v>
      </c>
      <c r="F1711">
        <v>-153.6</v>
      </c>
      <c r="G1711">
        <v>27.1</v>
      </c>
      <c r="I1711">
        <f t="shared" si="81"/>
        <v>57.05</v>
      </c>
      <c r="J1711">
        <f t="shared" si="79"/>
        <v>-3.59999999999999</v>
      </c>
      <c r="K1711">
        <f t="shared" si="80"/>
        <v>-5.5</v>
      </c>
    </row>
    <row r="1712" spans="1:11">
      <c r="A1712">
        <v>57.133</v>
      </c>
      <c r="B1712">
        <v>-153.7</v>
      </c>
      <c r="C1712">
        <v>26.9</v>
      </c>
      <c r="E1712">
        <v>57.1</v>
      </c>
      <c r="F1712">
        <v>-153.7</v>
      </c>
      <c r="G1712">
        <v>26.9</v>
      </c>
      <c r="I1712">
        <f t="shared" si="81"/>
        <v>57.1</v>
      </c>
      <c r="J1712">
        <f t="shared" si="79"/>
        <v>-3.69999999999999</v>
      </c>
      <c r="K1712">
        <f t="shared" si="80"/>
        <v>-5.5</v>
      </c>
    </row>
    <row r="1713" spans="1:11">
      <c r="A1713">
        <v>57.167</v>
      </c>
      <c r="B1713">
        <v>-153.8</v>
      </c>
      <c r="C1713">
        <v>27.2</v>
      </c>
      <c r="E1713">
        <v>57.133</v>
      </c>
      <c r="F1713">
        <v>-153.7</v>
      </c>
      <c r="G1713">
        <v>26.9</v>
      </c>
      <c r="I1713">
        <f t="shared" si="81"/>
        <v>57.1</v>
      </c>
      <c r="J1713">
        <f t="shared" si="79"/>
        <v>-3.69999999999999</v>
      </c>
      <c r="K1713">
        <f t="shared" si="80"/>
        <v>-5.5</v>
      </c>
    </row>
    <row r="1714" spans="1:11">
      <c r="A1714">
        <v>57.2</v>
      </c>
      <c r="B1714">
        <v>-153.9</v>
      </c>
      <c r="C1714">
        <v>26.7</v>
      </c>
      <c r="E1714">
        <v>57.167</v>
      </c>
      <c r="F1714">
        <v>-153.8</v>
      </c>
      <c r="G1714">
        <v>27.2</v>
      </c>
      <c r="I1714">
        <f t="shared" si="81"/>
        <v>57.15</v>
      </c>
      <c r="J1714">
        <f t="shared" si="79"/>
        <v>-3.80000000000001</v>
      </c>
      <c r="K1714">
        <f t="shared" si="80"/>
        <v>-5.5</v>
      </c>
    </row>
    <row r="1715" spans="1:11">
      <c r="A1715">
        <v>57.234</v>
      </c>
      <c r="B1715">
        <v>-153.9</v>
      </c>
      <c r="C1715">
        <v>27</v>
      </c>
      <c r="E1715">
        <v>57.2</v>
      </c>
      <c r="F1715">
        <v>-153.9</v>
      </c>
      <c r="G1715">
        <v>26.7</v>
      </c>
      <c r="I1715">
        <f t="shared" si="81"/>
        <v>57.2</v>
      </c>
      <c r="J1715">
        <f t="shared" si="79"/>
        <v>-3.90000000000001</v>
      </c>
      <c r="K1715">
        <f t="shared" si="80"/>
        <v>-5.5</v>
      </c>
    </row>
    <row r="1716" spans="1:11">
      <c r="A1716">
        <v>57.267</v>
      </c>
      <c r="B1716">
        <v>-154</v>
      </c>
      <c r="C1716">
        <v>26.9</v>
      </c>
      <c r="E1716">
        <v>57.234</v>
      </c>
      <c r="F1716">
        <v>-153.9</v>
      </c>
      <c r="G1716">
        <v>27</v>
      </c>
      <c r="I1716">
        <f t="shared" si="81"/>
        <v>57.2</v>
      </c>
      <c r="J1716">
        <f t="shared" si="79"/>
        <v>-3.90000000000001</v>
      </c>
      <c r="K1716">
        <f t="shared" si="80"/>
        <v>-5.5</v>
      </c>
    </row>
    <row r="1717" spans="1:11">
      <c r="A1717">
        <v>57.301</v>
      </c>
      <c r="B1717">
        <v>-154.5</v>
      </c>
      <c r="C1717">
        <v>26.9</v>
      </c>
      <c r="E1717">
        <v>57.267</v>
      </c>
      <c r="F1717">
        <v>-154</v>
      </c>
      <c r="G1717">
        <v>26.9</v>
      </c>
      <c r="I1717">
        <f t="shared" si="81"/>
        <v>57.25</v>
      </c>
      <c r="J1717">
        <f t="shared" si="79"/>
        <v>-4</v>
      </c>
      <c r="K1717">
        <f t="shared" si="80"/>
        <v>-5.5</v>
      </c>
    </row>
    <row r="1718" spans="1:11">
      <c r="A1718">
        <v>57.334</v>
      </c>
      <c r="B1718">
        <v>-154.7</v>
      </c>
      <c r="C1718">
        <v>27</v>
      </c>
      <c r="E1718">
        <v>57.301</v>
      </c>
      <c r="F1718">
        <v>-154.5</v>
      </c>
      <c r="G1718">
        <v>26.9</v>
      </c>
      <c r="I1718">
        <f t="shared" si="81"/>
        <v>57.3</v>
      </c>
      <c r="J1718">
        <f t="shared" si="79"/>
        <v>-4.5</v>
      </c>
      <c r="K1718">
        <f t="shared" si="80"/>
        <v>-5.5</v>
      </c>
    </row>
    <row r="1719" spans="1:11">
      <c r="A1719">
        <v>57.367</v>
      </c>
      <c r="B1719">
        <v>-154.8</v>
      </c>
      <c r="C1719">
        <v>27.2</v>
      </c>
      <c r="E1719">
        <v>57.334</v>
      </c>
      <c r="F1719">
        <v>-154.7</v>
      </c>
      <c r="G1719">
        <v>27</v>
      </c>
      <c r="I1719">
        <f t="shared" si="81"/>
        <v>57.3</v>
      </c>
      <c r="J1719">
        <f t="shared" si="79"/>
        <v>-4.69999999999999</v>
      </c>
      <c r="K1719">
        <f t="shared" si="80"/>
        <v>-5.5</v>
      </c>
    </row>
    <row r="1720" spans="1:11">
      <c r="A1720">
        <v>57.401</v>
      </c>
      <c r="B1720">
        <v>-154.9</v>
      </c>
      <c r="C1720">
        <v>26.9</v>
      </c>
      <c r="E1720">
        <v>57.367</v>
      </c>
      <c r="F1720">
        <v>-154.8</v>
      </c>
      <c r="G1720">
        <v>27.2</v>
      </c>
      <c r="I1720">
        <f t="shared" si="81"/>
        <v>57.35</v>
      </c>
      <c r="J1720">
        <f t="shared" si="79"/>
        <v>-4.80000000000001</v>
      </c>
      <c r="K1720">
        <f t="shared" si="80"/>
        <v>-5.5</v>
      </c>
    </row>
    <row r="1721" spans="1:11">
      <c r="A1721">
        <v>57.434</v>
      </c>
      <c r="B1721">
        <v>-155</v>
      </c>
      <c r="C1721">
        <v>26.9</v>
      </c>
      <c r="E1721">
        <v>57.401</v>
      </c>
      <c r="F1721">
        <v>-154.9</v>
      </c>
      <c r="G1721">
        <v>26.9</v>
      </c>
      <c r="I1721">
        <f t="shared" si="81"/>
        <v>57.4</v>
      </c>
      <c r="J1721">
        <f t="shared" si="79"/>
        <v>-4.90000000000001</v>
      </c>
      <c r="K1721">
        <f t="shared" si="80"/>
        <v>-5.5</v>
      </c>
    </row>
    <row r="1722" spans="1:11">
      <c r="A1722">
        <v>57.468</v>
      </c>
      <c r="B1722">
        <v>-155</v>
      </c>
      <c r="C1722">
        <v>27.3</v>
      </c>
      <c r="E1722">
        <v>57.434</v>
      </c>
      <c r="F1722">
        <v>-155</v>
      </c>
      <c r="G1722">
        <v>26.9</v>
      </c>
      <c r="I1722">
        <f t="shared" si="81"/>
        <v>57.4</v>
      </c>
      <c r="J1722">
        <f t="shared" si="79"/>
        <v>-5</v>
      </c>
      <c r="K1722">
        <f t="shared" si="80"/>
        <v>-5.5</v>
      </c>
    </row>
    <row r="1723" spans="1:11">
      <c r="A1723">
        <v>57.501</v>
      </c>
      <c r="B1723">
        <v>-155</v>
      </c>
      <c r="C1723">
        <v>26.9</v>
      </c>
      <c r="E1723">
        <v>57.468</v>
      </c>
      <c r="F1723">
        <v>-155</v>
      </c>
      <c r="G1723">
        <v>27.3</v>
      </c>
      <c r="I1723">
        <f t="shared" si="81"/>
        <v>57.45</v>
      </c>
      <c r="J1723">
        <f t="shared" si="79"/>
        <v>-5</v>
      </c>
      <c r="K1723">
        <f t="shared" si="80"/>
        <v>-5.5</v>
      </c>
    </row>
    <row r="1724" spans="1:11">
      <c r="A1724">
        <v>57.535</v>
      </c>
      <c r="B1724">
        <v>-155</v>
      </c>
      <c r="C1724">
        <v>26.9</v>
      </c>
      <c r="E1724">
        <v>57.501</v>
      </c>
      <c r="F1724">
        <v>-155</v>
      </c>
      <c r="G1724">
        <v>26.9</v>
      </c>
      <c r="I1724">
        <f t="shared" si="81"/>
        <v>57.5</v>
      </c>
      <c r="J1724">
        <f t="shared" si="79"/>
        <v>-5</v>
      </c>
      <c r="K1724">
        <f t="shared" si="80"/>
        <v>-5.5</v>
      </c>
    </row>
    <row r="1725" spans="1:11">
      <c r="A1725">
        <v>57.568</v>
      </c>
      <c r="B1725">
        <v>-154.9</v>
      </c>
      <c r="C1725">
        <v>26.9</v>
      </c>
      <c r="E1725">
        <v>57.535</v>
      </c>
      <c r="F1725">
        <v>-155</v>
      </c>
      <c r="G1725">
        <v>26.9</v>
      </c>
      <c r="I1725">
        <f t="shared" si="81"/>
        <v>57.5</v>
      </c>
      <c r="J1725">
        <f t="shared" si="79"/>
        <v>-5</v>
      </c>
      <c r="K1725">
        <f t="shared" si="80"/>
        <v>-5.5</v>
      </c>
    </row>
    <row r="1726" spans="1:11">
      <c r="A1726">
        <v>57.601</v>
      </c>
      <c r="B1726">
        <v>-154.9</v>
      </c>
      <c r="C1726">
        <v>27.2</v>
      </c>
      <c r="E1726">
        <v>57.568</v>
      </c>
      <c r="F1726">
        <v>-154.9</v>
      </c>
      <c r="G1726">
        <v>26.9</v>
      </c>
      <c r="I1726">
        <f t="shared" si="81"/>
        <v>57.55</v>
      </c>
      <c r="J1726">
        <f t="shared" si="79"/>
        <v>-4.90000000000001</v>
      </c>
      <c r="K1726">
        <f t="shared" si="80"/>
        <v>-5.5</v>
      </c>
    </row>
    <row r="1727" spans="1:11">
      <c r="A1727">
        <v>57.635</v>
      </c>
      <c r="B1727">
        <v>-154.9</v>
      </c>
      <c r="C1727">
        <v>27.2</v>
      </c>
      <c r="E1727">
        <v>57.601</v>
      </c>
      <c r="F1727">
        <v>-154.9</v>
      </c>
      <c r="G1727">
        <v>27.2</v>
      </c>
      <c r="I1727">
        <f t="shared" si="81"/>
        <v>57.6</v>
      </c>
      <c r="J1727">
        <f t="shared" si="79"/>
        <v>-4.90000000000001</v>
      </c>
      <c r="K1727">
        <f t="shared" si="80"/>
        <v>-5.5</v>
      </c>
    </row>
    <row r="1728" spans="1:11">
      <c r="A1728">
        <v>57.668</v>
      </c>
      <c r="B1728">
        <v>-154.8</v>
      </c>
      <c r="C1728">
        <v>26.9</v>
      </c>
      <c r="E1728">
        <v>57.635</v>
      </c>
      <c r="F1728">
        <v>-154.9</v>
      </c>
      <c r="G1728">
        <v>27.2</v>
      </c>
      <c r="I1728">
        <f t="shared" si="81"/>
        <v>57.6</v>
      </c>
      <c r="J1728">
        <f t="shared" si="79"/>
        <v>-4.90000000000001</v>
      </c>
      <c r="K1728">
        <f t="shared" si="80"/>
        <v>-5.5</v>
      </c>
    </row>
    <row r="1729" spans="1:11">
      <c r="A1729">
        <v>57.702</v>
      </c>
      <c r="B1729">
        <v>-154.7</v>
      </c>
      <c r="C1729">
        <v>26.9</v>
      </c>
      <c r="E1729">
        <v>57.668</v>
      </c>
      <c r="F1729">
        <v>-154.8</v>
      </c>
      <c r="G1729">
        <v>26.9</v>
      </c>
      <c r="I1729">
        <f t="shared" si="81"/>
        <v>57.65</v>
      </c>
      <c r="J1729">
        <f t="shared" si="79"/>
        <v>-4.80000000000001</v>
      </c>
      <c r="K1729">
        <f t="shared" si="80"/>
        <v>-5.5</v>
      </c>
    </row>
    <row r="1730" spans="1:11">
      <c r="A1730">
        <v>57.735</v>
      </c>
      <c r="B1730">
        <v>-154.7</v>
      </c>
      <c r="C1730">
        <v>26.9</v>
      </c>
      <c r="E1730">
        <v>57.702</v>
      </c>
      <c r="F1730">
        <v>-154.7</v>
      </c>
      <c r="G1730">
        <v>26.9</v>
      </c>
      <c r="I1730">
        <f t="shared" si="81"/>
        <v>57.7</v>
      </c>
      <c r="J1730">
        <f t="shared" si="79"/>
        <v>-4.69999999999999</v>
      </c>
      <c r="K1730">
        <f t="shared" si="80"/>
        <v>-5.5</v>
      </c>
    </row>
    <row r="1731" spans="1:11">
      <c r="A1731">
        <v>57.769</v>
      </c>
      <c r="B1731">
        <v>-154.6</v>
      </c>
      <c r="C1731">
        <v>26.8</v>
      </c>
      <c r="E1731">
        <v>57.735</v>
      </c>
      <c r="F1731">
        <v>-154.7</v>
      </c>
      <c r="G1731">
        <v>26.9</v>
      </c>
      <c r="I1731">
        <f t="shared" si="81"/>
        <v>57.7</v>
      </c>
      <c r="J1731">
        <f t="shared" si="79"/>
        <v>-4.69999999999999</v>
      </c>
      <c r="K1731">
        <f t="shared" si="80"/>
        <v>-5.5</v>
      </c>
    </row>
    <row r="1732" spans="1:11">
      <c r="A1732">
        <v>57.802</v>
      </c>
      <c r="B1732">
        <v>-154.5</v>
      </c>
      <c r="C1732">
        <v>27</v>
      </c>
      <c r="E1732">
        <v>57.769</v>
      </c>
      <c r="F1732">
        <v>-154.6</v>
      </c>
      <c r="G1732">
        <v>26.8</v>
      </c>
      <c r="I1732">
        <f t="shared" si="81"/>
        <v>57.75</v>
      </c>
      <c r="J1732">
        <f t="shared" si="79"/>
        <v>-4.59999999999999</v>
      </c>
      <c r="K1732">
        <f t="shared" si="80"/>
        <v>-5.5</v>
      </c>
    </row>
    <row r="1733" spans="1:11">
      <c r="A1733">
        <v>57.835</v>
      </c>
      <c r="B1733">
        <v>-154.5</v>
      </c>
      <c r="C1733">
        <v>27</v>
      </c>
      <c r="E1733">
        <v>57.802</v>
      </c>
      <c r="F1733">
        <v>-154.5</v>
      </c>
      <c r="G1733">
        <v>27</v>
      </c>
      <c r="I1733">
        <f t="shared" si="81"/>
        <v>57.8</v>
      </c>
      <c r="J1733">
        <f t="shared" ref="J1733:J1781" si="82">F1733+150</f>
        <v>-4.5</v>
      </c>
      <c r="K1733">
        <f t="shared" ref="K1733:K1781" si="83">IF(G1733&lt;230,-5.5,5)</f>
        <v>-5.5</v>
      </c>
    </row>
    <row r="1734" spans="1:11">
      <c r="A1734">
        <v>57.869</v>
      </c>
      <c r="B1734">
        <v>-154.4</v>
      </c>
      <c r="C1734">
        <v>26.9</v>
      </c>
      <c r="E1734">
        <v>57.835</v>
      </c>
      <c r="F1734">
        <v>-154.5</v>
      </c>
      <c r="G1734">
        <v>27</v>
      </c>
      <c r="I1734">
        <f t="shared" si="81"/>
        <v>57.8</v>
      </c>
      <c r="J1734">
        <f t="shared" si="82"/>
        <v>-4.5</v>
      </c>
      <c r="K1734">
        <f t="shared" si="83"/>
        <v>-5.5</v>
      </c>
    </row>
    <row r="1735" spans="1:11">
      <c r="A1735">
        <v>57.902</v>
      </c>
      <c r="B1735">
        <v>-154.4</v>
      </c>
      <c r="C1735">
        <v>26.9</v>
      </c>
      <c r="E1735">
        <v>57.869</v>
      </c>
      <c r="F1735">
        <v>-154.4</v>
      </c>
      <c r="G1735">
        <v>26.9</v>
      </c>
      <c r="I1735">
        <f t="shared" si="81"/>
        <v>57.85</v>
      </c>
      <c r="J1735">
        <f t="shared" si="82"/>
        <v>-4.40000000000001</v>
      </c>
      <c r="K1735">
        <f t="shared" si="83"/>
        <v>-5.5</v>
      </c>
    </row>
    <row r="1736" spans="1:11">
      <c r="A1736">
        <v>57.936</v>
      </c>
      <c r="B1736">
        <v>-154.3</v>
      </c>
      <c r="C1736">
        <v>27.1</v>
      </c>
      <c r="E1736">
        <v>57.902</v>
      </c>
      <c r="F1736">
        <v>-154.4</v>
      </c>
      <c r="G1736">
        <v>26.9</v>
      </c>
      <c r="I1736">
        <f t="shared" si="81"/>
        <v>57.9</v>
      </c>
      <c r="J1736">
        <f t="shared" si="82"/>
        <v>-4.40000000000001</v>
      </c>
      <c r="K1736">
        <f t="shared" si="83"/>
        <v>-5.5</v>
      </c>
    </row>
    <row r="1737" spans="1:11">
      <c r="A1737">
        <v>57.969</v>
      </c>
      <c r="B1737">
        <v>-154.2</v>
      </c>
      <c r="C1737">
        <v>26.4</v>
      </c>
      <c r="E1737">
        <v>57.936</v>
      </c>
      <c r="F1737">
        <v>-154.3</v>
      </c>
      <c r="G1737">
        <v>27.1</v>
      </c>
      <c r="I1737">
        <f t="shared" si="81"/>
        <v>57.9</v>
      </c>
      <c r="J1737">
        <f t="shared" si="82"/>
        <v>-4.30000000000001</v>
      </c>
      <c r="K1737">
        <f t="shared" si="83"/>
        <v>-5.5</v>
      </c>
    </row>
    <row r="1738" spans="1:11">
      <c r="A1738">
        <v>58.003</v>
      </c>
      <c r="B1738">
        <v>-154.2</v>
      </c>
      <c r="C1738">
        <v>27</v>
      </c>
      <c r="E1738">
        <v>57.969</v>
      </c>
      <c r="F1738">
        <v>-154.2</v>
      </c>
      <c r="G1738">
        <v>26.4</v>
      </c>
      <c r="I1738">
        <f t="shared" si="81"/>
        <v>57.95</v>
      </c>
      <c r="J1738">
        <f t="shared" si="82"/>
        <v>-4.19999999999999</v>
      </c>
      <c r="K1738">
        <f t="shared" si="83"/>
        <v>-5.5</v>
      </c>
    </row>
    <row r="1739" spans="1:11">
      <c r="A1739">
        <v>58.036</v>
      </c>
      <c r="B1739">
        <v>-154.1</v>
      </c>
      <c r="C1739">
        <v>27.2</v>
      </c>
      <c r="E1739">
        <v>58.003</v>
      </c>
      <c r="F1739">
        <v>-154.2</v>
      </c>
      <c r="G1739">
        <v>27</v>
      </c>
      <c r="I1739">
        <f t="shared" si="81"/>
        <v>58</v>
      </c>
      <c r="J1739">
        <f t="shared" si="82"/>
        <v>-4.19999999999999</v>
      </c>
      <c r="K1739">
        <f t="shared" si="83"/>
        <v>-5.5</v>
      </c>
    </row>
    <row r="1740" spans="1:11">
      <c r="A1740">
        <v>58.069</v>
      </c>
      <c r="B1740">
        <v>-154.1</v>
      </c>
      <c r="C1740">
        <v>27.2</v>
      </c>
      <c r="E1740">
        <v>58.036</v>
      </c>
      <c r="F1740">
        <v>-154.1</v>
      </c>
      <c r="G1740">
        <v>27.2</v>
      </c>
      <c r="I1740">
        <f t="shared" si="81"/>
        <v>58</v>
      </c>
      <c r="J1740">
        <f t="shared" si="82"/>
        <v>-4.09999999999999</v>
      </c>
      <c r="K1740">
        <f t="shared" si="83"/>
        <v>-5.5</v>
      </c>
    </row>
    <row r="1741" spans="1:11">
      <c r="A1741">
        <v>58.103</v>
      </c>
      <c r="B1741">
        <v>-154</v>
      </c>
      <c r="C1741">
        <v>26.7</v>
      </c>
      <c r="E1741">
        <v>58.069</v>
      </c>
      <c r="F1741">
        <v>-154.1</v>
      </c>
      <c r="G1741">
        <v>27.2</v>
      </c>
      <c r="I1741">
        <f t="shared" si="81"/>
        <v>58.05</v>
      </c>
      <c r="J1741">
        <f t="shared" si="82"/>
        <v>-4.09999999999999</v>
      </c>
      <c r="K1741">
        <f t="shared" si="83"/>
        <v>-5.5</v>
      </c>
    </row>
    <row r="1742" spans="1:11">
      <c r="A1742">
        <v>58.136</v>
      </c>
      <c r="B1742">
        <v>-154</v>
      </c>
      <c r="C1742">
        <v>26.3</v>
      </c>
      <c r="E1742">
        <v>58.103</v>
      </c>
      <c r="F1742">
        <v>-154</v>
      </c>
      <c r="G1742">
        <v>26.7</v>
      </c>
      <c r="I1742">
        <f t="shared" si="81"/>
        <v>58.1</v>
      </c>
      <c r="J1742">
        <f t="shared" si="82"/>
        <v>-4</v>
      </c>
      <c r="K1742">
        <f t="shared" si="83"/>
        <v>-5.5</v>
      </c>
    </row>
    <row r="1743" spans="1:11">
      <c r="A1743">
        <v>58.17</v>
      </c>
      <c r="B1743">
        <v>-154</v>
      </c>
      <c r="C1743">
        <v>26.6</v>
      </c>
      <c r="E1743">
        <v>58.136</v>
      </c>
      <c r="F1743">
        <v>-154</v>
      </c>
      <c r="G1743">
        <v>26.3</v>
      </c>
      <c r="I1743">
        <f t="shared" si="81"/>
        <v>58.1</v>
      </c>
      <c r="J1743">
        <f t="shared" si="82"/>
        <v>-4</v>
      </c>
      <c r="K1743">
        <f t="shared" si="83"/>
        <v>-5.5</v>
      </c>
    </row>
    <row r="1744" spans="1:11">
      <c r="A1744">
        <v>58.203</v>
      </c>
      <c r="B1744">
        <v>-153.6</v>
      </c>
      <c r="C1744">
        <v>27</v>
      </c>
      <c r="E1744">
        <v>58.17</v>
      </c>
      <c r="F1744">
        <v>-154</v>
      </c>
      <c r="G1744">
        <v>26.6</v>
      </c>
      <c r="I1744">
        <f t="shared" si="81"/>
        <v>58.15</v>
      </c>
      <c r="J1744">
        <f t="shared" si="82"/>
        <v>-4</v>
      </c>
      <c r="K1744">
        <f t="shared" si="83"/>
        <v>-5.5</v>
      </c>
    </row>
    <row r="1745" spans="1:11">
      <c r="A1745">
        <v>58.237</v>
      </c>
      <c r="B1745">
        <v>-153.4</v>
      </c>
      <c r="C1745">
        <v>27</v>
      </c>
      <c r="E1745">
        <v>58.203</v>
      </c>
      <c r="F1745">
        <v>-153.6</v>
      </c>
      <c r="G1745">
        <v>27</v>
      </c>
      <c r="I1745">
        <f t="shared" si="81"/>
        <v>58.2</v>
      </c>
      <c r="J1745">
        <f t="shared" si="82"/>
        <v>-3.59999999999999</v>
      </c>
      <c r="K1745">
        <f t="shared" si="83"/>
        <v>-5.5</v>
      </c>
    </row>
    <row r="1746" spans="1:11">
      <c r="A1746">
        <v>58.27</v>
      </c>
      <c r="B1746">
        <v>-153.3</v>
      </c>
      <c r="C1746">
        <v>27</v>
      </c>
      <c r="E1746">
        <v>58.237</v>
      </c>
      <c r="F1746">
        <v>-153.4</v>
      </c>
      <c r="G1746">
        <v>27</v>
      </c>
      <c r="I1746">
        <f t="shared" si="81"/>
        <v>58.2</v>
      </c>
      <c r="J1746">
        <f t="shared" si="82"/>
        <v>-3.40000000000001</v>
      </c>
      <c r="K1746">
        <f t="shared" si="83"/>
        <v>-5.5</v>
      </c>
    </row>
    <row r="1747" spans="1:11">
      <c r="A1747">
        <v>58.303</v>
      </c>
      <c r="B1747">
        <v>-153.3</v>
      </c>
      <c r="C1747">
        <v>27</v>
      </c>
      <c r="E1747">
        <v>58.27</v>
      </c>
      <c r="F1747">
        <v>-153.3</v>
      </c>
      <c r="G1747">
        <v>27</v>
      </c>
      <c r="I1747">
        <f t="shared" si="81"/>
        <v>58.25</v>
      </c>
      <c r="J1747">
        <f t="shared" si="82"/>
        <v>-3.30000000000001</v>
      </c>
      <c r="K1747">
        <f t="shared" si="83"/>
        <v>-5.5</v>
      </c>
    </row>
    <row r="1748" spans="1:11">
      <c r="A1748">
        <v>58.337</v>
      </c>
      <c r="B1748">
        <v>-153.3</v>
      </c>
      <c r="C1748">
        <v>26.6</v>
      </c>
      <c r="E1748">
        <v>58.303</v>
      </c>
      <c r="F1748">
        <v>-153.3</v>
      </c>
      <c r="G1748">
        <v>27</v>
      </c>
      <c r="I1748">
        <f t="shared" si="81"/>
        <v>58.3</v>
      </c>
      <c r="J1748">
        <f t="shared" si="82"/>
        <v>-3.30000000000001</v>
      </c>
      <c r="K1748">
        <f t="shared" si="83"/>
        <v>-5.5</v>
      </c>
    </row>
    <row r="1749" spans="1:11">
      <c r="A1749">
        <v>58.37</v>
      </c>
      <c r="B1749">
        <v>-153.3</v>
      </c>
      <c r="C1749">
        <v>26.7</v>
      </c>
      <c r="E1749">
        <v>58.337</v>
      </c>
      <c r="F1749">
        <v>-153.3</v>
      </c>
      <c r="G1749">
        <v>26.6</v>
      </c>
      <c r="I1749">
        <f t="shared" si="81"/>
        <v>58.3</v>
      </c>
      <c r="J1749">
        <f t="shared" si="82"/>
        <v>-3.30000000000001</v>
      </c>
      <c r="K1749">
        <f t="shared" si="83"/>
        <v>-5.5</v>
      </c>
    </row>
    <row r="1750" spans="1:11">
      <c r="A1750">
        <v>58.404</v>
      </c>
      <c r="B1750">
        <v>-153.3</v>
      </c>
      <c r="C1750">
        <v>27</v>
      </c>
      <c r="E1750">
        <v>58.37</v>
      </c>
      <c r="F1750">
        <v>-153.3</v>
      </c>
      <c r="G1750">
        <v>26.7</v>
      </c>
      <c r="I1750">
        <f t="shared" si="81"/>
        <v>58.35</v>
      </c>
      <c r="J1750">
        <f t="shared" si="82"/>
        <v>-3.30000000000001</v>
      </c>
      <c r="K1750">
        <f t="shared" si="83"/>
        <v>-5.5</v>
      </c>
    </row>
    <row r="1751" spans="1:11">
      <c r="A1751">
        <v>58.437</v>
      </c>
      <c r="B1751">
        <v>-153.4</v>
      </c>
      <c r="C1751">
        <v>26.8</v>
      </c>
      <c r="E1751">
        <v>58.404</v>
      </c>
      <c r="F1751">
        <v>-153.3</v>
      </c>
      <c r="G1751">
        <v>27</v>
      </c>
      <c r="I1751">
        <f t="shared" si="81"/>
        <v>58.4</v>
      </c>
      <c r="J1751">
        <f t="shared" si="82"/>
        <v>-3.30000000000001</v>
      </c>
      <c r="K1751">
        <f t="shared" si="83"/>
        <v>-5.5</v>
      </c>
    </row>
    <row r="1752" spans="1:11">
      <c r="A1752">
        <v>58.471</v>
      </c>
      <c r="B1752">
        <v>-153.4</v>
      </c>
      <c r="C1752">
        <v>26.9</v>
      </c>
      <c r="E1752">
        <v>58.437</v>
      </c>
      <c r="F1752">
        <v>-153.4</v>
      </c>
      <c r="G1752">
        <v>26.8</v>
      </c>
      <c r="I1752">
        <f t="shared" si="81"/>
        <v>58.4</v>
      </c>
      <c r="J1752">
        <f t="shared" si="82"/>
        <v>-3.40000000000001</v>
      </c>
      <c r="K1752">
        <f t="shared" si="83"/>
        <v>-5.5</v>
      </c>
    </row>
    <row r="1753" spans="1:11">
      <c r="A1753">
        <v>58.504</v>
      </c>
      <c r="B1753">
        <v>-153.5</v>
      </c>
      <c r="C1753">
        <v>26.9</v>
      </c>
      <c r="E1753">
        <v>58.471</v>
      </c>
      <c r="F1753">
        <v>-153.4</v>
      </c>
      <c r="G1753">
        <v>26.9</v>
      </c>
      <c r="I1753">
        <f t="shared" si="81"/>
        <v>58.45</v>
      </c>
      <c r="J1753">
        <f t="shared" si="82"/>
        <v>-3.40000000000001</v>
      </c>
      <c r="K1753">
        <f t="shared" si="83"/>
        <v>-5.5</v>
      </c>
    </row>
    <row r="1754" spans="1:11">
      <c r="A1754">
        <v>58.537</v>
      </c>
      <c r="B1754">
        <v>-153.6</v>
      </c>
      <c r="C1754">
        <v>27.3</v>
      </c>
      <c r="E1754">
        <v>58.504</v>
      </c>
      <c r="F1754">
        <v>-153.5</v>
      </c>
      <c r="G1754">
        <v>26.9</v>
      </c>
      <c r="I1754">
        <f t="shared" si="81"/>
        <v>58.5</v>
      </c>
      <c r="J1754">
        <f t="shared" si="82"/>
        <v>-3.5</v>
      </c>
      <c r="K1754">
        <f t="shared" si="83"/>
        <v>-5.5</v>
      </c>
    </row>
    <row r="1755" spans="1:11">
      <c r="A1755">
        <v>58.571</v>
      </c>
      <c r="B1755">
        <v>-153.6</v>
      </c>
      <c r="C1755">
        <v>27.1</v>
      </c>
      <c r="E1755">
        <v>58.537</v>
      </c>
      <c r="F1755">
        <v>-153.6</v>
      </c>
      <c r="G1755">
        <v>27.3</v>
      </c>
      <c r="I1755">
        <f t="shared" si="81"/>
        <v>58.5</v>
      </c>
      <c r="J1755">
        <f t="shared" si="82"/>
        <v>-3.59999999999999</v>
      </c>
      <c r="K1755">
        <f t="shared" si="83"/>
        <v>-5.5</v>
      </c>
    </row>
    <row r="1756" spans="1:11">
      <c r="A1756">
        <v>58.604</v>
      </c>
      <c r="B1756">
        <v>-153.7</v>
      </c>
      <c r="C1756">
        <v>26.8</v>
      </c>
      <c r="E1756">
        <v>58.571</v>
      </c>
      <c r="F1756">
        <v>-153.6</v>
      </c>
      <c r="G1756">
        <v>27.1</v>
      </c>
      <c r="I1756">
        <f t="shared" si="81"/>
        <v>58.55</v>
      </c>
      <c r="J1756">
        <f t="shared" si="82"/>
        <v>-3.59999999999999</v>
      </c>
      <c r="K1756">
        <f t="shared" si="83"/>
        <v>-5.5</v>
      </c>
    </row>
    <row r="1757" spans="1:11">
      <c r="A1757">
        <v>58.638</v>
      </c>
      <c r="B1757">
        <v>-153.8</v>
      </c>
      <c r="C1757">
        <v>26.9</v>
      </c>
      <c r="E1757">
        <v>58.604</v>
      </c>
      <c r="F1757">
        <v>-153.7</v>
      </c>
      <c r="G1757">
        <v>26.8</v>
      </c>
      <c r="I1757">
        <f t="shared" si="81"/>
        <v>58.6</v>
      </c>
      <c r="J1757">
        <f t="shared" si="82"/>
        <v>-3.69999999999999</v>
      </c>
      <c r="K1757">
        <f t="shared" si="83"/>
        <v>-5.5</v>
      </c>
    </row>
    <row r="1758" spans="1:11">
      <c r="A1758">
        <v>58.671</v>
      </c>
      <c r="B1758">
        <v>-153.8</v>
      </c>
      <c r="C1758">
        <v>26.8</v>
      </c>
      <c r="E1758">
        <v>58.638</v>
      </c>
      <c r="F1758">
        <v>-153.8</v>
      </c>
      <c r="G1758">
        <v>26.9</v>
      </c>
      <c r="I1758">
        <f t="shared" si="81"/>
        <v>58.6</v>
      </c>
      <c r="J1758">
        <f t="shared" si="82"/>
        <v>-3.80000000000001</v>
      </c>
      <c r="K1758">
        <f t="shared" si="83"/>
        <v>-5.5</v>
      </c>
    </row>
    <row r="1759" spans="1:11">
      <c r="A1759">
        <v>58.705</v>
      </c>
      <c r="B1759">
        <v>-153.9</v>
      </c>
      <c r="C1759">
        <v>26.8</v>
      </c>
      <c r="E1759">
        <v>58.671</v>
      </c>
      <c r="F1759">
        <v>-153.8</v>
      </c>
      <c r="G1759">
        <v>26.8</v>
      </c>
      <c r="I1759">
        <f t="shared" si="81"/>
        <v>58.65</v>
      </c>
      <c r="J1759">
        <f t="shared" si="82"/>
        <v>-3.80000000000001</v>
      </c>
      <c r="K1759">
        <f t="shared" si="83"/>
        <v>-5.5</v>
      </c>
    </row>
    <row r="1760" spans="1:11">
      <c r="A1760">
        <v>58.738</v>
      </c>
      <c r="B1760">
        <v>-154</v>
      </c>
      <c r="C1760">
        <v>27</v>
      </c>
      <c r="E1760">
        <v>58.705</v>
      </c>
      <c r="F1760">
        <v>-153.9</v>
      </c>
      <c r="G1760">
        <v>26.8</v>
      </c>
      <c r="I1760">
        <f t="shared" si="81"/>
        <v>58.7</v>
      </c>
      <c r="J1760">
        <f t="shared" si="82"/>
        <v>-3.90000000000001</v>
      </c>
      <c r="K1760">
        <f t="shared" si="83"/>
        <v>-5.5</v>
      </c>
    </row>
    <row r="1761" spans="1:11">
      <c r="A1761">
        <v>58.771</v>
      </c>
      <c r="B1761">
        <v>-154</v>
      </c>
      <c r="C1761">
        <v>27.3</v>
      </c>
      <c r="E1761">
        <v>58.738</v>
      </c>
      <c r="F1761">
        <v>-154</v>
      </c>
      <c r="G1761">
        <v>27</v>
      </c>
      <c r="I1761">
        <f t="shared" si="81"/>
        <v>58.7</v>
      </c>
      <c r="J1761">
        <f t="shared" si="82"/>
        <v>-4</v>
      </c>
      <c r="K1761">
        <f t="shared" si="83"/>
        <v>-5.5</v>
      </c>
    </row>
    <row r="1762" spans="1:11">
      <c r="A1762">
        <v>58.805</v>
      </c>
      <c r="B1762">
        <v>-154.1</v>
      </c>
      <c r="C1762">
        <v>27</v>
      </c>
      <c r="E1762">
        <v>58.771</v>
      </c>
      <c r="F1762">
        <v>-154</v>
      </c>
      <c r="G1762">
        <v>27.3</v>
      </c>
      <c r="I1762">
        <f t="shared" si="81"/>
        <v>58.75</v>
      </c>
      <c r="J1762">
        <f t="shared" si="82"/>
        <v>-4</v>
      </c>
      <c r="K1762">
        <f t="shared" si="83"/>
        <v>-5.5</v>
      </c>
    </row>
    <row r="1763" spans="1:11">
      <c r="A1763">
        <v>58.838</v>
      </c>
      <c r="B1763">
        <v>-154.6</v>
      </c>
      <c r="C1763">
        <v>26.9</v>
      </c>
      <c r="E1763">
        <v>58.805</v>
      </c>
      <c r="F1763">
        <v>-154.1</v>
      </c>
      <c r="G1763">
        <v>27</v>
      </c>
      <c r="I1763">
        <f t="shared" ref="I1763:I1781" si="84">FLOOR(E1763,0.05)</f>
        <v>58.8</v>
      </c>
      <c r="J1763">
        <f t="shared" si="82"/>
        <v>-4.09999999999999</v>
      </c>
      <c r="K1763">
        <f t="shared" si="83"/>
        <v>-5.5</v>
      </c>
    </row>
    <row r="1764" spans="1:11">
      <c r="A1764">
        <v>58.872</v>
      </c>
      <c r="B1764">
        <v>-154.7</v>
      </c>
      <c r="C1764">
        <v>26.9</v>
      </c>
      <c r="E1764">
        <v>58.838</v>
      </c>
      <c r="F1764">
        <v>-154.6</v>
      </c>
      <c r="G1764">
        <v>26.9</v>
      </c>
      <c r="I1764">
        <f t="shared" si="84"/>
        <v>58.8</v>
      </c>
      <c r="J1764">
        <f t="shared" si="82"/>
        <v>-4.59999999999999</v>
      </c>
      <c r="K1764">
        <f t="shared" si="83"/>
        <v>-5.5</v>
      </c>
    </row>
    <row r="1765" spans="1:11">
      <c r="A1765">
        <v>58.905</v>
      </c>
      <c r="B1765">
        <v>-154.8</v>
      </c>
      <c r="C1765">
        <v>26.9</v>
      </c>
      <c r="E1765">
        <v>58.872</v>
      </c>
      <c r="F1765">
        <v>-154.7</v>
      </c>
      <c r="G1765">
        <v>26.9</v>
      </c>
      <c r="I1765">
        <f t="shared" si="84"/>
        <v>58.85</v>
      </c>
      <c r="J1765">
        <f t="shared" si="82"/>
        <v>-4.69999999999999</v>
      </c>
      <c r="K1765">
        <f t="shared" si="83"/>
        <v>-5.5</v>
      </c>
    </row>
    <row r="1766" spans="1:11">
      <c r="A1766">
        <v>58.939</v>
      </c>
      <c r="B1766">
        <v>-154.9</v>
      </c>
      <c r="C1766">
        <v>27.4</v>
      </c>
      <c r="E1766">
        <v>58.905</v>
      </c>
      <c r="F1766">
        <v>-154.8</v>
      </c>
      <c r="G1766">
        <v>26.9</v>
      </c>
      <c r="I1766">
        <f t="shared" si="84"/>
        <v>58.9</v>
      </c>
      <c r="J1766">
        <f t="shared" si="82"/>
        <v>-4.80000000000001</v>
      </c>
      <c r="K1766">
        <f t="shared" si="83"/>
        <v>-5.5</v>
      </c>
    </row>
    <row r="1767" spans="1:11">
      <c r="A1767">
        <v>58.972</v>
      </c>
      <c r="B1767">
        <v>-154.9</v>
      </c>
      <c r="C1767">
        <v>28</v>
      </c>
      <c r="E1767">
        <v>58.939</v>
      </c>
      <c r="F1767">
        <v>-154.9</v>
      </c>
      <c r="G1767">
        <v>27.4</v>
      </c>
      <c r="I1767">
        <f t="shared" si="84"/>
        <v>58.9</v>
      </c>
      <c r="J1767">
        <f t="shared" si="82"/>
        <v>-4.90000000000001</v>
      </c>
      <c r="K1767">
        <f t="shared" si="83"/>
        <v>-5.5</v>
      </c>
    </row>
    <row r="1768" spans="1:11">
      <c r="A1768">
        <v>59.005</v>
      </c>
      <c r="B1768">
        <v>-154.9</v>
      </c>
      <c r="C1768">
        <v>27.4</v>
      </c>
      <c r="E1768">
        <v>58.972</v>
      </c>
      <c r="F1768">
        <v>-154.9</v>
      </c>
      <c r="G1768">
        <v>28</v>
      </c>
      <c r="I1768">
        <f t="shared" si="84"/>
        <v>58.95</v>
      </c>
      <c r="J1768">
        <f t="shared" si="82"/>
        <v>-4.90000000000001</v>
      </c>
      <c r="K1768">
        <f t="shared" si="83"/>
        <v>-5.5</v>
      </c>
    </row>
    <row r="1769" spans="1:11">
      <c r="A1769">
        <v>59.039</v>
      </c>
      <c r="B1769">
        <v>-154.8</v>
      </c>
      <c r="C1769">
        <v>26.8</v>
      </c>
      <c r="E1769">
        <v>59.005</v>
      </c>
      <c r="F1769">
        <v>-154.9</v>
      </c>
      <c r="G1769">
        <v>27.4</v>
      </c>
      <c r="I1769">
        <f t="shared" si="84"/>
        <v>59</v>
      </c>
      <c r="J1769">
        <f t="shared" si="82"/>
        <v>-4.90000000000001</v>
      </c>
      <c r="K1769">
        <f t="shared" si="83"/>
        <v>-5.5</v>
      </c>
    </row>
    <row r="1770" spans="1:11">
      <c r="A1770">
        <v>59.072</v>
      </c>
      <c r="B1770">
        <v>-154.9</v>
      </c>
      <c r="C1770">
        <v>26.8</v>
      </c>
      <c r="E1770">
        <v>59.039</v>
      </c>
      <c r="F1770">
        <v>-154.8</v>
      </c>
      <c r="G1770">
        <v>26.8</v>
      </c>
      <c r="I1770">
        <f t="shared" si="84"/>
        <v>59</v>
      </c>
      <c r="J1770">
        <f t="shared" si="82"/>
        <v>-4.80000000000001</v>
      </c>
      <c r="K1770">
        <f t="shared" si="83"/>
        <v>-5.5</v>
      </c>
    </row>
    <row r="1771" spans="1:11">
      <c r="A1771">
        <v>59.106</v>
      </c>
      <c r="B1771">
        <v>-154.8</v>
      </c>
      <c r="C1771">
        <v>27</v>
      </c>
      <c r="E1771">
        <v>59.072</v>
      </c>
      <c r="F1771">
        <v>-154.9</v>
      </c>
      <c r="G1771">
        <v>26.8</v>
      </c>
      <c r="I1771">
        <f t="shared" si="84"/>
        <v>59.05</v>
      </c>
      <c r="J1771">
        <f t="shared" si="82"/>
        <v>-4.90000000000001</v>
      </c>
      <c r="K1771">
        <f t="shared" si="83"/>
        <v>-5.5</v>
      </c>
    </row>
    <row r="1772" spans="1:11">
      <c r="A1772">
        <v>59.139</v>
      </c>
      <c r="B1772">
        <v>-154.8</v>
      </c>
      <c r="C1772">
        <v>27.3</v>
      </c>
      <c r="E1772">
        <v>59.106</v>
      </c>
      <c r="F1772">
        <v>-154.8</v>
      </c>
      <c r="G1772">
        <v>27</v>
      </c>
      <c r="I1772">
        <f t="shared" si="84"/>
        <v>59.1</v>
      </c>
      <c r="J1772">
        <f t="shared" si="82"/>
        <v>-4.80000000000001</v>
      </c>
      <c r="K1772">
        <f t="shared" si="83"/>
        <v>-5.5</v>
      </c>
    </row>
    <row r="1773" spans="1:11">
      <c r="A1773">
        <v>59.173</v>
      </c>
      <c r="B1773">
        <v>-154.7</v>
      </c>
      <c r="C1773">
        <v>27</v>
      </c>
      <c r="E1773">
        <v>59.139</v>
      </c>
      <c r="F1773">
        <v>-154.8</v>
      </c>
      <c r="G1773">
        <v>27.3</v>
      </c>
      <c r="I1773">
        <f t="shared" si="84"/>
        <v>59.1</v>
      </c>
      <c r="J1773">
        <f t="shared" si="82"/>
        <v>-4.80000000000001</v>
      </c>
      <c r="K1773">
        <f t="shared" si="83"/>
        <v>-5.5</v>
      </c>
    </row>
    <row r="1774" spans="1:11">
      <c r="A1774">
        <v>59.206</v>
      </c>
      <c r="B1774">
        <v>-154.7</v>
      </c>
      <c r="C1774">
        <v>27.3</v>
      </c>
      <c r="E1774">
        <v>59.173</v>
      </c>
      <c r="F1774">
        <v>-154.7</v>
      </c>
      <c r="G1774">
        <v>27</v>
      </c>
      <c r="I1774">
        <f t="shared" si="84"/>
        <v>59.15</v>
      </c>
      <c r="J1774">
        <f t="shared" si="82"/>
        <v>-4.69999999999999</v>
      </c>
      <c r="K1774">
        <f t="shared" si="83"/>
        <v>-5.5</v>
      </c>
    </row>
    <row r="1775" spans="1:11">
      <c r="A1775">
        <v>59.24</v>
      </c>
      <c r="B1775">
        <v>-154.6</v>
      </c>
      <c r="C1775">
        <v>27</v>
      </c>
      <c r="E1775">
        <v>59.206</v>
      </c>
      <c r="F1775">
        <v>-154.7</v>
      </c>
      <c r="G1775">
        <v>27.3</v>
      </c>
      <c r="I1775">
        <f t="shared" si="84"/>
        <v>59.2</v>
      </c>
      <c r="J1775">
        <f t="shared" si="82"/>
        <v>-4.69999999999999</v>
      </c>
      <c r="K1775">
        <f t="shared" si="83"/>
        <v>-5.5</v>
      </c>
    </row>
    <row r="1776" spans="1:11">
      <c r="A1776">
        <v>59.273</v>
      </c>
      <c r="B1776">
        <v>-154.6</v>
      </c>
      <c r="C1776">
        <v>27</v>
      </c>
      <c r="E1776">
        <v>59.24</v>
      </c>
      <c r="F1776">
        <v>-154.6</v>
      </c>
      <c r="G1776">
        <v>27</v>
      </c>
      <c r="I1776">
        <f t="shared" si="84"/>
        <v>59.2</v>
      </c>
      <c r="J1776">
        <f t="shared" si="82"/>
        <v>-4.59999999999999</v>
      </c>
      <c r="K1776">
        <f t="shared" si="83"/>
        <v>-5.5</v>
      </c>
    </row>
    <row r="1777" spans="1:11">
      <c r="A1777">
        <v>59.306</v>
      </c>
      <c r="B1777">
        <v>-154.5</v>
      </c>
      <c r="C1777">
        <v>27.2</v>
      </c>
      <c r="E1777">
        <v>59.273</v>
      </c>
      <c r="F1777">
        <v>-154.6</v>
      </c>
      <c r="G1777">
        <v>27</v>
      </c>
      <c r="I1777">
        <f t="shared" si="84"/>
        <v>59.25</v>
      </c>
      <c r="J1777">
        <f t="shared" si="82"/>
        <v>-4.59999999999999</v>
      </c>
      <c r="K1777">
        <f t="shared" si="83"/>
        <v>-5.5</v>
      </c>
    </row>
    <row r="1778" spans="1:11">
      <c r="A1778">
        <v>59.34</v>
      </c>
      <c r="B1778">
        <v>-154.4</v>
      </c>
      <c r="C1778">
        <v>27</v>
      </c>
      <c r="E1778">
        <v>59.306</v>
      </c>
      <c r="F1778">
        <v>-154.5</v>
      </c>
      <c r="G1778">
        <v>27.2</v>
      </c>
      <c r="I1778">
        <f t="shared" si="84"/>
        <v>59.3</v>
      </c>
      <c r="J1778">
        <f t="shared" si="82"/>
        <v>-4.5</v>
      </c>
      <c r="K1778">
        <f t="shared" si="83"/>
        <v>-5.5</v>
      </c>
    </row>
    <row r="1779" spans="1:11">
      <c r="A1779">
        <v>59.373</v>
      </c>
      <c r="B1779">
        <v>-154.4</v>
      </c>
      <c r="C1779">
        <v>27.1</v>
      </c>
      <c r="E1779">
        <v>59.34</v>
      </c>
      <c r="F1779">
        <v>-154.4</v>
      </c>
      <c r="G1779">
        <v>27</v>
      </c>
      <c r="I1779">
        <f t="shared" si="84"/>
        <v>59.3</v>
      </c>
      <c r="J1779">
        <f t="shared" si="82"/>
        <v>-4.40000000000001</v>
      </c>
      <c r="K1779">
        <f t="shared" si="83"/>
        <v>-5.5</v>
      </c>
    </row>
    <row r="1780" spans="1:11">
      <c r="A1780">
        <v>59.407</v>
      </c>
      <c r="B1780">
        <v>-154.3</v>
      </c>
      <c r="C1780">
        <v>27.2</v>
      </c>
      <c r="E1780">
        <v>59.373</v>
      </c>
      <c r="F1780">
        <v>-154.4</v>
      </c>
      <c r="G1780">
        <v>27.1</v>
      </c>
      <c r="I1780">
        <f t="shared" si="84"/>
        <v>59.35</v>
      </c>
      <c r="J1780">
        <f t="shared" si="82"/>
        <v>-4.40000000000001</v>
      </c>
      <c r="K1780">
        <f t="shared" si="83"/>
        <v>-5.5</v>
      </c>
    </row>
    <row r="1781" spans="1:11">
      <c r="E1781">
        <v>59.407</v>
      </c>
      <c r="F1781">
        <v>-154.3</v>
      </c>
      <c r="G1781">
        <v>27.2</v>
      </c>
      <c r="I1781">
        <f t="shared" si="84"/>
        <v>59.4</v>
      </c>
      <c r="J1781">
        <f t="shared" si="82"/>
        <v>-4.30000000000001</v>
      </c>
      <c r="K1781">
        <f t="shared" si="83"/>
        <v>-5.5</v>
      </c>
    </row>
  </sheetData>
  <mergeCells count="2">
    <mergeCell ref="E1:G1"/>
    <mergeCell ref="I1:K1"/>
  </mergeCells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51"/>
  <sheetViews>
    <sheetView zoomScale="160" zoomScaleNormal="160" topLeftCell="N9" workbookViewId="0">
      <selection activeCell="K4" sqref="K4:K1144"/>
    </sheetView>
  </sheetViews>
  <sheetFormatPr defaultColWidth="8.88888888888889" defaultRowHeight="14.4"/>
  <cols>
    <col min="1" max="3" width="7.66666666666667" customWidth="1"/>
    <col min="4" max="4" width="9.66666666666667" customWidth="1"/>
    <col min="5" max="5" width="10.7777777777778" customWidth="1"/>
    <col min="6" max="6" width="13.8148148148148" customWidth="1"/>
    <col min="7" max="7" width="7.66666666666667" customWidth="1"/>
    <col min="8" max="8" width="9.66666666666667" customWidth="1"/>
    <col min="9" max="9" width="9.75" customWidth="1"/>
    <col min="10" max="10" width="3.88888888888889" customWidth="1"/>
    <col min="11" max="11" width="7.66666666666667" customWidth="1"/>
    <col min="12" max="12" width="9.66666666666667" customWidth="1"/>
    <col min="13" max="13" width="8.77777777777778" customWidth="1"/>
  </cols>
  <sheetData>
    <row r="1" spans="1:13">
      <c r="B1" t="s">
        <v>1</v>
      </c>
      <c r="G1" s="1" t="s">
        <v>8</v>
      </c>
      <c r="H1" s="1"/>
      <c r="I1" s="1"/>
      <c r="K1" s="1" t="s">
        <v>729</v>
      </c>
      <c r="L1" s="1"/>
      <c r="M1" s="1"/>
    </row>
    <row r="2" spans="1:13">
      <c r="A2" t="s">
        <v>5</v>
      </c>
      <c r="B2" t="s">
        <v>7</v>
      </c>
      <c r="H2" t="s">
        <v>0</v>
      </c>
      <c r="I2" t="s">
        <v>1</v>
      </c>
      <c r="L2" t="s">
        <v>730</v>
      </c>
      <c r="M2" t="s">
        <v>731</v>
      </c>
    </row>
    <row r="3" spans="1:13">
      <c r="A3">
        <v>0</v>
      </c>
      <c r="B3">
        <v>25.7</v>
      </c>
      <c r="D3" s="2"/>
      <c r="E3" s="2"/>
      <c r="F3" s="2"/>
      <c r="G3" t="s">
        <v>5</v>
      </c>
      <c r="H3" t="s">
        <v>6</v>
      </c>
      <c r="I3" t="s">
        <v>7</v>
      </c>
      <c r="L3" t="s">
        <v>6</v>
      </c>
      <c r="M3" t="s">
        <v>7</v>
      </c>
    </row>
    <row r="4" spans="1:13">
      <c r="A4">
        <v>0.033</v>
      </c>
      <c r="B4">
        <v>25.3</v>
      </c>
      <c r="D4" s="2"/>
      <c r="E4" s="2"/>
      <c r="F4" s="2"/>
      <c r="G4">
        <v>0</v>
      </c>
      <c r="H4" s="2">
        <v>-0.0392</v>
      </c>
      <c r="I4">
        <v>25.7</v>
      </c>
      <c r="K4">
        <f t="shared" ref="K4:K67" si="0">FLOOR(G4,0.05)</f>
        <v>0</v>
      </c>
      <c r="L4">
        <f>H4*100</f>
        <v>-3.92</v>
      </c>
      <c r="M4">
        <f>IF(I4&lt;230,0,5)</f>
        <v>0</v>
      </c>
    </row>
    <row r="5" spans="1:13">
      <c r="A5">
        <v>0.067</v>
      </c>
      <c r="B5">
        <v>25.2</v>
      </c>
      <c r="D5" s="2"/>
      <c r="E5" s="2"/>
      <c r="F5" s="2"/>
      <c r="G5">
        <v>0.033</v>
      </c>
      <c r="H5" s="2">
        <v>-0.04175</v>
      </c>
      <c r="I5">
        <v>25.3</v>
      </c>
      <c r="K5">
        <f t="shared" si="0"/>
        <v>0</v>
      </c>
      <c r="L5">
        <f t="shared" ref="L5:L68" si="1">H5*100</f>
        <v>-4.175</v>
      </c>
      <c r="M5">
        <f t="shared" ref="M5:M68" si="2">IF(I5&lt;230,0,5)</f>
        <v>0</v>
      </c>
    </row>
    <row r="6" spans="1:13">
      <c r="A6">
        <v>0.1</v>
      </c>
      <c r="B6">
        <v>25.4</v>
      </c>
      <c r="D6" s="2"/>
      <c r="E6" s="2"/>
      <c r="F6" s="2"/>
      <c r="G6">
        <v>0.067</v>
      </c>
      <c r="H6" s="2">
        <v>-0.04411</v>
      </c>
      <c r="I6">
        <v>25.2</v>
      </c>
      <c r="K6">
        <f t="shared" si="0"/>
        <v>0.05</v>
      </c>
      <c r="L6">
        <f t="shared" si="1"/>
        <v>-4.411</v>
      </c>
      <c r="M6">
        <f t="shared" si="2"/>
        <v>0</v>
      </c>
    </row>
    <row r="7" spans="1:13">
      <c r="A7">
        <v>0.134</v>
      </c>
      <c r="B7">
        <v>25.4</v>
      </c>
      <c r="D7" s="2"/>
      <c r="E7" s="2"/>
      <c r="F7" s="2"/>
      <c r="G7">
        <v>0.1</v>
      </c>
      <c r="H7" s="2">
        <v>-0.04679</v>
      </c>
      <c r="I7">
        <v>25.4</v>
      </c>
      <c r="K7">
        <f t="shared" si="0"/>
        <v>0.1</v>
      </c>
      <c r="L7">
        <f t="shared" si="1"/>
        <v>-4.679</v>
      </c>
      <c r="M7">
        <f t="shared" si="2"/>
        <v>0</v>
      </c>
    </row>
    <row r="8" spans="1:13">
      <c r="A8">
        <v>0.167</v>
      </c>
      <c r="B8">
        <v>25.9</v>
      </c>
      <c r="D8" s="2"/>
      <c r="E8" s="2"/>
      <c r="F8" s="2"/>
      <c r="G8">
        <v>0.134</v>
      </c>
      <c r="H8" s="2">
        <v>-0.04802</v>
      </c>
      <c r="I8">
        <v>25.4</v>
      </c>
      <c r="K8">
        <f t="shared" si="0"/>
        <v>0.1</v>
      </c>
      <c r="L8">
        <f t="shared" si="1"/>
        <v>-4.802</v>
      </c>
      <c r="M8">
        <f t="shared" si="2"/>
        <v>0</v>
      </c>
    </row>
    <row r="9" spans="1:13">
      <c r="A9">
        <v>0.201</v>
      </c>
      <c r="B9">
        <v>25.7</v>
      </c>
      <c r="D9" s="2"/>
      <c r="E9" s="2"/>
      <c r="F9" s="2"/>
      <c r="G9">
        <v>0.167</v>
      </c>
      <c r="H9" s="2">
        <v>-0.04841</v>
      </c>
      <c r="I9">
        <v>25.9</v>
      </c>
      <c r="K9">
        <f t="shared" si="0"/>
        <v>0.15</v>
      </c>
      <c r="L9">
        <f t="shared" si="1"/>
        <v>-4.841</v>
      </c>
      <c r="M9">
        <f t="shared" si="2"/>
        <v>0</v>
      </c>
    </row>
    <row r="10" spans="1:13">
      <c r="A10">
        <v>0.234</v>
      </c>
      <c r="B10">
        <v>25.5</v>
      </c>
      <c r="D10" s="2"/>
      <c r="E10" s="2"/>
      <c r="F10" s="2"/>
      <c r="G10">
        <v>0.201</v>
      </c>
      <c r="H10" s="2">
        <v>-0.04887</v>
      </c>
      <c r="I10">
        <v>25.7</v>
      </c>
      <c r="K10">
        <f t="shared" si="0"/>
        <v>0.2</v>
      </c>
      <c r="L10">
        <f t="shared" si="1"/>
        <v>-4.887</v>
      </c>
      <c r="M10">
        <f t="shared" si="2"/>
        <v>0</v>
      </c>
    </row>
    <row r="11" spans="1:13">
      <c r="A11">
        <v>0.267</v>
      </c>
      <c r="B11">
        <v>25.8</v>
      </c>
      <c r="D11" s="2"/>
      <c r="E11" s="2"/>
      <c r="F11" s="2"/>
      <c r="G11">
        <v>0.234</v>
      </c>
      <c r="H11" s="2">
        <v>-0.04853</v>
      </c>
      <c r="I11">
        <v>25.5</v>
      </c>
      <c r="K11">
        <f t="shared" si="0"/>
        <v>0.2</v>
      </c>
      <c r="L11">
        <f t="shared" si="1"/>
        <v>-4.853</v>
      </c>
      <c r="M11">
        <f t="shared" si="2"/>
        <v>0</v>
      </c>
    </row>
    <row r="12" spans="1:13">
      <c r="A12">
        <v>0.301</v>
      </c>
      <c r="B12">
        <v>25.7</v>
      </c>
      <c r="D12" s="2"/>
      <c r="E12" s="2"/>
      <c r="F12" s="2"/>
      <c r="G12">
        <v>0.267</v>
      </c>
      <c r="H12" s="2">
        <v>-0.04785</v>
      </c>
      <c r="I12">
        <v>25.8</v>
      </c>
      <c r="K12">
        <f t="shared" si="0"/>
        <v>0.25</v>
      </c>
      <c r="L12">
        <f t="shared" si="1"/>
        <v>-4.785</v>
      </c>
      <c r="M12">
        <f t="shared" si="2"/>
        <v>0</v>
      </c>
    </row>
    <row r="13" spans="1:13">
      <c r="A13">
        <v>0.334</v>
      </c>
      <c r="B13">
        <v>25.8</v>
      </c>
      <c r="D13" s="2"/>
      <c r="E13" s="2"/>
      <c r="F13" s="2"/>
      <c r="G13">
        <v>0.301</v>
      </c>
      <c r="H13" s="2">
        <v>-0.04709</v>
      </c>
      <c r="I13">
        <v>25.7</v>
      </c>
      <c r="K13">
        <f t="shared" si="0"/>
        <v>0.3</v>
      </c>
      <c r="L13">
        <f t="shared" si="1"/>
        <v>-4.709</v>
      </c>
      <c r="M13">
        <f t="shared" si="2"/>
        <v>0</v>
      </c>
    </row>
    <row r="14" spans="1:13">
      <c r="A14">
        <v>0.368</v>
      </c>
      <c r="B14">
        <v>25.7</v>
      </c>
      <c r="D14" s="2"/>
      <c r="E14" s="2"/>
      <c r="F14" s="2"/>
      <c r="G14">
        <v>0.334</v>
      </c>
      <c r="H14" s="2">
        <v>-0.04525</v>
      </c>
      <c r="I14">
        <v>25.8</v>
      </c>
      <c r="K14">
        <f t="shared" si="0"/>
        <v>0.3</v>
      </c>
      <c r="L14">
        <f t="shared" si="1"/>
        <v>-4.525</v>
      </c>
      <c r="M14">
        <f t="shared" si="2"/>
        <v>0</v>
      </c>
    </row>
    <row r="15" spans="1:13">
      <c r="A15">
        <v>0.401</v>
      </c>
      <c r="B15">
        <v>25.8</v>
      </c>
      <c r="D15" s="2"/>
      <c r="E15" s="2"/>
      <c r="F15" s="2"/>
      <c r="G15">
        <v>0.368</v>
      </c>
      <c r="H15" s="2">
        <v>-0.04327</v>
      </c>
      <c r="I15">
        <v>25.7</v>
      </c>
      <c r="K15">
        <f t="shared" si="0"/>
        <v>0.35</v>
      </c>
      <c r="L15">
        <f t="shared" si="1"/>
        <v>-4.327</v>
      </c>
      <c r="M15">
        <f t="shared" si="2"/>
        <v>0</v>
      </c>
    </row>
    <row r="16" spans="1:13">
      <c r="A16">
        <v>0.434</v>
      </c>
      <c r="B16">
        <v>25.9</v>
      </c>
      <c r="D16" s="2"/>
      <c r="E16" s="2"/>
      <c r="F16" s="2"/>
      <c r="G16">
        <v>0.401</v>
      </c>
      <c r="H16" s="2">
        <v>-0.04063</v>
      </c>
      <c r="I16">
        <v>25.8</v>
      </c>
      <c r="K16">
        <f t="shared" si="0"/>
        <v>0.4</v>
      </c>
      <c r="L16">
        <f t="shared" si="1"/>
        <v>-4.063</v>
      </c>
      <c r="M16">
        <f t="shared" si="2"/>
        <v>0</v>
      </c>
    </row>
    <row r="17" spans="1:13">
      <c r="A17">
        <v>0.468</v>
      </c>
      <c r="B17">
        <v>26.1</v>
      </c>
      <c r="D17" s="2"/>
      <c r="E17" s="2"/>
      <c r="F17" s="2"/>
      <c r="G17">
        <v>0.434</v>
      </c>
      <c r="H17" s="2">
        <v>-0.0376</v>
      </c>
      <c r="I17">
        <v>25.9</v>
      </c>
      <c r="K17">
        <f t="shared" si="0"/>
        <v>0.4</v>
      </c>
      <c r="L17">
        <f t="shared" si="1"/>
        <v>-3.76</v>
      </c>
      <c r="M17">
        <f t="shared" si="2"/>
        <v>0</v>
      </c>
    </row>
    <row r="18" spans="1:13">
      <c r="A18">
        <v>0.501</v>
      </c>
      <c r="B18">
        <v>26.3</v>
      </c>
      <c r="D18" s="2"/>
      <c r="E18" s="2"/>
      <c r="F18" s="2"/>
      <c r="G18">
        <v>0.468</v>
      </c>
      <c r="H18" s="2">
        <v>-0.03396</v>
      </c>
      <c r="I18">
        <v>26.1</v>
      </c>
      <c r="K18">
        <f t="shared" si="0"/>
        <v>0.45</v>
      </c>
      <c r="L18">
        <f t="shared" si="1"/>
        <v>-3.396</v>
      </c>
      <c r="M18">
        <f t="shared" si="2"/>
        <v>0</v>
      </c>
    </row>
    <row r="19" spans="1:13">
      <c r="A19">
        <v>0.535</v>
      </c>
      <c r="B19">
        <v>25.5</v>
      </c>
      <c r="D19" s="2"/>
      <c r="E19" s="2"/>
      <c r="F19" s="2"/>
      <c r="G19">
        <v>0.501</v>
      </c>
      <c r="H19" s="2">
        <v>-0.03052</v>
      </c>
      <c r="I19">
        <v>26.3</v>
      </c>
      <c r="K19">
        <f t="shared" si="0"/>
        <v>0.5</v>
      </c>
      <c r="L19">
        <f t="shared" si="1"/>
        <v>-3.052</v>
      </c>
      <c r="M19">
        <f t="shared" si="2"/>
        <v>0</v>
      </c>
    </row>
    <row r="20" spans="1:13">
      <c r="A20">
        <v>0.568</v>
      </c>
      <c r="B20">
        <v>26</v>
      </c>
      <c r="D20" s="2"/>
      <c r="E20" s="2"/>
      <c r="F20" s="2"/>
      <c r="G20">
        <v>0.535</v>
      </c>
      <c r="H20" s="2">
        <v>-0.02549</v>
      </c>
      <c r="I20">
        <v>25.5</v>
      </c>
      <c r="K20">
        <f t="shared" si="0"/>
        <v>0.5</v>
      </c>
      <c r="L20">
        <f t="shared" si="1"/>
        <v>-2.549</v>
      </c>
      <c r="M20">
        <f t="shared" si="2"/>
        <v>0</v>
      </c>
    </row>
    <row r="21" spans="1:13">
      <c r="A21">
        <v>0.602</v>
      </c>
      <c r="B21">
        <v>25.9</v>
      </c>
      <c r="D21" s="2"/>
      <c r="E21" s="2"/>
      <c r="F21" s="2"/>
      <c r="G21">
        <v>0.568</v>
      </c>
      <c r="H21" s="2">
        <v>-0.02044</v>
      </c>
      <c r="I21">
        <v>26</v>
      </c>
      <c r="K21">
        <f t="shared" si="0"/>
        <v>0.55</v>
      </c>
      <c r="L21">
        <f t="shared" si="1"/>
        <v>-2.044</v>
      </c>
      <c r="M21">
        <f t="shared" si="2"/>
        <v>0</v>
      </c>
    </row>
    <row r="22" spans="1:13">
      <c r="A22">
        <v>0.635</v>
      </c>
      <c r="B22">
        <v>25.6</v>
      </c>
      <c r="D22" s="2"/>
      <c r="E22" s="2"/>
      <c r="F22" s="2"/>
      <c r="G22">
        <v>0.602</v>
      </c>
      <c r="H22" s="2">
        <v>-0.01535</v>
      </c>
      <c r="I22">
        <v>25.9</v>
      </c>
      <c r="K22">
        <f t="shared" si="0"/>
        <v>0.6</v>
      </c>
      <c r="L22">
        <f t="shared" si="1"/>
        <v>-1.535</v>
      </c>
      <c r="M22">
        <f t="shared" si="2"/>
        <v>0</v>
      </c>
    </row>
    <row r="23" spans="1:13">
      <c r="A23">
        <v>0.668</v>
      </c>
      <c r="B23">
        <v>25.6</v>
      </c>
      <c r="D23" s="2"/>
      <c r="E23" s="2"/>
      <c r="F23" s="2"/>
      <c r="G23">
        <v>0.635</v>
      </c>
      <c r="H23" s="2">
        <v>-0.01027</v>
      </c>
      <c r="I23">
        <v>25.6</v>
      </c>
      <c r="K23">
        <f t="shared" si="0"/>
        <v>0.6</v>
      </c>
      <c r="L23">
        <f t="shared" si="1"/>
        <v>-1.027</v>
      </c>
      <c r="M23">
        <f t="shared" si="2"/>
        <v>0</v>
      </c>
    </row>
    <row r="24" spans="1:13">
      <c r="A24">
        <v>0.702</v>
      </c>
      <c r="B24">
        <v>25.4</v>
      </c>
      <c r="D24" s="2"/>
      <c r="E24" s="2"/>
      <c r="F24" s="2"/>
      <c r="G24">
        <v>0.668</v>
      </c>
      <c r="H24" s="2">
        <v>-0.004097</v>
      </c>
      <c r="I24">
        <v>25.6</v>
      </c>
      <c r="K24">
        <f t="shared" si="0"/>
        <v>0.65</v>
      </c>
      <c r="L24">
        <f t="shared" si="1"/>
        <v>-0.4097</v>
      </c>
      <c r="M24">
        <f t="shared" si="2"/>
        <v>0</v>
      </c>
    </row>
    <row r="25" spans="1:13">
      <c r="A25">
        <v>0.735</v>
      </c>
      <c r="B25">
        <v>25.7</v>
      </c>
      <c r="G25">
        <v>0.702</v>
      </c>
      <c r="H25" s="2">
        <v>-0.0001146</v>
      </c>
      <c r="I25">
        <v>25.4</v>
      </c>
      <c r="K25">
        <f t="shared" si="0"/>
        <v>0.7</v>
      </c>
      <c r="L25">
        <f t="shared" si="1"/>
        <v>-0.01146</v>
      </c>
      <c r="M25">
        <f t="shared" si="2"/>
        <v>0</v>
      </c>
    </row>
    <row r="26" spans="1:13">
      <c r="A26">
        <v>0.769</v>
      </c>
      <c r="B26">
        <v>25.9</v>
      </c>
      <c r="G26">
        <v>0.735</v>
      </c>
      <c r="H26" s="8" t="s">
        <v>995</v>
      </c>
      <c r="I26">
        <v>25.7</v>
      </c>
      <c r="K26">
        <f t="shared" si="0"/>
        <v>0.7</v>
      </c>
      <c r="L26">
        <f t="shared" si="1"/>
        <v>0.6866</v>
      </c>
      <c r="M26">
        <f t="shared" si="2"/>
        <v>0</v>
      </c>
    </row>
    <row r="27" spans="1:13">
      <c r="A27">
        <v>0.802</v>
      </c>
      <c r="B27">
        <v>26</v>
      </c>
      <c r="G27">
        <v>0.769</v>
      </c>
      <c r="H27" s="8" t="s">
        <v>996</v>
      </c>
      <c r="I27">
        <v>25.9</v>
      </c>
      <c r="K27">
        <f t="shared" si="0"/>
        <v>0.75</v>
      </c>
      <c r="L27">
        <f t="shared" si="1"/>
        <v>1.336</v>
      </c>
      <c r="M27">
        <f t="shared" si="2"/>
        <v>0</v>
      </c>
    </row>
    <row r="28" spans="1:13">
      <c r="A28">
        <v>0.836</v>
      </c>
      <c r="B28">
        <v>25.6</v>
      </c>
      <c r="G28">
        <v>0.802</v>
      </c>
      <c r="H28" s="8" t="s">
        <v>997</v>
      </c>
      <c r="I28">
        <v>26</v>
      </c>
      <c r="K28">
        <f t="shared" si="0"/>
        <v>0.8</v>
      </c>
      <c r="L28">
        <f t="shared" si="1"/>
        <v>2.003</v>
      </c>
      <c r="M28">
        <f t="shared" si="2"/>
        <v>0</v>
      </c>
    </row>
    <row r="29" spans="1:13">
      <c r="A29">
        <v>0.869</v>
      </c>
      <c r="B29">
        <v>25.6</v>
      </c>
      <c r="G29">
        <v>0.836</v>
      </c>
      <c r="H29" s="8" t="s">
        <v>998</v>
      </c>
      <c r="I29">
        <v>25.6</v>
      </c>
      <c r="K29">
        <f t="shared" si="0"/>
        <v>0.8</v>
      </c>
      <c r="L29">
        <f t="shared" si="1"/>
        <v>2.529</v>
      </c>
      <c r="M29">
        <f t="shared" si="2"/>
        <v>0</v>
      </c>
    </row>
    <row r="30" spans="1:13">
      <c r="A30">
        <v>0.902</v>
      </c>
      <c r="B30">
        <v>26</v>
      </c>
      <c r="G30">
        <v>0.869</v>
      </c>
      <c r="H30" s="8" t="s">
        <v>999</v>
      </c>
      <c r="I30">
        <v>25.6</v>
      </c>
      <c r="K30">
        <f t="shared" si="0"/>
        <v>0.85</v>
      </c>
      <c r="L30">
        <f t="shared" si="1"/>
        <v>3.205</v>
      </c>
      <c r="M30">
        <f t="shared" si="2"/>
        <v>0</v>
      </c>
    </row>
    <row r="31" spans="1:13">
      <c r="A31">
        <v>0.936</v>
      </c>
      <c r="B31">
        <v>26.2</v>
      </c>
      <c r="G31">
        <v>0.902</v>
      </c>
      <c r="H31" s="8" t="s">
        <v>1000</v>
      </c>
      <c r="I31">
        <v>26</v>
      </c>
      <c r="K31">
        <f t="shared" si="0"/>
        <v>0.9</v>
      </c>
      <c r="L31">
        <f t="shared" si="1"/>
        <v>3.634</v>
      </c>
      <c r="M31">
        <f t="shared" si="2"/>
        <v>0</v>
      </c>
    </row>
    <row r="32" spans="1:13">
      <c r="A32">
        <v>0.969</v>
      </c>
      <c r="B32">
        <v>25.6</v>
      </c>
      <c r="G32">
        <v>0.936</v>
      </c>
      <c r="H32" s="8" t="s">
        <v>1001</v>
      </c>
      <c r="I32">
        <v>26.2</v>
      </c>
      <c r="K32">
        <f t="shared" si="0"/>
        <v>0.9</v>
      </c>
      <c r="L32">
        <f t="shared" si="1"/>
        <v>4.314</v>
      </c>
      <c r="M32">
        <f t="shared" si="2"/>
        <v>0</v>
      </c>
    </row>
    <row r="33" spans="1:13">
      <c r="A33">
        <v>1.003</v>
      </c>
      <c r="B33">
        <v>25.3</v>
      </c>
      <c r="G33">
        <v>0.969</v>
      </c>
      <c r="H33" s="8" t="s">
        <v>1002</v>
      </c>
      <c r="I33">
        <v>25.6</v>
      </c>
      <c r="K33">
        <f t="shared" si="0"/>
        <v>0.95</v>
      </c>
      <c r="L33">
        <f t="shared" si="1"/>
        <v>4.843</v>
      </c>
      <c r="M33">
        <f t="shared" si="2"/>
        <v>0</v>
      </c>
    </row>
    <row r="34" spans="1:13">
      <c r="A34">
        <v>1.036</v>
      </c>
      <c r="B34">
        <v>25.5</v>
      </c>
      <c r="G34">
        <v>1.003</v>
      </c>
      <c r="H34" s="8" t="s">
        <v>1003</v>
      </c>
      <c r="I34">
        <v>25.3</v>
      </c>
      <c r="K34">
        <f t="shared" si="0"/>
        <v>1</v>
      </c>
      <c r="L34">
        <f t="shared" si="1"/>
        <v>5.215</v>
      </c>
      <c r="M34">
        <f t="shared" si="2"/>
        <v>0</v>
      </c>
    </row>
    <row r="35" spans="1:13">
      <c r="A35">
        <v>1.069</v>
      </c>
      <c r="B35">
        <v>25.6</v>
      </c>
      <c r="G35">
        <v>1.036</v>
      </c>
      <c r="H35" s="8" t="s">
        <v>1004</v>
      </c>
      <c r="I35">
        <v>25.5</v>
      </c>
      <c r="K35">
        <f t="shared" si="0"/>
        <v>1</v>
      </c>
      <c r="L35">
        <f t="shared" si="1"/>
        <v>5.635</v>
      </c>
      <c r="M35">
        <f t="shared" si="2"/>
        <v>0</v>
      </c>
    </row>
    <row r="36" spans="1:13">
      <c r="A36">
        <v>1.103</v>
      </c>
      <c r="B36">
        <v>25.8</v>
      </c>
      <c r="G36">
        <v>1.069</v>
      </c>
      <c r="H36" s="8" t="s">
        <v>1005</v>
      </c>
      <c r="I36">
        <v>25.6</v>
      </c>
      <c r="K36">
        <f t="shared" si="0"/>
        <v>1.05</v>
      </c>
      <c r="L36">
        <f t="shared" si="1"/>
        <v>6.02</v>
      </c>
      <c r="M36">
        <f t="shared" si="2"/>
        <v>0</v>
      </c>
    </row>
    <row r="37" spans="1:13">
      <c r="A37">
        <v>1.136</v>
      </c>
      <c r="B37">
        <v>25.6</v>
      </c>
      <c r="G37">
        <v>1.103</v>
      </c>
      <c r="H37" s="8" t="s">
        <v>1006</v>
      </c>
      <c r="I37">
        <v>25.8</v>
      </c>
      <c r="K37">
        <f t="shared" si="0"/>
        <v>1.1</v>
      </c>
      <c r="L37">
        <f t="shared" si="1"/>
        <v>6.324</v>
      </c>
      <c r="M37">
        <f t="shared" si="2"/>
        <v>0</v>
      </c>
    </row>
    <row r="38" spans="1:13">
      <c r="A38">
        <v>1.17</v>
      </c>
      <c r="B38">
        <v>26.4</v>
      </c>
      <c r="G38">
        <v>1.136</v>
      </c>
      <c r="H38" s="8" t="s">
        <v>1007</v>
      </c>
      <c r="I38">
        <v>25.6</v>
      </c>
      <c r="K38">
        <f t="shared" si="0"/>
        <v>1.1</v>
      </c>
      <c r="L38">
        <f t="shared" si="1"/>
        <v>6.6</v>
      </c>
      <c r="M38">
        <f t="shared" si="2"/>
        <v>0</v>
      </c>
    </row>
    <row r="39" spans="1:13">
      <c r="A39">
        <v>1.203</v>
      </c>
      <c r="B39">
        <v>26</v>
      </c>
      <c r="G39">
        <v>1.17</v>
      </c>
      <c r="H39" s="8" t="s">
        <v>1008</v>
      </c>
      <c r="I39">
        <v>26.4</v>
      </c>
      <c r="K39">
        <f t="shared" si="0"/>
        <v>1.15</v>
      </c>
      <c r="L39">
        <f t="shared" si="1"/>
        <v>6.836</v>
      </c>
      <c r="M39">
        <f t="shared" si="2"/>
        <v>0</v>
      </c>
    </row>
    <row r="40" spans="1:13">
      <c r="A40">
        <v>1.237</v>
      </c>
      <c r="B40">
        <v>25.8</v>
      </c>
      <c r="G40">
        <v>1.203</v>
      </c>
      <c r="H40" s="8" t="s">
        <v>1009</v>
      </c>
      <c r="I40">
        <v>26</v>
      </c>
      <c r="K40">
        <f t="shared" si="0"/>
        <v>1.2</v>
      </c>
      <c r="L40">
        <f t="shared" si="1"/>
        <v>7.028</v>
      </c>
      <c r="M40">
        <f t="shared" si="2"/>
        <v>0</v>
      </c>
    </row>
    <row r="41" spans="1:13">
      <c r="A41">
        <v>1.27</v>
      </c>
      <c r="B41">
        <v>25.6</v>
      </c>
      <c r="D41" t="s">
        <v>1</v>
      </c>
      <c r="G41">
        <v>1.237</v>
      </c>
      <c r="H41" s="8" t="s">
        <v>1010</v>
      </c>
      <c r="I41">
        <v>25.8</v>
      </c>
      <c r="K41">
        <f t="shared" si="0"/>
        <v>1.2</v>
      </c>
      <c r="L41">
        <f t="shared" si="1"/>
        <v>7.101</v>
      </c>
      <c r="M41">
        <f t="shared" si="2"/>
        <v>0</v>
      </c>
    </row>
    <row r="42" spans="1:13">
      <c r="A42">
        <v>1.303</v>
      </c>
      <c r="B42">
        <v>25.8</v>
      </c>
      <c r="C42" t="s">
        <v>5</v>
      </c>
      <c r="D42" t="s">
        <v>7</v>
      </c>
      <c r="G42">
        <v>1.27</v>
      </c>
      <c r="H42" s="8" t="s">
        <v>1011</v>
      </c>
      <c r="I42">
        <v>25.6</v>
      </c>
      <c r="K42">
        <f t="shared" si="0"/>
        <v>1.25</v>
      </c>
      <c r="L42">
        <f t="shared" si="1"/>
        <v>7.164</v>
      </c>
      <c r="M42">
        <f t="shared" si="2"/>
        <v>0</v>
      </c>
    </row>
    <row r="43" spans="1:13">
      <c r="A43">
        <v>1.337</v>
      </c>
      <c r="B43">
        <v>25.6</v>
      </c>
      <c r="C43">
        <v>0</v>
      </c>
      <c r="D43">
        <v>25.7</v>
      </c>
      <c r="G43">
        <v>1.303</v>
      </c>
      <c r="H43" s="8" t="s">
        <v>1012</v>
      </c>
      <c r="I43">
        <v>25.8</v>
      </c>
      <c r="K43">
        <f t="shared" si="0"/>
        <v>1.3</v>
      </c>
      <c r="L43">
        <f t="shared" si="1"/>
        <v>7.157</v>
      </c>
      <c r="M43">
        <f t="shared" si="2"/>
        <v>0</v>
      </c>
    </row>
    <row r="44" spans="1:13">
      <c r="A44">
        <v>1.37</v>
      </c>
      <c r="B44">
        <v>25.5</v>
      </c>
      <c r="C44">
        <v>0.033</v>
      </c>
      <c r="D44">
        <v>25.3</v>
      </c>
      <c r="G44">
        <v>1.337</v>
      </c>
      <c r="H44" s="8" t="s">
        <v>1013</v>
      </c>
      <c r="I44">
        <v>25.6</v>
      </c>
      <c r="K44">
        <f t="shared" si="0"/>
        <v>1.3</v>
      </c>
      <c r="L44">
        <f t="shared" si="1"/>
        <v>7.072</v>
      </c>
      <c r="M44">
        <f t="shared" si="2"/>
        <v>0</v>
      </c>
    </row>
    <row r="45" spans="1:13">
      <c r="A45">
        <v>1.404</v>
      </c>
      <c r="B45">
        <v>25.6</v>
      </c>
      <c r="C45">
        <v>0.067</v>
      </c>
      <c r="D45">
        <v>25.2</v>
      </c>
      <c r="G45">
        <v>1.37</v>
      </c>
      <c r="H45" s="8" t="s">
        <v>1014</v>
      </c>
      <c r="I45">
        <v>25.5</v>
      </c>
      <c r="K45">
        <f t="shared" si="0"/>
        <v>1.35</v>
      </c>
      <c r="L45">
        <f t="shared" si="1"/>
        <v>7.05</v>
      </c>
      <c r="M45">
        <f t="shared" si="2"/>
        <v>0</v>
      </c>
    </row>
    <row r="46" spans="1:13">
      <c r="A46">
        <v>1.437</v>
      </c>
      <c r="B46">
        <v>26.3</v>
      </c>
      <c r="C46">
        <v>0.1</v>
      </c>
      <c r="D46">
        <v>25.4</v>
      </c>
      <c r="G46">
        <v>1.404</v>
      </c>
      <c r="H46" s="8" t="s">
        <v>1015</v>
      </c>
      <c r="I46">
        <v>25.6</v>
      </c>
      <c r="K46">
        <f t="shared" si="0"/>
        <v>1.4</v>
      </c>
      <c r="L46">
        <f t="shared" si="1"/>
        <v>6.871</v>
      </c>
      <c r="M46">
        <f t="shared" si="2"/>
        <v>0</v>
      </c>
    </row>
    <row r="47" spans="1:13">
      <c r="A47">
        <v>1.47</v>
      </c>
      <c r="B47">
        <v>26.2</v>
      </c>
      <c r="C47">
        <v>0.134</v>
      </c>
      <c r="D47">
        <v>25.4</v>
      </c>
      <c r="G47">
        <v>1.437</v>
      </c>
      <c r="H47" s="8" t="s">
        <v>1007</v>
      </c>
      <c r="I47">
        <v>26.3</v>
      </c>
      <c r="K47">
        <f t="shared" si="0"/>
        <v>1.4</v>
      </c>
      <c r="L47">
        <f t="shared" si="1"/>
        <v>6.6</v>
      </c>
      <c r="M47">
        <f t="shared" si="2"/>
        <v>0</v>
      </c>
    </row>
    <row r="48" spans="1:13">
      <c r="A48">
        <v>1.504</v>
      </c>
      <c r="B48">
        <v>25.9</v>
      </c>
      <c r="C48">
        <v>0.167</v>
      </c>
      <c r="D48">
        <v>25.9</v>
      </c>
      <c r="G48">
        <v>1.47</v>
      </c>
      <c r="H48" s="8" t="s">
        <v>1016</v>
      </c>
      <c r="I48">
        <v>26.2</v>
      </c>
      <c r="K48">
        <f t="shared" si="0"/>
        <v>1.45</v>
      </c>
      <c r="L48">
        <f t="shared" si="1"/>
        <v>6.295</v>
      </c>
      <c r="M48">
        <f t="shared" si="2"/>
        <v>0</v>
      </c>
    </row>
    <row r="49" spans="1:13">
      <c r="A49">
        <v>1.537</v>
      </c>
      <c r="B49">
        <v>25.6</v>
      </c>
      <c r="C49">
        <v>0.201</v>
      </c>
      <c r="D49">
        <v>25.7</v>
      </c>
      <c r="G49">
        <v>1.504</v>
      </c>
      <c r="H49" s="8" t="s">
        <v>1017</v>
      </c>
      <c r="I49">
        <v>25.9</v>
      </c>
      <c r="K49">
        <f t="shared" si="0"/>
        <v>1.5</v>
      </c>
      <c r="L49">
        <f t="shared" si="1"/>
        <v>5.836</v>
      </c>
      <c r="M49">
        <f t="shared" si="2"/>
        <v>0</v>
      </c>
    </row>
    <row r="50" spans="1:13">
      <c r="A50">
        <v>1.571</v>
      </c>
      <c r="B50">
        <v>25.6</v>
      </c>
      <c r="C50">
        <v>0.234</v>
      </c>
      <c r="D50">
        <v>25.5</v>
      </c>
      <c r="G50">
        <v>1.537</v>
      </c>
      <c r="H50" s="8" t="s">
        <v>1018</v>
      </c>
      <c r="I50">
        <v>25.6</v>
      </c>
      <c r="K50">
        <f t="shared" si="0"/>
        <v>1.5</v>
      </c>
      <c r="L50">
        <f t="shared" si="1"/>
        <v>5.569</v>
      </c>
      <c r="M50">
        <f t="shared" si="2"/>
        <v>0</v>
      </c>
    </row>
    <row r="51" spans="1:13">
      <c r="A51">
        <v>1.604</v>
      </c>
      <c r="B51">
        <v>25.4</v>
      </c>
      <c r="C51">
        <v>0.267</v>
      </c>
      <c r="D51">
        <v>25.8</v>
      </c>
      <c r="G51">
        <v>1.571</v>
      </c>
      <c r="H51" s="8" t="s">
        <v>1019</v>
      </c>
      <c r="I51">
        <v>25.6</v>
      </c>
      <c r="K51">
        <f t="shared" si="0"/>
        <v>1.55</v>
      </c>
      <c r="L51">
        <f t="shared" si="1"/>
        <v>5.111</v>
      </c>
      <c r="M51">
        <f t="shared" si="2"/>
        <v>0</v>
      </c>
    </row>
    <row r="52" spans="1:13">
      <c r="A52">
        <v>1.638</v>
      </c>
      <c r="B52">
        <v>26.2</v>
      </c>
      <c r="C52">
        <v>0.301</v>
      </c>
      <c r="D52">
        <v>25.7</v>
      </c>
      <c r="G52">
        <v>1.604</v>
      </c>
      <c r="H52" s="8" t="s">
        <v>1020</v>
      </c>
      <c r="I52">
        <v>25.4</v>
      </c>
      <c r="K52">
        <f t="shared" si="0"/>
        <v>1.6</v>
      </c>
      <c r="L52">
        <f t="shared" si="1"/>
        <v>4.549</v>
      </c>
      <c r="M52">
        <f t="shared" si="2"/>
        <v>0</v>
      </c>
    </row>
    <row r="53" spans="1:13">
      <c r="A53">
        <v>1.671</v>
      </c>
      <c r="B53">
        <v>26.1</v>
      </c>
      <c r="C53">
        <v>0.334</v>
      </c>
      <c r="D53">
        <v>25.8</v>
      </c>
      <c r="G53">
        <v>1.638</v>
      </c>
      <c r="H53" s="8" t="s">
        <v>1021</v>
      </c>
      <c r="I53">
        <v>26.2</v>
      </c>
      <c r="K53">
        <f t="shared" si="0"/>
        <v>1.6</v>
      </c>
      <c r="L53">
        <f t="shared" si="1"/>
        <v>3.925</v>
      </c>
      <c r="M53">
        <f t="shared" si="2"/>
        <v>0</v>
      </c>
    </row>
    <row r="54" spans="1:13">
      <c r="A54">
        <v>1.704</v>
      </c>
      <c r="B54">
        <v>25.5</v>
      </c>
      <c r="C54">
        <v>0.368</v>
      </c>
      <c r="D54">
        <v>25.7</v>
      </c>
      <c r="G54">
        <v>1.671</v>
      </c>
      <c r="H54" s="8" t="s">
        <v>1022</v>
      </c>
      <c r="I54">
        <v>26.1</v>
      </c>
      <c r="K54">
        <f t="shared" si="0"/>
        <v>1.65</v>
      </c>
      <c r="L54">
        <f t="shared" si="1"/>
        <v>3.536</v>
      </c>
      <c r="M54">
        <f t="shared" si="2"/>
        <v>0</v>
      </c>
    </row>
    <row r="55" spans="1:13">
      <c r="A55">
        <v>1.738</v>
      </c>
      <c r="B55">
        <v>25.6</v>
      </c>
      <c r="C55">
        <v>0.401</v>
      </c>
      <c r="D55">
        <v>25.8</v>
      </c>
      <c r="G55">
        <v>1.704</v>
      </c>
      <c r="H55" s="8" t="s">
        <v>1023</v>
      </c>
      <c r="I55">
        <v>25.5</v>
      </c>
      <c r="K55">
        <f t="shared" si="0"/>
        <v>1.7</v>
      </c>
      <c r="L55">
        <f t="shared" si="1"/>
        <v>2.967</v>
      </c>
      <c r="M55">
        <f t="shared" si="2"/>
        <v>0</v>
      </c>
    </row>
    <row r="56" spans="1:13">
      <c r="A56">
        <v>1.771</v>
      </c>
      <c r="B56">
        <v>25.8</v>
      </c>
      <c r="C56">
        <v>0.434</v>
      </c>
      <c r="D56">
        <v>25.9</v>
      </c>
      <c r="G56">
        <v>1.738</v>
      </c>
      <c r="H56" s="8" t="s">
        <v>1024</v>
      </c>
      <c r="I56">
        <v>25.6</v>
      </c>
      <c r="K56">
        <f t="shared" si="0"/>
        <v>1.7</v>
      </c>
      <c r="L56">
        <f t="shared" si="1"/>
        <v>2.431</v>
      </c>
      <c r="M56">
        <f t="shared" si="2"/>
        <v>0</v>
      </c>
    </row>
    <row r="57" spans="1:13">
      <c r="A57">
        <v>1.805</v>
      </c>
      <c r="B57">
        <v>25.7</v>
      </c>
      <c r="C57">
        <v>0.468</v>
      </c>
      <c r="D57">
        <v>26.1</v>
      </c>
      <c r="G57">
        <v>1.771</v>
      </c>
      <c r="H57" s="8" t="s">
        <v>1025</v>
      </c>
      <c r="I57">
        <v>25.8</v>
      </c>
      <c r="K57">
        <f t="shared" si="0"/>
        <v>1.75</v>
      </c>
      <c r="L57">
        <f t="shared" si="1"/>
        <v>1.81</v>
      </c>
      <c r="M57">
        <f t="shared" si="2"/>
        <v>0</v>
      </c>
    </row>
    <row r="58" spans="1:13">
      <c r="A58">
        <v>1.838</v>
      </c>
      <c r="B58">
        <v>25.9</v>
      </c>
      <c r="C58">
        <v>0.501</v>
      </c>
      <c r="D58">
        <v>26.3</v>
      </c>
      <c r="G58">
        <v>1.805</v>
      </c>
      <c r="H58" s="8" t="s">
        <v>207</v>
      </c>
      <c r="I58">
        <v>25.7</v>
      </c>
      <c r="K58">
        <f t="shared" si="0"/>
        <v>1.8</v>
      </c>
      <c r="L58">
        <f t="shared" si="1"/>
        <v>1.32</v>
      </c>
      <c r="M58">
        <f t="shared" si="2"/>
        <v>0</v>
      </c>
    </row>
    <row r="59" spans="1:13">
      <c r="A59">
        <v>1.872</v>
      </c>
      <c r="B59">
        <v>25.8</v>
      </c>
      <c r="C59">
        <v>0.535</v>
      </c>
      <c r="D59" s="2">
        <v>25.5</v>
      </c>
      <c r="E59" s="2"/>
      <c r="F59" s="2"/>
      <c r="G59">
        <v>1.838</v>
      </c>
      <c r="H59" s="8" t="s">
        <v>1026</v>
      </c>
      <c r="I59">
        <v>25.9</v>
      </c>
      <c r="K59">
        <f t="shared" si="0"/>
        <v>1.8</v>
      </c>
      <c r="L59">
        <f t="shared" si="1"/>
        <v>0.6249</v>
      </c>
      <c r="M59">
        <f t="shared" si="2"/>
        <v>0</v>
      </c>
    </row>
    <row r="60" spans="1:13">
      <c r="A60">
        <v>1.905</v>
      </c>
      <c r="B60">
        <v>25.7</v>
      </c>
      <c r="C60">
        <v>0.568</v>
      </c>
      <c r="D60" s="2">
        <v>26</v>
      </c>
      <c r="E60" s="2"/>
      <c r="F60" s="2"/>
      <c r="G60">
        <v>1.872</v>
      </c>
      <c r="H60" s="2">
        <v>-0.0001089</v>
      </c>
      <c r="I60">
        <v>25.8</v>
      </c>
      <c r="K60">
        <f t="shared" si="0"/>
        <v>1.85</v>
      </c>
      <c r="L60">
        <f t="shared" si="1"/>
        <v>-0.01089</v>
      </c>
      <c r="M60">
        <f t="shared" si="2"/>
        <v>0</v>
      </c>
    </row>
    <row r="61" spans="1:13">
      <c r="A61">
        <v>1.938</v>
      </c>
      <c r="B61">
        <v>25.9</v>
      </c>
      <c r="C61">
        <v>0.602</v>
      </c>
      <c r="D61" s="2">
        <v>25.9</v>
      </c>
      <c r="E61" s="2"/>
      <c r="F61" s="2"/>
      <c r="G61">
        <v>1.905</v>
      </c>
      <c r="H61" s="2">
        <v>-0.004692</v>
      </c>
      <c r="I61">
        <v>25.7</v>
      </c>
      <c r="K61">
        <f t="shared" si="0"/>
        <v>1.9</v>
      </c>
      <c r="L61">
        <f t="shared" si="1"/>
        <v>-0.4692</v>
      </c>
      <c r="M61">
        <f t="shared" si="2"/>
        <v>0</v>
      </c>
    </row>
    <row r="62" spans="1:13">
      <c r="A62">
        <v>1.972</v>
      </c>
      <c r="B62">
        <v>25.5</v>
      </c>
      <c r="C62">
        <v>0.635</v>
      </c>
      <c r="D62" s="2">
        <v>25.6</v>
      </c>
      <c r="E62" s="2"/>
      <c r="F62" s="2"/>
      <c r="G62">
        <v>1.938</v>
      </c>
      <c r="H62" s="2">
        <v>-0.01033</v>
      </c>
      <c r="I62">
        <v>25.9</v>
      </c>
      <c r="K62">
        <f t="shared" si="0"/>
        <v>1.9</v>
      </c>
      <c r="L62">
        <f t="shared" si="1"/>
        <v>-1.033</v>
      </c>
      <c r="M62">
        <f t="shared" si="2"/>
        <v>0</v>
      </c>
    </row>
    <row r="63" spans="1:13">
      <c r="A63">
        <v>2.005</v>
      </c>
      <c r="B63">
        <v>25.5</v>
      </c>
      <c r="C63">
        <v>0.668</v>
      </c>
      <c r="D63" s="2">
        <v>25.6</v>
      </c>
      <c r="E63" s="2"/>
      <c r="F63" s="2"/>
      <c r="G63">
        <v>1.972</v>
      </c>
      <c r="H63" s="2">
        <v>-0.01533</v>
      </c>
      <c r="I63">
        <v>25.5</v>
      </c>
      <c r="K63">
        <f t="shared" si="0"/>
        <v>1.95</v>
      </c>
      <c r="L63">
        <f t="shared" si="1"/>
        <v>-1.533</v>
      </c>
      <c r="M63">
        <f t="shared" si="2"/>
        <v>0</v>
      </c>
    </row>
    <row r="64" spans="1:13">
      <c r="A64">
        <v>2.039</v>
      </c>
      <c r="B64">
        <v>26.2</v>
      </c>
      <c r="C64">
        <v>0.702</v>
      </c>
      <c r="D64" s="2">
        <v>25.4</v>
      </c>
      <c r="E64" s="2"/>
      <c r="F64" s="2"/>
      <c r="G64">
        <v>2.005</v>
      </c>
      <c r="H64" s="2">
        <v>-0.02074</v>
      </c>
      <c r="I64">
        <v>25.5</v>
      </c>
      <c r="K64">
        <f t="shared" si="0"/>
        <v>2</v>
      </c>
      <c r="L64">
        <f t="shared" si="1"/>
        <v>-2.074</v>
      </c>
      <c r="M64">
        <f t="shared" si="2"/>
        <v>0</v>
      </c>
    </row>
    <row r="65" spans="1:13">
      <c r="A65">
        <v>2.072</v>
      </c>
      <c r="B65">
        <v>25.8</v>
      </c>
      <c r="C65">
        <v>0.735</v>
      </c>
      <c r="D65" s="2">
        <v>25.7</v>
      </c>
      <c r="E65" s="2"/>
      <c r="F65" s="2"/>
      <c r="G65">
        <v>2.039</v>
      </c>
      <c r="H65" s="2">
        <v>-0.02544</v>
      </c>
      <c r="I65">
        <v>26.2</v>
      </c>
      <c r="K65">
        <f t="shared" si="0"/>
        <v>2</v>
      </c>
      <c r="L65">
        <f t="shared" si="1"/>
        <v>-2.544</v>
      </c>
      <c r="M65">
        <f t="shared" si="2"/>
        <v>0</v>
      </c>
    </row>
    <row r="66" spans="1:13">
      <c r="A66">
        <v>2.105</v>
      </c>
      <c r="B66">
        <v>25.7</v>
      </c>
      <c r="C66">
        <v>0.769</v>
      </c>
      <c r="D66" s="2">
        <v>25.9</v>
      </c>
      <c r="E66" s="2"/>
      <c r="F66" s="2"/>
      <c r="G66">
        <v>2.072</v>
      </c>
      <c r="H66" s="2">
        <v>-0.02831</v>
      </c>
      <c r="I66">
        <v>25.8</v>
      </c>
      <c r="K66">
        <f t="shared" si="0"/>
        <v>2.05</v>
      </c>
      <c r="L66">
        <f t="shared" si="1"/>
        <v>-2.831</v>
      </c>
      <c r="M66">
        <f t="shared" si="2"/>
        <v>0</v>
      </c>
    </row>
    <row r="67" spans="1:13">
      <c r="A67">
        <v>2.139</v>
      </c>
      <c r="B67">
        <v>25.5</v>
      </c>
      <c r="C67">
        <v>0.802</v>
      </c>
      <c r="D67" s="2">
        <v>26</v>
      </c>
      <c r="E67" s="2"/>
      <c r="F67" s="2"/>
      <c r="G67">
        <v>2.105</v>
      </c>
      <c r="H67" s="2">
        <v>-0.03227</v>
      </c>
      <c r="I67">
        <v>25.7</v>
      </c>
      <c r="K67">
        <f t="shared" si="0"/>
        <v>2.1</v>
      </c>
      <c r="L67">
        <f t="shared" si="1"/>
        <v>-3.227</v>
      </c>
      <c r="M67">
        <f t="shared" si="2"/>
        <v>0</v>
      </c>
    </row>
    <row r="68" spans="1:13">
      <c r="A68">
        <v>2.172</v>
      </c>
      <c r="B68">
        <v>25.4</v>
      </c>
      <c r="C68">
        <v>0.836</v>
      </c>
      <c r="D68" s="2">
        <v>25.6</v>
      </c>
      <c r="E68" s="2"/>
      <c r="F68" s="2"/>
      <c r="G68">
        <v>2.139</v>
      </c>
      <c r="H68" s="2">
        <v>-0.03582</v>
      </c>
      <c r="I68">
        <v>25.5</v>
      </c>
      <c r="K68">
        <f t="shared" ref="K68:K131" si="3">FLOOR(G68,0.05)</f>
        <v>2.1</v>
      </c>
      <c r="L68">
        <f t="shared" si="1"/>
        <v>-3.582</v>
      </c>
      <c r="M68">
        <f t="shared" si="2"/>
        <v>0</v>
      </c>
    </row>
    <row r="69" spans="1:13">
      <c r="A69">
        <v>2.206</v>
      </c>
      <c r="B69">
        <v>25.7</v>
      </c>
      <c r="C69">
        <v>0.869</v>
      </c>
      <c r="D69" s="2">
        <v>25.6</v>
      </c>
      <c r="E69" s="2"/>
      <c r="F69" s="2"/>
      <c r="G69">
        <v>2.172</v>
      </c>
      <c r="H69" s="2">
        <v>-0.03958</v>
      </c>
      <c r="I69">
        <v>25.4</v>
      </c>
      <c r="K69">
        <f t="shared" si="3"/>
        <v>2.15</v>
      </c>
      <c r="L69">
        <f t="shared" ref="L69:L132" si="4">H69*100</f>
        <v>-3.958</v>
      </c>
      <c r="M69">
        <f t="shared" ref="M69:M132" si="5">IF(I69&lt;230,0,5)</f>
        <v>0</v>
      </c>
    </row>
    <row r="70" spans="1:13">
      <c r="A70">
        <v>2.239</v>
      </c>
      <c r="B70">
        <v>25.6</v>
      </c>
      <c r="C70">
        <v>0.902</v>
      </c>
      <c r="D70" s="2">
        <v>26</v>
      </c>
      <c r="E70" s="2"/>
      <c r="F70" s="2"/>
      <c r="G70">
        <v>2.206</v>
      </c>
      <c r="H70" s="2">
        <v>-0.04203</v>
      </c>
      <c r="I70">
        <v>25.7</v>
      </c>
      <c r="K70">
        <f t="shared" si="3"/>
        <v>2.2</v>
      </c>
      <c r="L70">
        <f t="shared" si="4"/>
        <v>-4.203</v>
      </c>
      <c r="M70">
        <f t="shared" si="5"/>
        <v>0</v>
      </c>
    </row>
    <row r="71" spans="1:13">
      <c r="A71">
        <v>2.273</v>
      </c>
      <c r="B71">
        <v>25.7</v>
      </c>
      <c r="C71">
        <v>0.936</v>
      </c>
      <c r="D71" s="2">
        <v>26.2</v>
      </c>
      <c r="E71" s="2"/>
      <c r="F71" s="2"/>
      <c r="G71">
        <v>2.239</v>
      </c>
      <c r="H71" s="2">
        <v>-0.0434</v>
      </c>
      <c r="I71">
        <v>25.6</v>
      </c>
      <c r="K71">
        <f t="shared" si="3"/>
        <v>2.2</v>
      </c>
      <c r="L71">
        <f t="shared" si="4"/>
        <v>-4.34</v>
      </c>
      <c r="M71">
        <f t="shared" si="5"/>
        <v>0</v>
      </c>
    </row>
    <row r="72" spans="1:13">
      <c r="A72">
        <v>2.306</v>
      </c>
      <c r="B72">
        <v>25.5</v>
      </c>
      <c r="C72">
        <v>0.969</v>
      </c>
      <c r="D72" s="2">
        <v>25.6</v>
      </c>
      <c r="E72" s="2"/>
      <c r="F72" s="2"/>
      <c r="G72">
        <v>2.273</v>
      </c>
      <c r="H72" s="2">
        <v>-0.04495</v>
      </c>
      <c r="I72">
        <v>25.7</v>
      </c>
      <c r="K72">
        <f t="shared" si="3"/>
        <v>2.25</v>
      </c>
      <c r="L72">
        <f t="shared" si="4"/>
        <v>-4.495</v>
      </c>
      <c r="M72">
        <f t="shared" si="5"/>
        <v>0</v>
      </c>
    </row>
    <row r="73" spans="1:13">
      <c r="A73">
        <v>2.339</v>
      </c>
      <c r="B73">
        <v>25.6</v>
      </c>
      <c r="C73">
        <v>1.003</v>
      </c>
      <c r="D73" s="2">
        <v>25.3</v>
      </c>
      <c r="E73" s="2"/>
      <c r="F73" s="2"/>
      <c r="G73">
        <v>2.306</v>
      </c>
      <c r="H73" s="2">
        <v>-0.04604</v>
      </c>
      <c r="I73">
        <v>25.5</v>
      </c>
      <c r="K73">
        <f t="shared" si="3"/>
        <v>2.3</v>
      </c>
      <c r="L73">
        <f t="shared" si="4"/>
        <v>-4.604</v>
      </c>
      <c r="M73">
        <f t="shared" si="5"/>
        <v>0</v>
      </c>
    </row>
    <row r="74" spans="1:13">
      <c r="A74">
        <v>2.373</v>
      </c>
      <c r="B74">
        <v>25.5</v>
      </c>
      <c r="C74">
        <v>1.036</v>
      </c>
      <c r="D74" s="2">
        <v>25.5</v>
      </c>
      <c r="E74" s="2"/>
      <c r="F74" s="2"/>
      <c r="G74">
        <v>2.339</v>
      </c>
      <c r="H74" s="2">
        <v>-0.04675</v>
      </c>
      <c r="I74">
        <v>25.6</v>
      </c>
      <c r="K74">
        <f t="shared" si="3"/>
        <v>2.3</v>
      </c>
      <c r="L74">
        <f t="shared" si="4"/>
        <v>-4.675</v>
      </c>
      <c r="M74">
        <f t="shared" si="5"/>
        <v>0</v>
      </c>
    </row>
    <row r="75" spans="1:13">
      <c r="A75">
        <v>2.406</v>
      </c>
      <c r="B75">
        <v>25.5</v>
      </c>
      <c r="C75">
        <v>1.069</v>
      </c>
      <c r="D75" s="2">
        <v>25.6</v>
      </c>
      <c r="E75" s="2"/>
      <c r="F75" s="2"/>
      <c r="G75">
        <v>2.373</v>
      </c>
      <c r="H75" s="2">
        <v>-0.04684</v>
      </c>
      <c r="I75">
        <v>25.5</v>
      </c>
      <c r="K75">
        <f t="shared" si="3"/>
        <v>2.35</v>
      </c>
      <c r="L75">
        <f t="shared" si="4"/>
        <v>-4.684</v>
      </c>
      <c r="M75">
        <f t="shared" si="5"/>
        <v>0</v>
      </c>
    </row>
    <row r="76" spans="1:13">
      <c r="A76">
        <v>2.44</v>
      </c>
      <c r="B76">
        <v>25.7</v>
      </c>
      <c r="C76">
        <v>1.103</v>
      </c>
      <c r="D76" s="2">
        <v>25.8</v>
      </c>
      <c r="E76" s="2"/>
      <c r="F76" s="2"/>
      <c r="G76">
        <v>2.406</v>
      </c>
      <c r="H76" s="2">
        <v>-0.04647</v>
      </c>
      <c r="I76">
        <v>25.5</v>
      </c>
      <c r="K76">
        <f t="shared" si="3"/>
        <v>2.4</v>
      </c>
      <c r="L76">
        <f t="shared" si="4"/>
        <v>-4.647</v>
      </c>
      <c r="M76">
        <f t="shared" si="5"/>
        <v>0</v>
      </c>
    </row>
    <row r="77" spans="1:13">
      <c r="A77">
        <v>2.473</v>
      </c>
      <c r="B77">
        <v>25.6</v>
      </c>
      <c r="C77">
        <v>1.136</v>
      </c>
      <c r="D77" s="2">
        <v>25.6</v>
      </c>
      <c r="E77" s="2"/>
      <c r="F77" s="2"/>
      <c r="G77">
        <v>2.44</v>
      </c>
      <c r="H77" s="2">
        <v>-0.04569</v>
      </c>
      <c r="I77">
        <v>25.7</v>
      </c>
      <c r="K77">
        <f t="shared" si="3"/>
        <v>2.4</v>
      </c>
      <c r="L77">
        <f t="shared" si="4"/>
        <v>-4.569</v>
      </c>
      <c r="M77">
        <f t="shared" si="5"/>
        <v>0</v>
      </c>
    </row>
    <row r="78" spans="1:13">
      <c r="A78">
        <v>2.507</v>
      </c>
      <c r="B78">
        <v>26.1</v>
      </c>
      <c r="C78">
        <v>1.17</v>
      </c>
      <c r="D78" s="2">
        <v>26.4</v>
      </c>
      <c r="E78" s="2"/>
      <c r="F78" s="2"/>
      <c r="G78">
        <v>2.473</v>
      </c>
      <c r="H78" s="2">
        <v>-0.044</v>
      </c>
      <c r="I78">
        <v>25.6</v>
      </c>
      <c r="K78">
        <f t="shared" si="3"/>
        <v>2.45</v>
      </c>
      <c r="L78">
        <f t="shared" si="4"/>
        <v>-4.4</v>
      </c>
      <c r="M78">
        <f t="shared" si="5"/>
        <v>0</v>
      </c>
    </row>
    <row r="79" spans="1:13">
      <c r="A79">
        <v>2.54</v>
      </c>
      <c r="B79">
        <v>25.9</v>
      </c>
      <c r="C79">
        <v>1.203</v>
      </c>
      <c r="D79" s="2">
        <v>26</v>
      </c>
      <c r="E79" s="2"/>
      <c r="F79" s="2"/>
      <c r="G79">
        <v>2.507</v>
      </c>
      <c r="H79" s="2">
        <v>-0.04177</v>
      </c>
      <c r="I79">
        <v>26.1</v>
      </c>
      <c r="K79">
        <f t="shared" si="3"/>
        <v>2.5</v>
      </c>
      <c r="L79">
        <f t="shared" si="4"/>
        <v>-4.177</v>
      </c>
      <c r="M79">
        <f t="shared" si="5"/>
        <v>0</v>
      </c>
    </row>
    <row r="80" spans="1:13">
      <c r="A80">
        <v>2.573</v>
      </c>
      <c r="B80">
        <v>25.9</v>
      </c>
      <c r="C80">
        <v>1.237</v>
      </c>
      <c r="D80" s="2">
        <v>25.8</v>
      </c>
      <c r="E80" s="2"/>
      <c r="F80" s="2"/>
      <c r="G80">
        <v>2.54</v>
      </c>
      <c r="H80" s="2">
        <v>-0.04016</v>
      </c>
      <c r="I80">
        <v>25.9</v>
      </c>
      <c r="K80">
        <f t="shared" si="3"/>
        <v>2.5</v>
      </c>
      <c r="L80">
        <f t="shared" si="4"/>
        <v>-4.016</v>
      </c>
      <c r="M80">
        <f t="shared" si="5"/>
        <v>0</v>
      </c>
    </row>
    <row r="81" spans="1:13">
      <c r="A81">
        <v>2.607</v>
      </c>
      <c r="B81">
        <v>25.7</v>
      </c>
      <c r="C81">
        <v>1.27</v>
      </c>
      <c r="D81" s="2">
        <v>25.6</v>
      </c>
      <c r="E81" s="2"/>
      <c r="F81" s="2"/>
      <c r="G81">
        <v>2.573</v>
      </c>
      <c r="H81" s="2">
        <v>-0.03686</v>
      </c>
      <c r="I81">
        <v>25.9</v>
      </c>
      <c r="K81">
        <f t="shared" si="3"/>
        <v>2.55</v>
      </c>
      <c r="L81">
        <f t="shared" si="4"/>
        <v>-3.686</v>
      </c>
      <c r="M81">
        <f t="shared" si="5"/>
        <v>0</v>
      </c>
    </row>
    <row r="82" spans="1:13">
      <c r="A82">
        <v>2.64</v>
      </c>
      <c r="B82">
        <v>25.5</v>
      </c>
      <c r="C82">
        <v>1.303</v>
      </c>
      <c r="D82" s="2">
        <v>25.8</v>
      </c>
      <c r="E82" s="2"/>
      <c r="F82" s="2"/>
      <c r="G82">
        <v>2.607</v>
      </c>
      <c r="H82" s="2">
        <v>-0.03376</v>
      </c>
      <c r="I82">
        <v>25.7</v>
      </c>
      <c r="K82">
        <f t="shared" si="3"/>
        <v>2.6</v>
      </c>
      <c r="L82">
        <f t="shared" si="4"/>
        <v>-3.376</v>
      </c>
      <c r="M82">
        <f t="shared" si="5"/>
        <v>0</v>
      </c>
    </row>
    <row r="83" spans="1:13">
      <c r="A83">
        <v>2.674</v>
      </c>
      <c r="B83">
        <v>25.6</v>
      </c>
      <c r="C83">
        <v>1.337</v>
      </c>
      <c r="D83" s="2">
        <v>25.6</v>
      </c>
      <c r="E83" s="2"/>
      <c r="F83" s="2"/>
      <c r="G83">
        <v>2.64</v>
      </c>
      <c r="H83" s="2">
        <v>-0.03046</v>
      </c>
      <c r="I83">
        <v>25.5</v>
      </c>
      <c r="K83">
        <f t="shared" si="3"/>
        <v>2.6</v>
      </c>
      <c r="L83">
        <f t="shared" si="4"/>
        <v>-3.046</v>
      </c>
      <c r="M83">
        <f t="shared" si="5"/>
        <v>0</v>
      </c>
    </row>
    <row r="84" spans="1:13">
      <c r="A84">
        <v>2.707</v>
      </c>
      <c r="B84">
        <v>25.6</v>
      </c>
      <c r="C84">
        <v>1.37</v>
      </c>
      <c r="D84" s="2">
        <v>25.5</v>
      </c>
      <c r="E84" s="2"/>
      <c r="F84" s="2"/>
      <c r="G84">
        <v>2.674</v>
      </c>
      <c r="H84" s="2">
        <v>-0.02566</v>
      </c>
      <c r="I84">
        <v>25.6</v>
      </c>
      <c r="K84">
        <f t="shared" si="3"/>
        <v>2.65</v>
      </c>
      <c r="L84">
        <f t="shared" si="4"/>
        <v>-2.566</v>
      </c>
      <c r="M84">
        <f t="shared" si="5"/>
        <v>0</v>
      </c>
    </row>
    <row r="85" spans="1:13">
      <c r="A85">
        <v>2.74</v>
      </c>
      <c r="B85">
        <v>25.5</v>
      </c>
      <c r="C85">
        <v>1.404</v>
      </c>
      <c r="D85" s="2">
        <v>25.6</v>
      </c>
      <c r="E85" s="2"/>
      <c r="F85" s="2"/>
      <c r="G85">
        <v>2.707</v>
      </c>
      <c r="H85" s="2">
        <v>-0.0213</v>
      </c>
      <c r="I85">
        <v>25.6</v>
      </c>
      <c r="K85">
        <f t="shared" si="3"/>
        <v>2.7</v>
      </c>
      <c r="L85">
        <f t="shared" si="4"/>
        <v>-2.13</v>
      </c>
      <c r="M85">
        <f t="shared" si="5"/>
        <v>0</v>
      </c>
    </row>
    <row r="86" spans="1:13">
      <c r="A86">
        <v>2.774</v>
      </c>
      <c r="B86">
        <v>26</v>
      </c>
      <c r="C86">
        <v>1.437</v>
      </c>
      <c r="D86" s="2">
        <v>26.3</v>
      </c>
      <c r="E86" s="2"/>
      <c r="F86" s="2"/>
      <c r="G86">
        <v>2.74</v>
      </c>
      <c r="H86" s="2">
        <v>-0.01802</v>
      </c>
      <c r="I86">
        <v>25.5</v>
      </c>
      <c r="K86">
        <f t="shared" si="3"/>
        <v>2.7</v>
      </c>
      <c r="L86">
        <f t="shared" si="4"/>
        <v>-1.802</v>
      </c>
      <c r="M86">
        <f t="shared" si="5"/>
        <v>0</v>
      </c>
    </row>
    <row r="87" spans="1:13">
      <c r="A87">
        <v>2.807</v>
      </c>
      <c r="B87">
        <v>25.9</v>
      </c>
      <c r="C87">
        <v>1.47</v>
      </c>
      <c r="D87" s="2">
        <v>26.2</v>
      </c>
      <c r="E87" s="2"/>
      <c r="F87" s="2"/>
      <c r="G87">
        <v>2.774</v>
      </c>
      <c r="H87" s="2">
        <v>-0.01204</v>
      </c>
      <c r="I87">
        <v>26</v>
      </c>
      <c r="K87">
        <f t="shared" si="3"/>
        <v>2.75</v>
      </c>
      <c r="L87">
        <f t="shared" si="4"/>
        <v>-1.204</v>
      </c>
      <c r="M87">
        <f t="shared" si="5"/>
        <v>0</v>
      </c>
    </row>
    <row r="88" spans="1:13">
      <c r="A88">
        <v>2.841</v>
      </c>
      <c r="B88">
        <v>25.9</v>
      </c>
      <c r="C88">
        <v>1.504</v>
      </c>
      <c r="D88" s="2">
        <v>25.9</v>
      </c>
      <c r="E88" s="2"/>
      <c r="F88" s="2"/>
      <c r="G88">
        <v>2.807</v>
      </c>
      <c r="H88" s="2">
        <v>-0.005287</v>
      </c>
      <c r="I88">
        <v>25.9</v>
      </c>
      <c r="K88">
        <f t="shared" si="3"/>
        <v>2.8</v>
      </c>
      <c r="L88">
        <f t="shared" si="4"/>
        <v>-0.5287</v>
      </c>
      <c r="M88">
        <f t="shared" si="5"/>
        <v>0</v>
      </c>
    </row>
    <row r="89" spans="1:13">
      <c r="A89">
        <v>2.874</v>
      </c>
      <c r="B89">
        <v>25.9</v>
      </c>
      <c r="C89">
        <v>1.537</v>
      </c>
      <c r="D89">
        <v>25.6</v>
      </c>
      <c r="G89">
        <v>2.841</v>
      </c>
      <c r="H89" s="2">
        <v>-0.000877</v>
      </c>
      <c r="I89">
        <v>25.9</v>
      </c>
      <c r="K89">
        <f t="shared" si="3"/>
        <v>2.8</v>
      </c>
      <c r="L89">
        <f t="shared" si="4"/>
        <v>-0.0877</v>
      </c>
      <c r="M89">
        <f t="shared" si="5"/>
        <v>0</v>
      </c>
    </row>
    <row r="90" spans="1:13">
      <c r="A90">
        <v>2.908</v>
      </c>
      <c r="B90">
        <v>25.7</v>
      </c>
      <c r="C90">
        <v>1.571</v>
      </c>
      <c r="D90">
        <v>25.6</v>
      </c>
      <c r="G90">
        <v>2.874</v>
      </c>
      <c r="H90" s="8" t="s">
        <v>1027</v>
      </c>
      <c r="I90">
        <v>25.9</v>
      </c>
      <c r="K90">
        <f t="shared" si="3"/>
        <v>2.85</v>
      </c>
      <c r="L90">
        <f t="shared" si="4"/>
        <v>0.5045</v>
      </c>
      <c r="M90">
        <f t="shared" si="5"/>
        <v>0</v>
      </c>
    </row>
    <row r="91" spans="1:13">
      <c r="A91">
        <v>2.941</v>
      </c>
      <c r="B91">
        <v>25.9</v>
      </c>
      <c r="C91">
        <v>1.604</v>
      </c>
      <c r="D91">
        <v>25.4</v>
      </c>
      <c r="G91">
        <v>2.908</v>
      </c>
      <c r="H91" s="8" t="s">
        <v>386</v>
      </c>
      <c r="I91">
        <v>25.7</v>
      </c>
      <c r="K91">
        <f t="shared" si="3"/>
        <v>2.9</v>
      </c>
      <c r="L91">
        <f t="shared" si="4"/>
        <v>1.006</v>
      </c>
      <c r="M91">
        <f t="shared" si="5"/>
        <v>0</v>
      </c>
    </row>
    <row r="92" spans="1:13">
      <c r="A92">
        <v>2.974</v>
      </c>
      <c r="B92">
        <v>25.9</v>
      </c>
      <c r="C92">
        <v>1.638</v>
      </c>
      <c r="D92">
        <v>26.2</v>
      </c>
      <c r="G92">
        <v>2.941</v>
      </c>
      <c r="H92" s="8" t="s">
        <v>1028</v>
      </c>
      <c r="I92">
        <v>25.9</v>
      </c>
      <c r="K92">
        <f t="shared" si="3"/>
        <v>2.9</v>
      </c>
      <c r="L92">
        <f t="shared" si="4"/>
        <v>1.757</v>
      </c>
      <c r="M92">
        <f t="shared" si="5"/>
        <v>0</v>
      </c>
    </row>
    <row r="93" spans="1:13">
      <c r="A93">
        <v>3.008</v>
      </c>
      <c r="B93">
        <v>26</v>
      </c>
      <c r="C93">
        <v>1.671</v>
      </c>
      <c r="D93">
        <v>26.1</v>
      </c>
      <c r="G93">
        <v>2.974</v>
      </c>
      <c r="H93" s="8" t="s">
        <v>1029</v>
      </c>
      <c r="I93">
        <v>25.9</v>
      </c>
      <c r="K93">
        <f t="shared" si="3"/>
        <v>2.95</v>
      </c>
      <c r="L93">
        <f t="shared" si="4"/>
        <v>2.271</v>
      </c>
      <c r="M93">
        <f t="shared" si="5"/>
        <v>0</v>
      </c>
    </row>
    <row r="94" spans="1:13">
      <c r="A94">
        <v>3.041</v>
      </c>
      <c r="B94">
        <v>26.3</v>
      </c>
      <c r="C94">
        <v>1.704</v>
      </c>
      <c r="D94">
        <v>25.5</v>
      </c>
      <c r="G94">
        <v>3.008</v>
      </c>
      <c r="H94" s="8" t="s">
        <v>1030</v>
      </c>
      <c r="I94">
        <v>26</v>
      </c>
      <c r="K94">
        <f t="shared" si="3"/>
        <v>3</v>
      </c>
      <c r="L94">
        <f t="shared" si="4"/>
        <v>2.782</v>
      </c>
      <c r="M94">
        <f t="shared" si="5"/>
        <v>0</v>
      </c>
    </row>
    <row r="95" spans="1:13">
      <c r="A95">
        <v>3.075</v>
      </c>
      <c r="B95">
        <v>26</v>
      </c>
      <c r="C95">
        <v>1.738</v>
      </c>
      <c r="D95">
        <v>25.6</v>
      </c>
      <c r="G95">
        <v>3.041</v>
      </c>
      <c r="H95" s="8" t="s">
        <v>1031</v>
      </c>
      <c r="I95">
        <v>26.3</v>
      </c>
      <c r="K95">
        <f t="shared" si="3"/>
        <v>3</v>
      </c>
      <c r="L95">
        <f t="shared" si="4"/>
        <v>3.295</v>
      </c>
      <c r="M95">
        <f t="shared" si="5"/>
        <v>0</v>
      </c>
    </row>
    <row r="96" spans="1:13">
      <c r="A96">
        <v>3.108</v>
      </c>
      <c r="B96">
        <v>26.1</v>
      </c>
      <c r="C96">
        <v>1.771</v>
      </c>
      <c r="D96">
        <v>25.8</v>
      </c>
      <c r="G96">
        <v>3.075</v>
      </c>
      <c r="H96" s="8" t="s">
        <v>1032</v>
      </c>
      <c r="I96">
        <v>26</v>
      </c>
      <c r="K96">
        <f t="shared" si="3"/>
        <v>3.05</v>
      </c>
      <c r="L96">
        <f t="shared" si="4"/>
        <v>3.803</v>
      </c>
      <c r="M96">
        <f t="shared" si="5"/>
        <v>0</v>
      </c>
    </row>
    <row r="97" spans="1:13">
      <c r="A97">
        <v>3.142</v>
      </c>
      <c r="B97">
        <v>25.7</v>
      </c>
      <c r="C97">
        <v>1.805</v>
      </c>
      <c r="D97">
        <v>25.7</v>
      </c>
      <c r="G97">
        <v>3.108</v>
      </c>
      <c r="H97" s="8" t="s">
        <v>1033</v>
      </c>
      <c r="I97">
        <v>26.1</v>
      </c>
      <c r="K97">
        <f t="shared" si="3"/>
        <v>3.1</v>
      </c>
      <c r="L97">
        <f t="shared" si="4"/>
        <v>4.433</v>
      </c>
      <c r="M97">
        <f t="shared" si="5"/>
        <v>0</v>
      </c>
    </row>
    <row r="98" spans="1:13">
      <c r="A98">
        <v>3.175</v>
      </c>
      <c r="B98">
        <v>25.8</v>
      </c>
      <c r="C98">
        <v>1.838</v>
      </c>
      <c r="D98">
        <v>25.9</v>
      </c>
      <c r="G98">
        <v>3.142</v>
      </c>
      <c r="H98" s="8" t="s">
        <v>1034</v>
      </c>
      <c r="I98">
        <v>25.7</v>
      </c>
      <c r="K98">
        <f t="shared" si="3"/>
        <v>3.1</v>
      </c>
      <c r="L98">
        <f t="shared" si="4"/>
        <v>4.814</v>
      </c>
      <c r="M98">
        <f t="shared" si="5"/>
        <v>0</v>
      </c>
    </row>
    <row r="99" spans="1:13">
      <c r="A99">
        <v>3.208</v>
      </c>
      <c r="B99">
        <v>25.8</v>
      </c>
      <c r="C99">
        <v>1.872</v>
      </c>
      <c r="D99">
        <v>25.8</v>
      </c>
      <c r="G99">
        <v>3.175</v>
      </c>
      <c r="H99" s="8" t="s">
        <v>1035</v>
      </c>
      <c r="I99">
        <v>25.8</v>
      </c>
      <c r="K99">
        <f t="shared" si="3"/>
        <v>3.15</v>
      </c>
      <c r="L99">
        <f t="shared" si="4"/>
        <v>5.32</v>
      </c>
      <c r="M99">
        <f t="shared" si="5"/>
        <v>0</v>
      </c>
    </row>
    <row r="100" spans="1:13">
      <c r="A100">
        <v>3.242</v>
      </c>
      <c r="B100">
        <v>25.7</v>
      </c>
      <c r="C100">
        <v>1.905</v>
      </c>
      <c r="D100">
        <v>25.7</v>
      </c>
      <c r="G100">
        <v>3.208</v>
      </c>
      <c r="H100" s="8" t="s">
        <v>1036</v>
      </c>
      <c r="I100">
        <v>25.8</v>
      </c>
      <c r="K100">
        <f t="shared" si="3"/>
        <v>3.2</v>
      </c>
      <c r="L100">
        <f t="shared" si="4"/>
        <v>5.727</v>
      </c>
      <c r="M100">
        <f t="shared" si="5"/>
        <v>0</v>
      </c>
    </row>
    <row r="101" spans="1:13">
      <c r="A101">
        <v>3.275</v>
      </c>
      <c r="B101">
        <v>26.1</v>
      </c>
      <c r="C101">
        <v>1.938</v>
      </c>
      <c r="D101">
        <v>25.9</v>
      </c>
      <c r="G101">
        <v>3.242</v>
      </c>
      <c r="H101" s="8" t="s">
        <v>1037</v>
      </c>
      <c r="I101">
        <v>25.7</v>
      </c>
      <c r="K101">
        <f t="shared" si="3"/>
        <v>3.2</v>
      </c>
      <c r="L101">
        <f t="shared" si="4"/>
        <v>6.065</v>
      </c>
      <c r="M101">
        <f t="shared" si="5"/>
        <v>0</v>
      </c>
    </row>
    <row r="102" spans="1:13">
      <c r="A102">
        <v>3.309</v>
      </c>
      <c r="B102">
        <v>26.4</v>
      </c>
      <c r="C102">
        <v>1.972</v>
      </c>
      <c r="D102">
        <v>25.5</v>
      </c>
      <c r="G102">
        <v>3.275</v>
      </c>
      <c r="H102" s="8" t="s">
        <v>1006</v>
      </c>
      <c r="I102">
        <v>26.1</v>
      </c>
      <c r="K102">
        <f t="shared" si="3"/>
        <v>3.25</v>
      </c>
      <c r="L102">
        <f t="shared" si="4"/>
        <v>6.324</v>
      </c>
      <c r="M102">
        <f t="shared" si="5"/>
        <v>0</v>
      </c>
    </row>
    <row r="103" spans="1:13">
      <c r="A103">
        <v>3.342</v>
      </c>
      <c r="B103">
        <v>26.2</v>
      </c>
      <c r="C103">
        <v>2.005</v>
      </c>
      <c r="D103">
        <v>25.5</v>
      </c>
      <c r="G103">
        <v>3.309</v>
      </c>
      <c r="H103" s="8" t="s">
        <v>1038</v>
      </c>
      <c r="I103">
        <v>26.4</v>
      </c>
      <c r="K103">
        <f t="shared" si="3"/>
        <v>3.3</v>
      </c>
      <c r="L103">
        <f t="shared" si="4"/>
        <v>6.58</v>
      </c>
      <c r="M103">
        <f t="shared" si="5"/>
        <v>0</v>
      </c>
    </row>
    <row r="104" spans="1:13">
      <c r="A104">
        <v>3.375</v>
      </c>
      <c r="B104">
        <v>25.8</v>
      </c>
      <c r="C104">
        <v>2.039</v>
      </c>
      <c r="D104">
        <v>26.2</v>
      </c>
      <c r="G104">
        <v>3.342</v>
      </c>
      <c r="H104" s="8" t="s">
        <v>1039</v>
      </c>
      <c r="I104">
        <v>26.2</v>
      </c>
      <c r="K104">
        <f t="shared" si="3"/>
        <v>3.3</v>
      </c>
      <c r="L104">
        <f t="shared" si="4"/>
        <v>6.853</v>
      </c>
      <c r="M104">
        <f t="shared" si="5"/>
        <v>0</v>
      </c>
    </row>
    <row r="105" spans="1:13">
      <c r="A105">
        <v>3.409</v>
      </c>
      <c r="B105">
        <v>26.2</v>
      </c>
      <c r="C105">
        <v>2.072</v>
      </c>
      <c r="D105">
        <v>25.8</v>
      </c>
      <c r="G105">
        <v>3.375</v>
      </c>
      <c r="H105" s="8" t="s">
        <v>1040</v>
      </c>
      <c r="I105">
        <v>25.8</v>
      </c>
      <c r="K105">
        <f t="shared" si="3"/>
        <v>3.35</v>
      </c>
      <c r="L105">
        <f t="shared" si="4"/>
        <v>6.907</v>
      </c>
      <c r="M105">
        <f t="shared" si="5"/>
        <v>0</v>
      </c>
    </row>
    <row r="106" spans="1:13">
      <c r="A106">
        <v>3.442</v>
      </c>
      <c r="B106">
        <v>26.1</v>
      </c>
      <c r="C106">
        <v>2.105</v>
      </c>
      <c r="D106">
        <v>25.7</v>
      </c>
      <c r="G106">
        <v>3.409</v>
      </c>
      <c r="H106" s="8" t="s">
        <v>1041</v>
      </c>
      <c r="I106">
        <v>26.2</v>
      </c>
      <c r="K106">
        <f t="shared" si="3"/>
        <v>3.4</v>
      </c>
      <c r="L106">
        <f t="shared" si="4"/>
        <v>6.956</v>
      </c>
      <c r="M106">
        <f t="shared" si="5"/>
        <v>0</v>
      </c>
    </row>
    <row r="107" spans="1:13">
      <c r="A107">
        <v>3.476</v>
      </c>
      <c r="B107">
        <v>26</v>
      </c>
      <c r="C107">
        <v>2.139</v>
      </c>
      <c r="D107">
        <v>25.5</v>
      </c>
      <c r="G107">
        <v>3.442</v>
      </c>
      <c r="H107" s="8" t="s">
        <v>1042</v>
      </c>
      <c r="I107">
        <v>26.1</v>
      </c>
      <c r="K107">
        <f t="shared" si="3"/>
        <v>3.4</v>
      </c>
      <c r="L107">
        <f t="shared" si="4"/>
        <v>6.958</v>
      </c>
      <c r="M107">
        <f t="shared" si="5"/>
        <v>0</v>
      </c>
    </row>
    <row r="108" spans="1:13">
      <c r="A108">
        <v>3.509</v>
      </c>
      <c r="B108">
        <v>25.9</v>
      </c>
      <c r="C108">
        <v>2.172</v>
      </c>
      <c r="D108">
        <v>25.4</v>
      </c>
      <c r="G108">
        <v>3.476</v>
      </c>
      <c r="H108" s="8" t="s">
        <v>1043</v>
      </c>
      <c r="I108">
        <v>26</v>
      </c>
      <c r="K108">
        <f t="shared" si="3"/>
        <v>3.45</v>
      </c>
      <c r="L108">
        <f t="shared" si="4"/>
        <v>6.838</v>
      </c>
      <c r="M108">
        <f t="shared" si="5"/>
        <v>0</v>
      </c>
    </row>
    <row r="109" spans="1:13">
      <c r="A109">
        <v>3.543</v>
      </c>
      <c r="B109">
        <v>26.1</v>
      </c>
      <c r="C109">
        <v>2.206</v>
      </c>
      <c r="D109">
        <v>25.7</v>
      </c>
      <c r="G109">
        <v>3.509</v>
      </c>
      <c r="H109" s="8" t="s">
        <v>1044</v>
      </c>
      <c r="I109">
        <v>25.9</v>
      </c>
      <c r="K109">
        <f t="shared" si="3"/>
        <v>3.5</v>
      </c>
      <c r="L109">
        <f t="shared" si="4"/>
        <v>6.764</v>
      </c>
      <c r="M109">
        <f t="shared" si="5"/>
        <v>0</v>
      </c>
    </row>
    <row r="110" spans="1:13">
      <c r="A110">
        <v>3.576</v>
      </c>
      <c r="B110">
        <v>26.2</v>
      </c>
      <c r="C110">
        <v>2.239</v>
      </c>
      <c r="D110">
        <v>25.6</v>
      </c>
      <c r="G110">
        <v>3.543</v>
      </c>
      <c r="H110" s="8" t="s">
        <v>1045</v>
      </c>
      <c r="I110">
        <v>26.1</v>
      </c>
      <c r="K110">
        <f t="shared" si="3"/>
        <v>3.5</v>
      </c>
      <c r="L110">
        <f t="shared" si="4"/>
        <v>6.603</v>
      </c>
      <c r="M110">
        <f t="shared" si="5"/>
        <v>0</v>
      </c>
    </row>
    <row r="111" spans="1:13">
      <c r="A111">
        <v>3.609</v>
      </c>
      <c r="B111">
        <v>25.8</v>
      </c>
      <c r="C111">
        <v>2.273</v>
      </c>
      <c r="D111">
        <v>25.7</v>
      </c>
      <c r="G111">
        <v>3.576</v>
      </c>
      <c r="H111" s="8" t="s">
        <v>1046</v>
      </c>
      <c r="I111">
        <v>26.2</v>
      </c>
      <c r="K111">
        <f t="shared" si="3"/>
        <v>3.55</v>
      </c>
      <c r="L111">
        <f t="shared" si="4"/>
        <v>6.451</v>
      </c>
      <c r="M111">
        <f t="shared" si="5"/>
        <v>0</v>
      </c>
    </row>
    <row r="112" spans="1:13">
      <c r="A112">
        <v>3.643</v>
      </c>
      <c r="B112">
        <v>25.8</v>
      </c>
      <c r="C112">
        <v>2.306</v>
      </c>
      <c r="D112">
        <v>25.5</v>
      </c>
      <c r="G112">
        <v>3.609</v>
      </c>
      <c r="H112" s="8" t="s">
        <v>1047</v>
      </c>
      <c r="I112">
        <v>25.8</v>
      </c>
      <c r="K112">
        <f t="shared" si="3"/>
        <v>3.6</v>
      </c>
      <c r="L112">
        <f t="shared" si="4"/>
        <v>6.156</v>
      </c>
      <c r="M112">
        <f t="shared" si="5"/>
        <v>0</v>
      </c>
    </row>
    <row r="113" spans="1:13">
      <c r="A113">
        <v>3.676</v>
      </c>
      <c r="B113">
        <v>26.1</v>
      </c>
      <c r="C113">
        <v>2.339</v>
      </c>
      <c r="D113">
        <v>25.6</v>
      </c>
      <c r="G113">
        <v>3.643</v>
      </c>
      <c r="H113" s="8" t="s">
        <v>1048</v>
      </c>
      <c r="I113">
        <v>25.8</v>
      </c>
      <c r="K113">
        <f t="shared" si="3"/>
        <v>3.6</v>
      </c>
      <c r="L113">
        <f t="shared" si="4"/>
        <v>5.851</v>
      </c>
      <c r="M113">
        <f t="shared" si="5"/>
        <v>0</v>
      </c>
    </row>
    <row r="114" spans="1:13">
      <c r="A114">
        <v>3.71</v>
      </c>
      <c r="B114">
        <v>25.6</v>
      </c>
      <c r="C114">
        <v>2.373</v>
      </c>
      <c r="D114">
        <v>25.5</v>
      </c>
      <c r="G114">
        <v>3.676</v>
      </c>
      <c r="H114" s="8" t="s">
        <v>1049</v>
      </c>
      <c r="I114">
        <v>26.1</v>
      </c>
      <c r="K114">
        <f t="shared" si="3"/>
        <v>3.65</v>
      </c>
      <c r="L114">
        <f t="shared" si="4"/>
        <v>5.531</v>
      </c>
      <c r="M114">
        <f t="shared" si="5"/>
        <v>0</v>
      </c>
    </row>
    <row r="115" spans="1:13">
      <c r="A115">
        <v>3.743</v>
      </c>
      <c r="B115">
        <v>26</v>
      </c>
      <c r="C115">
        <v>2.406</v>
      </c>
      <c r="D115">
        <v>25.5</v>
      </c>
      <c r="G115">
        <v>3.71</v>
      </c>
      <c r="H115" s="8" t="s">
        <v>1050</v>
      </c>
      <c r="I115">
        <v>25.6</v>
      </c>
      <c r="K115">
        <f t="shared" si="3"/>
        <v>3.7</v>
      </c>
      <c r="L115">
        <f t="shared" si="4"/>
        <v>5.081</v>
      </c>
      <c r="M115">
        <f t="shared" si="5"/>
        <v>0</v>
      </c>
    </row>
    <row r="116" spans="1:13">
      <c r="A116">
        <v>3.776</v>
      </c>
      <c r="B116">
        <v>25.6</v>
      </c>
      <c r="C116">
        <v>2.44</v>
      </c>
      <c r="D116">
        <v>25.7</v>
      </c>
      <c r="G116">
        <v>3.743</v>
      </c>
      <c r="H116" s="8" t="s">
        <v>1051</v>
      </c>
      <c r="I116">
        <v>26</v>
      </c>
      <c r="K116">
        <f t="shared" si="3"/>
        <v>3.7</v>
      </c>
      <c r="L116">
        <f t="shared" si="4"/>
        <v>4.681</v>
      </c>
      <c r="M116">
        <f t="shared" si="5"/>
        <v>0</v>
      </c>
    </row>
    <row r="117" spans="1:13">
      <c r="A117">
        <v>3.81</v>
      </c>
      <c r="B117">
        <v>25.9</v>
      </c>
      <c r="C117">
        <v>2.473</v>
      </c>
      <c r="D117">
        <v>25.6</v>
      </c>
      <c r="G117">
        <v>3.776</v>
      </c>
      <c r="H117" s="8" t="s">
        <v>1052</v>
      </c>
      <c r="I117">
        <v>25.6</v>
      </c>
      <c r="K117">
        <f t="shared" si="3"/>
        <v>3.75</v>
      </c>
      <c r="L117">
        <f t="shared" si="4"/>
        <v>4.298</v>
      </c>
      <c r="M117">
        <f t="shared" si="5"/>
        <v>0</v>
      </c>
    </row>
    <row r="118" spans="1:13">
      <c r="A118">
        <v>3.843</v>
      </c>
      <c r="B118">
        <v>26</v>
      </c>
      <c r="C118">
        <v>2.507</v>
      </c>
      <c r="D118">
        <v>26.1</v>
      </c>
      <c r="G118">
        <v>3.81</v>
      </c>
      <c r="H118" s="8" t="s">
        <v>1053</v>
      </c>
      <c r="I118">
        <v>25.9</v>
      </c>
      <c r="K118">
        <f t="shared" si="3"/>
        <v>3.8</v>
      </c>
      <c r="L118">
        <f t="shared" si="4"/>
        <v>3.707</v>
      </c>
      <c r="M118">
        <f t="shared" si="5"/>
        <v>0</v>
      </c>
    </row>
    <row r="119" spans="1:13">
      <c r="A119">
        <v>3.877</v>
      </c>
      <c r="B119">
        <v>26</v>
      </c>
      <c r="C119">
        <v>2.54</v>
      </c>
      <c r="D119">
        <v>25.9</v>
      </c>
      <c r="G119">
        <v>3.843</v>
      </c>
      <c r="H119" s="8" t="s">
        <v>1054</v>
      </c>
      <c r="I119">
        <v>26</v>
      </c>
      <c r="K119">
        <f t="shared" si="3"/>
        <v>3.8</v>
      </c>
      <c r="L119">
        <f t="shared" si="4"/>
        <v>3.09</v>
      </c>
      <c r="M119">
        <f t="shared" si="5"/>
        <v>0</v>
      </c>
    </row>
    <row r="120" spans="1:13">
      <c r="A120">
        <v>3.91</v>
      </c>
      <c r="B120">
        <v>26.2</v>
      </c>
      <c r="C120">
        <v>2.573</v>
      </c>
      <c r="D120">
        <v>25.9</v>
      </c>
      <c r="G120">
        <v>3.877</v>
      </c>
      <c r="H120" s="8" t="s">
        <v>1055</v>
      </c>
      <c r="I120">
        <v>26</v>
      </c>
      <c r="K120">
        <f t="shared" si="3"/>
        <v>3.85</v>
      </c>
      <c r="L120">
        <f t="shared" si="4"/>
        <v>2.495</v>
      </c>
      <c r="M120">
        <f t="shared" si="5"/>
        <v>0</v>
      </c>
    </row>
    <row r="121" spans="1:13">
      <c r="A121">
        <v>3.944</v>
      </c>
      <c r="B121">
        <v>25.7</v>
      </c>
      <c r="C121">
        <v>2.607</v>
      </c>
      <c r="D121">
        <v>25.7</v>
      </c>
      <c r="G121">
        <v>3.91</v>
      </c>
      <c r="H121" s="8" t="s">
        <v>1056</v>
      </c>
      <c r="I121">
        <v>26.2</v>
      </c>
      <c r="K121">
        <f t="shared" si="3"/>
        <v>3.9</v>
      </c>
      <c r="L121">
        <f t="shared" si="4"/>
        <v>2.026</v>
      </c>
      <c r="M121">
        <f t="shared" si="5"/>
        <v>0</v>
      </c>
    </row>
    <row r="122" spans="1:13">
      <c r="A122">
        <v>3.977</v>
      </c>
      <c r="B122">
        <v>25.6</v>
      </c>
      <c r="C122">
        <v>2.64</v>
      </c>
      <c r="D122">
        <v>25.5</v>
      </c>
      <c r="G122">
        <v>3.944</v>
      </c>
      <c r="H122" s="8" t="s">
        <v>738</v>
      </c>
      <c r="I122">
        <v>25.7</v>
      </c>
      <c r="K122">
        <f t="shared" si="3"/>
        <v>3.9</v>
      </c>
      <c r="L122">
        <f t="shared" si="4"/>
        <v>1.496</v>
      </c>
      <c r="M122">
        <f t="shared" si="5"/>
        <v>0</v>
      </c>
    </row>
    <row r="123" spans="1:13">
      <c r="A123">
        <v>4.01</v>
      </c>
      <c r="B123">
        <v>26</v>
      </c>
      <c r="C123">
        <v>2.674</v>
      </c>
      <c r="D123">
        <v>25.6</v>
      </c>
      <c r="G123">
        <v>3.977</v>
      </c>
      <c r="H123" s="8" t="s">
        <v>1057</v>
      </c>
      <c r="I123">
        <v>25.6</v>
      </c>
      <c r="K123">
        <f t="shared" si="3"/>
        <v>3.95</v>
      </c>
      <c r="L123">
        <f t="shared" si="4"/>
        <v>0.8884</v>
      </c>
      <c r="M123">
        <f t="shared" si="5"/>
        <v>0</v>
      </c>
    </row>
    <row r="124" spans="1:13">
      <c r="A124">
        <v>4.044</v>
      </c>
      <c r="B124">
        <v>26.2</v>
      </c>
      <c r="C124">
        <v>2.707</v>
      </c>
      <c r="D124" s="2">
        <v>25.6</v>
      </c>
      <c r="E124" s="2"/>
      <c r="F124" s="2"/>
      <c r="G124">
        <v>4.01</v>
      </c>
      <c r="H124" s="8" t="s">
        <v>1058</v>
      </c>
      <c r="I124">
        <v>26</v>
      </c>
      <c r="K124">
        <f t="shared" si="3"/>
        <v>4</v>
      </c>
      <c r="L124">
        <f t="shared" si="4"/>
        <v>0.3635</v>
      </c>
      <c r="M124">
        <f t="shared" si="5"/>
        <v>0</v>
      </c>
    </row>
    <row r="125" spans="1:13">
      <c r="A125">
        <v>4.077</v>
      </c>
      <c r="B125">
        <v>25.5</v>
      </c>
      <c r="C125">
        <v>2.74</v>
      </c>
      <c r="D125" s="2">
        <v>25.5</v>
      </c>
      <c r="E125" s="2"/>
      <c r="F125" s="2"/>
      <c r="G125">
        <v>4.044</v>
      </c>
      <c r="H125" s="2">
        <v>-0.002692</v>
      </c>
      <c r="I125">
        <v>26.2</v>
      </c>
      <c r="K125">
        <f t="shared" si="3"/>
        <v>4</v>
      </c>
      <c r="L125">
        <f t="shared" si="4"/>
        <v>-0.2692</v>
      </c>
      <c r="M125">
        <f t="shared" si="5"/>
        <v>0</v>
      </c>
    </row>
    <row r="126" spans="1:13">
      <c r="A126">
        <v>4.111</v>
      </c>
      <c r="B126">
        <v>25.8</v>
      </c>
      <c r="C126">
        <v>2.774</v>
      </c>
      <c r="D126" s="2">
        <v>26</v>
      </c>
      <c r="E126" s="2"/>
      <c r="F126" s="2"/>
      <c r="G126">
        <v>4.077</v>
      </c>
      <c r="H126" s="2">
        <v>-0.007808</v>
      </c>
      <c r="I126">
        <v>25.5</v>
      </c>
      <c r="K126">
        <f t="shared" si="3"/>
        <v>4.05</v>
      </c>
      <c r="L126">
        <f t="shared" si="4"/>
        <v>-0.7808</v>
      </c>
      <c r="M126">
        <f t="shared" si="5"/>
        <v>0</v>
      </c>
    </row>
    <row r="127" spans="1:13">
      <c r="A127">
        <v>4.144</v>
      </c>
      <c r="B127">
        <v>25.7</v>
      </c>
      <c r="C127">
        <v>2.807</v>
      </c>
      <c r="D127" s="2">
        <v>25.9</v>
      </c>
      <c r="E127" s="2"/>
      <c r="F127" s="2"/>
      <c r="G127">
        <v>4.111</v>
      </c>
      <c r="H127" s="2">
        <v>-0.0128</v>
      </c>
      <c r="I127">
        <v>25.8</v>
      </c>
      <c r="K127">
        <f t="shared" si="3"/>
        <v>4.1</v>
      </c>
      <c r="L127">
        <f t="shared" si="4"/>
        <v>-1.28</v>
      </c>
      <c r="M127">
        <f t="shared" si="5"/>
        <v>0</v>
      </c>
    </row>
    <row r="128" spans="1:13">
      <c r="A128">
        <v>4.178</v>
      </c>
      <c r="B128">
        <v>25.7</v>
      </c>
      <c r="C128">
        <v>2.841</v>
      </c>
      <c r="D128" s="2">
        <v>25.9</v>
      </c>
      <c r="E128" s="2"/>
      <c r="F128" s="2"/>
      <c r="G128">
        <v>4.144</v>
      </c>
      <c r="H128" s="2">
        <v>-0.01736</v>
      </c>
      <c r="I128">
        <v>25.7</v>
      </c>
      <c r="K128">
        <f t="shared" si="3"/>
        <v>4.1</v>
      </c>
      <c r="L128">
        <f t="shared" si="4"/>
        <v>-1.736</v>
      </c>
      <c r="M128">
        <f t="shared" si="5"/>
        <v>0</v>
      </c>
    </row>
    <row r="129" spans="1:13">
      <c r="A129">
        <v>4.211</v>
      </c>
      <c r="B129">
        <v>25.9</v>
      </c>
      <c r="C129">
        <v>2.874</v>
      </c>
      <c r="D129" s="2">
        <v>25.9</v>
      </c>
      <c r="E129" s="2"/>
      <c r="F129" s="2"/>
      <c r="G129">
        <v>4.178</v>
      </c>
      <c r="H129" s="2">
        <v>-0.02094</v>
      </c>
      <c r="I129">
        <v>25.7</v>
      </c>
      <c r="K129">
        <f t="shared" si="3"/>
        <v>4.15</v>
      </c>
      <c r="L129">
        <f t="shared" si="4"/>
        <v>-2.094</v>
      </c>
      <c r="M129">
        <f t="shared" si="5"/>
        <v>0</v>
      </c>
    </row>
    <row r="130" spans="1:13">
      <c r="A130">
        <v>4.244</v>
      </c>
      <c r="B130">
        <v>25.8</v>
      </c>
      <c r="C130">
        <v>2.908</v>
      </c>
      <c r="D130" s="2">
        <v>25.7</v>
      </c>
      <c r="E130" s="2"/>
      <c r="F130" s="2"/>
      <c r="G130">
        <v>4.211</v>
      </c>
      <c r="H130" s="2">
        <v>-0.02546</v>
      </c>
      <c r="I130">
        <v>25.9</v>
      </c>
      <c r="K130">
        <f t="shared" si="3"/>
        <v>4.2</v>
      </c>
      <c r="L130">
        <f t="shared" si="4"/>
        <v>-2.546</v>
      </c>
      <c r="M130">
        <f t="shared" si="5"/>
        <v>0</v>
      </c>
    </row>
    <row r="131" spans="1:13">
      <c r="A131">
        <v>4.278</v>
      </c>
      <c r="B131">
        <v>25.4</v>
      </c>
      <c r="C131">
        <v>2.941</v>
      </c>
      <c r="D131" s="2">
        <v>25.9</v>
      </c>
      <c r="E131" s="2"/>
      <c r="F131" s="2"/>
      <c r="G131">
        <v>4.244</v>
      </c>
      <c r="H131" s="2">
        <v>-0.03038</v>
      </c>
      <c r="I131">
        <v>25.8</v>
      </c>
      <c r="K131">
        <f t="shared" si="3"/>
        <v>4.2</v>
      </c>
      <c r="L131">
        <f t="shared" si="4"/>
        <v>-3.038</v>
      </c>
      <c r="M131">
        <f t="shared" si="5"/>
        <v>0</v>
      </c>
    </row>
    <row r="132" spans="1:13">
      <c r="A132">
        <v>4.311</v>
      </c>
      <c r="B132">
        <v>25.8</v>
      </c>
      <c r="C132">
        <v>2.974</v>
      </c>
      <c r="D132" s="2">
        <v>25.9</v>
      </c>
      <c r="E132" s="2"/>
      <c r="F132" s="2"/>
      <c r="G132">
        <v>4.278</v>
      </c>
      <c r="H132" s="2">
        <v>-0.03317</v>
      </c>
      <c r="I132">
        <v>25.4</v>
      </c>
      <c r="K132">
        <f t="shared" ref="K132:K195" si="6">FLOOR(G132,0.05)</f>
        <v>4.25</v>
      </c>
      <c r="L132">
        <f t="shared" si="4"/>
        <v>-3.317</v>
      </c>
      <c r="M132">
        <f t="shared" si="5"/>
        <v>0</v>
      </c>
    </row>
    <row r="133" spans="1:13">
      <c r="A133">
        <v>4.345</v>
      </c>
      <c r="B133">
        <v>25.5</v>
      </c>
      <c r="C133">
        <v>3.008</v>
      </c>
      <c r="D133" s="2">
        <v>26</v>
      </c>
      <c r="E133" s="2"/>
      <c r="F133" s="2"/>
      <c r="G133">
        <v>4.311</v>
      </c>
      <c r="H133" s="2">
        <v>-0.03578</v>
      </c>
      <c r="I133">
        <v>25.8</v>
      </c>
      <c r="K133">
        <f t="shared" si="6"/>
        <v>4.3</v>
      </c>
      <c r="L133">
        <f t="shared" ref="L133:L196" si="7">H133*100</f>
        <v>-3.578</v>
      </c>
      <c r="M133">
        <f t="shared" ref="M133:M196" si="8">IF(I133&lt;230,0,5)</f>
        <v>0</v>
      </c>
    </row>
    <row r="134" spans="1:13">
      <c r="A134">
        <v>4.378</v>
      </c>
      <c r="B134">
        <v>25.8</v>
      </c>
      <c r="C134">
        <v>3.041</v>
      </c>
      <c r="D134" s="2">
        <v>26.3</v>
      </c>
      <c r="E134" s="2"/>
      <c r="F134" s="2"/>
      <c r="G134">
        <v>4.345</v>
      </c>
      <c r="H134" s="2">
        <v>-0.03895</v>
      </c>
      <c r="I134">
        <v>25.5</v>
      </c>
      <c r="K134">
        <f t="shared" si="6"/>
        <v>4.3</v>
      </c>
      <c r="L134">
        <f t="shared" si="7"/>
        <v>-3.895</v>
      </c>
      <c r="M134">
        <f t="shared" si="8"/>
        <v>0</v>
      </c>
    </row>
    <row r="135" spans="1:13">
      <c r="A135">
        <v>4.411</v>
      </c>
      <c r="B135">
        <v>25.6</v>
      </c>
      <c r="C135">
        <v>3.075</v>
      </c>
      <c r="D135" s="2">
        <v>26</v>
      </c>
      <c r="E135" s="2"/>
      <c r="F135" s="2"/>
      <c r="G135">
        <v>4.378</v>
      </c>
      <c r="H135" s="2">
        <v>-0.04081</v>
      </c>
      <c r="I135">
        <v>25.8</v>
      </c>
      <c r="K135">
        <f t="shared" si="6"/>
        <v>4.35</v>
      </c>
      <c r="L135">
        <f t="shared" si="7"/>
        <v>-4.081</v>
      </c>
      <c r="M135">
        <f t="shared" si="8"/>
        <v>0</v>
      </c>
    </row>
    <row r="136" spans="1:13">
      <c r="A136">
        <v>4.445</v>
      </c>
      <c r="B136">
        <v>25.6</v>
      </c>
      <c r="C136">
        <v>3.108</v>
      </c>
      <c r="D136" s="2">
        <v>26.1</v>
      </c>
      <c r="E136" s="2"/>
      <c r="F136" s="2"/>
      <c r="G136">
        <v>4.411</v>
      </c>
      <c r="H136" s="2">
        <v>-0.04234</v>
      </c>
      <c r="I136">
        <v>25.6</v>
      </c>
      <c r="K136">
        <f t="shared" si="6"/>
        <v>4.4</v>
      </c>
      <c r="L136">
        <f t="shared" si="7"/>
        <v>-4.234</v>
      </c>
      <c r="M136">
        <f t="shared" si="8"/>
        <v>0</v>
      </c>
    </row>
    <row r="137" spans="1:13">
      <c r="A137">
        <v>4.478</v>
      </c>
      <c r="B137">
        <v>25.8</v>
      </c>
      <c r="C137">
        <v>3.142</v>
      </c>
      <c r="D137" s="2">
        <v>25.7</v>
      </c>
      <c r="E137" s="2"/>
      <c r="F137" s="2"/>
      <c r="G137">
        <v>4.445</v>
      </c>
      <c r="H137" s="2">
        <v>-0.04365</v>
      </c>
      <c r="I137">
        <v>25.6</v>
      </c>
      <c r="K137">
        <f t="shared" si="6"/>
        <v>4.4</v>
      </c>
      <c r="L137">
        <f t="shared" si="7"/>
        <v>-4.365</v>
      </c>
      <c r="M137">
        <f t="shared" si="8"/>
        <v>0</v>
      </c>
    </row>
    <row r="138" spans="1:13">
      <c r="A138">
        <v>4.512</v>
      </c>
      <c r="B138">
        <v>25.8</v>
      </c>
      <c r="C138">
        <v>3.175</v>
      </c>
      <c r="D138" s="2">
        <v>25.8</v>
      </c>
      <c r="E138" s="2"/>
      <c r="F138" s="2"/>
      <c r="G138">
        <v>4.478</v>
      </c>
      <c r="H138" s="2">
        <v>-0.04459</v>
      </c>
      <c r="I138">
        <v>25.8</v>
      </c>
      <c r="K138">
        <f t="shared" si="6"/>
        <v>4.45</v>
      </c>
      <c r="L138">
        <f t="shared" si="7"/>
        <v>-4.459</v>
      </c>
      <c r="M138">
        <f t="shared" si="8"/>
        <v>0</v>
      </c>
    </row>
    <row r="139" spans="1:13">
      <c r="A139">
        <v>4.545</v>
      </c>
      <c r="B139">
        <v>26.1</v>
      </c>
      <c r="C139">
        <v>3.208</v>
      </c>
      <c r="D139" s="2">
        <v>25.8</v>
      </c>
      <c r="E139" s="2"/>
      <c r="F139" s="2"/>
      <c r="G139">
        <v>4.512</v>
      </c>
      <c r="H139" s="2">
        <v>-0.04494</v>
      </c>
      <c r="I139">
        <v>25.8</v>
      </c>
      <c r="K139">
        <f t="shared" si="6"/>
        <v>4.5</v>
      </c>
      <c r="L139">
        <f t="shared" si="7"/>
        <v>-4.494</v>
      </c>
      <c r="M139">
        <f t="shared" si="8"/>
        <v>0</v>
      </c>
    </row>
    <row r="140" spans="1:13">
      <c r="A140">
        <v>4.579</v>
      </c>
      <c r="B140">
        <v>25.8</v>
      </c>
      <c r="C140">
        <v>3.242</v>
      </c>
      <c r="D140" s="2">
        <v>25.7</v>
      </c>
      <c r="E140" s="2"/>
      <c r="F140" s="2"/>
      <c r="G140">
        <v>4.545</v>
      </c>
      <c r="H140" s="2">
        <v>-0.04459</v>
      </c>
      <c r="I140">
        <v>26.1</v>
      </c>
      <c r="K140">
        <f t="shared" si="6"/>
        <v>4.5</v>
      </c>
      <c r="L140">
        <f t="shared" si="7"/>
        <v>-4.459</v>
      </c>
      <c r="M140">
        <f t="shared" si="8"/>
        <v>0</v>
      </c>
    </row>
    <row r="141" spans="1:13">
      <c r="A141">
        <v>4.612</v>
      </c>
      <c r="B141">
        <v>25.7</v>
      </c>
      <c r="C141">
        <v>3.275</v>
      </c>
      <c r="D141" s="2">
        <v>26.1</v>
      </c>
      <c r="E141" s="2"/>
      <c r="F141" s="2"/>
      <c r="G141">
        <v>4.579</v>
      </c>
      <c r="H141" s="2">
        <v>-0.04368</v>
      </c>
      <c r="I141">
        <v>25.8</v>
      </c>
      <c r="K141">
        <f t="shared" si="6"/>
        <v>4.55</v>
      </c>
      <c r="L141">
        <f t="shared" si="7"/>
        <v>-4.368</v>
      </c>
      <c r="M141">
        <f t="shared" si="8"/>
        <v>0</v>
      </c>
    </row>
    <row r="142" spans="1:13">
      <c r="A142">
        <v>4.645</v>
      </c>
      <c r="B142">
        <v>25.5</v>
      </c>
      <c r="C142">
        <v>3.309</v>
      </c>
      <c r="D142" s="2">
        <v>26.4</v>
      </c>
      <c r="E142" s="2"/>
      <c r="F142" s="2"/>
      <c r="G142">
        <v>4.612</v>
      </c>
      <c r="H142" s="2">
        <v>-0.04284</v>
      </c>
      <c r="I142">
        <v>25.7</v>
      </c>
      <c r="K142">
        <f t="shared" si="6"/>
        <v>4.6</v>
      </c>
      <c r="L142">
        <f t="shared" si="7"/>
        <v>-4.284</v>
      </c>
      <c r="M142">
        <f t="shared" si="8"/>
        <v>0</v>
      </c>
    </row>
    <row r="143" spans="1:13">
      <c r="A143">
        <v>4.679</v>
      </c>
      <c r="B143">
        <v>25.8</v>
      </c>
      <c r="C143">
        <v>3.342</v>
      </c>
      <c r="D143" s="2">
        <v>26.2</v>
      </c>
      <c r="E143" s="2"/>
      <c r="F143" s="2"/>
      <c r="G143">
        <v>4.645</v>
      </c>
      <c r="H143" s="2">
        <v>-0.04097</v>
      </c>
      <c r="I143">
        <v>25.5</v>
      </c>
      <c r="K143">
        <f t="shared" si="6"/>
        <v>4.6</v>
      </c>
      <c r="L143">
        <f t="shared" si="7"/>
        <v>-4.097</v>
      </c>
      <c r="M143">
        <f t="shared" si="8"/>
        <v>0</v>
      </c>
    </row>
    <row r="144" spans="1:13">
      <c r="A144">
        <v>4.712</v>
      </c>
      <c r="B144">
        <v>25.5</v>
      </c>
      <c r="C144">
        <v>3.375</v>
      </c>
      <c r="D144" s="2">
        <v>25.8</v>
      </c>
      <c r="E144" s="2"/>
      <c r="F144" s="2"/>
      <c r="G144">
        <v>4.679</v>
      </c>
      <c r="H144" s="2">
        <v>-0.03923</v>
      </c>
      <c r="I144">
        <v>25.8</v>
      </c>
      <c r="K144">
        <f t="shared" si="6"/>
        <v>4.65</v>
      </c>
      <c r="L144">
        <f t="shared" si="7"/>
        <v>-3.923</v>
      </c>
      <c r="M144">
        <f t="shared" si="8"/>
        <v>0</v>
      </c>
    </row>
    <row r="145" spans="1:13">
      <c r="A145">
        <v>4.746</v>
      </c>
      <c r="B145">
        <v>25.5</v>
      </c>
      <c r="C145">
        <v>3.409</v>
      </c>
      <c r="D145" s="2">
        <v>26.2</v>
      </c>
      <c r="E145" s="2"/>
      <c r="F145" s="2"/>
      <c r="G145">
        <v>4.712</v>
      </c>
      <c r="H145" s="2">
        <v>-0.03662</v>
      </c>
      <c r="I145">
        <v>25.5</v>
      </c>
      <c r="K145">
        <f t="shared" si="6"/>
        <v>4.7</v>
      </c>
      <c r="L145">
        <f t="shared" si="7"/>
        <v>-3.662</v>
      </c>
      <c r="M145">
        <f t="shared" si="8"/>
        <v>0</v>
      </c>
    </row>
    <row r="146" spans="1:13">
      <c r="A146">
        <v>4.779</v>
      </c>
      <c r="B146">
        <v>238.4</v>
      </c>
      <c r="C146">
        <v>3.442</v>
      </c>
      <c r="D146" s="2">
        <v>26.1</v>
      </c>
      <c r="E146" s="2"/>
      <c r="F146" s="2"/>
      <c r="G146">
        <v>4.746</v>
      </c>
      <c r="H146" s="2">
        <v>-0.03318</v>
      </c>
      <c r="I146">
        <v>25.5</v>
      </c>
      <c r="K146">
        <f t="shared" si="6"/>
        <v>4.7</v>
      </c>
      <c r="L146">
        <f t="shared" si="7"/>
        <v>-3.318</v>
      </c>
      <c r="M146">
        <f t="shared" si="8"/>
        <v>0</v>
      </c>
    </row>
    <row r="147" spans="1:13">
      <c r="A147">
        <v>4.813</v>
      </c>
      <c r="B147">
        <v>238.4</v>
      </c>
      <c r="C147">
        <v>3.476</v>
      </c>
      <c r="D147" s="2">
        <v>26</v>
      </c>
      <c r="E147" s="2"/>
      <c r="F147" s="2"/>
      <c r="G147">
        <v>4.779</v>
      </c>
      <c r="H147" s="2">
        <v>-0.03036</v>
      </c>
      <c r="I147">
        <v>238.4</v>
      </c>
      <c r="K147">
        <f t="shared" si="6"/>
        <v>4.75</v>
      </c>
      <c r="L147">
        <f t="shared" si="7"/>
        <v>-3.036</v>
      </c>
      <c r="M147">
        <f t="shared" si="8"/>
        <v>5</v>
      </c>
    </row>
    <row r="148" spans="1:13">
      <c r="A148">
        <v>4.846</v>
      </c>
      <c r="B148">
        <v>238.4</v>
      </c>
      <c r="C148">
        <v>3.509</v>
      </c>
      <c r="D148" s="2">
        <v>25.9</v>
      </c>
      <c r="E148" s="2"/>
      <c r="F148" s="2"/>
      <c r="G148">
        <v>4.813</v>
      </c>
      <c r="H148" s="2">
        <v>-0.02584</v>
      </c>
      <c r="I148">
        <v>238.4</v>
      </c>
      <c r="K148">
        <f t="shared" si="6"/>
        <v>4.8</v>
      </c>
      <c r="L148">
        <f t="shared" si="7"/>
        <v>-2.584</v>
      </c>
      <c r="M148">
        <f t="shared" si="8"/>
        <v>5</v>
      </c>
    </row>
    <row r="149" spans="1:13">
      <c r="A149">
        <v>4.879</v>
      </c>
      <c r="B149">
        <v>238.4</v>
      </c>
      <c r="C149">
        <v>3.543</v>
      </c>
      <c r="D149" s="2">
        <v>26.1</v>
      </c>
      <c r="E149" s="2"/>
      <c r="F149" s="2"/>
      <c r="G149">
        <v>4.846</v>
      </c>
      <c r="H149" s="2">
        <v>-0.02238</v>
      </c>
      <c r="I149">
        <v>238.4</v>
      </c>
      <c r="K149">
        <f t="shared" si="6"/>
        <v>4.8</v>
      </c>
      <c r="L149">
        <f t="shared" si="7"/>
        <v>-2.238</v>
      </c>
      <c r="M149">
        <f t="shared" si="8"/>
        <v>5</v>
      </c>
    </row>
    <row r="150" spans="1:13">
      <c r="A150">
        <v>4.913</v>
      </c>
      <c r="B150">
        <v>238.4</v>
      </c>
      <c r="C150">
        <v>3.576</v>
      </c>
      <c r="D150" s="2">
        <v>26.2</v>
      </c>
      <c r="E150" s="2"/>
      <c r="F150" s="2"/>
      <c r="G150">
        <v>4.879</v>
      </c>
      <c r="H150" s="2">
        <v>-0.01796</v>
      </c>
      <c r="I150">
        <v>238.4</v>
      </c>
      <c r="K150">
        <f t="shared" si="6"/>
        <v>4.85</v>
      </c>
      <c r="L150">
        <f t="shared" si="7"/>
        <v>-1.796</v>
      </c>
      <c r="M150">
        <f t="shared" si="8"/>
        <v>5</v>
      </c>
    </row>
    <row r="151" spans="1:13">
      <c r="A151">
        <v>4.946</v>
      </c>
      <c r="B151">
        <v>238.4</v>
      </c>
      <c r="C151">
        <v>3.609</v>
      </c>
      <c r="D151" s="2">
        <v>25.8</v>
      </c>
      <c r="E151" s="2"/>
      <c r="F151" s="2"/>
      <c r="G151">
        <v>4.913</v>
      </c>
      <c r="H151" s="2">
        <v>-0.01289</v>
      </c>
      <c r="I151">
        <v>238.4</v>
      </c>
      <c r="K151">
        <f t="shared" si="6"/>
        <v>4.9</v>
      </c>
      <c r="L151">
        <f t="shared" si="7"/>
        <v>-1.289</v>
      </c>
      <c r="M151">
        <f t="shared" si="8"/>
        <v>5</v>
      </c>
    </row>
    <row r="152" spans="1:13">
      <c r="A152">
        <v>4.98</v>
      </c>
      <c r="B152">
        <v>238.4</v>
      </c>
      <c r="C152">
        <v>3.643</v>
      </c>
      <c r="D152" s="2">
        <v>25.8</v>
      </c>
      <c r="E152" s="2"/>
      <c r="F152" s="2"/>
      <c r="G152">
        <v>4.946</v>
      </c>
      <c r="H152" s="2">
        <v>-0.007826</v>
      </c>
      <c r="I152">
        <v>238.4</v>
      </c>
      <c r="K152">
        <f t="shared" si="6"/>
        <v>4.9</v>
      </c>
      <c r="L152">
        <f t="shared" si="7"/>
        <v>-0.7826</v>
      </c>
      <c r="M152">
        <f t="shared" si="8"/>
        <v>5</v>
      </c>
    </row>
    <row r="153" spans="1:13">
      <c r="A153">
        <v>5.013</v>
      </c>
      <c r="B153">
        <v>238.4</v>
      </c>
      <c r="C153">
        <v>3.676</v>
      </c>
      <c r="D153">
        <v>26.1</v>
      </c>
      <c r="G153">
        <v>4.98</v>
      </c>
      <c r="H153" s="2">
        <v>-0.002605</v>
      </c>
      <c r="I153">
        <v>238.4</v>
      </c>
      <c r="K153">
        <f t="shared" si="6"/>
        <v>4.95</v>
      </c>
      <c r="L153">
        <f t="shared" si="7"/>
        <v>-0.2605</v>
      </c>
      <c r="M153">
        <f t="shared" si="8"/>
        <v>5</v>
      </c>
    </row>
    <row r="154" spans="1:13">
      <c r="A154">
        <v>5.046</v>
      </c>
      <c r="B154">
        <v>238.4</v>
      </c>
      <c r="C154">
        <v>3.71</v>
      </c>
      <c r="D154">
        <v>25.6</v>
      </c>
      <c r="G154">
        <v>5.013</v>
      </c>
      <c r="H154" s="8" t="s">
        <v>1059</v>
      </c>
      <c r="I154">
        <v>238.4</v>
      </c>
      <c r="K154">
        <f t="shared" si="6"/>
        <v>5</v>
      </c>
      <c r="L154">
        <f t="shared" si="7"/>
        <v>0.06848</v>
      </c>
      <c r="M154">
        <f t="shared" si="8"/>
        <v>5</v>
      </c>
    </row>
    <row r="155" spans="1:13">
      <c r="A155">
        <v>5.08</v>
      </c>
      <c r="B155">
        <v>238.4</v>
      </c>
      <c r="C155">
        <v>3.743</v>
      </c>
      <c r="D155">
        <v>26</v>
      </c>
      <c r="G155">
        <v>5.046</v>
      </c>
      <c r="H155" s="8" t="s">
        <v>1060</v>
      </c>
      <c r="I155">
        <v>238.4</v>
      </c>
      <c r="K155">
        <f t="shared" si="6"/>
        <v>5</v>
      </c>
      <c r="L155">
        <f t="shared" si="7"/>
        <v>0.7586</v>
      </c>
      <c r="M155">
        <f t="shared" si="8"/>
        <v>5</v>
      </c>
    </row>
    <row r="156" spans="1:13">
      <c r="A156">
        <v>5.113</v>
      </c>
      <c r="B156">
        <v>238.4</v>
      </c>
      <c r="C156">
        <v>3.776</v>
      </c>
      <c r="D156">
        <v>25.6</v>
      </c>
      <c r="G156">
        <v>5.08</v>
      </c>
      <c r="H156" s="8" t="s">
        <v>418</v>
      </c>
      <c r="I156">
        <v>238.4</v>
      </c>
      <c r="K156">
        <f t="shared" si="6"/>
        <v>5.05</v>
      </c>
      <c r="L156">
        <f t="shared" si="7"/>
        <v>1.244</v>
      </c>
      <c r="M156">
        <f t="shared" si="8"/>
        <v>5</v>
      </c>
    </row>
    <row r="157" spans="1:13">
      <c r="A157">
        <v>5.147</v>
      </c>
      <c r="B157">
        <v>238.4</v>
      </c>
      <c r="C157">
        <v>3.81</v>
      </c>
      <c r="D157">
        <v>25.9</v>
      </c>
      <c r="G157">
        <v>5.113</v>
      </c>
      <c r="H157" s="8" t="s">
        <v>1061</v>
      </c>
      <c r="I157">
        <v>238.4</v>
      </c>
      <c r="K157">
        <f t="shared" si="6"/>
        <v>5.1</v>
      </c>
      <c r="L157">
        <f t="shared" si="7"/>
        <v>1.759</v>
      </c>
      <c r="M157">
        <f t="shared" si="8"/>
        <v>5</v>
      </c>
    </row>
    <row r="158" spans="1:13">
      <c r="A158">
        <v>5.18</v>
      </c>
      <c r="B158">
        <v>238.4</v>
      </c>
      <c r="C158">
        <v>3.843</v>
      </c>
      <c r="D158">
        <v>26</v>
      </c>
      <c r="G158">
        <v>5.147</v>
      </c>
      <c r="H158" s="8" t="s">
        <v>1062</v>
      </c>
      <c r="I158">
        <v>238.4</v>
      </c>
      <c r="K158">
        <f t="shared" si="6"/>
        <v>5.1</v>
      </c>
      <c r="L158">
        <f t="shared" si="7"/>
        <v>2.28</v>
      </c>
      <c r="M158">
        <f t="shared" si="8"/>
        <v>5</v>
      </c>
    </row>
    <row r="159" spans="1:13">
      <c r="A159">
        <v>5.214</v>
      </c>
      <c r="B159">
        <v>238.4</v>
      </c>
      <c r="C159">
        <v>3.877</v>
      </c>
      <c r="D159">
        <v>26</v>
      </c>
      <c r="G159">
        <v>5.18</v>
      </c>
      <c r="H159" s="8" t="s">
        <v>1063</v>
      </c>
      <c r="I159">
        <v>238.4</v>
      </c>
      <c r="K159">
        <f t="shared" si="6"/>
        <v>5.15</v>
      </c>
      <c r="L159">
        <f t="shared" si="7"/>
        <v>2.784</v>
      </c>
      <c r="M159">
        <f t="shared" si="8"/>
        <v>5</v>
      </c>
    </row>
    <row r="160" spans="1:13">
      <c r="A160">
        <v>5.247</v>
      </c>
      <c r="B160">
        <v>238.4</v>
      </c>
      <c r="C160">
        <v>3.91</v>
      </c>
      <c r="D160">
        <v>26.2</v>
      </c>
      <c r="G160">
        <v>5.214</v>
      </c>
      <c r="H160" s="8" t="s">
        <v>1064</v>
      </c>
      <c r="I160">
        <v>238.4</v>
      </c>
      <c r="K160">
        <f t="shared" si="6"/>
        <v>5.2</v>
      </c>
      <c r="L160">
        <f t="shared" si="7"/>
        <v>3.282</v>
      </c>
      <c r="M160">
        <f t="shared" si="8"/>
        <v>5</v>
      </c>
    </row>
    <row r="161" spans="1:13">
      <c r="A161">
        <v>5.28</v>
      </c>
      <c r="B161">
        <v>238.4</v>
      </c>
      <c r="C161">
        <v>3.944</v>
      </c>
      <c r="D161">
        <v>25.7</v>
      </c>
      <c r="G161">
        <v>5.247</v>
      </c>
      <c r="H161" s="8" t="s">
        <v>1065</v>
      </c>
      <c r="I161">
        <v>238.4</v>
      </c>
      <c r="K161">
        <f t="shared" si="6"/>
        <v>5.2</v>
      </c>
      <c r="L161">
        <f t="shared" si="7"/>
        <v>3.665</v>
      </c>
      <c r="M161">
        <f t="shared" si="8"/>
        <v>5</v>
      </c>
    </row>
    <row r="162" spans="1:13">
      <c r="A162">
        <v>5.314</v>
      </c>
      <c r="B162">
        <v>238.4</v>
      </c>
      <c r="C162">
        <v>3.977</v>
      </c>
      <c r="D162">
        <v>25.6</v>
      </c>
      <c r="G162">
        <v>5.28</v>
      </c>
      <c r="H162" s="8" t="s">
        <v>1066</v>
      </c>
      <c r="I162">
        <v>238.4</v>
      </c>
      <c r="K162">
        <f t="shared" si="6"/>
        <v>5.25</v>
      </c>
      <c r="L162">
        <f t="shared" si="7"/>
        <v>4.049</v>
      </c>
      <c r="M162">
        <f t="shared" si="8"/>
        <v>5</v>
      </c>
    </row>
    <row r="163" spans="1:13">
      <c r="A163">
        <v>5.347</v>
      </c>
      <c r="B163">
        <v>238.4</v>
      </c>
      <c r="C163">
        <v>4.01</v>
      </c>
      <c r="D163">
        <v>26</v>
      </c>
      <c r="G163">
        <v>5.314</v>
      </c>
      <c r="H163" s="8" t="s">
        <v>1067</v>
      </c>
      <c r="I163">
        <v>238.4</v>
      </c>
      <c r="K163">
        <f t="shared" si="6"/>
        <v>5.3</v>
      </c>
      <c r="L163">
        <f t="shared" si="7"/>
        <v>4.37</v>
      </c>
      <c r="M163">
        <f t="shared" si="8"/>
        <v>5</v>
      </c>
    </row>
    <row r="164" spans="1:13">
      <c r="A164">
        <v>5.381</v>
      </c>
      <c r="B164">
        <v>238.4</v>
      </c>
      <c r="C164">
        <v>4.044</v>
      </c>
      <c r="D164">
        <v>26.2</v>
      </c>
      <c r="G164">
        <v>5.347</v>
      </c>
      <c r="H164" s="8" t="s">
        <v>1068</v>
      </c>
      <c r="I164">
        <v>238.4</v>
      </c>
      <c r="K164">
        <f t="shared" si="6"/>
        <v>5.3</v>
      </c>
      <c r="L164">
        <f t="shared" si="7"/>
        <v>4.7</v>
      </c>
      <c r="M164">
        <f t="shared" si="8"/>
        <v>5</v>
      </c>
    </row>
    <row r="165" spans="1:13">
      <c r="A165">
        <v>5.414</v>
      </c>
      <c r="B165">
        <v>238.4</v>
      </c>
      <c r="C165">
        <v>4.077</v>
      </c>
      <c r="D165">
        <v>25.5</v>
      </c>
      <c r="G165">
        <v>5.381</v>
      </c>
      <c r="H165" s="8" t="s">
        <v>1069</v>
      </c>
      <c r="I165">
        <v>238.4</v>
      </c>
      <c r="K165">
        <f t="shared" si="6"/>
        <v>5.35</v>
      </c>
      <c r="L165">
        <f t="shared" si="7"/>
        <v>5.056</v>
      </c>
      <c r="M165">
        <f t="shared" si="8"/>
        <v>5</v>
      </c>
    </row>
    <row r="166" spans="1:13">
      <c r="A166">
        <v>5.447</v>
      </c>
      <c r="B166">
        <v>238.4</v>
      </c>
      <c r="C166">
        <v>4.111</v>
      </c>
      <c r="D166">
        <v>25.8</v>
      </c>
      <c r="G166">
        <v>5.414</v>
      </c>
      <c r="H166" s="8" t="s">
        <v>1070</v>
      </c>
      <c r="I166">
        <v>238.4</v>
      </c>
      <c r="K166">
        <f t="shared" si="6"/>
        <v>5.4</v>
      </c>
      <c r="L166">
        <f t="shared" si="7"/>
        <v>5.306</v>
      </c>
      <c r="M166">
        <f t="shared" si="8"/>
        <v>5</v>
      </c>
    </row>
    <row r="167" spans="1:13">
      <c r="A167">
        <v>5.481</v>
      </c>
      <c r="B167">
        <v>238.4</v>
      </c>
      <c r="C167">
        <v>4.144</v>
      </c>
      <c r="D167">
        <v>25.7</v>
      </c>
      <c r="G167">
        <v>5.447</v>
      </c>
      <c r="H167" s="8" t="s">
        <v>1071</v>
      </c>
      <c r="I167">
        <v>238.4</v>
      </c>
      <c r="K167">
        <f t="shared" si="6"/>
        <v>5.4</v>
      </c>
      <c r="L167">
        <f t="shared" si="7"/>
        <v>5.399</v>
      </c>
      <c r="M167">
        <f t="shared" si="8"/>
        <v>5</v>
      </c>
    </row>
    <row r="168" spans="1:13">
      <c r="A168">
        <v>5.514</v>
      </c>
      <c r="B168">
        <v>238.4</v>
      </c>
      <c r="C168">
        <v>4.178</v>
      </c>
      <c r="D168">
        <v>25.7</v>
      </c>
      <c r="G168">
        <v>5.481</v>
      </c>
      <c r="H168" s="8" t="s">
        <v>1072</v>
      </c>
      <c r="I168">
        <v>238.4</v>
      </c>
      <c r="K168">
        <f t="shared" si="6"/>
        <v>5.45</v>
      </c>
      <c r="L168">
        <f t="shared" si="7"/>
        <v>5.53</v>
      </c>
      <c r="M168">
        <f t="shared" si="8"/>
        <v>5</v>
      </c>
    </row>
    <row r="169" spans="1:13">
      <c r="A169">
        <v>5.548</v>
      </c>
      <c r="B169">
        <v>238.4</v>
      </c>
      <c r="C169">
        <v>4.211</v>
      </c>
      <c r="D169">
        <v>25.9</v>
      </c>
      <c r="G169">
        <v>5.514</v>
      </c>
      <c r="H169" s="8" t="s">
        <v>1073</v>
      </c>
      <c r="I169">
        <v>238.4</v>
      </c>
      <c r="K169">
        <f t="shared" si="6"/>
        <v>5.5</v>
      </c>
      <c r="L169">
        <f t="shared" si="7"/>
        <v>5.707</v>
      </c>
      <c r="M169">
        <f t="shared" si="8"/>
        <v>5</v>
      </c>
    </row>
    <row r="170" spans="1:13">
      <c r="A170">
        <v>5.581</v>
      </c>
      <c r="B170">
        <v>238.4</v>
      </c>
      <c r="C170">
        <v>4.244</v>
      </c>
      <c r="D170">
        <v>25.8</v>
      </c>
      <c r="G170">
        <v>5.548</v>
      </c>
      <c r="H170" s="8" t="s">
        <v>1074</v>
      </c>
      <c r="I170">
        <v>238.4</v>
      </c>
      <c r="K170">
        <f t="shared" si="6"/>
        <v>5.5</v>
      </c>
      <c r="L170">
        <f t="shared" si="7"/>
        <v>5.648</v>
      </c>
      <c r="M170">
        <f t="shared" si="8"/>
        <v>5</v>
      </c>
    </row>
    <row r="171" spans="1:13">
      <c r="A171">
        <v>5.615</v>
      </c>
      <c r="B171">
        <v>122.9</v>
      </c>
      <c r="C171">
        <v>4.278</v>
      </c>
      <c r="D171">
        <v>25.4</v>
      </c>
      <c r="G171">
        <v>5.581</v>
      </c>
      <c r="H171" s="8" t="s">
        <v>1075</v>
      </c>
      <c r="I171">
        <v>238.4</v>
      </c>
      <c r="K171">
        <f t="shared" si="6"/>
        <v>5.55</v>
      </c>
      <c r="L171">
        <f t="shared" si="7"/>
        <v>5.657</v>
      </c>
      <c r="M171">
        <f t="shared" si="8"/>
        <v>5</v>
      </c>
    </row>
    <row r="172" spans="1:13">
      <c r="A172">
        <v>5.648</v>
      </c>
      <c r="B172">
        <v>25.9</v>
      </c>
      <c r="C172">
        <v>4.311</v>
      </c>
      <c r="D172">
        <v>25.8</v>
      </c>
      <c r="G172">
        <v>5.615</v>
      </c>
      <c r="H172" s="8" t="s">
        <v>1076</v>
      </c>
      <c r="I172">
        <v>122.9</v>
      </c>
      <c r="K172">
        <f t="shared" si="6"/>
        <v>5.6</v>
      </c>
      <c r="L172">
        <f t="shared" si="7"/>
        <v>5.585</v>
      </c>
      <c r="M172">
        <f t="shared" si="8"/>
        <v>0</v>
      </c>
    </row>
    <row r="173" spans="1:13">
      <c r="A173">
        <v>5.681</v>
      </c>
      <c r="B173">
        <v>25.9</v>
      </c>
      <c r="C173">
        <v>4.345</v>
      </c>
      <c r="D173">
        <v>25.5</v>
      </c>
      <c r="G173">
        <v>5.648</v>
      </c>
      <c r="H173" s="8" t="s">
        <v>1077</v>
      </c>
      <c r="I173">
        <v>25.9</v>
      </c>
      <c r="K173">
        <f t="shared" si="6"/>
        <v>5.6</v>
      </c>
      <c r="L173">
        <f t="shared" si="7"/>
        <v>5.574</v>
      </c>
      <c r="M173">
        <f t="shared" si="8"/>
        <v>0</v>
      </c>
    </row>
    <row r="174" spans="1:13">
      <c r="A174">
        <v>5.715</v>
      </c>
      <c r="B174">
        <v>25.9</v>
      </c>
      <c r="C174">
        <v>4.378</v>
      </c>
      <c r="D174">
        <v>25.8</v>
      </c>
      <c r="G174">
        <v>5.681</v>
      </c>
      <c r="H174" s="8" t="s">
        <v>1078</v>
      </c>
      <c r="I174">
        <v>25.9</v>
      </c>
      <c r="K174">
        <f t="shared" si="6"/>
        <v>5.65</v>
      </c>
      <c r="L174">
        <f t="shared" si="7"/>
        <v>5.31</v>
      </c>
      <c r="M174">
        <f t="shared" si="8"/>
        <v>0</v>
      </c>
    </row>
    <row r="175" spans="1:13">
      <c r="A175">
        <v>5.748</v>
      </c>
      <c r="B175">
        <v>25.9</v>
      </c>
      <c r="C175">
        <v>4.411</v>
      </c>
      <c r="D175">
        <v>25.6</v>
      </c>
      <c r="G175">
        <v>5.715</v>
      </c>
      <c r="H175" s="8" t="s">
        <v>1019</v>
      </c>
      <c r="I175">
        <v>25.9</v>
      </c>
      <c r="K175">
        <f t="shared" si="6"/>
        <v>5.7</v>
      </c>
      <c r="L175">
        <f t="shared" si="7"/>
        <v>5.111</v>
      </c>
      <c r="M175">
        <f t="shared" si="8"/>
        <v>0</v>
      </c>
    </row>
    <row r="176" spans="1:13">
      <c r="A176">
        <v>5.782</v>
      </c>
      <c r="B176">
        <v>25.9</v>
      </c>
      <c r="C176">
        <v>4.445</v>
      </c>
      <c r="D176">
        <v>25.6</v>
      </c>
      <c r="G176">
        <v>5.748</v>
      </c>
      <c r="H176" s="8" t="s">
        <v>1079</v>
      </c>
      <c r="I176">
        <v>25.9</v>
      </c>
      <c r="K176">
        <f t="shared" si="6"/>
        <v>5.7</v>
      </c>
      <c r="L176">
        <f t="shared" si="7"/>
        <v>4.88</v>
      </c>
      <c r="M176">
        <f t="shared" si="8"/>
        <v>0</v>
      </c>
    </row>
    <row r="177" spans="1:13">
      <c r="A177">
        <v>5.815</v>
      </c>
      <c r="B177">
        <v>25.9</v>
      </c>
      <c r="C177">
        <v>4.478</v>
      </c>
      <c r="D177">
        <v>25.8</v>
      </c>
      <c r="G177">
        <v>5.782</v>
      </c>
      <c r="H177" s="8" t="s">
        <v>1080</v>
      </c>
      <c r="I177">
        <v>25.9</v>
      </c>
      <c r="K177">
        <f t="shared" si="6"/>
        <v>5.75</v>
      </c>
      <c r="L177">
        <f t="shared" si="7"/>
        <v>4.56</v>
      </c>
      <c r="M177">
        <f t="shared" si="8"/>
        <v>0</v>
      </c>
    </row>
    <row r="178" spans="1:13">
      <c r="A178">
        <v>5.849</v>
      </c>
      <c r="B178">
        <v>25.9</v>
      </c>
      <c r="C178">
        <v>4.512</v>
      </c>
      <c r="D178">
        <v>25.8</v>
      </c>
      <c r="G178">
        <v>5.815</v>
      </c>
      <c r="H178" s="8" t="s">
        <v>1081</v>
      </c>
      <c r="I178">
        <v>25.9</v>
      </c>
      <c r="K178">
        <f t="shared" si="6"/>
        <v>5.8</v>
      </c>
      <c r="L178">
        <f t="shared" si="7"/>
        <v>4.308</v>
      </c>
      <c r="M178">
        <f t="shared" si="8"/>
        <v>0</v>
      </c>
    </row>
    <row r="179" spans="1:13">
      <c r="A179">
        <v>5.882</v>
      </c>
      <c r="B179">
        <v>25.9</v>
      </c>
      <c r="C179">
        <v>4.545</v>
      </c>
      <c r="D179">
        <v>26.1</v>
      </c>
      <c r="G179">
        <v>5.849</v>
      </c>
      <c r="H179" s="8" t="s">
        <v>1082</v>
      </c>
      <c r="I179">
        <v>25.9</v>
      </c>
      <c r="K179">
        <f t="shared" si="6"/>
        <v>5.8</v>
      </c>
      <c r="L179">
        <f t="shared" si="7"/>
        <v>4.007</v>
      </c>
      <c r="M179">
        <f t="shared" si="8"/>
        <v>0</v>
      </c>
    </row>
    <row r="180" spans="1:13">
      <c r="A180">
        <v>5.915</v>
      </c>
      <c r="B180">
        <v>25.9</v>
      </c>
      <c r="C180">
        <v>4.579</v>
      </c>
      <c r="D180">
        <v>25.8</v>
      </c>
      <c r="G180">
        <v>5.882</v>
      </c>
      <c r="H180" s="8" t="s">
        <v>1083</v>
      </c>
      <c r="I180">
        <v>25.9</v>
      </c>
      <c r="K180">
        <f t="shared" si="6"/>
        <v>5.85</v>
      </c>
      <c r="L180">
        <f t="shared" si="7"/>
        <v>3.563</v>
      </c>
      <c r="M180">
        <f t="shared" si="8"/>
        <v>0</v>
      </c>
    </row>
    <row r="181" spans="1:13">
      <c r="A181">
        <v>5.949</v>
      </c>
      <c r="B181">
        <v>25.9</v>
      </c>
      <c r="C181">
        <v>4.612</v>
      </c>
      <c r="D181">
        <v>25.7</v>
      </c>
      <c r="G181">
        <v>5.915</v>
      </c>
      <c r="H181" s="8" t="s">
        <v>1084</v>
      </c>
      <c r="I181">
        <v>25.9</v>
      </c>
      <c r="K181">
        <f t="shared" si="6"/>
        <v>5.9</v>
      </c>
      <c r="L181">
        <f t="shared" si="7"/>
        <v>3.237</v>
      </c>
      <c r="M181">
        <f t="shared" si="8"/>
        <v>0</v>
      </c>
    </row>
    <row r="182" spans="1:13">
      <c r="A182">
        <v>5.982</v>
      </c>
      <c r="B182">
        <v>26.1</v>
      </c>
      <c r="C182">
        <v>4.645</v>
      </c>
      <c r="D182">
        <v>25.5</v>
      </c>
      <c r="G182">
        <v>5.949</v>
      </c>
      <c r="H182" s="8" t="s">
        <v>1085</v>
      </c>
      <c r="I182">
        <v>25.9</v>
      </c>
      <c r="K182">
        <f t="shared" si="6"/>
        <v>5.9</v>
      </c>
      <c r="L182">
        <f t="shared" si="7"/>
        <v>2.841</v>
      </c>
      <c r="M182">
        <f t="shared" si="8"/>
        <v>0</v>
      </c>
    </row>
    <row r="183" spans="1:13">
      <c r="A183">
        <v>6.016</v>
      </c>
      <c r="B183">
        <v>25.6</v>
      </c>
      <c r="C183">
        <v>4.679</v>
      </c>
      <c r="D183">
        <v>25.8</v>
      </c>
      <c r="G183">
        <v>5.982</v>
      </c>
      <c r="H183" s="8" t="s">
        <v>1086</v>
      </c>
      <c r="I183">
        <v>26.1</v>
      </c>
      <c r="K183">
        <f t="shared" si="6"/>
        <v>5.95</v>
      </c>
      <c r="L183">
        <f t="shared" si="7"/>
        <v>2.521</v>
      </c>
      <c r="M183">
        <f t="shared" si="8"/>
        <v>0</v>
      </c>
    </row>
    <row r="184" spans="1:13">
      <c r="A184">
        <v>6.049</v>
      </c>
      <c r="B184">
        <v>26</v>
      </c>
      <c r="C184">
        <v>4.712</v>
      </c>
      <c r="D184">
        <v>25.5</v>
      </c>
      <c r="G184">
        <v>6.016</v>
      </c>
      <c r="H184" s="8" t="s">
        <v>1087</v>
      </c>
      <c r="I184">
        <v>25.6</v>
      </c>
      <c r="K184">
        <f t="shared" si="6"/>
        <v>6</v>
      </c>
      <c r="L184">
        <f t="shared" si="7"/>
        <v>2.101</v>
      </c>
      <c r="M184">
        <f t="shared" si="8"/>
        <v>0</v>
      </c>
    </row>
    <row r="185" spans="1:13">
      <c r="A185">
        <v>6.082</v>
      </c>
      <c r="B185">
        <v>25.6</v>
      </c>
      <c r="C185">
        <v>4.746</v>
      </c>
      <c r="D185">
        <v>25.5</v>
      </c>
      <c r="G185">
        <v>6.049</v>
      </c>
      <c r="H185" s="8" t="s">
        <v>1088</v>
      </c>
      <c r="I185">
        <v>26</v>
      </c>
      <c r="K185">
        <f t="shared" si="6"/>
        <v>6</v>
      </c>
      <c r="L185">
        <f t="shared" si="7"/>
        <v>1.638</v>
      </c>
      <c r="M185">
        <f t="shared" si="8"/>
        <v>0</v>
      </c>
    </row>
    <row r="186" spans="1:13">
      <c r="A186">
        <v>6.116</v>
      </c>
      <c r="B186">
        <v>26</v>
      </c>
      <c r="C186">
        <v>4.779</v>
      </c>
      <c r="D186">
        <v>238.4</v>
      </c>
      <c r="G186">
        <v>6.082</v>
      </c>
      <c r="H186" s="8" t="s">
        <v>387</v>
      </c>
      <c r="I186">
        <v>25.6</v>
      </c>
      <c r="K186">
        <f t="shared" si="6"/>
        <v>6.05</v>
      </c>
      <c r="L186">
        <f t="shared" si="7"/>
        <v>1.228</v>
      </c>
      <c r="M186">
        <f t="shared" si="8"/>
        <v>0</v>
      </c>
    </row>
    <row r="187" spans="1:13">
      <c r="A187">
        <v>6.149</v>
      </c>
      <c r="B187">
        <v>25.9</v>
      </c>
      <c r="C187">
        <v>4.813</v>
      </c>
      <c r="D187">
        <v>238.4</v>
      </c>
      <c r="G187">
        <v>6.116</v>
      </c>
      <c r="H187" s="8" t="s">
        <v>1089</v>
      </c>
      <c r="I187">
        <v>26</v>
      </c>
      <c r="K187">
        <f t="shared" si="6"/>
        <v>6.1</v>
      </c>
      <c r="L187">
        <f t="shared" si="7"/>
        <v>0.9872</v>
      </c>
      <c r="M187">
        <f t="shared" si="8"/>
        <v>0</v>
      </c>
    </row>
    <row r="188" spans="1:13">
      <c r="A188">
        <v>6.183</v>
      </c>
      <c r="B188">
        <v>25.7</v>
      </c>
      <c r="C188">
        <v>4.846</v>
      </c>
      <c r="D188">
        <v>238.4</v>
      </c>
      <c r="G188">
        <v>6.149</v>
      </c>
      <c r="H188" s="8" t="s">
        <v>1090</v>
      </c>
      <c r="I188">
        <v>25.9</v>
      </c>
      <c r="K188">
        <f t="shared" si="6"/>
        <v>6.1</v>
      </c>
      <c r="L188">
        <f t="shared" si="7"/>
        <v>0.5073</v>
      </c>
      <c r="M188">
        <f t="shared" si="8"/>
        <v>0</v>
      </c>
    </row>
    <row r="189" spans="1:13">
      <c r="A189">
        <v>6.216</v>
      </c>
      <c r="B189">
        <v>25.7</v>
      </c>
      <c r="C189">
        <v>4.879</v>
      </c>
      <c r="D189" s="2">
        <v>238.4</v>
      </c>
      <c r="E189" s="2"/>
      <c r="F189" s="2"/>
      <c r="G189">
        <v>6.183</v>
      </c>
      <c r="H189" s="8" t="s">
        <v>1091</v>
      </c>
      <c r="I189">
        <v>25.7</v>
      </c>
      <c r="K189">
        <f t="shared" si="6"/>
        <v>6.15</v>
      </c>
      <c r="L189">
        <f t="shared" si="7"/>
        <v>0.1897</v>
      </c>
      <c r="M189">
        <f t="shared" si="8"/>
        <v>0</v>
      </c>
    </row>
    <row r="190" spans="1:13">
      <c r="A190">
        <v>6.25</v>
      </c>
      <c r="B190">
        <v>26</v>
      </c>
      <c r="C190">
        <v>4.913</v>
      </c>
      <c r="D190" s="2">
        <v>238.4</v>
      </c>
      <c r="E190" s="2"/>
      <c r="F190" s="2"/>
      <c r="G190">
        <v>6.216</v>
      </c>
      <c r="H190" s="2">
        <v>-0.001999</v>
      </c>
      <c r="I190">
        <v>25.7</v>
      </c>
      <c r="K190">
        <f t="shared" si="6"/>
        <v>6.2</v>
      </c>
      <c r="L190">
        <f t="shared" si="7"/>
        <v>-0.1999</v>
      </c>
      <c r="M190">
        <f t="shared" si="8"/>
        <v>0</v>
      </c>
    </row>
    <row r="191" spans="1:13">
      <c r="A191">
        <v>6.283</v>
      </c>
      <c r="B191">
        <v>26</v>
      </c>
      <c r="C191">
        <v>4.946</v>
      </c>
      <c r="D191" s="2">
        <v>238.4</v>
      </c>
      <c r="E191" s="2"/>
      <c r="F191" s="2"/>
      <c r="G191">
        <v>6.25</v>
      </c>
      <c r="H191" s="2">
        <v>-0.00516</v>
      </c>
      <c r="I191">
        <v>26</v>
      </c>
      <c r="K191">
        <f t="shared" si="6"/>
        <v>6.25</v>
      </c>
      <c r="L191">
        <f t="shared" si="7"/>
        <v>-0.516</v>
      </c>
      <c r="M191">
        <f t="shared" si="8"/>
        <v>0</v>
      </c>
    </row>
    <row r="192" spans="1:13">
      <c r="A192">
        <v>6.316</v>
      </c>
      <c r="B192">
        <v>25.5</v>
      </c>
      <c r="C192">
        <v>4.98</v>
      </c>
      <c r="D192" s="2">
        <v>238.4</v>
      </c>
      <c r="E192" s="2"/>
      <c r="F192" s="2"/>
      <c r="G192">
        <v>6.283</v>
      </c>
      <c r="H192" s="2">
        <v>-0.007919</v>
      </c>
      <c r="I192">
        <v>26</v>
      </c>
      <c r="K192">
        <f t="shared" si="6"/>
        <v>6.25</v>
      </c>
      <c r="L192">
        <f t="shared" si="7"/>
        <v>-0.7919</v>
      </c>
      <c r="M192">
        <f t="shared" si="8"/>
        <v>0</v>
      </c>
    </row>
    <row r="193" spans="1:13">
      <c r="A193">
        <v>6.35</v>
      </c>
      <c r="B193">
        <v>26</v>
      </c>
      <c r="C193">
        <v>5.013</v>
      </c>
      <c r="D193" s="2">
        <v>238.4</v>
      </c>
      <c r="E193" s="2"/>
      <c r="F193" s="2"/>
      <c r="G193">
        <v>6.316</v>
      </c>
      <c r="H193" s="2">
        <v>-0.01037</v>
      </c>
      <c r="I193">
        <v>25.5</v>
      </c>
      <c r="K193">
        <f t="shared" si="6"/>
        <v>6.3</v>
      </c>
      <c r="L193">
        <f t="shared" si="7"/>
        <v>-1.037</v>
      </c>
      <c r="M193">
        <f t="shared" si="8"/>
        <v>0</v>
      </c>
    </row>
    <row r="194" spans="1:13">
      <c r="A194">
        <v>6.383</v>
      </c>
      <c r="B194">
        <v>25.9</v>
      </c>
      <c r="C194">
        <v>5.046</v>
      </c>
      <c r="D194" s="2">
        <v>238.4</v>
      </c>
      <c r="E194" s="2"/>
      <c r="F194" s="2"/>
      <c r="G194">
        <v>6.35</v>
      </c>
      <c r="H194" s="2">
        <v>-0.01315</v>
      </c>
      <c r="I194">
        <v>26</v>
      </c>
      <c r="K194">
        <f t="shared" si="6"/>
        <v>6.35</v>
      </c>
      <c r="L194">
        <f t="shared" si="7"/>
        <v>-1.315</v>
      </c>
      <c r="M194">
        <f t="shared" si="8"/>
        <v>0</v>
      </c>
    </row>
    <row r="195" spans="1:13">
      <c r="A195">
        <v>6.417</v>
      </c>
      <c r="B195">
        <v>238.4</v>
      </c>
      <c r="C195">
        <v>5.08</v>
      </c>
      <c r="D195" s="2">
        <v>238.4</v>
      </c>
      <c r="E195" s="2"/>
      <c r="F195" s="2"/>
      <c r="G195">
        <v>6.383</v>
      </c>
      <c r="H195" s="2">
        <v>-0.01535</v>
      </c>
      <c r="I195">
        <v>25.9</v>
      </c>
      <c r="K195">
        <f t="shared" si="6"/>
        <v>6.35</v>
      </c>
      <c r="L195">
        <f t="shared" si="7"/>
        <v>-1.535</v>
      </c>
      <c r="M195">
        <f t="shared" si="8"/>
        <v>0</v>
      </c>
    </row>
    <row r="196" spans="1:13">
      <c r="A196">
        <v>6.45</v>
      </c>
      <c r="B196">
        <v>238.4</v>
      </c>
      <c r="C196">
        <v>5.113</v>
      </c>
      <c r="D196" s="2">
        <v>238.4</v>
      </c>
      <c r="E196" s="2"/>
      <c r="F196" s="2"/>
      <c r="G196">
        <v>6.417</v>
      </c>
      <c r="H196" s="2">
        <v>-0.0178</v>
      </c>
      <c r="I196">
        <v>238.4</v>
      </c>
      <c r="K196">
        <f t="shared" ref="K196:K259" si="9">FLOOR(G196,0.05)</f>
        <v>6.4</v>
      </c>
      <c r="L196">
        <f t="shared" si="7"/>
        <v>-1.78</v>
      </c>
      <c r="M196">
        <f t="shared" si="8"/>
        <v>5</v>
      </c>
    </row>
    <row r="197" spans="1:13">
      <c r="A197">
        <v>6.484</v>
      </c>
      <c r="B197">
        <v>238.4</v>
      </c>
      <c r="C197">
        <v>5.147</v>
      </c>
      <c r="D197" s="2">
        <v>238.4</v>
      </c>
      <c r="E197" s="2"/>
      <c r="F197" s="2"/>
      <c r="G197">
        <v>6.45</v>
      </c>
      <c r="H197" s="2">
        <v>-0.01933</v>
      </c>
      <c r="I197">
        <v>238.4</v>
      </c>
      <c r="K197">
        <f t="shared" si="9"/>
        <v>6.45</v>
      </c>
      <c r="L197">
        <f t="shared" ref="L197:L260" si="10">H197*100</f>
        <v>-1.933</v>
      </c>
      <c r="M197">
        <f t="shared" ref="M197:M260" si="11">IF(I197&lt;230,0,5)</f>
        <v>5</v>
      </c>
    </row>
    <row r="198" spans="1:13">
      <c r="A198">
        <v>6.517</v>
      </c>
      <c r="B198">
        <v>238.4</v>
      </c>
      <c r="C198">
        <v>5.18</v>
      </c>
      <c r="D198" s="2">
        <v>238.4</v>
      </c>
      <c r="E198" s="2"/>
      <c r="F198" s="2"/>
      <c r="G198">
        <v>6.484</v>
      </c>
      <c r="H198" s="2">
        <v>-0.02045</v>
      </c>
      <c r="I198">
        <v>238.4</v>
      </c>
      <c r="K198">
        <f t="shared" si="9"/>
        <v>6.45</v>
      </c>
      <c r="L198">
        <f t="shared" si="10"/>
        <v>-2.045</v>
      </c>
      <c r="M198">
        <f t="shared" si="11"/>
        <v>5</v>
      </c>
    </row>
    <row r="199" spans="1:13">
      <c r="A199">
        <v>6.55</v>
      </c>
      <c r="B199">
        <v>238.4</v>
      </c>
      <c r="C199">
        <v>5.214</v>
      </c>
      <c r="D199" s="2">
        <v>238.4</v>
      </c>
      <c r="E199" s="2"/>
      <c r="F199" s="2"/>
      <c r="G199">
        <v>6.517</v>
      </c>
      <c r="H199" s="2">
        <v>-0.02129</v>
      </c>
      <c r="I199">
        <v>238.4</v>
      </c>
      <c r="K199">
        <f t="shared" si="9"/>
        <v>6.5</v>
      </c>
      <c r="L199">
        <f t="shared" si="10"/>
        <v>-2.129</v>
      </c>
      <c r="M199">
        <f t="shared" si="11"/>
        <v>5</v>
      </c>
    </row>
    <row r="200" spans="1:13">
      <c r="A200">
        <v>6.584</v>
      </c>
      <c r="B200">
        <v>238.4</v>
      </c>
      <c r="C200">
        <v>5.247</v>
      </c>
      <c r="D200" s="2">
        <v>238.4</v>
      </c>
      <c r="E200" s="2"/>
      <c r="F200" s="2"/>
      <c r="G200">
        <v>6.55</v>
      </c>
      <c r="H200" s="2">
        <v>-0.02163</v>
      </c>
      <c r="I200">
        <v>238.4</v>
      </c>
      <c r="K200">
        <f t="shared" si="9"/>
        <v>6.55</v>
      </c>
      <c r="L200">
        <f t="shared" si="10"/>
        <v>-2.163</v>
      </c>
      <c r="M200">
        <f t="shared" si="11"/>
        <v>5</v>
      </c>
    </row>
    <row r="201" spans="1:13">
      <c r="A201">
        <v>6.617</v>
      </c>
      <c r="B201">
        <v>238.4</v>
      </c>
      <c r="C201">
        <v>5.28</v>
      </c>
      <c r="D201" s="2">
        <v>238.4</v>
      </c>
      <c r="E201" s="2"/>
      <c r="F201" s="2"/>
      <c r="G201">
        <v>6.584</v>
      </c>
      <c r="H201" s="2">
        <v>-0.02186</v>
      </c>
      <c r="I201">
        <v>238.4</v>
      </c>
      <c r="K201">
        <f t="shared" si="9"/>
        <v>6.55</v>
      </c>
      <c r="L201">
        <f t="shared" si="10"/>
        <v>-2.186</v>
      </c>
      <c r="M201">
        <f t="shared" si="11"/>
        <v>5</v>
      </c>
    </row>
    <row r="202" spans="1:13">
      <c r="A202">
        <v>6.651</v>
      </c>
      <c r="B202">
        <v>238.4</v>
      </c>
      <c r="C202">
        <v>5.314</v>
      </c>
      <c r="D202" s="2">
        <v>238.4</v>
      </c>
      <c r="E202" s="2"/>
      <c r="F202" s="2"/>
      <c r="G202">
        <v>6.617</v>
      </c>
      <c r="H202" s="2">
        <v>-0.02196</v>
      </c>
      <c r="I202">
        <v>238.4</v>
      </c>
      <c r="K202">
        <f t="shared" si="9"/>
        <v>6.6</v>
      </c>
      <c r="L202">
        <f t="shared" si="10"/>
        <v>-2.196</v>
      </c>
      <c r="M202">
        <f t="shared" si="11"/>
        <v>5</v>
      </c>
    </row>
    <row r="203" spans="1:13">
      <c r="A203">
        <v>6.684</v>
      </c>
      <c r="B203">
        <v>238.4</v>
      </c>
      <c r="C203">
        <v>5.347</v>
      </c>
      <c r="D203" s="2">
        <v>238.4</v>
      </c>
      <c r="E203" s="2"/>
      <c r="F203" s="2"/>
      <c r="G203">
        <v>6.651</v>
      </c>
      <c r="H203" s="2">
        <v>-0.02186</v>
      </c>
      <c r="I203">
        <v>238.4</v>
      </c>
      <c r="K203">
        <f t="shared" si="9"/>
        <v>6.65</v>
      </c>
      <c r="L203">
        <f t="shared" si="10"/>
        <v>-2.186</v>
      </c>
      <c r="M203">
        <f t="shared" si="11"/>
        <v>5</v>
      </c>
    </row>
    <row r="204" spans="1:13">
      <c r="A204">
        <v>6.717</v>
      </c>
      <c r="B204">
        <v>238.4</v>
      </c>
      <c r="C204">
        <v>5.381</v>
      </c>
      <c r="D204" s="2">
        <v>238.4</v>
      </c>
      <c r="E204" s="2"/>
      <c r="F204" s="2"/>
      <c r="G204">
        <v>6.684</v>
      </c>
      <c r="H204" s="2">
        <v>-0.02143</v>
      </c>
      <c r="I204">
        <v>238.4</v>
      </c>
      <c r="K204">
        <f t="shared" si="9"/>
        <v>6.65</v>
      </c>
      <c r="L204">
        <f t="shared" si="10"/>
        <v>-2.143</v>
      </c>
      <c r="M204">
        <f t="shared" si="11"/>
        <v>5</v>
      </c>
    </row>
    <row r="205" spans="1:13">
      <c r="A205">
        <v>6.751</v>
      </c>
      <c r="B205">
        <v>238.4</v>
      </c>
      <c r="C205">
        <v>5.414</v>
      </c>
      <c r="D205" s="2">
        <v>238.4</v>
      </c>
      <c r="E205" s="2"/>
      <c r="F205" s="2"/>
      <c r="G205">
        <v>6.717</v>
      </c>
      <c r="H205" s="2">
        <v>-0.02049</v>
      </c>
      <c r="I205">
        <v>238.4</v>
      </c>
      <c r="K205">
        <f t="shared" si="9"/>
        <v>6.7</v>
      </c>
      <c r="L205">
        <f t="shared" si="10"/>
        <v>-2.049</v>
      </c>
      <c r="M205">
        <f t="shared" si="11"/>
        <v>5</v>
      </c>
    </row>
    <row r="206" spans="1:13">
      <c r="A206">
        <v>6.784</v>
      </c>
      <c r="B206">
        <v>238.4</v>
      </c>
      <c r="C206">
        <v>5.447</v>
      </c>
      <c r="D206" s="2">
        <v>238.4</v>
      </c>
      <c r="E206" s="2"/>
      <c r="F206" s="2"/>
      <c r="G206">
        <v>6.751</v>
      </c>
      <c r="H206" s="2">
        <v>-0.01922</v>
      </c>
      <c r="I206">
        <v>238.4</v>
      </c>
      <c r="K206">
        <f t="shared" si="9"/>
        <v>6.75</v>
      </c>
      <c r="L206">
        <f t="shared" si="10"/>
        <v>-1.922</v>
      </c>
      <c r="M206">
        <f t="shared" si="11"/>
        <v>5</v>
      </c>
    </row>
    <row r="207" spans="1:13">
      <c r="A207">
        <v>6.818</v>
      </c>
      <c r="B207">
        <v>238.4</v>
      </c>
      <c r="C207">
        <v>5.481</v>
      </c>
      <c r="D207" s="2">
        <v>238.4</v>
      </c>
      <c r="E207" s="2"/>
      <c r="F207" s="2"/>
      <c r="G207">
        <v>6.784</v>
      </c>
      <c r="H207" s="2">
        <v>-0.01784</v>
      </c>
      <c r="I207">
        <v>238.4</v>
      </c>
      <c r="K207">
        <f t="shared" si="9"/>
        <v>6.75</v>
      </c>
      <c r="L207">
        <f t="shared" si="10"/>
        <v>-1.784</v>
      </c>
      <c r="M207">
        <f t="shared" si="11"/>
        <v>5</v>
      </c>
    </row>
    <row r="208" spans="1:13">
      <c r="A208">
        <v>6.851</v>
      </c>
      <c r="B208">
        <v>238.4</v>
      </c>
      <c r="C208">
        <v>5.514</v>
      </c>
      <c r="D208" s="2">
        <v>238.4</v>
      </c>
      <c r="E208" s="2"/>
      <c r="F208" s="2"/>
      <c r="G208">
        <v>6.818</v>
      </c>
      <c r="H208" s="2">
        <v>-0.01645</v>
      </c>
      <c r="I208">
        <v>238.4</v>
      </c>
      <c r="K208">
        <f t="shared" si="9"/>
        <v>6.8</v>
      </c>
      <c r="L208">
        <f t="shared" si="10"/>
        <v>-1.645</v>
      </c>
      <c r="M208">
        <f t="shared" si="11"/>
        <v>5</v>
      </c>
    </row>
    <row r="209" spans="1:13">
      <c r="A209">
        <v>6.885</v>
      </c>
      <c r="B209">
        <v>238.4</v>
      </c>
      <c r="C209">
        <v>5.548</v>
      </c>
      <c r="D209" s="2">
        <v>238.4</v>
      </c>
      <c r="E209" s="2"/>
      <c r="F209" s="2"/>
      <c r="G209">
        <v>6.851</v>
      </c>
      <c r="H209" s="2">
        <v>-0.01488</v>
      </c>
      <c r="I209">
        <v>238.4</v>
      </c>
      <c r="K209">
        <f t="shared" si="9"/>
        <v>6.85</v>
      </c>
      <c r="L209">
        <f t="shared" si="10"/>
        <v>-1.488</v>
      </c>
      <c r="M209">
        <f t="shared" si="11"/>
        <v>5</v>
      </c>
    </row>
    <row r="210" spans="1:13">
      <c r="A210">
        <v>6.918</v>
      </c>
      <c r="B210">
        <v>238.4</v>
      </c>
      <c r="C210">
        <v>5.581</v>
      </c>
      <c r="D210" s="2">
        <v>238.4</v>
      </c>
      <c r="E210" s="2"/>
      <c r="F210" s="2"/>
      <c r="G210">
        <v>6.885</v>
      </c>
      <c r="H210" s="2">
        <v>-0.01273</v>
      </c>
      <c r="I210">
        <v>238.4</v>
      </c>
      <c r="K210">
        <f t="shared" si="9"/>
        <v>6.85</v>
      </c>
      <c r="L210">
        <f t="shared" si="10"/>
        <v>-1.273</v>
      </c>
      <c r="M210">
        <f t="shared" si="11"/>
        <v>5</v>
      </c>
    </row>
    <row r="211" spans="1:13">
      <c r="A211">
        <v>6.951</v>
      </c>
      <c r="B211">
        <v>238.4</v>
      </c>
      <c r="C211">
        <v>5.615</v>
      </c>
      <c r="D211" s="2">
        <v>122.9</v>
      </c>
      <c r="E211" s="2"/>
      <c r="F211" s="2"/>
      <c r="G211">
        <v>6.918</v>
      </c>
      <c r="H211" s="2">
        <v>-0.009833</v>
      </c>
      <c r="I211">
        <v>238.4</v>
      </c>
      <c r="K211">
        <f t="shared" si="9"/>
        <v>6.9</v>
      </c>
      <c r="L211">
        <f t="shared" si="10"/>
        <v>-0.9833</v>
      </c>
      <c r="M211">
        <f t="shared" si="11"/>
        <v>5</v>
      </c>
    </row>
    <row r="212" spans="1:13">
      <c r="A212">
        <v>6.985</v>
      </c>
      <c r="B212">
        <v>238.4</v>
      </c>
      <c r="C212">
        <v>5.648</v>
      </c>
      <c r="D212" s="2">
        <v>25.9</v>
      </c>
      <c r="E212" s="2"/>
      <c r="F212" s="2"/>
      <c r="G212">
        <v>6.951</v>
      </c>
      <c r="H212" s="2">
        <v>-0.007684</v>
      </c>
      <c r="I212">
        <v>238.4</v>
      </c>
      <c r="K212">
        <f t="shared" si="9"/>
        <v>6.95</v>
      </c>
      <c r="L212">
        <f t="shared" si="10"/>
        <v>-0.7684</v>
      </c>
      <c r="M212">
        <f t="shared" si="11"/>
        <v>5</v>
      </c>
    </row>
    <row r="213" spans="1:13">
      <c r="A213">
        <v>7.018</v>
      </c>
      <c r="B213">
        <v>238.4</v>
      </c>
      <c r="C213">
        <v>5.681</v>
      </c>
      <c r="D213" s="2">
        <v>25.9</v>
      </c>
      <c r="E213" s="2"/>
      <c r="F213" s="2"/>
      <c r="G213">
        <v>6.985</v>
      </c>
      <c r="H213" s="2">
        <v>-0.00515</v>
      </c>
      <c r="I213">
        <v>238.4</v>
      </c>
      <c r="K213">
        <f t="shared" si="9"/>
        <v>6.95</v>
      </c>
      <c r="L213">
        <f t="shared" si="10"/>
        <v>-0.515</v>
      </c>
      <c r="M213">
        <f t="shared" si="11"/>
        <v>5</v>
      </c>
    </row>
    <row r="214" spans="1:13">
      <c r="A214">
        <v>7.052</v>
      </c>
      <c r="B214">
        <v>238.4</v>
      </c>
      <c r="C214">
        <v>5.715</v>
      </c>
      <c r="D214" s="2">
        <v>25.9</v>
      </c>
      <c r="E214" s="2"/>
      <c r="F214" s="2"/>
      <c r="G214">
        <v>7.018</v>
      </c>
      <c r="H214" s="2">
        <v>-0.002819</v>
      </c>
      <c r="I214">
        <v>238.4</v>
      </c>
      <c r="K214">
        <f t="shared" si="9"/>
        <v>7</v>
      </c>
      <c r="L214">
        <f t="shared" si="10"/>
        <v>-0.2819</v>
      </c>
      <c r="M214">
        <f t="shared" si="11"/>
        <v>5</v>
      </c>
    </row>
    <row r="215" spans="1:13">
      <c r="A215">
        <v>7.085</v>
      </c>
      <c r="B215">
        <v>238.4</v>
      </c>
      <c r="C215">
        <v>5.748</v>
      </c>
      <c r="D215">
        <v>25.9</v>
      </c>
      <c r="G215">
        <v>7.052</v>
      </c>
      <c r="H215" s="2">
        <v>-0.0001094</v>
      </c>
      <c r="I215">
        <v>238.4</v>
      </c>
      <c r="K215">
        <f t="shared" si="9"/>
        <v>7.05</v>
      </c>
      <c r="L215">
        <f t="shared" si="10"/>
        <v>-0.01094</v>
      </c>
      <c r="M215">
        <f t="shared" si="11"/>
        <v>5</v>
      </c>
    </row>
    <row r="216" spans="1:13">
      <c r="A216">
        <v>7.119</v>
      </c>
      <c r="B216">
        <v>238.4</v>
      </c>
      <c r="C216">
        <v>5.782</v>
      </c>
      <c r="D216">
        <v>25.9</v>
      </c>
      <c r="G216">
        <v>7.085</v>
      </c>
      <c r="H216" s="8" t="s">
        <v>1092</v>
      </c>
      <c r="I216">
        <v>238.4</v>
      </c>
      <c r="K216">
        <f t="shared" si="9"/>
        <v>7.05</v>
      </c>
      <c r="L216">
        <f t="shared" si="10"/>
        <v>0.2257</v>
      </c>
      <c r="M216">
        <f t="shared" si="11"/>
        <v>5</v>
      </c>
    </row>
    <row r="217" spans="1:13">
      <c r="A217">
        <v>7.152</v>
      </c>
      <c r="B217">
        <v>238.4</v>
      </c>
      <c r="C217">
        <v>5.815</v>
      </c>
      <c r="D217">
        <v>25.9</v>
      </c>
      <c r="G217">
        <v>7.119</v>
      </c>
      <c r="H217" s="8" t="s">
        <v>1093</v>
      </c>
      <c r="I217">
        <v>238.4</v>
      </c>
      <c r="K217">
        <f t="shared" si="9"/>
        <v>7.1</v>
      </c>
      <c r="L217">
        <f t="shared" si="10"/>
        <v>0.4959</v>
      </c>
      <c r="M217">
        <f t="shared" si="11"/>
        <v>5</v>
      </c>
    </row>
    <row r="218" spans="1:13">
      <c r="A218">
        <v>7.185</v>
      </c>
      <c r="B218">
        <v>238.4</v>
      </c>
      <c r="C218">
        <v>5.849</v>
      </c>
      <c r="D218">
        <v>25.9</v>
      </c>
      <c r="G218">
        <v>7.152</v>
      </c>
      <c r="H218" s="8" t="s">
        <v>1094</v>
      </c>
      <c r="I218">
        <v>238.4</v>
      </c>
      <c r="K218">
        <f t="shared" si="9"/>
        <v>7.15</v>
      </c>
      <c r="L218">
        <f t="shared" si="10"/>
        <v>0.8499</v>
      </c>
      <c r="M218">
        <f t="shared" si="11"/>
        <v>5</v>
      </c>
    </row>
    <row r="219" spans="1:13">
      <c r="A219">
        <v>7.219</v>
      </c>
      <c r="B219">
        <v>238.4</v>
      </c>
      <c r="C219">
        <v>5.882</v>
      </c>
      <c r="D219">
        <v>25.9</v>
      </c>
      <c r="G219">
        <v>7.185</v>
      </c>
      <c r="H219" s="8" t="s">
        <v>333</v>
      </c>
      <c r="I219">
        <v>238.4</v>
      </c>
      <c r="K219">
        <f t="shared" si="9"/>
        <v>7.15</v>
      </c>
      <c r="L219">
        <f t="shared" si="10"/>
        <v>1.255</v>
      </c>
      <c r="M219">
        <f t="shared" si="11"/>
        <v>5</v>
      </c>
    </row>
    <row r="220" spans="1:13">
      <c r="A220">
        <v>7.252</v>
      </c>
      <c r="B220">
        <v>68</v>
      </c>
      <c r="C220">
        <v>5.915</v>
      </c>
      <c r="D220">
        <v>25.9</v>
      </c>
      <c r="G220">
        <v>7.219</v>
      </c>
      <c r="H220" s="8" t="s">
        <v>210</v>
      </c>
      <c r="I220">
        <v>238.4</v>
      </c>
      <c r="K220">
        <f t="shared" si="9"/>
        <v>7.2</v>
      </c>
      <c r="L220">
        <f t="shared" si="10"/>
        <v>1.387</v>
      </c>
      <c r="M220">
        <f t="shared" si="11"/>
        <v>5</v>
      </c>
    </row>
    <row r="221" spans="1:13">
      <c r="A221">
        <v>7.286</v>
      </c>
      <c r="B221">
        <v>68.5</v>
      </c>
      <c r="C221">
        <v>5.949</v>
      </c>
      <c r="D221">
        <v>25.9</v>
      </c>
      <c r="G221">
        <v>7.252</v>
      </c>
      <c r="H221" s="8" t="s">
        <v>105</v>
      </c>
      <c r="I221">
        <v>68</v>
      </c>
      <c r="K221">
        <f t="shared" si="9"/>
        <v>7.25</v>
      </c>
      <c r="L221">
        <f t="shared" si="10"/>
        <v>1.766</v>
      </c>
      <c r="M221">
        <f t="shared" si="11"/>
        <v>0</v>
      </c>
    </row>
    <row r="222" spans="1:13">
      <c r="A222">
        <v>7.319</v>
      </c>
      <c r="B222">
        <v>67.5</v>
      </c>
      <c r="C222">
        <v>5.982</v>
      </c>
      <c r="D222">
        <v>26.1</v>
      </c>
      <c r="G222">
        <v>7.286</v>
      </c>
      <c r="H222" s="8" t="s">
        <v>110</v>
      </c>
      <c r="I222">
        <v>68.5</v>
      </c>
      <c r="K222">
        <f t="shared" si="9"/>
        <v>7.25</v>
      </c>
      <c r="L222">
        <f t="shared" si="10"/>
        <v>2.019</v>
      </c>
      <c r="M222">
        <f t="shared" si="11"/>
        <v>0</v>
      </c>
    </row>
    <row r="223" spans="1:13">
      <c r="A223">
        <v>7.352</v>
      </c>
      <c r="B223">
        <v>67.4</v>
      </c>
      <c r="C223">
        <v>6.016</v>
      </c>
      <c r="D223">
        <v>25.6</v>
      </c>
      <c r="G223">
        <v>7.319</v>
      </c>
      <c r="H223" s="8" t="s">
        <v>1095</v>
      </c>
      <c r="I223">
        <v>67.5</v>
      </c>
      <c r="K223">
        <f t="shared" si="9"/>
        <v>7.3</v>
      </c>
      <c r="L223">
        <f t="shared" si="10"/>
        <v>2.248</v>
      </c>
      <c r="M223">
        <f t="shared" si="11"/>
        <v>0</v>
      </c>
    </row>
    <row r="224" spans="1:13">
      <c r="A224">
        <v>7.386</v>
      </c>
      <c r="B224">
        <v>65.7</v>
      </c>
      <c r="C224">
        <v>6.049</v>
      </c>
      <c r="D224">
        <v>26</v>
      </c>
      <c r="G224">
        <v>7.352</v>
      </c>
      <c r="H224" s="8" t="s">
        <v>1096</v>
      </c>
      <c r="I224">
        <v>67.4</v>
      </c>
      <c r="K224">
        <f t="shared" si="9"/>
        <v>7.35</v>
      </c>
      <c r="L224">
        <f t="shared" si="10"/>
        <v>2.378</v>
      </c>
      <c r="M224">
        <f t="shared" si="11"/>
        <v>0</v>
      </c>
    </row>
    <row r="225" spans="1:13">
      <c r="A225">
        <v>7.419</v>
      </c>
      <c r="B225">
        <v>64.2</v>
      </c>
      <c r="C225">
        <v>6.082</v>
      </c>
      <c r="D225">
        <v>25.6</v>
      </c>
      <c r="G225">
        <v>7.386</v>
      </c>
      <c r="H225" s="8" t="s">
        <v>1097</v>
      </c>
      <c r="I225">
        <v>65.7</v>
      </c>
      <c r="K225">
        <f t="shared" si="9"/>
        <v>7.35</v>
      </c>
      <c r="L225">
        <f t="shared" si="10"/>
        <v>2.512</v>
      </c>
      <c r="M225">
        <f t="shared" si="11"/>
        <v>0</v>
      </c>
    </row>
    <row r="226" spans="1:13">
      <c r="A226">
        <v>7.453</v>
      </c>
      <c r="B226">
        <v>62.9</v>
      </c>
      <c r="C226">
        <v>6.116</v>
      </c>
      <c r="D226">
        <v>26</v>
      </c>
      <c r="G226">
        <v>7.419</v>
      </c>
      <c r="H226" s="8" t="s">
        <v>1098</v>
      </c>
      <c r="I226">
        <v>64.2</v>
      </c>
      <c r="K226">
        <f t="shared" si="9"/>
        <v>7.4</v>
      </c>
      <c r="L226">
        <f t="shared" si="10"/>
        <v>2.774</v>
      </c>
      <c r="M226">
        <f t="shared" si="11"/>
        <v>0</v>
      </c>
    </row>
    <row r="227" spans="1:13">
      <c r="A227">
        <v>7.486</v>
      </c>
      <c r="B227">
        <v>61.8</v>
      </c>
      <c r="C227">
        <v>6.149</v>
      </c>
      <c r="D227">
        <v>25.9</v>
      </c>
      <c r="G227">
        <v>7.453</v>
      </c>
      <c r="H227" s="8" t="s">
        <v>1099</v>
      </c>
      <c r="I227">
        <v>62.9</v>
      </c>
      <c r="K227">
        <f t="shared" si="9"/>
        <v>7.45</v>
      </c>
      <c r="L227">
        <f t="shared" si="10"/>
        <v>2.802</v>
      </c>
      <c r="M227">
        <f t="shared" si="11"/>
        <v>0</v>
      </c>
    </row>
    <row r="228" spans="1:13">
      <c r="A228">
        <v>7.52</v>
      </c>
      <c r="B228">
        <v>60.7</v>
      </c>
      <c r="C228">
        <v>6.183</v>
      </c>
      <c r="D228">
        <v>25.7</v>
      </c>
      <c r="G228">
        <v>7.486</v>
      </c>
      <c r="H228" s="8" t="s">
        <v>1100</v>
      </c>
      <c r="I228">
        <v>61.8</v>
      </c>
      <c r="K228">
        <f t="shared" si="9"/>
        <v>7.45</v>
      </c>
      <c r="L228">
        <f t="shared" si="10"/>
        <v>2.983</v>
      </c>
      <c r="M228">
        <f t="shared" si="11"/>
        <v>0</v>
      </c>
    </row>
    <row r="229" spans="1:13">
      <c r="A229">
        <v>7.553</v>
      </c>
      <c r="B229">
        <v>60.6</v>
      </c>
      <c r="C229">
        <v>6.216</v>
      </c>
      <c r="D229">
        <v>25.7</v>
      </c>
      <c r="G229">
        <v>7.52</v>
      </c>
      <c r="H229" s="8" t="s">
        <v>1101</v>
      </c>
      <c r="I229">
        <v>60.7</v>
      </c>
      <c r="K229">
        <f t="shared" si="9"/>
        <v>7.5</v>
      </c>
      <c r="L229">
        <f t="shared" si="10"/>
        <v>3.063</v>
      </c>
      <c r="M229">
        <f t="shared" si="11"/>
        <v>0</v>
      </c>
    </row>
    <row r="230" spans="1:13">
      <c r="A230">
        <v>7.586</v>
      </c>
      <c r="B230">
        <v>60.4</v>
      </c>
      <c r="C230">
        <v>6.25</v>
      </c>
      <c r="D230">
        <v>26</v>
      </c>
      <c r="G230">
        <v>7.553</v>
      </c>
      <c r="H230" s="8" t="s">
        <v>1102</v>
      </c>
      <c r="I230">
        <v>60.6</v>
      </c>
      <c r="K230">
        <f t="shared" si="9"/>
        <v>7.55</v>
      </c>
      <c r="L230">
        <f t="shared" si="10"/>
        <v>3.039</v>
      </c>
      <c r="M230">
        <f t="shared" si="11"/>
        <v>0</v>
      </c>
    </row>
    <row r="231" spans="1:13">
      <c r="A231">
        <v>7.62</v>
      </c>
      <c r="B231">
        <v>60.4</v>
      </c>
      <c r="C231">
        <v>6.283</v>
      </c>
      <c r="D231">
        <v>26</v>
      </c>
      <c r="G231">
        <v>7.586</v>
      </c>
      <c r="H231" s="8" t="s">
        <v>1103</v>
      </c>
      <c r="I231">
        <v>60.4</v>
      </c>
      <c r="K231">
        <f t="shared" si="9"/>
        <v>7.55</v>
      </c>
      <c r="L231">
        <f t="shared" si="10"/>
        <v>3.042</v>
      </c>
      <c r="M231">
        <f t="shared" si="11"/>
        <v>0</v>
      </c>
    </row>
    <row r="232" spans="1:13">
      <c r="A232">
        <v>7.653</v>
      </c>
      <c r="B232">
        <v>60.4</v>
      </c>
      <c r="C232">
        <v>6.316</v>
      </c>
      <c r="D232">
        <v>25.5</v>
      </c>
      <c r="G232">
        <v>7.62</v>
      </c>
      <c r="H232" s="8" t="s">
        <v>1104</v>
      </c>
      <c r="I232">
        <v>60.4</v>
      </c>
      <c r="K232">
        <f t="shared" si="9"/>
        <v>7.6</v>
      </c>
      <c r="L232">
        <f t="shared" si="10"/>
        <v>3.04</v>
      </c>
      <c r="M232">
        <f t="shared" si="11"/>
        <v>0</v>
      </c>
    </row>
    <row r="233" spans="1:13">
      <c r="A233">
        <v>7.687</v>
      </c>
      <c r="B233">
        <v>60.3</v>
      </c>
      <c r="C233">
        <v>6.35</v>
      </c>
      <c r="D233">
        <v>26</v>
      </c>
      <c r="G233">
        <v>7.653</v>
      </c>
      <c r="H233" s="8" t="s">
        <v>1105</v>
      </c>
      <c r="I233">
        <v>60.4</v>
      </c>
      <c r="K233">
        <f t="shared" si="9"/>
        <v>7.65</v>
      </c>
      <c r="L233">
        <f t="shared" si="10"/>
        <v>3.032</v>
      </c>
      <c r="M233">
        <f t="shared" si="11"/>
        <v>0</v>
      </c>
    </row>
    <row r="234" spans="1:13">
      <c r="A234">
        <v>7.72</v>
      </c>
      <c r="B234">
        <v>60.4</v>
      </c>
      <c r="C234">
        <v>6.383</v>
      </c>
      <c r="D234">
        <v>25.9</v>
      </c>
      <c r="G234">
        <v>7.687</v>
      </c>
      <c r="H234" s="8" t="s">
        <v>1106</v>
      </c>
      <c r="I234">
        <v>60.3</v>
      </c>
      <c r="K234">
        <f t="shared" si="9"/>
        <v>7.65</v>
      </c>
      <c r="L234">
        <f t="shared" si="10"/>
        <v>2.898</v>
      </c>
      <c r="M234">
        <f t="shared" si="11"/>
        <v>0</v>
      </c>
    </row>
    <row r="235" spans="1:13">
      <c r="A235">
        <v>7.753</v>
      </c>
      <c r="B235">
        <v>60.4</v>
      </c>
      <c r="C235">
        <v>6.417</v>
      </c>
      <c r="D235">
        <v>238.4</v>
      </c>
      <c r="G235">
        <v>7.72</v>
      </c>
      <c r="H235" s="8" t="s">
        <v>1107</v>
      </c>
      <c r="I235">
        <v>60.4</v>
      </c>
      <c r="K235">
        <f t="shared" si="9"/>
        <v>7.7</v>
      </c>
      <c r="L235">
        <f t="shared" si="10"/>
        <v>2.771</v>
      </c>
      <c r="M235">
        <f t="shared" si="11"/>
        <v>0</v>
      </c>
    </row>
    <row r="236" spans="1:13">
      <c r="A236">
        <v>7.787</v>
      </c>
      <c r="B236">
        <v>60.4</v>
      </c>
      <c r="C236">
        <v>6.45</v>
      </c>
      <c r="D236">
        <v>238.4</v>
      </c>
      <c r="G236">
        <v>7.753</v>
      </c>
      <c r="H236" s="8" t="s">
        <v>1108</v>
      </c>
      <c r="I236">
        <v>60.4</v>
      </c>
      <c r="K236">
        <f t="shared" si="9"/>
        <v>7.75</v>
      </c>
      <c r="L236">
        <f t="shared" si="10"/>
        <v>2.694</v>
      </c>
      <c r="M236">
        <f t="shared" si="11"/>
        <v>0</v>
      </c>
    </row>
    <row r="237" spans="1:13">
      <c r="A237">
        <v>7.82</v>
      </c>
      <c r="B237">
        <v>60.3</v>
      </c>
      <c r="C237">
        <v>6.484</v>
      </c>
      <c r="D237">
        <v>238.4</v>
      </c>
      <c r="G237">
        <v>7.787</v>
      </c>
      <c r="H237" s="8" t="s">
        <v>1109</v>
      </c>
      <c r="I237">
        <v>60.4</v>
      </c>
      <c r="K237">
        <f t="shared" si="9"/>
        <v>7.75</v>
      </c>
      <c r="L237">
        <f t="shared" si="10"/>
        <v>2.511</v>
      </c>
      <c r="M237">
        <f t="shared" si="11"/>
        <v>0</v>
      </c>
    </row>
    <row r="238" spans="1:13">
      <c r="A238">
        <v>7.854</v>
      </c>
      <c r="B238">
        <v>59.9</v>
      </c>
      <c r="C238">
        <v>6.517</v>
      </c>
      <c r="D238">
        <v>238.4</v>
      </c>
      <c r="G238">
        <v>7.82</v>
      </c>
      <c r="H238" s="8" t="s">
        <v>1062</v>
      </c>
      <c r="I238">
        <v>60.3</v>
      </c>
      <c r="K238">
        <f t="shared" si="9"/>
        <v>7.8</v>
      </c>
      <c r="L238">
        <f t="shared" si="10"/>
        <v>2.28</v>
      </c>
      <c r="M238">
        <f t="shared" si="11"/>
        <v>0</v>
      </c>
    </row>
    <row r="239" spans="1:13">
      <c r="A239">
        <v>7.887</v>
      </c>
      <c r="B239">
        <v>60.1</v>
      </c>
      <c r="C239">
        <v>6.55</v>
      </c>
      <c r="D239">
        <v>238.4</v>
      </c>
      <c r="G239">
        <v>7.854</v>
      </c>
      <c r="H239" s="8" t="s">
        <v>1056</v>
      </c>
      <c r="I239">
        <v>59.9</v>
      </c>
      <c r="K239">
        <f t="shared" si="9"/>
        <v>7.85</v>
      </c>
      <c r="L239">
        <f t="shared" si="10"/>
        <v>2.026</v>
      </c>
      <c r="M239">
        <f t="shared" si="11"/>
        <v>0</v>
      </c>
    </row>
    <row r="240" spans="1:13">
      <c r="A240">
        <v>7.921</v>
      </c>
      <c r="B240">
        <v>60.1</v>
      </c>
      <c r="C240">
        <v>6.584</v>
      </c>
      <c r="D240">
        <v>238.4</v>
      </c>
      <c r="G240">
        <v>7.887</v>
      </c>
      <c r="H240" s="8" t="s">
        <v>1110</v>
      </c>
      <c r="I240">
        <v>60.1</v>
      </c>
      <c r="K240">
        <f t="shared" si="9"/>
        <v>7.85</v>
      </c>
      <c r="L240">
        <f t="shared" si="10"/>
        <v>1.78</v>
      </c>
      <c r="M240">
        <f t="shared" si="11"/>
        <v>0</v>
      </c>
    </row>
    <row r="241" spans="1:13">
      <c r="A241">
        <v>7.954</v>
      </c>
      <c r="B241">
        <v>60.1</v>
      </c>
      <c r="C241">
        <v>6.617</v>
      </c>
      <c r="D241">
        <v>238.4</v>
      </c>
      <c r="G241">
        <v>7.921</v>
      </c>
      <c r="H241" s="8" t="s">
        <v>1111</v>
      </c>
      <c r="I241">
        <v>60.1</v>
      </c>
      <c r="K241">
        <f t="shared" si="9"/>
        <v>7.9</v>
      </c>
      <c r="L241">
        <f t="shared" si="10"/>
        <v>1.608</v>
      </c>
      <c r="M241">
        <f t="shared" si="11"/>
        <v>0</v>
      </c>
    </row>
    <row r="242" spans="1:13">
      <c r="A242">
        <v>7.987</v>
      </c>
      <c r="B242">
        <v>60</v>
      </c>
      <c r="C242">
        <v>6.651</v>
      </c>
      <c r="D242">
        <v>238.4</v>
      </c>
      <c r="G242">
        <v>7.954</v>
      </c>
      <c r="H242" s="8" t="s">
        <v>153</v>
      </c>
      <c r="I242">
        <v>60.1</v>
      </c>
      <c r="K242">
        <f t="shared" si="9"/>
        <v>7.95</v>
      </c>
      <c r="L242">
        <f t="shared" si="10"/>
        <v>1.33</v>
      </c>
      <c r="M242">
        <f t="shared" si="11"/>
        <v>0</v>
      </c>
    </row>
    <row r="243" spans="1:13">
      <c r="A243">
        <v>8.021</v>
      </c>
      <c r="B243">
        <v>59.9</v>
      </c>
      <c r="C243">
        <v>6.684</v>
      </c>
      <c r="D243">
        <v>238.4</v>
      </c>
      <c r="G243">
        <v>7.987</v>
      </c>
      <c r="H243" s="8" t="s">
        <v>1112</v>
      </c>
      <c r="I243">
        <v>60</v>
      </c>
      <c r="K243">
        <f t="shared" si="9"/>
        <v>7.95</v>
      </c>
      <c r="L243">
        <f t="shared" si="10"/>
        <v>1.071</v>
      </c>
      <c r="M243">
        <f t="shared" si="11"/>
        <v>0</v>
      </c>
    </row>
    <row r="244" spans="1:13">
      <c r="A244">
        <v>8.054</v>
      </c>
      <c r="B244">
        <v>238.4</v>
      </c>
      <c r="C244">
        <v>6.717</v>
      </c>
      <c r="D244">
        <v>238.4</v>
      </c>
      <c r="G244">
        <v>8.021</v>
      </c>
      <c r="H244" s="8" t="s">
        <v>1113</v>
      </c>
      <c r="I244">
        <v>59.9</v>
      </c>
      <c r="K244">
        <f t="shared" si="9"/>
        <v>8</v>
      </c>
      <c r="L244">
        <f t="shared" si="10"/>
        <v>0.806</v>
      </c>
      <c r="M244">
        <f t="shared" si="11"/>
        <v>0</v>
      </c>
    </row>
    <row r="245" spans="1:13">
      <c r="A245">
        <v>8.088</v>
      </c>
      <c r="B245">
        <v>238.4</v>
      </c>
      <c r="C245">
        <v>6.751</v>
      </c>
      <c r="D245">
        <v>238.4</v>
      </c>
      <c r="G245">
        <v>8.054</v>
      </c>
      <c r="H245" s="8" t="s">
        <v>1114</v>
      </c>
      <c r="I245">
        <v>238.4</v>
      </c>
      <c r="K245">
        <f t="shared" si="9"/>
        <v>8.05</v>
      </c>
      <c r="L245">
        <f t="shared" si="10"/>
        <v>0.496</v>
      </c>
      <c r="M245">
        <f t="shared" si="11"/>
        <v>5</v>
      </c>
    </row>
    <row r="246" spans="1:13">
      <c r="A246">
        <v>8.121</v>
      </c>
      <c r="B246">
        <v>238.4</v>
      </c>
      <c r="C246">
        <v>6.784</v>
      </c>
      <c r="D246">
        <v>238.4</v>
      </c>
      <c r="G246">
        <v>8.088</v>
      </c>
      <c r="H246" s="8" t="s">
        <v>507</v>
      </c>
      <c r="I246">
        <v>238.4</v>
      </c>
      <c r="K246">
        <f t="shared" si="9"/>
        <v>8.05</v>
      </c>
      <c r="L246">
        <f t="shared" si="10"/>
        <v>0.2614</v>
      </c>
      <c r="M246">
        <f t="shared" si="11"/>
        <v>5</v>
      </c>
    </row>
    <row r="247" spans="1:13">
      <c r="A247">
        <v>8.155</v>
      </c>
      <c r="B247">
        <v>238.4</v>
      </c>
      <c r="C247">
        <v>6.818</v>
      </c>
      <c r="D247" s="2">
        <v>238.4</v>
      </c>
      <c r="E247" s="2"/>
      <c r="F247" s="2"/>
      <c r="G247">
        <v>8.121</v>
      </c>
      <c r="H247" s="8" t="s">
        <v>1115</v>
      </c>
      <c r="I247">
        <v>238.4</v>
      </c>
      <c r="K247">
        <f t="shared" si="9"/>
        <v>8.1</v>
      </c>
      <c r="L247">
        <f t="shared" si="10"/>
        <v>0.09379</v>
      </c>
      <c r="M247">
        <f t="shared" si="11"/>
        <v>5</v>
      </c>
    </row>
    <row r="248" spans="1:13">
      <c r="A248">
        <v>8.188</v>
      </c>
      <c r="B248">
        <v>238.4</v>
      </c>
      <c r="C248">
        <v>6.851</v>
      </c>
      <c r="D248" s="2">
        <v>238.4</v>
      </c>
      <c r="E248" s="2"/>
      <c r="F248" s="2"/>
      <c r="G248">
        <v>8.155</v>
      </c>
      <c r="H248" s="2">
        <v>-0.001047</v>
      </c>
      <c r="I248">
        <v>238.4</v>
      </c>
      <c r="K248">
        <f t="shared" si="9"/>
        <v>8.15</v>
      </c>
      <c r="L248">
        <f t="shared" si="10"/>
        <v>-0.1047</v>
      </c>
      <c r="M248">
        <f t="shared" si="11"/>
        <v>5</v>
      </c>
    </row>
    <row r="249" spans="1:13">
      <c r="A249">
        <v>8.221</v>
      </c>
      <c r="B249">
        <v>238.4</v>
      </c>
      <c r="C249">
        <v>6.885</v>
      </c>
      <c r="D249" s="2">
        <v>238.4</v>
      </c>
      <c r="E249" s="2"/>
      <c r="F249" s="2"/>
      <c r="G249">
        <v>8.188</v>
      </c>
      <c r="H249" s="2">
        <v>-0.002679</v>
      </c>
      <c r="I249">
        <v>238.4</v>
      </c>
      <c r="K249">
        <f t="shared" si="9"/>
        <v>8.15</v>
      </c>
      <c r="L249">
        <f t="shared" si="10"/>
        <v>-0.2679</v>
      </c>
      <c r="M249">
        <f t="shared" si="11"/>
        <v>5</v>
      </c>
    </row>
    <row r="250" spans="1:13">
      <c r="A250">
        <v>8.255</v>
      </c>
      <c r="B250">
        <v>238.4</v>
      </c>
      <c r="C250">
        <v>6.918</v>
      </c>
      <c r="D250" s="2">
        <v>238.4</v>
      </c>
      <c r="E250" s="2"/>
      <c r="F250" s="2"/>
      <c r="G250">
        <v>8.221</v>
      </c>
      <c r="H250" s="2">
        <v>-0.005124</v>
      </c>
      <c r="I250">
        <v>238.4</v>
      </c>
      <c r="K250">
        <f t="shared" si="9"/>
        <v>8.2</v>
      </c>
      <c r="L250">
        <f t="shared" si="10"/>
        <v>-0.5124</v>
      </c>
      <c r="M250">
        <f t="shared" si="11"/>
        <v>5</v>
      </c>
    </row>
    <row r="251" spans="1:13">
      <c r="A251">
        <v>8.288</v>
      </c>
      <c r="B251">
        <v>238.4</v>
      </c>
      <c r="C251">
        <v>6.951</v>
      </c>
      <c r="D251" s="2">
        <v>238.4</v>
      </c>
      <c r="E251" s="2"/>
      <c r="F251" s="2"/>
      <c r="G251">
        <v>8.255</v>
      </c>
      <c r="H251" s="2">
        <v>-0.006823</v>
      </c>
      <c r="I251">
        <v>238.4</v>
      </c>
      <c r="K251">
        <f t="shared" si="9"/>
        <v>8.25</v>
      </c>
      <c r="L251">
        <f t="shared" si="10"/>
        <v>-0.6823</v>
      </c>
      <c r="M251">
        <f t="shared" si="11"/>
        <v>5</v>
      </c>
    </row>
    <row r="252" spans="1:13">
      <c r="A252">
        <v>8.322</v>
      </c>
      <c r="B252">
        <v>238.4</v>
      </c>
      <c r="C252">
        <v>6.985</v>
      </c>
      <c r="D252" s="2">
        <v>238.4</v>
      </c>
      <c r="E252" s="2"/>
      <c r="F252" s="2"/>
      <c r="G252">
        <v>8.288</v>
      </c>
      <c r="H252" s="2">
        <v>-0.008077</v>
      </c>
      <c r="I252">
        <v>238.4</v>
      </c>
      <c r="K252">
        <f t="shared" si="9"/>
        <v>8.25</v>
      </c>
      <c r="L252">
        <f t="shared" si="10"/>
        <v>-0.8077</v>
      </c>
      <c r="M252">
        <f t="shared" si="11"/>
        <v>5</v>
      </c>
    </row>
    <row r="253" spans="1:13">
      <c r="A253">
        <v>8.355</v>
      </c>
      <c r="B253">
        <v>238.4</v>
      </c>
      <c r="C253">
        <v>7.018</v>
      </c>
      <c r="D253" s="2">
        <v>238.4</v>
      </c>
      <c r="E253" s="2"/>
      <c r="F253" s="2"/>
      <c r="G253">
        <v>8.322</v>
      </c>
      <c r="H253" s="2">
        <v>-0.009164</v>
      </c>
      <c r="I253">
        <v>238.4</v>
      </c>
      <c r="K253">
        <f t="shared" si="9"/>
        <v>8.3</v>
      </c>
      <c r="L253">
        <f t="shared" si="10"/>
        <v>-0.9164</v>
      </c>
      <c r="M253">
        <f t="shared" si="11"/>
        <v>5</v>
      </c>
    </row>
    <row r="254" spans="1:13">
      <c r="A254">
        <v>8.388</v>
      </c>
      <c r="B254">
        <v>238.4</v>
      </c>
      <c r="C254">
        <v>7.052</v>
      </c>
      <c r="D254" s="2">
        <v>238.4</v>
      </c>
      <c r="E254" s="2"/>
      <c r="F254" s="2"/>
      <c r="G254">
        <v>8.355</v>
      </c>
      <c r="H254" s="2">
        <v>-0.01054</v>
      </c>
      <c r="I254">
        <v>238.4</v>
      </c>
      <c r="K254">
        <f t="shared" si="9"/>
        <v>8.35</v>
      </c>
      <c r="L254">
        <f t="shared" si="10"/>
        <v>-1.054</v>
      </c>
      <c r="M254">
        <f t="shared" si="11"/>
        <v>5</v>
      </c>
    </row>
    <row r="255" spans="1:13">
      <c r="A255">
        <v>8.422</v>
      </c>
      <c r="B255">
        <v>238.4</v>
      </c>
      <c r="C255">
        <v>7.085</v>
      </c>
      <c r="D255" s="2">
        <v>238.4</v>
      </c>
      <c r="E255" s="2"/>
      <c r="F255" s="2"/>
      <c r="G255">
        <v>8.388</v>
      </c>
      <c r="H255" s="2">
        <v>-0.01143</v>
      </c>
      <c r="I255">
        <v>238.4</v>
      </c>
      <c r="K255">
        <f t="shared" si="9"/>
        <v>8.35</v>
      </c>
      <c r="L255">
        <f t="shared" si="10"/>
        <v>-1.143</v>
      </c>
      <c r="M255">
        <f t="shared" si="11"/>
        <v>5</v>
      </c>
    </row>
    <row r="256" spans="1:13">
      <c r="A256">
        <v>8.455</v>
      </c>
      <c r="B256">
        <v>238.4</v>
      </c>
      <c r="C256">
        <v>7.119</v>
      </c>
      <c r="D256" s="2">
        <v>238.4</v>
      </c>
      <c r="E256" s="2"/>
      <c r="F256" s="2"/>
      <c r="G256">
        <v>8.422</v>
      </c>
      <c r="H256" s="2">
        <v>-0.01168</v>
      </c>
      <c r="I256">
        <v>238.4</v>
      </c>
      <c r="K256">
        <f t="shared" si="9"/>
        <v>8.4</v>
      </c>
      <c r="L256">
        <f t="shared" si="10"/>
        <v>-1.168</v>
      </c>
      <c r="M256">
        <f t="shared" si="11"/>
        <v>5</v>
      </c>
    </row>
    <row r="257" spans="1:13">
      <c r="A257">
        <v>8.489</v>
      </c>
      <c r="B257">
        <v>238.4</v>
      </c>
      <c r="C257">
        <v>7.152</v>
      </c>
      <c r="D257" s="2">
        <v>238.4</v>
      </c>
      <c r="E257" s="2"/>
      <c r="F257" s="2"/>
      <c r="G257">
        <v>8.455</v>
      </c>
      <c r="H257" s="2">
        <v>-0.01152</v>
      </c>
      <c r="I257">
        <v>238.4</v>
      </c>
      <c r="K257">
        <f t="shared" si="9"/>
        <v>8.45</v>
      </c>
      <c r="L257">
        <f t="shared" si="10"/>
        <v>-1.152</v>
      </c>
      <c r="M257">
        <f t="shared" si="11"/>
        <v>5</v>
      </c>
    </row>
    <row r="258" spans="1:13">
      <c r="A258">
        <v>8.522</v>
      </c>
      <c r="B258">
        <v>238.4</v>
      </c>
      <c r="C258">
        <v>7.185</v>
      </c>
      <c r="D258" s="2">
        <v>238.4</v>
      </c>
      <c r="E258" s="2"/>
      <c r="F258" s="2"/>
      <c r="G258">
        <v>8.489</v>
      </c>
      <c r="H258" s="2">
        <v>-0.01168</v>
      </c>
      <c r="I258">
        <v>238.4</v>
      </c>
      <c r="K258">
        <f t="shared" si="9"/>
        <v>8.45</v>
      </c>
      <c r="L258">
        <f t="shared" si="10"/>
        <v>-1.168</v>
      </c>
      <c r="M258">
        <f t="shared" si="11"/>
        <v>5</v>
      </c>
    </row>
    <row r="259" spans="1:13">
      <c r="A259">
        <v>8.556</v>
      </c>
      <c r="B259">
        <v>238.4</v>
      </c>
      <c r="C259">
        <v>7.219</v>
      </c>
      <c r="D259" s="2">
        <v>238.4</v>
      </c>
      <c r="E259" s="2"/>
      <c r="F259" s="2"/>
      <c r="G259">
        <v>8.522</v>
      </c>
      <c r="H259" s="2">
        <v>-0.01127</v>
      </c>
      <c r="I259">
        <v>238.4</v>
      </c>
      <c r="K259">
        <f t="shared" si="9"/>
        <v>8.5</v>
      </c>
      <c r="L259">
        <f t="shared" si="10"/>
        <v>-1.127</v>
      </c>
      <c r="M259">
        <f t="shared" si="11"/>
        <v>5</v>
      </c>
    </row>
    <row r="260" spans="1:13">
      <c r="A260">
        <v>8.589</v>
      </c>
      <c r="B260">
        <v>238.4</v>
      </c>
      <c r="C260">
        <v>7.252</v>
      </c>
      <c r="D260" s="2">
        <v>68</v>
      </c>
      <c r="E260" s="2"/>
      <c r="F260" s="2"/>
      <c r="G260">
        <v>8.556</v>
      </c>
      <c r="H260" s="2">
        <v>-0.0109</v>
      </c>
      <c r="I260">
        <v>238.4</v>
      </c>
      <c r="K260">
        <f t="shared" ref="K260:K323" si="12">FLOOR(G260,0.05)</f>
        <v>8.55</v>
      </c>
      <c r="L260">
        <f t="shared" si="10"/>
        <v>-1.09</v>
      </c>
      <c r="M260">
        <f t="shared" si="11"/>
        <v>5</v>
      </c>
    </row>
    <row r="261" spans="1:13">
      <c r="A261">
        <v>8.622</v>
      </c>
      <c r="B261">
        <v>238.4</v>
      </c>
      <c r="C261">
        <v>7.286</v>
      </c>
      <c r="D261" s="2">
        <v>68.5</v>
      </c>
      <c r="E261" s="2"/>
      <c r="F261" s="2"/>
      <c r="G261">
        <v>8.589</v>
      </c>
      <c r="H261" s="2">
        <v>-0.01025</v>
      </c>
      <c r="I261">
        <v>238.4</v>
      </c>
      <c r="K261">
        <f t="shared" si="12"/>
        <v>8.55</v>
      </c>
      <c r="L261">
        <f t="shared" ref="L261:L324" si="13">H261*100</f>
        <v>-1.025</v>
      </c>
      <c r="M261">
        <f t="shared" ref="M261:M324" si="14">IF(I261&lt;230,0,5)</f>
        <v>5</v>
      </c>
    </row>
    <row r="262" spans="1:13">
      <c r="A262">
        <v>8.656</v>
      </c>
      <c r="B262">
        <v>238.4</v>
      </c>
      <c r="C262">
        <v>7.319</v>
      </c>
      <c r="D262" s="2">
        <v>67.5</v>
      </c>
      <c r="E262" s="2"/>
      <c r="F262" s="2"/>
      <c r="G262">
        <v>8.622</v>
      </c>
      <c r="H262" s="2">
        <v>-0.009079</v>
      </c>
      <c r="I262">
        <v>238.4</v>
      </c>
      <c r="K262">
        <f t="shared" si="12"/>
        <v>8.6</v>
      </c>
      <c r="L262">
        <f t="shared" si="13"/>
        <v>-0.9079</v>
      </c>
      <c r="M262">
        <f t="shared" si="14"/>
        <v>5</v>
      </c>
    </row>
    <row r="263" spans="1:13">
      <c r="A263">
        <v>8.689</v>
      </c>
      <c r="B263">
        <v>238.4</v>
      </c>
      <c r="C263">
        <v>7.352</v>
      </c>
      <c r="D263" s="2">
        <v>67.4</v>
      </c>
      <c r="E263" s="2"/>
      <c r="F263" s="2"/>
      <c r="G263">
        <v>8.656</v>
      </c>
      <c r="H263" s="2">
        <v>-0.00765</v>
      </c>
      <c r="I263">
        <v>238.4</v>
      </c>
      <c r="K263">
        <f t="shared" si="12"/>
        <v>8.65</v>
      </c>
      <c r="L263">
        <f t="shared" si="13"/>
        <v>-0.765</v>
      </c>
      <c r="M263">
        <f t="shared" si="14"/>
        <v>5</v>
      </c>
    </row>
    <row r="264" spans="1:13">
      <c r="A264">
        <v>8.723</v>
      </c>
      <c r="B264">
        <v>238.4</v>
      </c>
      <c r="C264">
        <v>7.386</v>
      </c>
      <c r="D264" s="2">
        <v>65.7</v>
      </c>
      <c r="E264" s="2"/>
      <c r="F264" s="2"/>
      <c r="G264">
        <v>8.689</v>
      </c>
      <c r="H264" s="2">
        <v>-0.006464</v>
      </c>
      <c r="I264">
        <v>238.4</v>
      </c>
      <c r="K264">
        <f t="shared" si="12"/>
        <v>8.65</v>
      </c>
      <c r="L264">
        <f t="shared" si="13"/>
        <v>-0.6464</v>
      </c>
      <c r="M264">
        <f t="shared" si="14"/>
        <v>5</v>
      </c>
    </row>
    <row r="265" spans="1:13">
      <c r="A265">
        <v>8.756</v>
      </c>
      <c r="B265">
        <v>238.4</v>
      </c>
      <c r="C265">
        <v>7.419</v>
      </c>
      <c r="D265" s="2">
        <v>64.2</v>
      </c>
      <c r="E265" s="2"/>
      <c r="F265" s="2"/>
      <c r="G265">
        <v>8.723</v>
      </c>
      <c r="H265" s="2">
        <v>-0.005181</v>
      </c>
      <c r="I265">
        <v>238.4</v>
      </c>
      <c r="K265">
        <f t="shared" si="12"/>
        <v>8.7</v>
      </c>
      <c r="L265">
        <f t="shared" si="13"/>
        <v>-0.5181</v>
      </c>
      <c r="M265">
        <f t="shared" si="14"/>
        <v>5</v>
      </c>
    </row>
    <row r="266" spans="1:13">
      <c r="A266">
        <v>8.79</v>
      </c>
      <c r="B266">
        <v>238.4</v>
      </c>
      <c r="C266">
        <v>7.453</v>
      </c>
      <c r="D266" s="2">
        <v>62.9</v>
      </c>
      <c r="E266" s="2"/>
      <c r="F266" s="2"/>
      <c r="G266">
        <v>8.756</v>
      </c>
      <c r="H266" s="2">
        <v>-0.002625</v>
      </c>
      <c r="I266">
        <v>238.4</v>
      </c>
      <c r="K266">
        <f t="shared" si="12"/>
        <v>8.75</v>
      </c>
      <c r="L266">
        <f t="shared" si="13"/>
        <v>-0.2625</v>
      </c>
      <c r="M266">
        <f t="shared" si="14"/>
        <v>5</v>
      </c>
    </row>
    <row r="267" spans="1:13">
      <c r="A267">
        <v>8.823</v>
      </c>
      <c r="B267">
        <v>238.4</v>
      </c>
      <c r="C267">
        <v>7.486</v>
      </c>
      <c r="D267" s="2">
        <v>61.8</v>
      </c>
      <c r="E267" s="2"/>
      <c r="F267" s="2"/>
      <c r="G267">
        <v>8.79</v>
      </c>
      <c r="H267" s="2">
        <v>-0.001812</v>
      </c>
      <c r="I267">
        <v>238.4</v>
      </c>
      <c r="K267">
        <f t="shared" si="12"/>
        <v>8.75</v>
      </c>
      <c r="L267">
        <f t="shared" si="13"/>
        <v>-0.1812</v>
      </c>
      <c r="M267">
        <f t="shared" si="14"/>
        <v>5</v>
      </c>
    </row>
    <row r="268" spans="1:13">
      <c r="A268">
        <v>8.856</v>
      </c>
      <c r="B268">
        <v>238.4</v>
      </c>
      <c r="C268">
        <v>7.52</v>
      </c>
      <c r="D268">
        <v>60.7</v>
      </c>
      <c r="G268">
        <v>8.823</v>
      </c>
      <c r="H268" s="2">
        <v>-0.0002292</v>
      </c>
      <c r="I268">
        <v>238.4</v>
      </c>
      <c r="K268">
        <f t="shared" si="12"/>
        <v>8.8</v>
      </c>
      <c r="L268">
        <f t="shared" si="13"/>
        <v>-0.02292</v>
      </c>
      <c r="M268">
        <f t="shared" si="14"/>
        <v>5</v>
      </c>
    </row>
    <row r="269" spans="1:13">
      <c r="A269">
        <v>8.89</v>
      </c>
      <c r="B269">
        <v>128.1</v>
      </c>
      <c r="C269">
        <v>7.553</v>
      </c>
      <c r="D269">
        <v>60.6</v>
      </c>
      <c r="G269">
        <v>8.856</v>
      </c>
      <c r="H269" s="8" t="s">
        <v>1116</v>
      </c>
      <c r="I269">
        <v>238.4</v>
      </c>
      <c r="K269">
        <f t="shared" si="12"/>
        <v>8.85</v>
      </c>
      <c r="L269">
        <f t="shared" si="13"/>
        <v>0.2428</v>
      </c>
      <c r="M269">
        <f t="shared" si="14"/>
        <v>5</v>
      </c>
    </row>
    <row r="270" spans="1:13">
      <c r="A270">
        <v>8.923</v>
      </c>
      <c r="B270">
        <v>142.4</v>
      </c>
      <c r="C270">
        <v>7.586</v>
      </c>
      <c r="D270">
        <v>60.4</v>
      </c>
      <c r="G270">
        <v>8.89</v>
      </c>
      <c r="H270" s="8" t="s">
        <v>1117</v>
      </c>
      <c r="I270">
        <v>128.1</v>
      </c>
      <c r="K270">
        <f t="shared" si="12"/>
        <v>8.85</v>
      </c>
      <c r="L270">
        <f t="shared" si="13"/>
        <v>0.4005</v>
      </c>
      <c r="M270">
        <f t="shared" si="14"/>
        <v>0</v>
      </c>
    </row>
    <row r="271" spans="1:13">
      <c r="A271">
        <v>8.957</v>
      </c>
      <c r="B271">
        <v>140.1</v>
      </c>
      <c r="C271">
        <v>7.62</v>
      </c>
      <c r="D271">
        <v>60.4</v>
      </c>
      <c r="G271">
        <v>8.923</v>
      </c>
      <c r="H271" s="8" t="s">
        <v>1118</v>
      </c>
      <c r="I271">
        <v>142.4</v>
      </c>
      <c r="K271">
        <f t="shared" si="12"/>
        <v>8.9</v>
      </c>
      <c r="L271">
        <f t="shared" si="13"/>
        <v>0.5674</v>
      </c>
      <c r="M271">
        <f t="shared" si="14"/>
        <v>0</v>
      </c>
    </row>
    <row r="272" spans="1:13">
      <c r="A272">
        <v>8.99</v>
      </c>
      <c r="B272">
        <v>137.8</v>
      </c>
      <c r="C272">
        <v>7.653</v>
      </c>
      <c r="D272">
        <v>60.4</v>
      </c>
      <c r="G272">
        <v>8.957</v>
      </c>
      <c r="H272" s="8" t="s">
        <v>966</v>
      </c>
      <c r="I272">
        <v>140.1</v>
      </c>
      <c r="K272">
        <f t="shared" si="12"/>
        <v>8.95</v>
      </c>
      <c r="L272">
        <f t="shared" si="13"/>
        <v>0.7368</v>
      </c>
      <c r="M272">
        <f t="shared" si="14"/>
        <v>0</v>
      </c>
    </row>
    <row r="273" spans="1:13">
      <c r="A273">
        <v>9.023</v>
      </c>
      <c r="B273">
        <v>135.5</v>
      </c>
      <c r="C273">
        <v>7.687</v>
      </c>
      <c r="D273">
        <v>60.3</v>
      </c>
      <c r="G273">
        <v>8.99</v>
      </c>
      <c r="H273" s="8" t="s">
        <v>313</v>
      </c>
      <c r="I273">
        <v>137.8</v>
      </c>
      <c r="K273">
        <f t="shared" si="12"/>
        <v>8.95</v>
      </c>
      <c r="L273">
        <f t="shared" si="13"/>
        <v>1.011</v>
      </c>
      <c r="M273">
        <f t="shared" si="14"/>
        <v>0</v>
      </c>
    </row>
    <row r="274" spans="1:13">
      <c r="A274">
        <v>9.057</v>
      </c>
      <c r="B274">
        <v>134.3</v>
      </c>
      <c r="C274">
        <v>7.72</v>
      </c>
      <c r="D274">
        <v>60.4</v>
      </c>
      <c r="G274">
        <v>9.023</v>
      </c>
      <c r="H274" s="8" t="s">
        <v>1119</v>
      </c>
      <c r="I274">
        <v>135.5</v>
      </c>
      <c r="K274">
        <f t="shared" si="12"/>
        <v>9</v>
      </c>
      <c r="L274">
        <f t="shared" si="13"/>
        <v>1.14</v>
      </c>
      <c r="M274">
        <f t="shared" si="14"/>
        <v>0</v>
      </c>
    </row>
    <row r="275" spans="1:13">
      <c r="A275">
        <v>9.09</v>
      </c>
      <c r="B275">
        <v>132.2</v>
      </c>
      <c r="C275">
        <v>7.753</v>
      </c>
      <c r="D275">
        <v>60.4</v>
      </c>
      <c r="G275">
        <v>9.057</v>
      </c>
      <c r="H275" s="8" t="s">
        <v>333</v>
      </c>
      <c r="I275">
        <v>134.3</v>
      </c>
      <c r="K275">
        <f t="shared" si="12"/>
        <v>9.05</v>
      </c>
      <c r="L275">
        <f t="shared" si="13"/>
        <v>1.255</v>
      </c>
      <c r="M275">
        <f t="shared" si="14"/>
        <v>0</v>
      </c>
    </row>
    <row r="276" spans="1:13">
      <c r="A276">
        <v>9.124</v>
      </c>
      <c r="B276">
        <v>130.6</v>
      </c>
      <c r="C276">
        <v>7.787</v>
      </c>
      <c r="D276">
        <v>60.4</v>
      </c>
      <c r="G276">
        <v>9.09</v>
      </c>
      <c r="H276" s="8" t="s">
        <v>1120</v>
      </c>
      <c r="I276">
        <v>132.2</v>
      </c>
      <c r="K276">
        <f t="shared" si="12"/>
        <v>9.05</v>
      </c>
      <c r="L276">
        <f t="shared" si="13"/>
        <v>1.505</v>
      </c>
      <c r="M276">
        <f t="shared" si="14"/>
        <v>0</v>
      </c>
    </row>
    <row r="277" spans="1:13">
      <c r="A277">
        <v>9.157</v>
      </c>
      <c r="B277">
        <v>128.5</v>
      </c>
      <c r="C277">
        <v>7.82</v>
      </c>
      <c r="D277">
        <v>60.3</v>
      </c>
      <c r="G277">
        <v>9.124</v>
      </c>
      <c r="H277" s="8" t="s">
        <v>1121</v>
      </c>
      <c r="I277">
        <v>130.6</v>
      </c>
      <c r="K277">
        <f t="shared" si="12"/>
        <v>9.1</v>
      </c>
      <c r="L277">
        <f t="shared" si="13"/>
        <v>1.567</v>
      </c>
      <c r="M277">
        <f t="shared" si="14"/>
        <v>0</v>
      </c>
    </row>
    <row r="278" spans="1:13">
      <c r="A278">
        <v>9.191</v>
      </c>
      <c r="B278">
        <v>127.1</v>
      </c>
      <c r="C278">
        <v>7.854</v>
      </c>
      <c r="D278">
        <v>59.9</v>
      </c>
      <c r="G278">
        <v>9.157</v>
      </c>
      <c r="H278" s="8" t="s">
        <v>1122</v>
      </c>
      <c r="I278">
        <v>128.5</v>
      </c>
      <c r="K278">
        <f t="shared" si="12"/>
        <v>9.15</v>
      </c>
      <c r="L278">
        <f t="shared" si="13"/>
        <v>1.76</v>
      </c>
      <c r="M278">
        <f t="shared" si="14"/>
        <v>0</v>
      </c>
    </row>
    <row r="279" spans="1:13">
      <c r="A279">
        <v>9.224</v>
      </c>
      <c r="B279">
        <v>125.5</v>
      </c>
      <c r="C279">
        <v>7.887</v>
      </c>
      <c r="D279">
        <v>60.1</v>
      </c>
      <c r="G279">
        <v>9.191</v>
      </c>
      <c r="H279" s="8" t="s">
        <v>1123</v>
      </c>
      <c r="I279">
        <v>127.1</v>
      </c>
      <c r="K279">
        <f t="shared" si="12"/>
        <v>9.15</v>
      </c>
      <c r="L279">
        <f t="shared" si="13"/>
        <v>1.769</v>
      </c>
      <c r="M279">
        <f t="shared" si="14"/>
        <v>0</v>
      </c>
    </row>
    <row r="280" spans="1:13">
      <c r="A280">
        <v>9.257</v>
      </c>
      <c r="B280">
        <v>124</v>
      </c>
      <c r="C280">
        <v>7.921</v>
      </c>
      <c r="D280">
        <v>60.1</v>
      </c>
      <c r="G280">
        <v>9.224</v>
      </c>
      <c r="H280" s="8" t="s">
        <v>1124</v>
      </c>
      <c r="I280">
        <v>125.5</v>
      </c>
      <c r="K280">
        <f t="shared" si="12"/>
        <v>9.2</v>
      </c>
      <c r="L280">
        <f t="shared" si="13"/>
        <v>1.876</v>
      </c>
      <c r="M280">
        <f t="shared" si="14"/>
        <v>0</v>
      </c>
    </row>
    <row r="281" spans="1:13">
      <c r="A281">
        <v>9.291</v>
      </c>
      <c r="B281">
        <v>121.9</v>
      </c>
      <c r="C281">
        <v>7.954</v>
      </c>
      <c r="D281">
        <v>60.1</v>
      </c>
      <c r="G281">
        <v>9.257</v>
      </c>
      <c r="H281" s="8" t="s">
        <v>1125</v>
      </c>
      <c r="I281">
        <v>124</v>
      </c>
      <c r="K281">
        <f t="shared" si="12"/>
        <v>9.25</v>
      </c>
      <c r="L281">
        <f t="shared" si="13"/>
        <v>1.949</v>
      </c>
      <c r="M281">
        <f t="shared" si="14"/>
        <v>0</v>
      </c>
    </row>
    <row r="282" spans="1:13">
      <c r="A282">
        <v>9.324</v>
      </c>
      <c r="B282">
        <v>119</v>
      </c>
      <c r="C282">
        <v>7.987</v>
      </c>
      <c r="D282">
        <v>60</v>
      </c>
      <c r="G282">
        <v>9.291</v>
      </c>
      <c r="H282" s="8" t="s">
        <v>1126</v>
      </c>
      <c r="I282">
        <v>121.9</v>
      </c>
      <c r="K282">
        <f t="shared" si="12"/>
        <v>9.25</v>
      </c>
      <c r="L282">
        <f t="shared" si="13"/>
        <v>1.962</v>
      </c>
      <c r="M282">
        <f t="shared" si="14"/>
        <v>0</v>
      </c>
    </row>
    <row r="283" spans="1:13">
      <c r="A283">
        <v>9.358</v>
      </c>
      <c r="B283">
        <v>117.4</v>
      </c>
      <c r="C283">
        <v>8.021</v>
      </c>
      <c r="D283">
        <v>59.9</v>
      </c>
      <c r="G283">
        <v>9.324</v>
      </c>
      <c r="H283" s="8" t="s">
        <v>1127</v>
      </c>
      <c r="I283">
        <v>119</v>
      </c>
      <c r="K283">
        <f t="shared" si="12"/>
        <v>9.3</v>
      </c>
      <c r="L283">
        <f t="shared" si="13"/>
        <v>1.954</v>
      </c>
      <c r="M283">
        <f t="shared" si="14"/>
        <v>0</v>
      </c>
    </row>
    <row r="284" spans="1:13">
      <c r="A284">
        <v>9.391</v>
      </c>
      <c r="B284">
        <v>114.9</v>
      </c>
      <c r="C284">
        <v>8.054</v>
      </c>
      <c r="D284">
        <v>238.4</v>
      </c>
      <c r="G284">
        <v>9.358</v>
      </c>
      <c r="H284" s="8" t="s">
        <v>1128</v>
      </c>
      <c r="I284">
        <v>117.4</v>
      </c>
      <c r="K284">
        <f t="shared" si="12"/>
        <v>9.35</v>
      </c>
      <c r="L284">
        <f t="shared" si="13"/>
        <v>1.955</v>
      </c>
      <c r="M284">
        <f t="shared" si="14"/>
        <v>0</v>
      </c>
    </row>
    <row r="285" spans="1:13">
      <c r="A285">
        <v>9.425</v>
      </c>
      <c r="B285">
        <v>112.5</v>
      </c>
      <c r="C285">
        <v>8.088</v>
      </c>
      <c r="D285">
        <v>238.4</v>
      </c>
      <c r="G285">
        <v>9.391</v>
      </c>
      <c r="H285" s="8" t="s">
        <v>1129</v>
      </c>
      <c r="I285">
        <v>114.9</v>
      </c>
      <c r="K285">
        <f t="shared" si="12"/>
        <v>9.35</v>
      </c>
      <c r="L285">
        <f t="shared" si="13"/>
        <v>1.956</v>
      </c>
      <c r="M285">
        <f t="shared" si="14"/>
        <v>0</v>
      </c>
    </row>
    <row r="286" spans="1:13">
      <c r="A286">
        <v>9.458</v>
      </c>
      <c r="B286">
        <v>111.6</v>
      </c>
      <c r="C286">
        <v>8.121</v>
      </c>
      <c r="D286">
        <v>238.4</v>
      </c>
      <c r="G286">
        <v>9.425</v>
      </c>
      <c r="H286" s="8" t="s">
        <v>1130</v>
      </c>
      <c r="I286">
        <v>112.5</v>
      </c>
      <c r="K286">
        <f t="shared" si="12"/>
        <v>9.4</v>
      </c>
      <c r="L286">
        <f t="shared" si="13"/>
        <v>1.977</v>
      </c>
      <c r="M286">
        <f t="shared" si="14"/>
        <v>0</v>
      </c>
    </row>
    <row r="287" spans="1:13">
      <c r="A287">
        <v>9.491</v>
      </c>
      <c r="B287">
        <v>108.1</v>
      </c>
      <c r="C287">
        <v>8.155</v>
      </c>
      <c r="D287">
        <v>238.4</v>
      </c>
      <c r="G287">
        <v>9.458</v>
      </c>
      <c r="H287" s="8" t="s">
        <v>1131</v>
      </c>
      <c r="I287">
        <v>111.6</v>
      </c>
      <c r="K287">
        <f t="shared" si="12"/>
        <v>9.45</v>
      </c>
      <c r="L287">
        <f t="shared" si="13"/>
        <v>1.889</v>
      </c>
      <c r="M287">
        <f t="shared" si="14"/>
        <v>0</v>
      </c>
    </row>
    <row r="288" spans="1:13">
      <c r="A288">
        <v>9.525</v>
      </c>
      <c r="B288">
        <v>106.5</v>
      </c>
      <c r="C288">
        <v>8.188</v>
      </c>
      <c r="D288">
        <v>238.4</v>
      </c>
      <c r="G288">
        <v>9.491</v>
      </c>
      <c r="H288" s="8" t="s">
        <v>1132</v>
      </c>
      <c r="I288">
        <v>108.1</v>
      </c>
      <c r="K288">
        <f t="shared" si="12"/>
        <v>9.45</v>
      </c>
      <c r="L288">
        <f t="shared" si="13"/>
        <v>1.826</v>
      </c>
      <c r="M288">
        <f t="shared" si="14"/>
        <v>0</v>
      </c>
    </row>
    <row r="289" spans="1:13">
      <c r="A289">
        <v>9.558</v>
      </c>
      <c r="B289">
        <v>103.7</v>
      </c>
      <c r="C289">
        <v>8.221</v>
      </c>
      <c r="D289">
        <v>238.4</v>
      </c>
      <c r="G289">
        <v>9.525</v>
      </c>
      <c r="H289" s="8" t="s">
        <v>1133</v>
      </c>
      <c r="I289">
        <v>106.5</v>
      </c>
      <c r="K289">
        <f t="shared" si="12"/>
        <v>9.5</v>
      </c>
      <c r="L289">
        <f t="shared" si="13"/>
        <v>1.765</v>
      </c>
      <c r="M289">
        <f t="shared" si="14"/>
        <v>0</v>
      </c>
    </row>
    <row r="290" spans="1:13">
      <c r="A290">
        <v>9.592</v>
      </c>
      <c r="B290">
        <v>103.3</v>
      </c>
      <c r="C290">
        <v>8.255</v>
      </c>
      <c r="D290">
        <v>238.4</v>
      </c>
      <c r="G290">
        <v>9.558</v>
      </c>
      <c r="H290" s="8" t="s">
        <v>1134</v>
      </c>
      <c r="I290">
        <v>103.7</v>
      </c>
      <c r="K290">
        <f t="shared" si="12"/>
        <v>9.55</v>
      </c>
      <c r="L290">
        <f t="shared" si="13"/>
        <v>1.631</v>
      </c>
      <c r="M290">
        <f t="shared" si="14"/>
        <v>0</v>
      </c>
    </row>
    <row r="291" spans="1:13">
      <c r="A291">
        <v>9.625</v>
      </c>
      <c r="B291">
        <v>100.4</v>
      </c>
      <c r="C291">
        <v>8.288</v>
      </c>
      <c r="D291">
        <v>238.4</v>
      </c>
      <c r="G291">
        <v>9.592</v>
      </c>
      <c r="H291" s="8" t="s">
        <v>1135</v>
      </c>
      <c r="I291">
        <v>103.3</v>
      </c>
      <c r="K291">
        <f t="shared" si="12"/>
        <v>9.55</v>
      </c>
      <c r="L291">
        <f t="shared" si="13"/>
        <v>1.52</v>
      </c>
      <c r="M291">
        <f t="shared" si="14"/>
        <v>0</v>
      </c>
    </row>
    <row r="292" spans="1:13">
      <c r="A292">
        <v>9.658</v>
      </c>
      <c r="B292">
        <v>230.4</v>
      </c>
      <c r="C292">
        <v>8.322</v>
      </c>
      <c r="D292">
        <v>238.4</v>
      </c>
      <c r="G292">
        <v>9.625</v>
      </c>
      <c r="H292" s="8" t="s">
        <v>1136</v>
      </c>
      <c r="I292">
        <v>100.4</v>
      </c>
      <c r="K292">
        <f t="shared" si="12"/>
        <v>9.6</v>
      </c>
      <c r="L292">
        <f t="shared" si="13"/>
        <v>1.315</v>
      </c>
      <c r="M292">
        <f t="shared" si="14"/>
        <v>0</v>
      </c>
    </row>
    <row r="293" spans="1:13">
      <c r="A293">
        <v>9.692</v>
      </c>
      <c r="B293">
        <v>238.4</v>
      </c>
      <c r="C293">
        <v>8.355</v>
      </c>
      <c r="D293">
        <v>238.4</v>
      </c>
      <c r="G293">
        <v>9.658</v>
      </c>
      <c r="H293" s="8" t="s">
        <v>341</v>
      </c>
      <c r="I293">
        <v>230.4</v>
      </c>
      <c r="K293">
        <f t="shared" si="12"/>
        <v>9.65</v>
      </c>
      <c r="L293">
        <f t="shared" si="13"/>
        <v>1.266</v>
      </c>
      <c r="M293">
        <f t="shared" si="14"/>
        <v>5</v>
      </c>
    </row>
    <row r="294" spans="1:13">
      <c r="A294">
        <v>9.725</v>
      </c>
      <c r="B294">
        <v>238.4</v>
      </c>
      <c r="C294">
        <v>8.388</v>
      </c>
      <c r="D294">
        <v>238.4</v>
      </c>
      <c r="G294">
        <v>9.692</v>
      </c>
      <c r="H294" s="8" t="s">
        <v>132</v>
      </c>
      <c r="I294">
        <v>238.4</v>
      </c>
      <c r="K294">
        <f t="shared" si="12"/>
        <v>9.65</v>
      </c>
      <c r="L294">
        <f t="shared" si="13"/>
        <v>1.008</v>
      </c>
      <c r="M294">
        <f t="shared" si="14"/>
        <v>5</v>
      </c>
    </row>
    <row r="295" spans="1:13">
      <c r="A295">
        <v>9.759</v>
      </c>
      <c r="B295">
        <v>238.4</v>
      </c>
      <c r="C295">
        <v>8.422</v>
      </c>
      <c r="D295">
        <v>238.4</v>
      </c>
      <c r="G295">
        <v>9.725</v>
      </c>
      <c r="H295" s="8" t="s">
        <v>1137</v>
      </c>
      <c r="I295">
        <v>238.4</v>
      </c>
      <c r="K295">
        <f t="shared" si="12"/>
        <v>9.7</v>
      </c>
      <c r="L295">
        <f t="shared" si="13"/>
        <v>0.936</v>
      </c>
      <c r="M295">
        <f t="shared" si="14"/>
        <v>5</v>
      </c>
    </row>
    <row r="296" spans="1:13">
      <c r="A296">
        <v>9.792</v>
      </c>
      <c r="B296">
        <v>238.4</v>
      </c>
      <c r="C296">
        <v>8.455</v>
      </c>
      <c r="D296">
        <v>238.4</v>
      </c>
      <c r="G296">
        <v>9.759</v>
      </c>
      <c r="H296" s="8" t="s">
        <v>1138</v>
      </c>
      <c r="I296">
        <v>238.4</v>
      </c>
      <c r="K296">
        <f t="shared" si="12"/>
        <v>9.75</v>
      </c>
      <c r="L296">
        <f t="shared" si="13"/>
        <v>0.6928</v>
      </c>
      <c r="M296">
        <f t="shared" si="14"/>
        <v>5</v>
      </c>
    </row>
    <row r="297" spans="1:13">
      <c r="A297">
        <v>9.826</v>
      </c>
      <c r="B297">
        <v>238.4</v>
      </c>
      <c r="C297">
        <v>8.489</v>
      </c>
      <c r="D297">
        <v>238.4</v>
      </c>
      <c r="G297">
        <v>9.792</v>
      </c>
      <c r="H297" s="8" t="s">
        <v>1139</v>
      </c>
      <c r="I297">
        <v>238.4</v>
      </c>
      <c r="K297">
        <f t="shared" si="12"/>
        <v>9.75</v>
      </c>
      <c r="L297">
        <f t="shared" si="13"/>
        <v>0.4958</v>
      </c>
      <c r="M297">
        <f t="shared" si="14"/>
        <v>5</v>
      </c>
    </row>
    <row r="298" spans="1:13">
      <c r="A298">
        <v>9.859</v>
      </c>
      <c r="B298">
        <v>238.4</v>
      </c>
      <c r="C298">
        <v>8.522</v>
      </c>
      <c r="D298">
        <v>238.4</v>
      </c>
      <c r="G298">
        <v>9.826</v>
      </c>
      <c r="H298" s="8" t="s">
        <v>1140</v>
      </c>
      <c r="I298">
        <v>238.4</v>
      </c>
      <c r="K298">
        <f t="shared" si="12"/>
        <v>9.8</v>
      </c>
      <c r="L298">
        <f t="shared" si="13"/>
        <v>0.3762</v>
      </c>
      <c r="M298">
        <f t="shared" si="14"/>
        <v>5</v>
      </c>
    </row>
    <row r="299" spans="1:13">
      <c r="A299">
        <v>9.892</v>
      </c>
      <c r="B299">
        <v>238.4</v>
      </c>
      <c r="C299">
        <v>8.556</v>
      </c>
      <c r="D299">
        <v>238.4</v>
      </c>
      <c r="G299">
        <v>9.859</v>
      </c>
      <c r="H299" s="8" t="s">
        <v>1141</v>
      </c>
      <c r="I299">
        <v>238.4</v>
      </c>
      <c r="K299">
        <f t="shared" si="12"/>
        <v>9.85</v>
      </c>
      <c r="L299">
        <f t="shared" si="13"/>
        <v>0.2281</v>
      </c>
      <c r="M299">
        <f t="shared" si="14"/>
        <v>5</v>
      </c>
    </row>
    <row r="300" spans="1:13">
      <c r="A300">
        <v>9.926</v>
      </c>
      <c r="B300">
        <v>238.4</v>
      </c>
      <c r="C300">
        <v>8.589</v>
      </c>
      <c r="D300" s="2">
        <v>238.4</v>
      </c>
      <c r="E300" s="2"/>
      <c r="F300" s="2"/>
      <c r="G300">
        <v>9.892</v>
      </c>
      <c r="H300" s="8" t="s">
        <v>1142</v>
      </c>
      <c r="I300">
        <v>238.4</v>
      </c>
      <c r="K300">
        <f t="shared" si="12"/>
        <v>9.85</v>
      </c>
      <c r="L300">
        <f t="shared" si="13"/>
        <v>0.05409</v>
      </c>
      <c r="M300">
        <f t="shared" si="14"/>
        <v>5</v>
      </c>
    </row>
    <row r="301" spans="1:13">
      <c r="A301">
        <v>9.959</v>
      </c>
      <c r="B301">
        <v>238.4</v>
      </c>
      <c r="C301">
        <v>8.622</v>
      </c>
      <c r="D301" s="2">
        <v>238.4</v>
      </c>
      <c r="E301" s="2"/>
      <c r="F301" s="2"/>
      <c r="G301">
        <v>9.926</v>
      </c>
      <c r="H301" s="2">
        <v>-0.000218</v>
      </c>
      <c r="I301">
        <v>238.4</v>
      </c>
      <c r="K301">
        <f t="shared" si="12"/>
        <v>9.9</v>
      </c>
      <c r="L301">
        <f t="shared" si="13"/>
        <v>-0.0218</v>
      </c>
      <c r="M301">
        <f t="shared" si="14"/>
        <v>5</v>
      </c>
    </row>
    <row r="302" spans="1:13">
      <c r="A302">
        <v>9.993</v>
      </c>
      <c r="B302">
        <v>238.4</v>
      </c>
      <c r="C302">
        <v>8.656</v>
      </c>
      <c r="D302" s="2">
        <v>238.4</v>
      </c>
      <c r="E302" s="2"/>
      <c r="F302" s="2"/>
      <c r="G302">
        <v>9.959</v>
      </c>
      <c r="H302" s="2">
        <v>-0.002559</v>
      </c>
      <c r="I302">
        <v>238.4</v>
      </c>
      <c r="K302">
        <f t="shared" si="12"/>
        <v>9.95</v>
      </c>
      <c r="L302">
        <f t="shared" si="13"/>
        <v>-0.2559</v>
      </c>
      <c r="M302">
        <f t="shared" si="14"/>
        <v>5</v>
      </c>
    </row>
    <row r="303" spans="1:13">
      <c r="A303">
        <v>10.026</v>
      </c>
      <c r="B303">
        <v>238.4</v>
      </c>
      <c r="C303">
        <v>8.689</v>
      </c>
      <c r="D303" s="2">
        <v>238.4</v>
      </c>
      <c r="E303" s="2"/>
      <c r="F303" s="2"/>
      <c r="G303">
        <v>9.993</v>
      </c>
      <c r="H303" s="2">
        <v>-0.002861</v>
      </c>
      <c r="I303">
        <v>238.4</v>
      </c>
      <c r="K303">
        <f t="shared" si="12"/>
        <v>9.95</v>
      </c>
      <c r="L303">
        <f t="shared" si="13"/>
        <v>-0.2861</v>
      </c>
      <c r="M303">
        <f t="shared" si="14"/>
        <v>5</v>
      </c>
    </row>
    <row r="304" spans="1:13">
      <c r="A304">
        <v>10.059</v>
      </c>
      <c r="B304">
        <v>238.4</v>
      </c>
      <c r="C304">
        <v>8.723</v>
      </c>
      <c r="D304" s="2">
        <v>238.4</v>
      </c>
      <c r="E304" s="2"/>
      <c r="F304" s="2"/>
      <c r="G304">
        <v>10.026</v>
      </c>
      <c r="H304" s="2">
        <v>-0.004753</v>
      </c>
      <c r="I304">
        <v>238.4</v>
      </c>
      <c r="K304">
        <f t="shared" si="12"/>
        <v>10</v>
      </c>
      <c r="L304">
        <f t="shared" si="13"/>
        <v>-0.4753</v>
      </c>
      <c r="M304">
        <f t="shared" si="14"/>
        <v>5</v>
      </c>
    </row>
    <row r="305" spans="1:13">
      <c r="A305">
        <v>10.093</v>
      </c>
      <c r="B305">
        <v>238.4</v>
      </c>
      <c r="C305">
        <v>8.756</v>
      </c>
      <c r="D305" s="2">
        <v>238.4</v>
      </c>
      <c r="E305" s="2"/>
      <c r="F305" s="2"/>
      <c r="G305">
        <v>10.059</v>
      </c>
      <c r="H305" s="2">
        <v>-0.005191</v>
      </c>
      <c r="I305">
        <v>238.4</v>
      </c>
      <c r="K305">
        <f t="shared" si="12"/>
        <v>10.05</v>
      </c>
      <c r="L305">
        <f t="shared" si="13"/>
        <v>-0.5191</v>
      </c>
      <c r="M305">
        <f t="shared" si="14"/>
        <v>5</v>
      </c>
    </row>
    <row r="306" spans="1:13">
      <c r="A306">
        <v>10.126</v>
      </c>
      <c r="B306">
        <v>238.4</v>
      </c>
      <c r="C306">
        <v>8.79</v>
      </c>
      <c r="D306" s="2">
        <v>238.4</v>
      </c>
      <c r="E306" s="2"/>
      <c r="F306" s="2"/>
      <c r="G306">
        <v>10.093</v>
      </c>
      <c r="H306" s="2">
        <v>-0.006501</v>
      </c>
      <c r="I306">
        <v>238.4</v>
      </c>
      <c r="K306">
        <f t="shared" si="12"/>
        <v>10.05</v>
      </c>
      <c r="L306">
        <f t="shared" si="13"/>
        <v>-0.6501</v>
      </c>
      <c r="M306">
        <f t="shared" si="14"/>
        <v>5</v>
      </c>
    </row>
    <row r="307" spans="1:13">
      <c r="A307">
        <v>10.16</v>
      </c>
      <c r="B307">
        <v>238.4</v>
      </c>
      <c r="C307">
        <v>8.823</v>
      </c>
      <c r="D307" s="2">
        <v>238.4</v>
      </c>
      <c r="E307" s="2"/>
      <c r="F307" s="2"/>
      <c r="G307">
        <v>10.126</v>
      </c>
      <c r="H307" s="2">
        <v>-0.006522</v>
      </c>
      <c r="I307">
        <v>238.4</v>
      </c>
      <c r="K307">
        <f t="shared" si="12"/>
        <v>10.1</v>
      </c>
      <c r="L307">
        <f t="shared" si="13"/>
        <v>-0.6522</v>
      </c>
      <c r="M307">
        <f t="shared" si="14"/>
        <v>5</v>
      </c>
    </row>
    <row r="308" spans="1:13">
      <c r="A308">
        <v>10.193</v>
      </c>
      <c r="B308">
        <v>238.4</v>
      </c>
      <c r="C308">
        <v>8.856</v>
      </c>
      <c r="D308" s="2">
        <v>238.4</v>
      </c>
      <c r="E308" s="2"/>
      <c r="F308" s="2"/>
      <c r="G308">
        <v>10.16</v>
      </c>
      <c r="H308" s="2">
        <v>-0.006254</v>
      </c>
      <c r="I308">
        <v>238.4</v>
      </c>
      <c r="K308">
        <f t="shared" si="12"/>
        <v>10.15</v>
      </c>
      <c r="L308">
        <f t="shared" si="13"/>
        <v>-0.6254</v>
      </c>
      <c r="M308">
        <f t="shared" si="14"/>
        <v>5</v>
      </c>
    </row>
    <row r="309" spans="1:13">
      <c r="A309">
        <v>10.227</v>
      </c>
      <c r="B309">
        <v>238.4</v>
      </c>
      <c r="C309">
        <v>8.89</v>
      </c>
      <c r="D309" s="2">
        <v>128.1</v>
      </c>
      <c r="E309" s="2"/>
      <c r="F309" s="2"/>
      <c r="G309">
        <v>10.193</v>
      </c>
      <c r="H309" s="2">
        <v>-0.006385</v>
      </c>
      <c r="I309">
        <v>238.4</v>
      </c>
      <c r="K309">
        <f t="shared" si="12"/>
        <v>10.15</v>
      </c>
      <c r="L309">
        <f t="shared" si="13"/>
        <v>-0.6385</v>
      </c>
      <c r="M309">
        <f t="shared" si="14"/>
        <v>5</v>
      </c>
    </row>
    <row r="310" spans="1:13">
      <c r="A310">
        <v>10.26</v>
      </c>
      <c r="B310">
        <v>238.4</v>
      </c>
      <c r="C310">
        <v>8.923</v>
      </c>
      <c r="D310" s="2">
        <v>142.4</v>
      </c>
      <c r="E310" s="2"/>
      <c r="F310" s="2"/>
      <c r="G310">
        <v>10.227</v>
      </c>
      <c r="H310" s="2">
        <v>-0.006334</v>
      </c>
      <c r="I310">
        <v>238.4</v>
      </c>
      <c r="K310">
        <f t="shared" si="12"/>
        <v>10.2</v>
      </c>
      <c r="L310">
        <f t="shared" si="13"/>
        <v>-0.6334</v>
      </c>
      <c r="M310">
        <f t="shared" si="14"/>
        <v>5</v>
      </c>
    </row>
    <row r="311" spans="1:13">
      <c r="A311">
        <v>10.293</v>
      </c>
      <c r="B311">
        <v>238.4</v>
      </c>
      <c r="C311">
        <v>8.957</v>
      </c>
      <c r="D311" s="2">
        <v>140.1</v>
      </c>
      <c r="E311" s="2"/>
      <c r="F311" s="2"/>
      <c r="G311">
        <v>10.26</v>
      </c>
      <c r="H311" s="2">
        <v>-0.006074</v>
      </c>
      <c r="I311">
        <v>238.4</v>
      </c>
      <c r="K311">
        <f t="shared" si="12"/>
        <v>10.25</v>
      </c>
      <c r="L311">
        <f t="shared" si="13"/>
        <v>-0.6074</v>
      </c>
      <c r="M311">
        <f t="shared" si="14"/>
        <v>5</v>
      </c>
    </row>
    <row r="312" spans="1:13">
      <c r="A312">
        <v>10.327</v>
      </c>
      <c r="B312">
        <v>238.4</v>
      </c>
      <c r="C312">
        <v>8.99</v>
      </c>
      <c r="D312" s="2">
        <v>137.8</v>
      </c>
      <c r="E312" s="2"/>
      <c r="F312" s="2"/>
      <c r="G312">
        <v>10.293</v>
      </c>
      <c r="H312" s="2">
        <v>-0.005381</v>
      </c>
      <c r="I312">
        <v>238.4</v>
      </c>
      <c r="K312">
        <f t="shared" si="12"/>
        <v>10.25</v>
      </c>
      <c r="L312">
        <f t="shared" si="13"/>
        <v>-0.5381</v>
      </c>
      <c r="M312">
        <f t="shared" si="14"/>
        <v>5</v>
      </c>
    </row>
    <row r="313" spans="1:13">
      <c r="A313">
        <v>10.36</v>
      </c>
      <c r="B313">
        <v>238.4</v>
      </c>
      <c r="C313">
        <v>9.023</v>
      </c>
      <c r="D313" s="2">
        <v>135.5</v>
      </c>
      <c r="E313" s="2"/>
      <c r="F313" s="2"/>
      <c r="G313">
        <v>10.327</v>
      </c>
      <c r="H313" s="2">
        <v>-0.005308</v>
      </c>
      <c r="I313">
        <v>238.4</v>
      </c>
      <c r="K313">
        <f t="shared" si="12"/>
        <v>10.3</v>
      </c>
      <c r="L313">
        <f t="shared" si="13"/>
        <v>-0.5308</v>
      </c>
      <c r="M313">
        <f t="shared" si="14"/>
        <v>5</v>
      </c>
    </row>
    <row r="314" spans="1:13">
      <c r="A314">
        <v>10.394</v>
      </c>
      <c r="B314">
        <v>238.4</v>
      </c>
      <c r="C314">
        <v>9.057</v>
      </c>
      <c r="D314" s="2">
        <v>134.3</v>
      </c>
      <c r="E314" s="2"/>
      <c r="F314" s="2"/>
      <c r="G314">
        <v>10.36</v>
      </c>
      <c r="H314" s="2">
        <v>-0.00474</v>
      </c>
      <c r="I314">
        <v>238.4</v>
      </c>
      <c r="K314">
        <f t="shared" si="12"/>
        <v>10.35</v>
      </c>
      <c r="L314">
        <f t="shared" si="13"/>
        <v>-0.474</v>
      </c>
      <c r="M314">
        <f t="shared" si="14"/>
        <v>5</v>
      </c>
    </row>
    <row r="315" spans="1:13">
      <c r="A315">
        <v>10.427</v>
      </c>
      <c r="B315">
        <v>238.4</v>
      </c>
      <c r="C315">
        <v>9.09</v>
      </c>
      <c r="D315" s="2">
        <v>132.2</v>
      </c>
      <c r="E315" s="2"/>
      <c r="F315" s="2"/>
      <c r="G315">
        <v>10.394</v>
      </c>
      <c r="H315" s="2">
        <v>-0.002763</v>
      </c>
      <c r="I315">
        <v>238.4</v>
      </c>
      <c r="K315">
        <f t="shared" si="12"/>
        <v>10.35</v>
      </c>
      <c r="L315">
        <f t="shared" si="13"/>
        <v>-0.2763</v>
      </c>
      <c r="M315">
        <f t="shared" si="14"/>
        <v>5</v>
      </c>
    </row>
    <row r="316" spans="1:13">
      <c r="A316">
        <v>10.461</v>
      </c>
      <c r="B316">
        <v>238.4</v>
      </c>
      <c r="C316">
        <v>9.124</v>
      </c>
      <c r="D316" s="2">
        <v>130.6</v>
      </c>
      <c r="E316" s="2"/>
      <c r="F316" s="2"/>
      <c r="G316">
        <v>10.427</v>
      </c>
      <c r="H316" s="2">
        <v>-0.002578</v>
      </c>
      <c r="I316">
        <v>238.4</v>
      </c>
      <c r="K316">
        <f t="shared" si="12"/>
        <v>10.4</v>
      </c>
      <c r="L316">
        <f t="shared" si="13"/>
        <v>-0.2578</v>
      </c>
      <c r="M316">
        <f t="shared" si="14"/>
        <v>5</v>
      </c>
    </row>
    <row r="317" spans="1:13">
      <c r="A317">
        <v>10.494</v>
      </c>
      <c r="B317">
        <v>158.2</v>
      </c>
      <c r="C317">
        <v>9.157</v>
      </c>
      <c r="D317">
        <v>128.5</v>
      </c>
      <c r="G317">
        <v>10.461</v>
      </c>
      <c r="H317" s="2">
        <v>-0.0002183</v>
      </c>
      <c r="I317">
        <v>238.4</v>
      </c>
      <c r="K317">
        <f t="shared" si="12"/>
        <v>10.45</v>
      </c>
      <c r="L317">
        <f t="shared" si="13"/>
        <v>-0.02183</v>
      </c>
      <c r="M317">
        <f t="shared" si="14"/>
        <v>5</v>
      </c>
    </row>
    <row r="318" spans="1:13">
      <c r="A318">
        <v>10.527</v>
      </c>
      <c r="B318">
        <v>169.6</v>
      </c>
      <c r="C318">
        <v>9.191</v>
      </c>
      <c r="D318">
        <v>127.1</v>
      </c>
      <c r="G318">
        <v>10.494</v>
      </c>
      <c r="H318" s="8" t="s">
        <v>1143</v>
      </c>
      <c r="I318">
        <v>158.2</v>
      </c>
      <c r="K318">
        <f t="shared" si="12"/>
        <v>10.45</v>
      </c>
      <c r="L318">
        <f t="shared" si="13"/>
        <v>0.06041</v>
      </c>
      <c r="M318">
        <f t="shared" si="14"/>
        <v>0</v>
      </c>
    </row>
    <row r="319" spans="1:13">
      <c r="A319">
        <v>10.561</v>
      </c>
      <c r="B319">
        <v>168</v>
      </c>
      <c r="C319">
        <v>9.224</v>
      </c>
      <c r="D319">
        <v>125.5</v>
      </c>
      <c r="G319">
        <v>10.527</v>
      </c>
      <c r="H319" s="8" t="s">
        <v>542</v>
      </c>
      <c r="I319">
        <v>169.6</v>
      </c>
      <c r="K319">
        <f t="shared" si="12"/>
        <v>10.5</v>
      </c>
      <c r="L319">
        <f t="shared" si="13"/>
        <v>0.2314</v>
      </c>
      <c r="M319">
        <f t="shared" si="14"/>
        <v>0</v>
      </c>
    </row>
    <row r="320" spans="1:13">
      <c r="A320">
        <v>10.594</v>
      </c>
      <c r="B320">
        <v>167</v>
      </c>
      <c r="C320">
        <v>9.257</v>
      </c>
      <c r="D320">
        <v>124</v>
      </c>
      <c r="G320">
        <v>10.561</v>
      </c>
      <c r="H320" s="8" t="s">
        <v>1144</v>
      </c>
      <c r="I320">
        <v>168</v>
      </c>
      <c r="K320">
        <f t="shared" si="12"/>
        <v>10.55</v>
      </c>
      <c r="L320">
        <f t="shared" si="13"/>
        <v>0.3454</v>
      </c>
      <c r="M320">
        <f t="shared" si="14"/>
        <v>0</v>
      </c>
    </row>
    <row r="321" spans="1:13">
      <c r="A321">
        <v>10.628</v>
      </c>
      <c r="B321">
        <v>165.8</v>
      </c>
      <c r="C321">
        <v>9.291</v>
      </c>
      <c r="D321">
        <v>121.9</v>
      </c>
      <c r="G321">
        <v>10.594</v>
      </c>
      <c r="H321" s="8" t="s">
        <v>1145</v>
      </c>
      <c r="I321">
        <v>167</v>
      </c>
      <c r="K321">
        <f t="shared" si="12"/>
        <v>10.55</v>
      </c>
      <c r="L321">
        <f t="shared" si="13"/>
        <v>0.5028</v>
      </c>
      <c r="M321">
        <f t="shared" si="14"/>
        <v>0</v>
      </c>
    </row>
    <row r="322" spans="1:13">
      <c r="A322">
        <v>10.661</v>
      </c>
      <c r="B322">
        <v>164.5</v>
      </c>
      <c r="C322">
        <v>9.324</v>
      </c>
      <c r="D322">
        <v>119</v>
      </c>
      <c r="G322">
        <v>10.628</v>
      </c>
      <c r="H322" s="8" t="s">
        <v>1146</v>
      </c>
      <c r="I322">
        <v>165.8</v>
      </c>
      <c r="K322">
        <f t="shared" si="12"/>
        <v>10.6</v>
      </c>
      <c r="L322">
        <f t="shared" si="13"/>
        <v>0.6634</v>
      </c>
      <c r="M322">
        <f t="shared" si="14"/>
        <v>0</v>
      </c>
    </row>
    <row r="323" spans="1:13">
      <c r="A323">
        <v>10.694</v>
      </c>
      <c r="B323">
        <v>162.5</v>
      </c>
      <c r="C323">
        <v>9.358</v>
      </c>
      <c r="D323">
        <v>117.4</v>
      </c>
      <c r="G323">
        <v>10.661</v>
      </c>
      <c r="H323" s="8" t="s">
        <v>1147</v>
      </c>
      <c r="I323">
        <v>164.5</v>
      </c>
      <c r="K323">
        <f t="shared" si="12"/>
        <v>10.65</v>
      </c>
      <c r="L323">
        <f t="shared" si="13"/>
        <v>0.7532</v>
      </c>
      <c r="M323">
        <f t="shared" si="14"/>
        <v>0</v>
      </c>
    </row>
    <row r="324" spans="1:13">
      <c r="A324">
        <v>10.728</v>
      </c>
      <c r="B324">
        <v>161</v>
      </c>
      <c r="C324">
        <v>9.391</v>
      </c>
      <c r="D324">
        <v>114.9</v>
      </c>
      <c r="G324">
        <v>10.694</v>
      </c>
      <c r="H324" s="8" t="s">
        <v>1148</v>
      </c>
      <c r="I324">
        <v>162.5</v>
      </c>
      <c r="K324">
        <f t="shared" ref="K324:K387" si="15">FLOOR(G324,0.05)</f>
        <v>10.65</v>
      </c>
      <c r="L324">
        <f t="shared" si="13"/>
        <v>0.8616</v>
      </c>
      <c r="M324">
        <f t="shared" si="14"/>
        <v>0</v>
      </c>
    </row>
    <row r="325" spans="1:13">
      <c r="A325">
        <v>10.761</v>
      </c>
      <c r="B325">
        <v>159.8</v>
      </c>
      <c r="C325">
        <v>9.425</v>
      </c>
      <c r="D325">
        <v>112.5</v>
      </c>
      <c r="G325">
        <v>10.728</v>
      </c>
      <c r="H325" s="8" t="s">
        <v>1149</v>
      </c>
      <c r="I325">
        <v>161</v>
      </c>
      <c r="K325">
        <f t="shared" si="15"/>
        <v>10.7</v>
      </c>
      <c r="L325">
        <f t="shared" ref="L325:L388" si="16">H325*100</f>
        <v>0.9937</v>
      </c>
      <c r="M325">
        <f t="shared" ref="M325:M388" si="17">IF(I325&lt;230,0,5)</f>
        <v>0</v>
      </c>
    </row>
    <row r="326" spans="1:13">
      <c r="A326">
        <v>10.795</v>
      </c>
      <c r="B326">
        <v>158.3</v>
      </c>
      <c r="C326">
        <v>9.458</v>
      </c>
      <c r="D326">
        <v>111.6</v>
      </c>
      <c r="G326">
        <v>10.761</v>
      </c>
      <c r="H326" s="8" t="s">
        <v>1150</v>
      </c>
      <c r="I326">
        <v>159.8</v>
      </c>
      <c r="K326">
        <f t="shared" si="15"/>
        <v>10.75</v>
      </c>
      <c r="L326">
        <f t="shared" si="16"/>
        <v>1.113</v>
      </c>
      <c r="M326">
        <f t="shared" si="17"/>
        <v>0</v>
      </c>
    </row>
    <row r="327" spans="1:13">
      <c r="A327">
        <v>10.828</v>
      </c>
      <c r="B327">
        <v>157.5</v>
      </c>
      <c r="C327">
        <v>9.491</v>
      </c>
      <c r="D327">
        <v>108.1</v>
      </c>
      <c r="G327">
        <v>10.795</v>
      </c>
      <c r="H327" s="8" t="s">
        <v>757</v>
      </c>
      <c r="I327">
        <v>158.3</v>
      </c>
      <c r="K327">
        <f t="shared" si="15"/>
        <v>10.75</v>
      </c>
      <c r="L327">
        <f t="shared" si="16"/>
        <v>1.234</v>
      </c>
      <c r="M327">
        <f t="shared" si="17"/>
        <v>0</v>
      </c>
    </row>
    <row r="328" spans="1:13">
      <c r="A328">
        <v>10.862</v>
      </c>
      <c r="B328">
        <v>156</v>
      </c>
      <c r="C328">
        <v>9.525</v>
      </c>
      <c r="D328">
        <v>106.5</v>
      </c>
      <c r="G328">
        <v>10.828</v>
      </c>
      <c r="H328" s="8" t="s">
        <v>1151</v>
      </c>
      <c r="I328">
        <v>157.5</v>
      </c>
      <c r="K328">
        <f t="shared" si="15"/>
        <v>10.8</v>
      </c>
      <c r="L328">
        <f t="shared" si="16"/>
        <v>1.258</v>
      </c>
      <c r="M328">
        <f t="shared" si="17"/>
        <v>0</v>
      </c>
    </row>
    <row r="329" spans="1:13">
      <c r="A329">
        <v>10.895</v>
      </c>
      <c r="B329">
        <v>155.2</v>
      </c>
      <c r="C329">
        <v>9.558</v>
      </c>
      <c r="D329">
        <v>103.7</v>
      </c>
      <c r="G329">
        <v>10.862</v>
      </c>
      <c r="H329" s="8" t="s">
        <v>1151</v>
      </c>
      <c r="I329">
        <v>156</v>
      </c>
      <c r="K329">
        <f t="shared" si="15"/>
        <v>10.85</v>
      </c>
      <c r="L329">
        <f t="shared" si="16"/>
        <v>1.258</v>
      </c>
      <c r="M329">
        <f t="shared" si="17"/>
        <v>0</v>
      </c>
    </row>
    <row r="330" spans="1:13">
      <c r="A330">
        <v>10.928</v>
      </c>
      <c r="B330">
        <v>153.2</v>
      </c>
      <c r="C330">
        <v>9.592</v>
      </c>
      <c r="D330">
        <v>103.3</v>
      </c>
      <c r="G330">
        <v>10.895</v>
      </c>
      <c r="H330" s="8" t="s">
        <v>176</v>
      </c>
      <c r="I330">
        <v>155.2</v>
      </c>
      <c r="K330">
        <f t="shared" si="15"/>
        <v>10.85</v>
      </c>
      <c r="L330">
        <f t="shared" si="16"/>
        <v>1.291</v>
      </c>
      <c r="M330">
        <f t="shared" si="17"/>
        <v>0</v>
      </c>
    </row>
    <row r="331" spans="1:13">
      <c r="A331">
        <v>10.962</v>
      </c>
      <c r="B331">
        <v>152.2</v>
      </c>
      <c r="C331">
        <v>9.625</v>
      </c>
      <c r="D331">
        <v>100.4</v>
      </c>
      <c r="G331">
        <v>10.928</v>
      </c>
      <c r="H331" s="8" t="s">
        <v>23</v>
      </c>
      <c r="I331">
        <v>153.2</v>
      </c>
      <c r="K331">
        <f t="shared" si="15"/>
        <v>10.9</v>
      </c>
      <c r="L331">
        <f t="shared" si="16"/>
        <v>1.384</v>
      </c>
      <c r="M331">
        <f t="shared" si="17"/>
        <v>0</v>
      </c>
    </row>
    <row r="332" spans="1:13">
      <c r="A332">
        <v>10.995</v>
      </c>
      <c r="B332">
        <v>150.5</v>
      </c>
      <c r="C332">
        <v>9.658</v>
      </c>
      <c r="D332">
        <v>230.4</v>
      </c>
      <c r="G332">
        <v>10.962</v>
      </c>
      <c r="H332" s="8" t="s">
        <v>1152</v>
      </c>
      <c r="I332">
        <v>152.2</v>
      </c>
      <c r="K332">
        <f t="shared" si="15"/>
        <v>10.95</v>
      </c>
      <c r="L332">
        <f t="shared" si="16"/>
        <v>1.446</v>
      </c>
      <c r="M332">
        <f t="shared" si="17"/>
        <v>0</v>
      </c>
    </row>
    <row r="333" spans="1:13">
      <c r="A333">
        <v>11.029</v>
      </c>
      <c r="B333">
        <v>149.6</v>
      </c>
      <c r="C333">
        <v>9.692</v>
      </c>
      <c r="D333">
        <v>238.4</v>
      </c>
      <c r="G333">
        <v>10.995</v>
      </c>
      <c r="H333" s="8" t="s">
        <v>1153</v>
      </c>
      <c r="I333">
        <v>150.5</v>
      </c>
      <c r="K333">
        <f t="shared" si="15"/>
        <v>10.95</v>
      </c>
      <c r="L333">
        <f t="shared" si="16"/>
        <v>1.443</v>
      </c>
      <c r="M333">
        <f t="shared" si="17"/>
        <v>0</v>
      </c>
    </row>
    <row r="334" spans="1:13">
      <c r="A334">
        <v>11.062</v>
      </c>
      <c r="B334">
        <v>147.4</v>
      </c>
      <c r="C334">
        <v>9.725</v>
      </c>
      <c r="D334">
        <v>238.4</v>
      </c>
      <c r="G334">
        <v>11.029</v>
      </c>
      <c r="H334" s="8" t="s">
        <v>1154</v>
      </c>
      <c r="I334">
        <v>149.6</v>
      </c>
      <c r="K334">
        <f t="shared" si="15"/>
        <v>11</v>
      </c>
      <c r="L334">
        <f t="shared" si="16"/>
        <v>1.409</v>
      </c>
      <c r="M334">
        <f t="shared" si="17"/>
        <v>0</v>
      </c>
    </row>
    <row r="335" spans="1:13">
      <c r="A335">
        <v>11.096</v>
      </c>
      <c r="B335">
        <v>146.5</v>
      </c>
      <c r="C335">
        <v>9.759</v>
      </c>
      <c r="D335">
        <v>238.4</v>
      </c>
      <c r="G335">
        <v>11.062</v>
      </c>
      <c r="H335" s="8" t="s">
        <v>1155</v>
      </c>
      <c r="I335">
        <v>147.4</v>
      </c>
      <c r="K335">
        <f t="shared" si="15"/>
        <v>11.05</v>
      </c>
      <c r="L335">
        <f t="shared" si="16"/>
        <v>1.381</v>
      </c>
      <c r="M335">
        <f t="shared" si="17"/>
        <v>0</v>
      </c>
    </row>
    <row r="336" spans="1:13">
      <c r="A336">
        <v>11.129</v>
      </c>
      <c r="B336">
        <v>144.7</v>
      </c>
      <c r="C336">
        <v>9.792</v>
      </c>
      <c r="D336">
        <v>238.4</v>
      </c>
      <c r="G336">
        <v>11.096</v>
      </c>
      <c r="H336" s="8" t="s">
        <v>430</v>
      </c>
      <c r="I336">
        <v>146.5</v>
      </c>
      <c r="K336">
        <f t="shared" si="15"/>
        <v>11.05</v>
      </c>
      <c r="L336">
        <f t="shared" si="16"/>
        <v>1.309</v>
      </c>
      <c r="M336">
        <f t="shared" si="17"/>
        <v>0</v>
      </c>
    </row>
    <row r="337" spans="1:13">
      <c r="A337">
        <v>11.162</v>
      </c>
      <c r="B337">
        <v>143.7</v>
      </c>
      <c r="C337">
        <v>9.826</v>
      </c>
      <c r="D337">
        <v>238.4</v>
      </c>
      <c r="G337">
        <v>11.129</v>
      </c>
      <c r="H337" s="8" t="s">
        <v>1156</v>
      </c>
      <c r="I337">
        <v>144.7</v>
      </c>
      <c r="K337">
        <f t="shared" si="15"/>
        <v>11.1</v>
      </c>
      <c r="L337">
        <f t="shared" si="16"/>
        <v>1.26</v>
      </c>
      <c r="M337">
        <f t="shared" si="17"/>
        <v>0</v>
      </c>
    </row>
    <row r="338" spans="1:13">
      <c r="A338">
        <v>11.196</v>
      </c>
      <c r="B338">
        <v>142.9</v>
      </c>
      <c r="C338">
        <v>9.859</v>
      </c>
      <c r="D338">
        <v>238.4</v>
      </c>
      <c r="G338">
        <v>11.162</v>
      </c>
      <c r="H338" s="8" t="s">
        <v>1151</v>
      </c>
      <c r="I338">
        <v>143.7</v>
      </c>
      <c r="K338">
        <f t="shared" si="15"/>
        <v>11.15</v>
      </c>
      <c r="L338">
        <f t="shared" si="16"/>
        <v>1.258</v>
      </c>
      <c r="M338">
        <f t="shared" si="17"/>
        <v>0</v>
      </c>
    </row>
    <row r="339" spans="1:13">
      <c r="A339">
        <v>11.229</v>
      </c>
      <c r="B339">
        <v>140.6</v>
      </c>
      <c r="C339">
        <v>9.892</v>
      </c>
      <c r="D339">
        <v>238.4</v>
      </c>
      <c r="G339">
        <v>11.196</v>
      </c>
      <c r="H339" s="8" t="s">
        <v>263</v>
      </c>
      <c r="I339">
        <v>142.9</v>
      </c>
      <c r="K339">
        <f t="shared" si="15"/>
        <v>11.15</v>
      </c>
      <c r="L339">
        <f t="shared" si="16"/>
        <v>1.125</v>
      </c>
      <c r="M339">
        <f t="shared" si="17"/>
        <v>0</v>
      </c>
    </row>
    <row r="340" spans="1:13">
      <c r="A340">
        <v>11.263</v>
      </c>
      <c r="B340">
        <v>138.4</v>
      </c>
      <c r="C340">
        <v>9.926</v>
      </c>
      <c r="D340">
        <v>238.4</v>
      </c>
      <c r="G340">
        <v>11.229</v>
      </c>
      <c r="H340" s="8" t="s">
        <v>1157</v>
      </c>
      <c r="I340">
        <v>140.6</v>
      </c>
      <c r="K340">
        <f t="shared" si="15"/>
        <v>11.2</v>
      </c>
      <c r="L340">
        <f t="shared" si="16"/>
        <v>1.016</v>
      </c>
      <c r="M340">
        <f t="shared" si="17"/>
        <v>0</v>
      </c>
    </row>
    <row r="341" spans="1:13">
      <c r="A341">
        <v>11.296</v>
      </c>
      <c r="B341">
        <v>238.2</v>
      </c>
      <c r="C341">
        <v>9.959</v>
      </c>
      <c r="D341">
        <v>238.4</v>
      </c>
      <c r="G341">
        <v>11.263</v>
      </c>
      <c r="H341" s="8" t="s">
        <v>313</v>
      </c>
      <c r="I341">
        <v>138.4</v>
      </c>
      <c r="K341">
        <f t="shared" si="15"/>
        <v>11.25</v>
      </c>
      <c r="L341">
        <f t="shared" si="16"/>
        <v>1.011</v>
      </c>
      <c r="M341">
        <f t="shared" si="17"/>
        <v>0</v>
      </c>
    </row>
    <row r="342" spans="1:13">
      <c r="A342">
        <v>11.329</v>
      </c>
      <c r="B342">
        <v>238.2</v>
      </c>
      <c r="C342">
        <v>9.993</v>
      </c>
      <c r="D342">
        <v>238.4</v>
      </c>
      <c r="G342">
        <v>11.296</v>
      </c>
      <c r="H342" s="8" t="s">
        <v>1158</v>
      </c>
      <c r="I342">
        <v>238.2</v>
      </c>
      <c r="K342">
        <f t="shared" si="15"/>
        <v>11.25</v>
      </c>
      <c r="L342">
        <f t="shared" si="16"/>
        <v>0.8117</v>
      </c>
      <c r="M342">
        <f t="shared" si="17"/>
        <v>5</v>
      </c>
    </row>
    <row r="343" spans="1:13">
      <c r="A343">
        <v>11.363</v>
      </c>
      <c r="B343">
        <v>238.3</v>
      </c>
      <c r="C343">
        <v>10.026</v>
      </c>
      <c r="D343">
        <v>238.4</v>
      </c>
      <c r="G343">
        <v>11.329</v>
      </c>
      <c r="H343" s="8" t="s">
        <v>1159</v>
      </c>
      <c r="I343">
        <v>238.2</v>
      </c>
      <c r="K343">
        <f t="shared" si="15"/>
        <v>11.3</v>
      </c>
      <c r="L343">
        <f t="shared" si="16"/>
        <v>0.743</v>
      </c>
      <c r="M343">
        <f t="shared" si="17"/>
        <v>5</v>
      </c>
    </row>
    <row r="344" spans="1:13">
      <c r="A344">
        <v>11.396</v>
      </c>
      <c r="B344">
        <v>238.3</v>
      </c>
      <c r="C344">
        <v>10.059</v>
      </c>
      <c r="D344">
        <v>238.4</v>
      </c>
      <c r="G344">
        <v>11.363</v>
      </c>
      <c r="H344" s="8" t="s">
        <v>1160</v>
      </c>
      <c r="I344">
        <v>238.3</v>
      </c>
      <c r="K344">
        <f t="shared" si="15"/>
        <v>11.35</v>
      </c>
      <c r="L344">
        <f t="shared" si="16"/>
        <v>0.6295</v>
      </c>
      <c r="M344">
        <f t="shared" si="17"/>
        <v>5</v>
      </c>
    </row>
    <row r="345" spans="1:13">
      <c r="A345">
        <v>11.43</v>
      </c>
      <c r="B345">
        <v>238.3</v>
      </c>
      <c r="C345">
        <v>10.093</v>
      </c>
      <c r="D345">
        <v>238.4</v>
      </c>
      <c r="G345">
        <v>11.396</v>
      </c>
      <c r="H345" s="8" t="s">
        <v>1161</v>
      </c>
      <c r="I345">
        <v>238.3</v>
      </c>
      <c r="K345">
        <f t="shared" si="15"/>
        <v>11.35</v>
      </c>
      <c r="L345">
        <f t="shared" si="16"/>
        <v>0.4921</v>
      </c>
      <c r="M345">
        <f t="shared" si="17"/>
        <v>5</v>
      </c>
    </row>
    <row r="346" spans="1:13">
      <c r="A346">
        <v>11.463</v>
      </c>
      <c r="B346">
        <v>238.3</v>
      </c>
      <c r="C346">
        <v>10.126</v>
      </c>
      <c r="D346">
        <v>238.4</v>
      </c>
      <c r="G346">
        <v>11.43</v>
      </c>
      <c r="H346" s="8" t="s">
        <v>1162</v>
      </c>
      <c r="I346">
        <v>238.3</v>
      </c>
      <c r="K346">
        <f t="shared" si="15"/>
        <v>11.4</v>
      </c>
      <c r="L346">
        <f t="shared" si="16"/>
        <v>0.3924</v>
      </c>
      <c r="M346">
        <f t="shared" si="17"/>
        <v>5</v>
      </c>
    </row>
    <row r="347" spans="1:13">
      <c r="A347">
        <v>11.497</v>
      </c>
      <c r="B347">
        <v>238.3</v>
      </c>
      <c r="C347">
        <v>10.16</v>
      </c>
      <c r="D347">
        <v>238.4</v>
      </c>
      <c r="G347">
        <v>11.463</v>
      </c>
      <c r="H347" s="8" t="s">
        <v>1163</v>
      </c>
      <c r="I347">
        <v>238.3</v>
      </c>
      <c r="K347">
        <f t="shared" si="15"/>
        <v>11.45</v>
      </c>
      <c r="L347">
        <f t="shared" si="16"/>
        <v>0.2491</v>
      </c>
      <c r="M347">
        <f t="shared" si="17"/>
        <v>5</v>
      </c>
    </row>
    <row r="348" spans="1:13">
      <c r="A348">
        <v>11.53</v>
      </c>
      <c r="B348">
        <v>238.3</v>
      </c>
      <c r="C348">
        <v>10.193</v>
      </c>
      <c r="D348" s="2">
        <v>238.4</v>
      </c>
      <c r="E348" s="2"/>
      <c r="F348" s="2"/>
      <c r="G348">
        <v>11.497</v>
      </c>
      <c r="H348" s="8" t="s">
        <v>1164</v>
      </c>
      <c r="I348">
        <v>238.3</v>
      </c>
      <c r="K348">
        <f t="shared" si="15"/>
        <v>11.45</v>
      </c>
      <c r="L348">
        <f t="shared" si="16"/>
        <v>0.1244</v>
      </c>
      <c r="M348">
        <f t="shared" si="17"/>
        <v>5</v>
      </c>
    </row>
    <row r="349" spans="1:13">
      <c r="A349">
        <v>11.563</v>
      </c>
      <c r="B349">
        <v>238.3</v>
      </c>
      <c r="C349">
        <v>10.227</v>
      </c>
      <c r="D349" s="2">
        <v>238.4</v>
      </c>
      <c r="E349" s="2"/>
      <c r="F349" s="2"/>
      <c r="G349">
        <v>11.53</v>
      </c>
      <c r="H349" s="2">
        <v>-4.069e-5</v>
      </c>
      <c r="I349">
        <v>238.3</v>
      </c>
      <c r="K349">
        <f t="shared" si="15"/>
        <v>11.5</v>
      </c>
      <c r="L349">
        <f t="shared" si="16"/>
        <v>-0.004069</v>
      </c>
      <c r="M349">
        <f t="shared" si="17"/>
        <v>5</v>
      </c>
    </row>
    <row r="350" spans="1:13">
      <c r="A350">
        <v>11.597</v>
      </c>
      <c r="B350">
        <v>238.3</v>
      </c>
      <c r="C350">
        <v>10.26</v>
      </c>
      <c r="D350" s="2">
        <v>238.4</v>
      </c>
      <c r="E350" s="2"/>
      <c r="F350" s="2"/>
      <c r="G350">
        <v>11.563</v>
      </c>
      <c r="H350" s="2">
        <v>-0.000154</v>
      </c>
      <c r="I350">
        <v>238.3</v>
      </c>
      <c r="K350">
        <f t="shared" si="15"/>
        <v>11.55</v>
      </c>
      <c r="L350">
        <f t="shared" si="16"/>
        <v>-0.0154</v>
      </c>
      <c r="M350">
        <f t="shared" si="17"/>
        <v>5</v>
      </c>
    </row>
    <row r="351" spans="1:13">
      <c r="A351">
        <v>11.63</v>
      </c>
      <c r="B351">
        <v>238.3</v>
      </c>
      <c r="C351">
        <v>10.293</v>
      </c>
      <c r="D351" s="2">
        <v>238.4</v>
      </c>
      <c r="E351" s="2"/>
      <c r="F351" s="2"/>
      <c r="G351">
        <v>11.597</v>
      </c>
      <c r="H351" s="2">
        <v>-0.001103</v>
      </c>
      <c r="I351">
        <v>238.3</v>
      </c>
      <c r="K351">
        <f t="shared" si="15"/>
        <v>11.55</v>
      </c>
      <c r="L351">
        <f t="shared" si="16"/>
        <v>-0.1103</v>
      </c>
      <c r="M351">
        <f t="shared" si="17"/>
        <v>5</v>
      </c>
    </row>
    <row r="352" spans="1:13">
      <c r="A352">
        <v>11.664</v>
      </c>
      <c r="B352">
        <v>238.3</v>
      </c>
      <c r="C352">
        <v>10.327</v>
      </c>
      <c r="D352" s="2">
        <v>238.4</v>
      </c>
      <c r="E352" s="2"/>
      <c r="F352" s="2"/>
      <c r="G352">
        <v>11.63</v>
      </c>
      <c r="H352" s="2">
        <v>-0.002592</v>
      </c>
      <c r="I352">
        <v>238.3</v>
      </c>
      <c r="K352">
        <f t="shared" si="15"/>
        <v>11.6</v>
      </c>
      <c r="L352">
        <f t="shared" si="16"/>
        <v>-0.2592</v>
      </c>
      <c r="M352">
        <f t="shared" si="17"/>
        <v>5</v>
      </c>
    </row>
    <row r="353" spans="1:13">
      <c r="A353">
        <v>11.697</v>
      </c>
      <c r="B353">
        <v>238.3</v>
      </c>
      <c r="C353">
        <v>10.36</v>
      </c>
      <c r="D353" s="2">
        <v>238.4</v>
      </c>
      <c r="E353" s="2"/>
      <c r="F353" s="2"/>
      <c r="G353">
        <v>11.664</v>
      </c>
      <c r="H353" s="2">
        <v>-0.002603</v>
      </c>
      <c r="I353">
        <v>238.3</v>
      </c>
      <c r="K353">
        <f t="shared" si="15"/>
        <v>11.65</v>
      </c>
      <c r="L353">
        <f t="shared" si="16"/>
        <v>-0.2603</v>
      </c>
      <c r="M353">
        <f t="shared" si="17"/>
        <v>5</v>
      </c>
    </row>
    <row r="354" spans="1:13">
      <c r="A354">
        <v>11.731</v>
      </c>
      <c r="B354">
        <v>238.3</v>
      </c>
      <c r="C354">
        <v>10.394</v>
      </c>
      <c r="D354" s="2">
        <v>238.4</v>
      </c>
      <c r="E354" s="2"/>
      <c r="F354" s="2"/>
      <c r="G354">
        <v>11.697</v>
      </c>
      <c r="H354" s="2">
        <v>-0.002768</v>
      </c>
      <c r="I354">
        <v>238.3</v>
      </c>
      <c r="K354">
        <f t="shared" si="15"/>
        <v>11.65</v>
      </c>
      <c r="L354">
        <f t="shared" si="16"/>
        <v>-0.2768</v>
      </c>
      <c r="M354">
        <f t="shared" si="17"/>
        <v>5</v>
      </c>
    </row>
    <row r="355" spans="1:13">
      <c r="A355">
        <v>11.764</v>
      </c>
      <c r="B355">
        <v>238.3</v>
      </c>
      <c r="C355">
        <v>10.427</v>
      </c>
      <c r="D355" s="2">
        <v>238.4</v>
      </c>
      <c r="E355" s="2"/>
      <c r="F355" s="2"/>
      <c r="G355">
        <v>11.731</v>
      </c>
      <c r="H355" s="2">
        <v>-0.003837</v>
      </c>
      <c r="I355">
        <v>238.3</v>
      </c>
      <c r="K355">
        <f t="shared" si="15"/>
        <v>11.7</v>
      </c>
      <c r="L355">
        <f t="shared" si="16"/>
        <v>-0.3837</v>
      </c>
      <c r="M355">
        <f t="shared" si="17"/>
        <v>5</v>
      </c>
    </row>
    <row r="356" spans="1:13">
      <c r="A356">
        <v>11.797</v>
      </c>
      <c r="B356">
        <v>238.3</v>
      </c>
      <c r="C356">
        <v>10.461</v>
      </c>
      <c r="D356" s="2">
        <v>238.4</v>
      </c>
      <c r="E356" s="2"/>
      <c r="F356" s="2"/>
      <c r="G356">
        <v>11.764</v>
      </c>
      <c r="H356" s="2">
        <v>-0.003801</v>
      </c>
      <c r="I356">
        <v>238.3</v>
      </c>
      <c r="K356">
        <f t="shared" si="15"/>
        <v>11.75</v>
      </c>
      <c r="L356">
        <f t="shared" si="16"/>
        <v>-0.3801</v>
      </c>
      <c r="M356">
        <f t="shared" si="17"/>
        <v>5</v>
      </c>
    </row>
    <row r="357" spans="1:13">
      <c r="A357">
        <v>11.831</v>
      </c>
      <c r="B357">
        <v>238.3</v>
      </c>
      <c r="C357">
        <v>10.494</v>
      </c>
      <c r="D357" s="2">
        <v>158.2</v>
      </c>
      <c r="E357" s="2"/>
      <c r="F357" s="2"/>
      <c r="G357">
        <v>11.797</v>
      </c>
      <c r="H357" s="2">
        <v>-0.003778</v>
      </c>
      <c r="I357">
        <v>238.3</v>
      </c>
      <c r="K357">
        <f t="shared" si="15"/>
        <v>11.75</v>
      </c>
      <c r="L357">
        <f t="shared" si="16"/>
        <v>-0.3778</v>
      </c>
      <c r="M357">
        <f t="shared" si="17"/>
        <v>5</v>
      </c>
    </row>
    <row r="358" spans="1:13">
      <c r="A358">
        <v>11.864</v>
      </c>
      <c r="B358">
        <v>238.3</v>
      </c>
      <c r="C358">
        <v>10.527</v>
      </c>
      <c r="D358" s="2">
        <v>169.6</v>
      </c>
      <c r="E358" s="2"/>
      <c r="F358" s="2"/>
      <c r="G358">
        <v>11.831</v>
      </c>
      <c r="H358" s="2">
        <v>-0.0036</v>
      </c>
      <c r="I358">
        <v>238.3</v>
      </c>
      <c r="K358">
        <f t="shared" si="15"/>
        <v>11.8</v>
      </c>
      <c r="L358">
        <f t="shared" si="16"/>
        <v>-0.36</v>
      </c>
      <c r="M358">
        <f t="shared" si="17"/>
        <v>5</v>
      </c>
    </row>
    <row r="359" spans="1:13">
      <c r="A359">
        <v>11.898</v>
      </c>
      <c r="B359">
        <v>238.3</v>
      </c>
      <c r="C359">
        <v>10.561</v>
      </c>
      <c r="D359" s="2">
        <v>168</v>
      </c>
      <c r="E359" s="2"/>
      <c r="F359" s="2"/>
      <c r="G359">
        <v>11.864</v>
      </c>
      <c r="H359" s="2">
        <v>-0.002636</v>
      </c>
      <c r="I359">
        <v>238.3</v>
      </c>
      <c r="K359">
        <f t="shared" si="15"/>
        <v>11.85</v>
      </c>
      <c r="L359">
        <f t="shared" si="16"/>
        <v>-0.2636</v>
      </c>
      <c r="M359">
        <f t="shared" si="17"/>
        <v>5</v>
      </c>
    </row>
    <row r="360" spans="1:13">
      <c r="A360">
        <v>11.931</v>
      </c>
      <c r="B360">
        <v>238.3</v>
      </c>
      <c r="C360">
        <v>10.594</v>
      </c>
      <c r="D360" s="2">
        <v>167</v>
      </c>
      <c r="E360" s="2"/>
      <c r="F360" s="2"/>
      <c r="G360">
        <v>11.898</v>
      </c>
      <c r="H360" s="2">
        <v>-0.002665</v>
      </c>
      <c r="I360">
        <v>238.3</v>
      </c>
      <c r="K360">
        <f t="shared" si="15"/>
        <v>11.85</v>
      </c>
      <c r="L360">
        <f t="shared" si="16"/>
        <v>-0.2665</v>
      </c>
      <c r="M360">
        <f t="shared" si="17"/>
        <v>5</v>
      </c>
    </row>
    <row r="361" spans="1:13">
      <c r="A361">
        <v>11.964</v>
      </c>
      <c r="B361">
        <v>238.3</v>
      </c>
      <c r="C361">
        <v>10.628</v>
      </c>
      <c r="D361" s="2">
        <v>165.8</v>
      </c>
      <c r="E361" s="2"/>
      <c r="F361" s="2"/>
      <c r="G361">
        <v>11.931</v>
      </c>
      <c r="H361" s="2">
        <v>-0.00188</v>
      </c>
      <c r="I361">
        <v>238.3</v>
      </c>
      <c r="K361">
        <f t="shared" si="15"/>
        <v>11.9</v>
      </c>
      <c r="L361">
        <f t="shared" si="16"/>
        <v>-0.188</v>
      </c>
      <c r="M361">
        <f t="shared" si="17"/>
        <v>5</v>
      </c>
    </row>
    <row r="362" spans="1:13">
      <c r="A362">
        <v>11.998</v>
      </c>
      <c r="B362">
        <v>238.3</v>
      </c>
      <c r="C362">
        <v>10.661</v>
      </c>
      <c r="D362">
        <v>164.5</v>
      </c>
      <c r="G362">
        <v>11.964</v>
      </c>
      <c r="H362" s="2">
        <v>-0.001322</v>
      </c>
      <c r="I362">
        <v>238.3</v>
      </c>
      <c r="K362">
        <f t="shared" si="15"/>
        <v>11.95</v>
      </c>
      <c r="L362">
        <f t="shared" si="16"/>
        <v>-0.1322</v>
      </c>
      <c r="M362">
        <f t="shared" si="17"/>
        <v>5</v>
      </c>
    </row>
    <row r="363" spans="1:13">
      <c r="A363">
        <v>12.031</v>
      </c>
      <c r="B363">
        <v>238.4</v>
      </c>
      <c r="C363">
        <v>10.694</v>
      </c>
      <c r="D363">
        <v>162.5</v>
      </c>
      <c r="G363">
        <v>11.998</v>
      </c>
      <c r="H363" s="8" t="s">
        <v>1165</v>
      </c>
      <c r="I363">
        <v>238.3</v>
      </c>
      <c r="K363">
        <f t="shared" si="15"/>
        <v>11.95</v>
      </c>
      <c r="L363">
        <f t="shared" si="16"/>
        <v>0.001041</v>
      </c>
      <c r="M363">
        <f t="shared" si="17"/>
        <v>5</v>
      </c>
    </row>
    <row r="364" spans="1:13">
      <c r="A364">
        <v>12.065</v>
      </c>
      <c r="B364">
        <v>238.4</v>
      </c>
      <c r="C364">
        <v>10.728</v>
      </c>
      <c r="D364">
        <v>161</v>
      </c>
      <c r="G364">
        <v>12.031</v>
      </c>
      <c r="H364" s="8" t="s">
        <v>1166</v>
      </c>
      <c r="I364">
        <v>238.4</v>
      </c>
      <c r="K364">
        <f t="shared" si="15"/>
        <v>12</v>
      </c>
      <c r="L364">
        <f t="shared" si="16"/>
        <v>0.09882</v>
      </c>
      <c r="M364">
        <f t="shared" si="17"/>
        <v>5</v>
      </c>
    </row>
    <row r="365" spans="1:13">
      <c r="A365">
        <v>12.098</v>
      </c>
      <c r="B365">
        <v>238.4</v>
      </c>
      <c r="C365">
        <v>10.761</v>
      </c>
      <c r="D365">
        <v>159.8</v>
      </c>
      <c r="G365">
        <v>12.065</v>
      </c>
      <c r="H365" s="8" t="s">
        <v>1167</v>
      </c>
      <c r="I365">
        <v>238.4</v>
      </c>
      <c r="K365">
        <f t="shared" si="15"/>
        <v>12.05</v>
      </c>
      <c r="L365">
        <f t="shared" si="16"/>
        <v>0.2378</v>
      </c>
      <c r="M365">
        <f t="shared" si="17"/>
        <v>5</v>
      </c>
    </row>
    <row r="366" spans="1:13">
      <c r="A366">
        <v>12.132</v>
      </c>
      <c r="B366">
        <v>171.4</v>
      </c>
      <c r="C366">
        <v>10.795</v>
      </c>
      <c r="D366">
        <v>158.3</v>
      </c>
      <c r="G366">
        <v>12.098</v>
      </c>
      <c r="H366" s="8" t="s">
        <v>1168</v>
      </c>
      <c r="I366">
        <v>238.4</v>
      </c>
      <c r="K366">
        <f t="shared" si="15"/>
        <v>12.05</v>
      </c>
      <c r="L366">
        <f t="shared" si="16"/>
        <v>0.2516</v>
      </c>
      <c r="M366">
        <f t="shared" si="17"/>
        <v>5</v>
      </c>
    </row>
    <row r="367" spans="1:13">
      <c r="A367">
        <v>12.165</v>
      </c>
      <c r="B367">
        <v>184.1</v>
      </c>
      <c r="C367">
        <v>10.828</v>
      </c>
      <c r="D367">
        <v>157.5</v>
      </c>
      <c r="G367">
        <v>12.132</v>
      </c>
      <c r="H367" s="8" t="s">
        <v>1169</v>
      </c>
      <c r="I367">
        <v>171.4</v>
      </c>
      <c r="K367">
        <f t="shared" si="15"/>
        <v>12.1</v>
      </c>
      <c r="L367">
        <f t="shared" si="16"/>
        <v>0.3804</v>
      </c>
      <c r="M367">
        <f t="shared" si="17"/>
        <v>0</v>
      </c>
    </row>
    <row r="368" spans="1:13">
      <c r="A368">
        <v>12.198</v>
      </c>
      <c r="B368">
        <v>182.4</v>
      </c>
      <c r="C368">
        <v>10.862</v>
      </c>
      <c r="D368">
        <v>156</v>
      </c>
      <c r="G368">
        <v>12.165</v>
      </c>
      <c r="H368" s="8" t="s">
        <v>1170</v>
      </c>
      <c r="I368">
        <v>184.1</v>
      </c>
      <c r="K368">
        <f t="shared" si="15"/>
        <v>12.15</v>
      </c>
      <c r="L368">
        <f t="shared" si="16"/>
        <v>0.5033</v>
      </c>
      <c r="M368">
        <f t="shared" si="17"/>
        <v>0</v>
      </c>
    </row>
    <row r="369" spans="1:13">
      <c r="A369">
        <v>12.232</v>
      </c>
      <c r="B369">
        <v>180.4</v>
      </c>
      <c r="C369">
        <v>10.895</v>
      </c>
      <c r="D369">
        <v>155.2</v>
      </c>
      <c r="G369">
        <v>12.198</v>
      </c>
      <c r="H369" s="8" t="s">
        <v>1171</v>
      </c>
      <c r="I369">
        <v>182.4</v>
      </c>
      <c r="K369">
        <f t="shared" si="15"/>
        <v>12.15</v>
      </c>
      <c r="L369">
        <f t="shared" si="16"/>
        <v>0.6329</v>
      </c>
      <c r="M369">
        <f t="shared" si="17"/>
        <v>0</v>
      </c>
    </row>
    <row r="370" spans="1:13">
      <c r="A370">
        <v>12.265</v>
      </c>
      <c r="B370">
        <v>180</v>
      </c>
      <c r="C370">
        <v>10.928</v>
      </c>
      <c r="D370">
        <v>153.2</v>
      </c>
      <c r="G370">
        <v>12.232</v>
      </c>
      <c r="H370" s="8" t="s">
        <v>1060</v>
      </c>
      <c r="I370">
        <v>180.4</v>
      </c>
      <c r="K370">
        <f t="shared" si="15"/>
        <v>12.2</v>
      </c>
      <c r="L370">
        <f t="shared" si="16"/>
        <v>0.7586</v>
      </c>
      <c r="M370">
        <f t="shared" si="17"/>
        <v>0</v>
      </c>
    </row>
    <row r="371" spans="1:13">
      <c r="A371">
        <v>12.299</v>
      </c>
      <c r="B371">
        <v>178.3</v>
      </c>
      <c r="C371">
        <v>10.962</v>
      </c>
      <c r="D371">
        <v>152.2</v>
      </c>
      <c r="G371">
        <v>12.265</v>
      </c>
      <c r="H371" s="8" t="s">
        <v>1172</v>
      </c>
      <c r="I371">
        <v>180</v>
      </c>
      <c r="K371">
        <f t="shared" si="15"/>
        <v>12.25</v>
      </c>
      <c r="L371">
        <f t="shared" si="16"/>
        <v>0.8227</v>
      </c>
      <c r="M371">
        <f t="shared" si="17"/>
        <v>0</v>
      </c>
    </row>
    <row r="372" spans="1:13">
      <c r="A372">
        <v>12.332</v>
      </c>
      <c r="B372">
        <v>177.5</v>
      </c>
      <c r="C372">
        <v>10.995</v>
      </c>
      <c r="D372">
        <v>150.5</v>
      </c>
      <c r="G372">
        <v>12.299</v>
      </c>
      <c r="H372" s="8" t="s">
        <v>1173</v>
      </c>
      <c r="I372">
        <v>178.3</v>
      </c>
      <c r="K372">
        <f t="shared" si="15"/>
        <v>12.25</v>
      </c>
      <c r="L372">
        <f t="shared" si="16"/>
        <v>0.892</v>
      </c>
      <c r="M372">
        <f t="shared" si="17"/>
        <v>0</v>
      </c>
    </row>
    <row r="373" spans="1:13">
      <c r="A373">
        <v>12.365</v>
      </c>
      <c r="B373">
        <v>175.8</v>
      </c>
      <c r="C373">
        <v>11.029</v>
      </c>
      <c r="D373">
        <v>149.6</v>
      </c>
      <c r="G373">
        <v>12.332</v>
      </c>
      <c r="H373" s="8" t="s">
        <v>313</v>
      </c>
      <c r="I373">
        <v>177.5</v>
      </c>
      <c r="K373">
        <f t="shared" si="15"/>
        <v>12.3</v>
      </c>
      <c r="L373">
        <f t="shared" si="16"/>
        <v>1.011</v>
      </c>
      <c r="M373">
        <f t="shared" si="17"/>
        <v>0</v>
      </c>
    </row>
    <row r="374" spans="1:13">
      <c r="A374">
        <v>12.399</v>
      </c>
      <c r="B374">
        <v>174.7</v>
      </c>
      <c r="C374">
        <v>11.062</v>
      </c>
      <c r="D374">
        <v>147.4</v>
      </c>
      <c r="G374">
        <v>12.365</v>
      </c>
      <c r="H374" s="8" t="s">
        <v>134</v>
      </c>
      <c r="I374">
        <v>175.8</v>
      </c>
      <c r="K374">
        <f t="shared" si="15"/>
        <v>12.35</v>
      </c>
      <c r="L374">
        <f t="shared" si="16"/>
        <v>1.066</v>
      </c>
      <c r="M374">
        <f t="shared" si="17"/>
        <v>0</v>
      </c>
    </row>
    <row r="375" spans="1:13">
      <c r="A375">
        <v>12.432</v>
      </c>
      <c r="B375">
        <v>174</v>
      </c>
      <c r="C375">
        <v>11.096</v>
      </c>
      <c r="D375">
        <v>146.5</v>
      </c>
      <c r="G375">
        <v>12.399</v>
      </c>
      <c r="H375" s="8" t="s">
        <v>1174</v>
      </c>
      <c r="I375">
        <v>174.7</v>
      </c>
      <c r="K375">
        <f t="shared" si="15"/>
        <v>12.35</v>
      </c>
      <c r="L375">
        <f t="shared" si="16"/>
        <v>1.065</v>
      </c>
      <c r="M375">
        <f t="shared" si="17"/>
        <v>0</v>
      </c>
    </row>
    <row r="376" spans="1:13">
      <c r="A376">
        <v>12.466</v>
      </c>
      <c r="B376">
        <v>172.8</v>
      </c>
      <c r="C376">
        <v>11.129</v>
      </c>
      <c r="D376">
        <v>144.7</v>
      </c>
      <c r="G376">
        <v>12.432</v>
      </c>
      <c r="H376" s="8" t="s">
        <v>435</v>
      </c>
      <c r="I376">
        <v>174</v>
      </c>
      <c r="K376">
        <f t="shared" si="15"/>
        <v>12.4</v>
      </c>
      <c r="L376">
        <f t="shared" si="16"/>
        <v>1.154</v>
      </c>
      <c r="M376">
        <f t="shared" si="17"/>
        <v>0</v>
      </c>
    </row>
    <row r="377" spans="1:13">
      <c r="A377">
        <v>12.499</v>
      </c>
      <c r="B377">
        <v>171.6</v>
      </c>
      <c r="C377">
        <v>11.162</v>
      </c>
      <c r="D377">
        <v>143.7</v>
      </c>
      <c r="G377">
        <v>12.466</v>
      </c>
      <c r="H377" s="8" t="s">
        <v>191</v>
      </c>
      <c r="I377">
        <v>172.8</v>
      </c>
      <c r="K377">
        <f t="shared" si="15"/>
        <v>12.45</v>
      </c>
      <c r="L377">
        <f t="shared" si="16"/>
        <v>1.219</v>
      </c>
      <c r="M377">
        <f t="shared" si="17"/>
        <v>0</v>
      </c>
    </row>
    <row r="378" spans="1:13">
      <c r="A378">
        <v>12.533</v>
      </c>
      <c r="B378">
        <v>170.8</v>
      </c>
      <c r="C378">
        <v>11.196</v>
      </c>
      <c r="D378">
        <v>142.9</v>
      </c>
      <c r="G378">
        <v>12.499</v>
      </c>
      <c r="H378" s="8" t="s">
        <v>399</v>
      </c>
      <c r="I378">
        <v>171.6</v>
      </c>
      <c r="K378">
        <f t="shared" si="15"/>
        <v>12.45</v>
      </c>
      <c r="L378">
        <f t="shared" si="16"/>
        <v>1.214</v>
      </c>
      <c r="M378">
        <f t="shared" si="17"/>
        <v>0</v>
      </c>
    </row>
    <row r="379" spans="1:13">
      <c r="A379">
        <v>12.566</v>
      </c>
      <c r="B379">
        <v>169.7</v>
      </c>
      <c r="C379">
        <v>11.229</v>
      </c>
      <c r="D379">
        <v>140.6</v>
      </c>
      <c r="G379">
        <v>12.533</v>
      </c>
      <c r="H379" s="8" t="s">
        <v>1175</v>
      </c>
      <c r="I379">
        <v>170.8</v>
      </c>
      <c r="K379">
        <f t="shared" si="15"/>
        <v>12.5</v>
      </c>
      <c r="L379">
        <f t="shared" si="16"/>
        <v>1.25</v>
      </c>
      <c r="M379">
        <f t="shared" si="17"/>
        <v>0</v>
      </c>
    </row>
    <row r="380" spans="1:13">
      <c r="A380">
        <v>12.599</v>
      </c>
      <c r="B380">
        <v>168.2</v>
      </c>
      <c r="C380">
        <v>11.263</v>
      </c>
      <c r="D380">
        <v>138.4</v>
      </c>
      <c r="G380">
        <v>12.566</v>
      </c>
      <c r="H380" s="8" t="s">
        <v>1175</v>
      </c>
      <c r="I380">
        <v>169.7</v>
      </c>
      <c r="K380">
        <f t="shared" si="15"/>
        <v>12.55</v>
      </c>
      <c r="L380">
        <f t="shared" si="16"/>
        <v>1.25</v>
      </c>
      <c r="M380">
        <f t="shared" si="17"/>
        <v>0</v>
      </c>
    </row>
    <row r="381" spans="1:13">
      <c r="A381">
        <v>12.633</v>
      </c>
      <c r="B381">
        <v>167.9</v>
      </c>
      <c r="C381">
        <v>11.296</v>
      </c>
      <c r="D381">
        <v>238.2</v>
      </c>
      <c r="G381">
        <v>12.599</v>
      </c>
      <c r="H381" s="8" t="s">
        <v>1176</v>
      </c>
      <c r="I381">
        <v>168.2</v>
      </c>
      <c r="K381">
        <f t="shared" si="15"/>
        <v>12.55</v>
      </c>
      <c r="L381">
        <f t="shared" si="16"/>
        <v>1.144</v>
      </c>
      <c r="M381">
        <f t="shared" si="17"/>
        <v>0</v>
      </c>
    </row>
    <row r="382" spans="1:13">
      <c r="A382">
        <v>12.666</v>
      </c>
      <c r="B382">
        <v>165.8</v>
      </c>
      <c r="C382">
        <v>11.329</v>
      </c>
      <c r="D382">
        <v>238.2</v>
      </c>
      <c r="G382">
        <v>12.633</v>
      </c>
      <c r="H382" s="8" t="s">
        <v>390</v>
      </c>
      <c r="I382">
        <v>167.9</v>
      </c>
      <c r="K382">
        <f t="shared" si="15"/>
        <v>12.6</v>
      </c>
      <c r="L382">
        <f t="shared" si="16"/>
        <v>1.17</v>
      </c>
      <c r="M382">
        <f t="shared" si="17"/>
        <v>0</v>
      </c>
    </row>
    <row r="383" spans="1:13">
      <c r="A383">
        <v>12.7</v>
      </c>
      <c r="B383">
        <v>165</v>
      </c>
      <c r="C383">
        <v>11.363</v>
      </c>
      <c r="D383">
        <v>238.3</v>
      </c>
      <c r="G383">
        <v>12.666</v>
      </c>
      <c r="H383" s="8" t="s">
        <v>103</v>
      </c>
      <c r="I383">
        <v>165.8</v>
      </c>
      <c r="K383">
        <f t="shared" si="15"/>
        <v>12.65</v>
      </c>
      <c r="L383">
        <f t="shared" si="16"/>
        <v>1.096</v>
      </c>
      <c r="M383">
        <f t="shared" si="17"/>
        <v>0</v>
      </c>
    </row>
    <row r="384" spans="1:13">
      <c r="A384">
        <v>12.733</v>
      </c>
      <c r="B384">
        <v>165</v>
      </c>
      <c r="C384">
        <v>11.396</v>
      </c>
      <c r="D384">
        <v>238.3</v>
      </c>
      <c r="G384">
        <v>12.7</v>
      </c>
      <c r="H384" s="8" t="s">
        <v>1177</v>
      </c>
      <c r="I384">
        <v>165</v>
      </c>
      <c r="K384">
        <f t="shared" si="15"/>
        <v>12.7</v>
      </c>
      <c r="L384">
        <f t="shared" si="16"/>
        <v>0.9877</v>
      </c>
      <c r="M384">
        <f t="shared" si="17"/>
        <v>0</v>
      </c>
    </row>
    <row r="385" spans="1:13">
      <c r="A385">
        <v>12.767</v>
      </c>
      <c r="B385">
        <v>162.7</v>
      </c>
      <c r="C385">
        <v>11.43</v>
      </c>
      <c r="D385">
        <v>238.3</v>
      </c>
      <c r="G385">
        <v>12.733</v>
      </c>
      <c r="H385" s="8" t="s">
        <v>1178</v>
      </c>
      <c r="I385">
        <v>165</v>
      </c>
      <c r="K385">
        <f t="shared" si="15"/>
        <v>12.7</v>
      </c>
      <c r="L385">
        <f t="shared" si="16"/>
        <v>0.9965</v>
      </c>
      <c r="M385">
        <f t="shared" si="17"/>
        <v>0</v>
      </c>
    </row>
    <row r="386" spans="1:13">
      <c r="A386">
        <v>12.8</v>
      </c>
      <c r="B386">
        <v>161.4</v>
      </c>
      <c r="C386">
        <v>11.463</v>
      </c>
      <c r="D386">
        <v>238.3</v>
      </c>
      <c r="G386">
        <v>12.767</v>
      </c>
      <c r="H386" s="8" t="s">
        <v>1179</v>
      </c>
      <c r="I386">
        <v>162.7</v>
      </c>
      <c r="K386">
        <f t="shared" si="15"/>
        <v>12.75</v>
      </c>
      <c r="L386">
        <f t="shared" si="16"/>
        <v>0.8101</v>
      </c>
      <c r="M386">
        <f t="shared" si="17"/>
        <v>0</v>
      </c>
    </row>
    <row r="387" spans="1:13">
      <c r="A387">
        <v>12.833</v>
      </c>
      <c r="B387">
        <v>160</v>
      </c>
      <c r="C387">
        <v>11.497</v>
      </c>
      <c r="D387">
        <v>238.3</v>
      </c>
      <c r="G387">
        <v>12.8</v>
      </c>
      <c r="H387" s="8" t="s">
        <v>1180</v>
      </c>
      <c r="I387">
        <v>161.4</v>
      </c>
      <c r="K387">
        <f t="shared" si="15"/>
        <v>12.8</v>
      </c>
      <c r="L387">
        <f t="shared" si="16"/>
        <v>0.7509</v>
      </c>
      <c r="M387">
        <f t="shared" si="17"/>
        <v>0</v>
      </c>
    </row>
    <row r="388" spans="1:13">
      <c r="A388">
        <v>12.867</v>
      </c>
      <c r="B388">
        <v>159</v>
      </c>
      <c r="C388">
        <v>11.53</v>
      </c>
      <c r="D388">
        <v>238.3</v>
      </c>
      <c r="G388">
        <v>12.833</v>
      </c>
      <c r="H388" s="8" t="s">
        <v>1181</v>
      </c>
      <c r="I388">
        <v>160</v>
      </c>
      <c r="K388">
        <f t="shared" ref="K388:K451" si="18">FLOOR(G388,0.05)</f>
        <v>12.8</v>
      </c>
      <c r="L388">
        <f t="shared" si="16"/>
        <v>0.7413</v>
      </c>
      <c r="M388">
        <f t="shared" si="17"/>
        <v>0</v>
      </c>
    </row>
    <row r="389" spans="1:13">
      <c r="A389">
        <v>12.9</v>
      </c>
      <c r="B389">
        <v>227.2</v>
      </c>
      <c r="C389">
        <v>11.563</v>
      </c>
      <c r="D389">
        <v>238.3</v>
      </c>
      <c r="G389">
        <v>12.867</v>
      </c>
      <c r="H389" s="8" t="s">
        <v>1182</v>
      </c>
      <c r="I389">
        <v>159</v>
      </c>
      <c r="K389">
        <f t="shared" si="18"/>
        <v>12.85</v>
      </c>
      <c r="L389">
        <f t="shared" ref="L389:L452" si="19">H389*100</f>
        <v>0.5271</v>
      </c>
      <c r="M389">
        <f t="shared" ref="M389:M452" si="20">IF(I389&lt;230,0,5)</f>
        <v>0</v>
      </c>
    </row>
    <row r="390" spans="1:13">
      <c r="A390">
        <v>12.934</v>
      </c>
      <c r="B390">
        <v>238.4</v>
      </c>
      <c r="C390">
        <v>11.597</v>
      </c>
      <c r="D390">
        <v>238.3</v>
      </c>
      <c r="G390">
        <v>12.9</v>
      </c>
      <c r="H390" s="8" t="s">
        <v>1183</v>
      </c>
      <c r="I390">
        <v>227.2</v>
      </c>
      <c r="K390">
        <f t="shared" si="18"/>
        <v>12.9</v>
      </c>
      <c r="L390">
        <f t="shared" si="19"/>
        <v>0.4851</v>
      </c>
      <c r="M390">
        <f t="shared" si="20"/>
        <v>0</v>
      </c>
    </row>
    <row r="391" spans="1:13">
      <c r="A391">
        <v>12.967</v>
      </c>
      <c r="B391">
        <v>238.4</v>
      </c>
      <c r="C391">
        <v>11.63</v>
      </c>
      <c r="D391">
        <v>238.3</v>
      </c>
      <c r="G391">
        <v>12.934</v>
      </c>
      <c r="H391" s="8" t="s">
        <v>1184</v>
      </c>
      <c r="I391">
        <v>238.4</v>
      </c>
      <c r="K391">
        <f t="shared" si="18"/>
        <v>12.9</v>
      </c>
      <c r="L391">
        <f t="shared" si="19"/>
        <v>0.4258</v>
      </c>
      <c r="M391">
        <f t="shared" si="20"/>
        <v>5</v>
      </c>
    </row>
    <row r="392" spans="1:13">
      <c r="A392">
        <v>13</v>
      </c>
      <c r="B392">
        <v>238.4</v>
      </c>
      <c r="C392">
        <v>11.664</v>
      </c>
      <c r="D392">
        <v>238.3</v>
      </c>
      <c r="G392">
        <v>12.967</v>
      </c>
      <c r="H392" s="8" t="s">
        <v>1185</v>
      </c>
      <c r="I392">
        <v>238.4</v>
      </c>
      <c r="K392">
        <f t="shared" si="18"/>
        <v>12.95</v>
      </c>
      <c r="L392">
        <f t="shared" si="19"/>
        <v>0.3193</v>
      </c>
      <c r="M392">
        <f t="shared" si="20"/>
        <v>5</v>
      </c>
    </row>
    <row r="393" spans="1:13">
      <c r="A393">
        <v>13.034</v>
      </c>
      <c r="B393">
        <v>238.4</v>
      </c>
      <c r="C393">
        <v>11.697</v>
      </c>
      <c r="D393">
        <v>238.3</v>
      </c>
      <c r="G393">
        <v>13</v>
      </c>
      <c r="H393" s="8" t="s">
        <v>661</v>
      </c>
      <c r="I393">
        <v>238.4</v>
      </c>
      <c r="K393">
        <f t="shared" si="18"/>
        <v>13</v>
      </c>
      <c r="L393">
        <f t="shared" si="19"/>
        <v>0.1746</v>
      </c>
      <c r="M393">
        <f t="shared" si="20"/>
        <v>5</v>
      </c>
    </row>
    <row r="394" spans="1:13">
      <c r="A394">
        <v>13.067</v>
      </c>
      <c r="B394">
        <v>238.4</v>
      </c>
      <c r="C394">
        <v>11.731</v>
      </c>
      <c r="D394" s="2">
        <v>238.3</v>
      </c>
      <c r="E394" s="2"/>
      <c r="F394" s="2"/>
      <c r="G394">
        <v>13.034</v>
      </c>
      <c r="H394" s="8" t="s">
        <v>1186</v>
      </c>
      <c r="I394">
        <v>238.4</v>
      </c>
      <c r="K394">
        <f t="shared" si="18"/>
        <v>13</v>
      </c>
      <c r="L394">
        <f t="shared" si="19"/>
        <v>0.1442</v>
      </c>
      <c r="M394">
        <f t="shared" si="20"/>
        <v>5</v>
      </c>
    </row>
    <row r="395" spans="1:13">
      <c r="A395">
        <v>13.101</v>
      </c>
      <c r="B395">
        <v>238.4</v>
      </c>
      <c r="C395">
        <v>11.764</v>
      </c>
      <c r="D395" s="2">
        <v>238.3</v>
      </c>
      <c r="E395" s="2"/>
      <c r="F395" s="2"/>
      <c r="G395">
        <v>13.067</v>
      </c>
      <c r="H395" s="2">
        <v>-0.0001062</v>
      </c>
      <c r="I395">
        <v>238.4</v>
      </c>
      <c r="K395">
        <f t="shared" si="18"/>
        <v>13.05</v>
      </c>
      <c r="L395">
        <f t="shared" si="19"/>
        <v>-0.01062</v>
      </c>
      <c r="M395">
        <f t="shared" si="20"/>
        <v>5</v>
      </c>
    </row>
    <row r="396" spans="1:13">
      <c r="A396">
        <v>13.134</v>
      </c>
      <c r="B396">
        <v>238.4</v>
      </c>
      <c r="C396">
        <v>11.797</v>
      </c>
      <c r="D396" s="2">
        <v>238.3</v>
      </c>
      <c r="E396" s="2"/>
      <c r="F396" s="2"/>
      <c r="G396">
        <v>13.101</v>
      </c>
      <c r="H396" s="2">
        <v>-0.0002843</v>
      </c>
      <c r="I396">
        <v>238.4</v>
      </c>
      <c r="K396">
        <f t="shared" si="18"/>
        <v>13.1</v>
      </c>
      <c r="L396">
        <f t="shared" si="19"/>
        <v>-0.02843</v>
      </c>
      <c r="M396">
        <f t="shared" si="20"/>
        <v>5</v>
      </c>
    </row>
    <row r="397" spans="1:13">
      <c r="A397">
        <v>13.168</v>
      </c>
      <c r="B397">
        <v>238.4</v>
      </c>
      <c r="C397">
        <v>11.831</v>
      </c>
      <c r="D397" s="2">
        <v>238.3</v>
      </c>
      <c r="E397" s="2"/>
      <c r="F397" s="2"/>
      <c r="G397">
        <v>13.134</v>
      </c>
      <c r="H397" s="2">
        <v>-0.001243</v>
      </c>
      <c r="I397">
        <v>238.4</v>
      </c>
      <c r="K397">
        <f t="shared" si="18"/>
        <v>13.1</v>
      </c>
      <c r="L397">
        <f t="shared" si="19"/>
        <v>-0.1243</v>
      </c>
      <c r="M397">
        <f t="shared" si="20"/>
        <v>5</v>
      </c>
    </row>
    <row r="398" spans="1:13">
      <c r="A398">
        <v>13.201</v>
      </c>
      <c r="B398">
        <v>238.4</v>
      </c>
      <c r="C398">
        <v>11.864</v>
      </c>
      <c r="D398" s="2">
        <v>238.3</v>
      </c>
      <c r="E398" s="2"/>
      <c r="F398" s="2"/>
      <c r="G398">
        <v>13.168</v>
      </c>
      <c r="H398" s="2">
        <v>-0.001718</v>
      </c>
      <c r="I398">
        <v>238.4</v>
      </c>
      <c r="K398">
        <f t="shared" si="18"/>
        <v>13.15</v>
      </c>
      <c r="L398">
        <f t="shared" si="19"/>
        <v>-0.1718</v>
      </c>
      <c r="M398">
        <f t="shared" si="20"/>
        <v>5</v>
      </c>
    </row>
    <row r="399" spans="1:13">
      <c r="A399">
        <v>13.234</v>
      </c>
      <c r="B399">
        <v>238.4</v>
      </c>
      <c r="C399">
        <v>11.898</v>
      </c>
      <c r="D399" s="2">
        <v>238.3</v>
      </c>
      <c r="E399" s="2"/>
      <c r="F399" s="2"/>
      <c r="G399">
        <v>13.201</v>
      </c>
      <c r="H399" s="2">
        <v>-0.002773</v>
      </c>
      <c r="I399">
        <v>238.4</v>
      </c>
      <c r="K399">
        <f t="shared" si="18"/>
        <v>13.2</v>
      </c>
      <c r="L399">
        <f t="shared" si="19"/>
        <v>-0.2773</v>
      </c>
      <c r="M399">
        <f t="shared" si="20"/>
        <v>5</v>
      </c>
    </row>
    <row r="400" spans="1:13">
      <c r="A400">
        <v>13.268</v>
      </c>
      <c r="B400">
        <v>238.4</v>
      </c>
      <c r="C400">
        <v>11.931</v>
      </c>
      <c r="D400" s="2">
        <v>238.3</v>
      </c>
      <c r="E400" s="2"/>
      <c r="F400" s="2"/>
      <c r="G400">
        <v>13.234</v>
      </c>
      <c r="H400" s="2">
        <v>-0.002591</v>
      </c>
      <c r="I400">
        <v>238.4</v>
      </c>
      <c r="K400">
        <f t="shared" si="18"/>
        <v>13.2</v>
      </c>
      <c r="L400">
        <f t="shared" si="19"/>
        <v>-0.2591</v>
      </c>
      <c r="M400">
        <f t="shared" si="20"/>
        <v>5</v>
      </c>
    </row>
    <row r="401" spans="1:13">
      <c r="A401">
        <v>13.301</v>
      </c>
      <c r="B401">
        <v>238.4</v>
      </c>
      <c r="C401">
        <v>11.964</v>
      </c>
      <c r="D401" s="2">
        <v>238.3</v>
      </c>
      <c r="E401" s="2"/>
      <c r="F401" s="2"/>
      <c r="G401">
        <v>13.268</v>
      </c>
      <c r="H401" s="2">
        <v>-0.00266</v>
      </c>
      <c r="I401">
        <v>238.4</v>
      </c>
      <c r="K401">
        <f t="shared" si="18"/>
        <v>13.25</v>
      </c>
      <c r="L401">
        <f t="shared" si="19"/>
        <v>-0.266</v>
      </c>
      <c r="M401">
        <f t="shared" si="20"/>
        <v>5</v>
      </c>
    </row>
    <row r="402" spans="1:13">
      <c r="A402">
        <v>13.335</v>
      </c>
      <c r="B402">
        <v>238.4</v>
      </c>
      <c r="C402">
        <v>11.998</v>
      </c>
      <c r="D402" s="2">
        <v>238.3</v>
      </c>
      <c r="E402" s="2"/>
      <c r="F402" s="2"/>
      <c r="G402">
        <v>13.301</v>
      </c>
      <c r="H402" s="2">
        <v>-0.002544</v>
      </c>
      <c r="I402">
        <v>238.4</v>
      </c>
      <c r="K402">
        <f t="shared" si="18"/>
        <v>13.3</v>
      </c>
      <c r="L402">
        <f t="shared" si="19"/>
        <v>-0.2544</v>
      </c>
      <c r="M402">
        <f t="shared" si="20"/>
        <v>5</v>
      </c>
    </row>
    <row r="403" spans="1:13">
      <c r="A403">
        <v>13.368</v>
      </c>
      <c r="B403">
        <v>238.4</v>
      </c>
      <c r="C403">
        <v>12.031</v>
      </c>
      <c r="D403" s="2">
        <v>238.4</v>
      </c>
      <c r="E403" s="2"/>
      <c r="F403" s="2"/>
      <c r="G403">
        <v>13.335</v>
      </c>
      <c r="H403" s="2">
        <v>-0.002698</v>
      </c>
      <c r="I403">
        <v>238.4</v>
      </c>
      <c r="K403">
        <f t="shared" si="18"/>
        <v>13.3</v>
      </c>
      <c r="L403">
        <f t="shared" si="19"/>
        <v>-0.2698</v>
      </c>
      <c r="M403">
        <f t="shared" si="20"/>
        <v>5</v>
      </c>
    </row>
    <row r="404" spans="1:13">
      <c r="A404">
        <v>13.402</v>
      </c>
      <c r="B404">
        <v>238.4</v>
      </c>
      <c r="C404">
        <v>12.065</v>
      </c>
      <c r="D404" s="2">
        <v>238.4</v>
      </c>
      <c r="E404" s="2"/>
      <c r="F404" s="2"/>
      <c r="G404">
        <v>13.368</v>
      </c>
      <c r="H404" s="2">
        <v>-0.002645</v>
      </c>
      <c r="I404">
        <v>238.4</v>
      </c>
      <c r="K404">
        <f t="shared" si="18"/>
        <v>13.35</v>
      </c>
      <c r="L404">
        <f t="shared" si="19"/>
        <v>-0.2645</v>
      </c>
      <c r="M404">
        <f t="shared" si="20"/>
        <v>5</v>
      </c>
    </row>
    <row r="405" spans="1:13">
      <c r="A405">
        <v>13.435</v>
      </c>
      <c r="B405">
        <v>238.4</v>
      </c>
      <c r="C405">
        <v>12.098</v>
      </c>
      <c r="D405" s="2">
        <v>238.4</v>
      </c>
      <c r="E405" s="2"/>
      <c r="F405" s="2"/>
      <c r="G405">
        <v>13.402</v>
      </c>
      <c r="H405" s="2">
        <v>-0.001405</v>
      </c>
      <c r="I405">
        <v>238.4</v>
      </c>
      <c r="K405">
        <f t="shared" si="18"/>
        <v>13.4</v>
      </c>
      <c r="L405">
        <f t="shared" si="19"/>
        <v>-0.1405</v>
      </c>
      <c r="M405">
        <f t="shared" si="20"/>
        <v>5</v>
      </c>
    </row>
    <row r="406" spans="1:13">
      <c r="A406">
        <v>13.468</v>
      </c>
      <c r="B406">
        <v>238.4</v>
      </c>
      <c r="C406">
        <v>12.132</v>
      </c>
      <c r="D406" s="2">
        <v>171.4</v>
      </c>
      <c r="E406" s="2"/>
      <c r="F406" s="2"/>
      <c r="G406">
        <v>13.435</v>
      </c>
      <c r="H406" s="2">
        <v>-0.001581</v>
      </c>
      <c r="I406">
        <v>238.4</v>
      </c>
      <c r="K406">
        <f t="shared" si="18"/>
        <v>13.4</v>
      </c>
      <c r="L406">
        <f t="shared" si="19"/>
        <v>-0.1581</v>
      </c>
      <c r="M406">
        <f t="shared" si="20"/>
        <v>5</v>
      </c>
    </row>
    <row r="407" spans="1:13">
      <c r="A407">
        <v>13.502</v>
      </c>
      <c r="B407">
        <v>238.4</v>
      </c>
      <c r="C407">
        <v>12.165</v>
      </c>
      <c r="D407" s="2">
        <v>184.1</v>
      </c>
      <c r="E407" s="2"/>
      <c r="F407" s="2"/>
      <c r="G407">
        <v>13.468</v>
      </c>
      <c r="H407" s="2">
        <v>-9.353e-5</v>
      </c>
      <c r="I407">
        <v>238.4</v>
      </c>
      <c r="K407">
        <f t="shared" si="18"/>
        <v>13.45</v>
      </c>
      <c r="L407">
        <f t="shared" si="19"/>
        <v>-0.009353</v>
      </c>
      <c r="M407">
        <f t="shared" si="20"/>
        <v>5</v>
      </c>
    </row>
    <row r="408" spans="1:13">
      <c r="A408">
        <v>13.535</v>
      </c>
      <c r="B408">
        <v>238.4</v>
      </c>
      <c r="C408">
        <v>12.198</v>
      </c>
      <c r="D408">
        <v>182.4</v>
      </c>
      <c r="G408">
        <v>13.502</v>
      </c>
      <c r="H408" s="2">
        <v>-5.238e-5</v>
      </c>
      <c r="I408">
        <v>238.4</v>
      </c>
      <c r="K408">
        <f t="shared" si="18"/>
        <v>13.5</v>
      </c>
      <c r="L408">
        <f t="shared" si="19"/>
        <v>-0.005238</v>
      </c>
      <c r="M408">
        <f t="shared" si="20"/>
        <v>5</v>
      </c>
    </row>
    <row r="409" spans="1:13">
      <c r="A409">
        <v>13.569</v>
      </c>
      <c r="B409">
        <v>238.4</v>
      </c>
      <c r="C409">
        <v>12.232</v>
      </c>
      <c r="D409">
        <v>180.4</v>
      </c>
      <c r="G409">
        <v>13.535</v>
      </c>
      <c r="H409" s="8" t="s">
        <v>978</v>
      </c>
      <c r="I409">
        <v>238.4</v>
      </c>
      <c r="K409">
        <f t="shared" si="18"/>
        <v>13.5</v>
      </c>
      <c r="L409">
        <f t="shared" si="19"/>
        <v>0.1355</v>
      </c>
      <c r="M409">
        <f t="shared" si="20"/>
        <v>5</v>
      </c>
    </row>
    <row r="410" spans="1:13">
      <c r="A410">
        <v>13.602</v>
      </c>
      <c r="B410">
        <v>238.4</v>
      </c>
      <c r="C410">
        <v>12.265</v>
      </c>
      <c r="D410">
        <v>180</v>
      </c>
      <c r="G410">
        <v>13.569</v>
      </c>
      <c r="H410" s="8" t="s">
        <v>1187</v>
      </c>
      <c r="I410">
        <v>238.4</v>
      </c>
      <c r="K410">
        <f t="shared" si="18"/>
        <v>13.55</v>
      </c>
      <c r="L410">
        <f t="shared" si="19"/>
        <v>0.2515</v>
      </c>
      <c r="M410">
        <f t="shared" si="20"/>
        <v>5</v>
      </c>
    </row>
    <row r="411" spans="1:13">
      <c r="A411">
        <v>13.635</v>
      </c>
      <c r="B411">
        <v>238.4</v>
      </c>
      <c r="C411">
        <v>12.299</v>
      </c>
      <c r="D411">
        <v>178.3</v>
      </c>
      <c r="G411">
        <v>13.602</v>
      </c>
      <c r="H411" s="8" t="s">
        <v>1188</v>
      </c>
      <c r="I411">
        <v>238.4</v>
      </c>
      <c r="K411">
        <f t="shared" si="18"/>
        <v>13.6</v>
      </c>
      <c r="L411">
        <f t="shared" si="19"/>
        <v>0.2862</v>
      </c>
      <c r="M411">
        <f t="shared" si="20"/>
        <v>5</v>
      </c>
    </row>
    <row r="412" spans="1:13">
      <c r="A412">
        <v>13.669</v>
      </c>
      <c r="B412">
        <v>238.4</v>
      </c>
      <c r="C412">
        <v>12.332</v>
      </c>
      <c r="D412">
        <v>177.5</v>
      </c>
      <c r="G412">
        <v>13.635</v>
      </c>
      <c r="H412" s="8" t="s">
        <v>1189</v>
      </c>
      <c r="I412">
        <v>238.4</v>
      </c>
      <c r="K412">
        <f t="shared" si="18"/>
        <v>13.6</v>
      </c>
      <c r="L412">
        <f t="shared" si="19"/>
        <v>0.3999</v>
      </c>
      <c r="M412">
        <f t="shared" si="20"/>
        <v>5</v>
      </c>
    </row>
    <row r="413" spans="1:13">
      <c r="A413">
        <v>13.702</v>
      </c>
      <c r="B413">
        <v>238.4</v>
      </c>
      <c r="C413">
        <v>12.365</v>
      </c>
      <c r="D413">
        <v>175.8</v>
      </c>
      <c r="G413">
        <v>13.669</v>
      </c>
      <c r="H413" s="8" t="s">
        <v>1190</v>
      </c>
      <c r="I413">
        <v>238.4</v>
      </c>
      <c r="K413">
        <f t="shared" si="18"/>
        <v>13.65</v>
      </c>
      <c r="L413">
        <f t="shared" si="19"/>
        <v>0.4864</v>
      </c>
      <c r="M413">
        <f t="shared" si="20"/>
        <v>5</v>
      </c>
    </row>
    <row r="414" spans="1:13">
      <c r="A414">
        <v>13.736</v>
      </c>
      <c r="B414">
        <v>238.4</v>
      </c>
      <c r="C414">
        <v>12.399</v>
      </c>
      <c r="D414">
        <v>174.7</v>
      </c>
      <c r="G414">
        <v>13.702</v>
      </c>
      <c r="H414" s="8" t="s">
        <v>1191</v>
      </c>
      <c r="I414">
        <v>238.4</v>
      </c>
      <c r="K414">
        <f t="shared" si="18"/>
        <v>13.7</v>
      </c>
      <c r="L414">
        <f t="shared" si="19"/>
        <v>0.6324</v>
      </c>
      <c r="M414">
        <f t="shared" si="20"/>
        <v>5</v>
      </c>
    </row>
    <row r="415" spans="1:13">
      <c r="A415">
        <v>13.769</v>
      </c>
      <c r="B415">
        <v>182.4</v>
      </c>
      <c r="C415">
        <v>12.432</v>
      </c>
      <c r="D415">
        <v>174</v>
      </c>
      <c r="G415">
        <v>13.736</v>
      </c>
      <c r="H415" s="8" t="s">
        <v>1192</v>
      </c>
      <c r="I415">
        <v>238.4</v>
      </c>
      <c r="K415">
        <f t="shared" si="18"/>
        <v>13.7</v>
      </c>
      <c r="L415">
        <f t="shared" si="19"/>
        <v>0.674</v>
      </c>
      <c r="M415">
        <f t="shared" si="20"/>
        <v>5</v>
      </c>
    </row>
    <row r="416" spans="1:13">
      <c r="A416">
        <v>13.803</v>
      </c>
      <c r="B416">
        <v>191.8</v>
      </c>
      <c r="C416">
        <v>12.466</v>
      </c>
      <c r="D416">
        <v>172.8</v>
      </c>
      <c r="G416">
        <v>13.769</v>
      </c>
      <c r="H416" s="8" t="s">
        <v>1193</v>
      </c>
      <c r="I416">
        <v>182.4</v>
      </c>
      <c r="K416">
        <f t="shared" si="18"/>
        <v>13.75</v>
      </c>
      <c r="L416">
        <f t="shared" si="19"/>
        <v>0.7563</v>
      </c>
      <c r="M416">
        <f t="shared" si="20"/>
        <v>0</v>
      </c>
    </row>
    <row r="417" spans="1:13">
      <c r="A417">
        <v>13.836</v>
      </c>
      <c r="B417">
        <v>191.6</v>
      </c>
      <c r="C417">
        <v>12.499</v>
      </c>
      <c r="D417">
        <v>171.6</v>
      </c>
      <c r="G417">
        <v>13.803</v>
      </c>
      <c r="H417" s="8" t="s">
        <v>1194</v>
      </c>
      <c r="I417">
        <v>191.8</v>
      </c>
      <c r="K417">
        <f t="shared" si="18"/>
        <v>13.8</v>
      </c>
      <c r="L417">
        <f t="shared" si="19"/>
        <v>0.8945</v>
      </c>
      <c r="M417">
        <f t="shared" si="20"/>
        <v>0</v>
      </c>
    </row>
    <row r="418" spans="1:13">
      <c r="A418">
        <v>13.869</v>
      </c>
      <c r="B418">
        <v>190.2</v>
      </c>
      <c r="C418">
        <v>12.533</v>
      </c>
      <c r="D418">
        <v>170.8</v>
      </c>
      <c r="G418">
        <v>13.836</v>
      </c>
      <c r="H418" s="8" t="s">
        <v>1195</v>
      </c>
      <c r="I418">
        <v>191.6</v>
      </c>
      <c r="K418">
        <f t="shared" si="18"/>
        <v>13.8</v>
      </c>
      <c r="L418">
        <f t="shared" si="19"/>
        <v>0.9442</v>
      </c>
      <c r="M418">
        <f t="shared" si="20"/>
        <v>0</v>
      </c>
    </row>
    <row r="419" spans="1:13">
      <c r="A419">
        <v>13.903</v>
      </c>
      <c r="B419">
        <v>188.6</v>
      </c>
      <c r="C419">
        <v>12.566</v>
      </c>
      <c r="D419">
        <v>169.7</v>
      </c>
      <c r="G419">
        <v>13.869</v>
      </c>
      <c r="H419" s="8" t="s">
        <v>382</v>
      </c>
      <c r="I419">
        <v>190.2</v>
      </c>
      <c r="K419">
        <f t="shared" si="18"/>
        <v>13.85</v>
      </c>
      <c r="L419">
        <f t="shared" si="19"/>
        <v>1.004</v>
      </c>
      <c r="M419">
        <f t="shared" si="20"/>
        <v>0</v>
      </c>
    </row>
    <row r="420" spans="1:13">
      <c r="A420">
        <v>13.936</v>
      </c>
      <c r="B420">
        <v>188.4</v>
      </c>
      <c r="C420">
        <v>12.599</v>
      </c>
      <c r="D420">
        <v>168.2</v>
      </c>
      <c r="G420">
        <v>13.903</v>
      </c>
      <c r="H420" s="8" t="s">
        <v>1196</v>
      </c>
      <c r="I420">
        <v>188.6</v>
      </c>
      <c r="K420">
        <f t="shared" si="18"/>
        <v>13.9</v>
      </c>
      <c r="L420">
        <f t="shared" si="19"/>
        <v>0.9891</v>
      </c>
      <c r="M420">
        <f t="shared" si="20"/>
        <v>0</v>
      </c>
    </row>
    <row r="421" spans="1:13">
      <c r="A421">
        <v>13.97</v>
      </c>
      <c r="B421">
        <v>187.5</v>
      </c>
      <c r="C421">
        <v>12.633</v>
      </c>
      <c r="D421">
        <v>167.9</v>
      </c>
      <c r="G421">
        <v>13.936</v>
      </c>
      <c r="H421" s="8" t="s">
        <v>82</v>
      </c>
      <c r="I421">
        <v>188.4</v>
      </c>
      <c r="K421">
        <f t="shared" si="18"/>
        <v>13.9</v>
      </c>
      <c r="L421">
        <f t="shared" si="19"/>
        <v>1.073</v>
      </c>
      <c r="M421">
        <f t="shared" si="20"/>
        <v>0</v>
      </c>
    </row>
    <row r="422" spans="1:13">
      <c r="A422">
        <v>14.003</v>
      </c>
      <c r="B422">
        <v>186</v>
      </c>
      <c r="C422">
        <v>12.666</v>
      </c>
      <c r="D422">
        <v>165.8</v>
      </c>
      <c r="G422">
        <v>13.97</v>
      </c>
      <c r="H422" s="8" t="s">
        <v>409</v>
      </c>
      <c r="I422">
        <v>187.5</v>
      </c>
      <c r="K422">
        <f t="shared" si="18"/>
        <v>13.95</v>
      </c>
      <c r="L422">
        <f t="shared" si="19"/>
        <v>1.067</v>
      </c>
      <c r="M422">
        <f t="shared" si="20"/>
        <v>0</v>
      </c>
    </row>
    <row r="423" spans="1:13">
      <c r="A423">
        <v>14.036</v>
      </c>
      <c r="B423">
        <v>185.3</v>
      </c>
      <c r="C423">
        <v>12.7</v>
      </c>
      <c r="D423">
        <v>165</v>
      </c>
      <c r="G423">
        <v>14.003</v>
      </c>
      <c r="H423" s="8" t="s">
        <v>443</v>
      </c>
      <c r="I423">
        <v>186</v>
      </c>
      <c r="K423">
        <f t="shared" si="18"/>
        <v>14</v>
      </c>
      <c r="L423">
        <f t="shared" si="19"/>
        <v>1.169</v>
      </c>
      <c r="M423">
        <f t="shared" si="20"/>
        <v>0</v>
      </c>
    </row>
    <row r="424" spans="1:13">
      <c r="A424">
        <v>14.07</v>
      </c>
      <c r="B424">
        <v>184.1</v>
      </c>
      <c r="C424">
        <v>12.733</v>
      </c>
      <c r="D424">
        <v>165</v>
      </c>
      <c r="G424">
        <v>14.036</v>
      </c>
      <c r="H424" s="8" t="s">
        <v>147</v>
      </c>
      <c r="I424">
        <v>185.3</v>
      </c>
      <c r="K424">
        <f t="shared" si="18"/>
        <v>14</v>
      </c>
      <c r="L424">
        <f t="shared" si="19"/>
        <v>1.175</v>
      </c>
      <c r="M424">
        <f t="shared" si="20"/>
        <v>0</v>
      </c>
    </row>
    <row r="425" spans="1:13">
      <c r="A425">
        <v>14.103</v>
      </c>
      <c r="B425">
        <v>183.1</v>
      </c>
      <c r="C425">
        <v>12.767</v>
      </c>
      <c r="D425">
        <v>162.7</v>
      </c>
      <c r="G425">
        <v>14.07</v>
      </c>
      <c r="H425" s="8" t="s">
        <v>249</v>
      </c>
      <c r="I425">
        <v>184.1</v>
      </c>
      <c r="K425">
        <f t="shared" si="18"/>
        <v>14.05</v>
      </c>
      <c r="L425">
        <f t="shared" si="19"/>
        <v>1.148</v>
      </c>
      <c r="M425">
        <f t="shared" si="20"/>
        <v>0</v>
      </c>
    </row>
    <row r="426" spans="1:13">
      <c r="A426">
        <v>14.137</v>
      </c>
      <c r="B426">
        <v>181.5</v>
      </c>
      <c r="C426">
        <v>12.8</v>
      </c>
      <c r="D426">
        <v>161.4</v>
      </c>
      <c r="G426">
        <v>14.103</v>
      </c>
      <c r="H426" s="8" t="s">
        <v>1197</v>
      </c>
      <c r="I426">
        <v>183.1</v>
      </c>
      <c r="K426">
        <f t="shared" si="18"/>
        <v>14.1</v>
      </c>
      <c r="L426">
        <f t="shared" si="19"/>
        <v>1.069</v>
      </c>
      <c r="M426">
        <f t="shared" si="20"/>
        <v>0</v>
      </c>
    </row>
    <row r="427" spans="1:13">
      <c r="A427">
        <v>14.17</v>
      </c>
      <c r="B427">
        <v>180.8</v>
      </c>
      <c r="C427">
        <v>12.833</v>
      </c>
      <c r="D427">
        <v>160</v>
      </c>
      <c r="G427">
        <v>14.137</v>
      </c>
      <c r="H427" s="8" t="s">
        <v>313</v>
      </c>
      <c r="I427">
        <v>181.5</v>
      </c>
      <c r="K427">
        <f t="shared" si="18"/>
        <v>14.1</v>
      </c>
      <c r="L427">
        <f t="shared" si="19"/>
        <v>1.011</v>
      </c>
      <c r="M427">
        <f t="shared" si="20"/>
        <v>0</v>
      </c>
    </row>
    <row r="428" spans="1:13">
      <c r="A428">
        <v>14.204</v>
      </c>
      <c r="B428">
        <v>179.3</v>
      </c>
      <c r="C428">
        <v>12.867</v>
      </c>
      <c r="D428">
        <v>159</v>
      </c>
      <c r="G428">
        <v>14.17</v>
      </c>
      <c r="H428" s="8" t="s">
        <v>1198</v>
      </c>
      <c r="I428">
        <v>180.8</v>
      </c>
      <c r="K428">
        <f t="shared" si="18"/>
        <v>14.15</v>
      </c>
      <c r="L428">
        <f t="shared" si="19"/>
        <v>0.9852</v>
      </c>
      <c r="M428">
        <f t="shared" si="20"/>
        <v>0</v>
      </c>
    </row>
    <row r="429" spans="1:13">
      <c r="A429">
        <v>14.237</v>
      </c>
      <c r="B429">
        <v>178.3</v>
      </c>
      <c r="C429">
        <v>12.9</v>
      </c>
      <c r="D429">
        <v>227.2</v>
      </c>
      <c r="G429">
        <v>14.204</v>
      </c>
      <c r="H429" s="8" t="s">
        <v>1199</v>
      </c>
      <c r="I429">
        <v>179.3</v>
      </c>
      <c r="K429">
        <f t="shared" si="18"/>
        <v>14.2</v>
      </c>
      <c r="L429">
        <f t="shared" si="19"/>
        <v>0.9988</v>
      </c>
      <c r="M429">
        <f t="shared" si="20"/>
        <v>0</v>
      </c>
    </row>
    <row r="430" spans="1:13">
      <c r="A430">
        <v>14.27</v>
      </c>
      <c r="B430">
        <v>177.2</v>
      </c>
      <c r="C430">
        <v>12.934</v>
      </c>
      <c r="D430">
        <v>238.4</v>
      </c>
      <c r="G430">
        <v>14.237</v>
      </c>
      <c r="H430" s="8" t="s">
        <v>1200</v>
      </c>
      <c r="I430">
        <v>178.3</v>
      </c>
      <c r="K430">
        <f t="shared" si="18"/>
        <v>14.2</v>
      </c>
      <c r="L430">
        <f t="shared" si="19"/>
        <v>0.8456</v>
      </c>
      <c r="M430">
        <f t="shared" si="20"/>
        <v>0</v>
      </c>
    </row>
    <row r="431" spans="1:13">
      <c r="A431">
        <v>14.304</v>
      </c>
      <c r="B431">
        <v>176</v>
      </c>
      <c r="C431">
        <v>12.967</v>
      </c>
      <c r="D431">
        <v>238.4</v>
      </c>
      <c r="G431">
        <v>14.27</v>
      </c>
      <c r="H431" s="8" t="s">
        <v>1201</v>
      </c>
      <c r="I431">
        <v>177.2</v>
      </c>
      <c r="K431">
        <f t="shared" si="18"/>
        <v>14.25</v>
      </c>
      <c r="L431">
        <f t="shared" si="19"/>
        <v>0.7506</v>
      </c>
      <c r="M431">
        <f t="shared" si="20"/>
        <v>0</v>
      </c>
    </row>
    <row r="432" spans="1:13">
      <c r="A432">
        <v>14.337</v>
      </c>
      <c r="B432">
        <v>175.1</v>
      </c>
      <c r="C432">
        <v>13</v>
      </c>
      <c r="D432">
        <v>238.4</v>
      </c>
      <c r="G432">
        <v>14.304</v>
      </c>
      <c r="H432" s="8" t="s">
        <v>1202</v>
      </c>
      <c r="I432">
        <v>176</v>
      </c>
      <c r="K432">
        <f t="shared" si="18"/>
        <v>14.3</v>
      </c>
      <c r="L432">
        <f t="shared" si="19"/>
        <v>0.7404</v>
      </c>
      <c r="M432">
        <f t="shared" si="20"/>
        <v>0</v>
      </c>
    </row>
    <row r="433" spans="1:13">
      <c r="A433">
        <v>14.371</v>
      </c>
      <c r="B433">
        <v>174.4</v>
      </c>
      <c r="C433">
        <v>13.034</v>
      </c>
      <c r="D433">
        <v>238.4</v>
      </c>
      <c r="G433">
        <v>14.337</v>
      </c>
      <c r="H433" s="8" t="s">
        <v>1203</v>
      </c>
      <c r="I433">
        <v>175.1</v>
      </c>
      <c r="K433">
        <f t="shared" si="18"/>
        <v>14.3</v>
      </c>
      <c r="L433">
        <f t="shared" si="19"/>
        <v>0.7162</v>
      </c>
      <c r="M433">
        <f t="shared" si="20"/>
        <v>0</v>
      </c>
    </row>
    <row r="434" spans="1:13">
      <c r="A434">
        <v>14.404</v>
      </c>
      <c r="B434">
        <v>173.4</v>
      </c>
      <c r="C434">
        <v>13.067</v>
      </c>
      <c r="D434">
        <v>238.4</v>
      </c>
      <c r="G434">
        <v>14.371</v>
      </c>
      <c r="H434" s="8" t="s">
        <v>1204</v>
      </c>
      <c r="I434">
        <v>174.4</v>
      </c>
      <c r="K434">
        <f t="shared" si="18"/>
        <v>14.35</v>
      </c>
      <c r="L434">
        <f t="shared" si="19"/>
        <v>0.5438</v>
      </c>
      <c r="M434">
        <f t="shared" si="20"/>
        <v>0</v>
      </c>
    </row>
    <row r="435" spans="1:13">
      <c r="A435">
        <v>14.438</v>
      </c>
      <c r="B435">
        <v>172.3</v>
      </c>
      <c r="C435">
        <v>13.101</v>
      </c>
      <c r="D435">
        <v>238.4</v>
      </c>
      <c r="G435">
        <v>14.404</v>
      </c>
      <c r="H435" s="8" t="s">
        <v>1205</v>
      </c>
      <c r="I435">
        <v>173.4</v>
      </c>
      <c r="K435">
        <f t="shared" si="18"/>
        <v>14.4</v>
      </c>
      <c r="L435">
        <f t="shared" si="19"/>
        <v>0.4936</v>
      </c>
      <c r="M435">
        <f t="shared" si="20"/>
        <v>0</v>
      </c>
    </row>
    <row r="436" spans="1:13">
      <c r="A436">
        <v>14.471</v>
      </c>
      <c r="B436">
        <v>171.1</v>
      </c>
      <c r="C436">
        <v>13.134</v>
      </c>
      <c r="D436">
        <v>238.4</v>
      </c>
      <c r="G436">
        <v>14.438</v>
      </c>
      <c r="H436" s="8" t="s">
        <v>1206</v>
      </c>
      <c r="I436">
        <v>172.3</v>
      </c>
      <c r="K436">
        <f t="shared" si="18"/>
        <v>14.4</v>
      </c>
      <c r="L436">
        <f t="shared" si="19"/>
        <v>0.4206</v>
      </c>
      <c r="M436">
        <f t="shared" si="20"/>
        <v>0</v>
      </c>
    </row>
    <row r="437" spans="1:13">
      <c r="A437">
        <v>14.504</v>
      </c>
      <c r="B437">
        <v>170.1</v>
      </c>
      <c r="C437">
        <v>13.168</v>
      </c>
      <c r="D437">
        <v>238.4</v>
      </c>
      <c r="G437">
        <v>14.471</v>
      </c>
      <c r="H437" s="8" t="s">
        <v>1207</v>
      </c>
      <c r="I437">
        <v>171.1</v>
      </c>
      <c r="K437">
        <f t="shared" si="18"/>
        <v>14.45</v>
      </c>
      <c r="L437">
        <f t="shared" si="19"/>
        <v>0.3174</v>
      </c>
      <c r="M437">
        <f t="shared" si="20"/>
        <v>0</v>
      </c>
    </row>
    <row r="438" spans="1:13">
      <c r="A438">
        <v>14.538</v>
      </c>
      <c r="B438">
        <v>238.4</v>
      </c>
      <c r="C438">
        <v>13.201</v>
      </c>
      <c r="D438">
        <v>238.4</v>
      </c>
      <c r="G438">
        <v>14.504</v>
      </c>
      <c r="H438" s="8" t="s">
        <v>1208</v>
      </c>
      <c r="I438">
        <v>170.1</v>
      </c>
      <c r="K438">
        <f t="shared" si="18"/>
        <v>14.5</v>
      </c>
      <c r="L438">
        <f t="shared" si="19"/>
        <v>0.2324</v>
      </c>
      <c r="M438">
        <f t="shared" si="20"/>
        <v>0</v>
      </c>
    </row>
    <row r="439" spans="1:13">
      <c r="A439">
        <v>14.571</v>
      </c>
      <c r="B439">
        <v>238.4</v>
      </c>
      <c r="C439">
        <v>13.234</v>
      </c>
      <c r="D439">
        <v>238.4</v>
      </c>
      <c r="G439">
        <v>14.538</v>
      </c>
      <c r="H439" s="8" t="s">
        <v>1209</v>
      </c>
      <c r="I439">
        <v>238.4</v>
      </c>
      <c r="K439">
        <f t="shared" si="18"/>
        <v>14.5</v>
      </c>
      <c r="L439">
        <f t="shared" si="19"/>
        <v>0.1181</v>
      </c>
      <c r="M439">
        <f t="shared" si="20"/>
        <v>5</v>
      </c>
    </row>
    <row r="440" spans="1:13">
      <c r="A440">
        <v>14.605</v>
      </c>
      <c r="B440">
        <v>238.4</v>
      </c>
      <c r="C440">
        <v>13.268</v>
      </c>
      <c r="D440" s="2">
        <v>238.4</v>
      </c>
      <c r="E440" s="2"/>
      <c r="F440" s="2"/>
      <c r="G440">
        <v>14.571</v>
      </c>
      <c r="H440" s="8" t="s">
        <v>1210</v>
      </c>
      <c r="I440">
        <v>238.4</v>
      </c>
      <c r="K440">
        <f t="shared" si="18"/>
        <v>14.55</v>
      </c>
      <c r="L440">
        <f t="shared" si="19"/>
        <v>0.04841</v>
      </c>
      <c r="M440">
        <f t="shared" si="20"/>
        <v>5</v>
      </c>
    </row>
    <row r="441" spans="1:13">
      <c r="A441">
        <v>14.638</v>
      </c>
      <c r="B441">
        <v>238.4</v>
      </c>
      <c r="C441">
        <v>13.301</v>
      </c>
      <c r="D441" s="2">
        <v>238.4</v>
      </c>
      <c r="E441" s="2"/>
      <c r="F441" s="2"/>
      <c r="G441">
        <v>14.605</v>
      </c>
      <c r="H441" s="2">
        <v>-0.0001035</v>
      </c>
      <c r="I441">
        <v>238.4</v>
      </c>
      <c r="K441">
        <f t="shared" si="18"/>
        <v>14.6</v>
      </c>
      <c r="L441">
        <f t="shared" si="19"/>
        <v>-0.01035</v>
      </c>
      <c r="M441">
        <f t="shared" si="20"/>
        <v>5</v>
      </c>
    </row>
    <row r="442" spans="1:13">
      <c r="A442">
        <v>14.671</v>
      </c>
      <c r="B442">
        <v>238.4</v>
      </c>
      <c r="C442">
        <v>13.335</v>
      </c>
      <c r="D442" s="2">
        <v>238.4</v>
      </c>
      <c r="E442" s="2"/>
      <c r="F442" s="2"/>
      <c r="G442">
        <v>14.638</v>
      </c>
      <c r="H442" s="2">
        <v>-0.0002421</v>
      </c>
      <c r="I442">
        <v>238.4</v>
      </c>
      <c r="K442">
        <f t="shared" si="18"/>
        <v>14.6</v>
      </c>
      <c r="L442">
        <f t="shared" si="19"/>
        <v>-0.02421</v>
      </c>
      <c r="M442">
        <f t="shared" si="20"/>
        <v>5</v>
      </c>
    </row>
    <row r="443" spans="1:13">
      <c r="A443">
        <v>14.705</v>
      </c>
      <c r="B443">
        <v>238.4</v>
      </c>
      <c r="C443">
        <v>13.368</v>
      </c>
      <c r="D443" s="2">
        <v>238.4</v>
      </c>
      <c r="E443" s="2"/>
      <c r="F443" s="2"/>
      <c r="G443">
        <v>14.671</v>
      </c>
      <c r="H443" s="2">
        <v>-0.0004813</v>
      </c>
      <c r="I443">
        <v>238.4</v>
      </c>
      <c r="K443">
        <f t="shared" si="18"/>
        <v>14.65</v>
      </c>
      <c r="L443">
        <f t="shared" si="19"/>
        <v>-0.04813</v>
      </c>
      <c r="M443">
        <f t="shared" si="20"/>
        <v>5</v>
      </c>
    </row>
    <row r="444" spans="1:13">
      <c r="A444">
        <v>14.738</v>
      </c>
      <c r="B444">
        <v>238.4</v>
      </c>
      <c r="C444">
        <v>13.402</v>
      </c>
      <c r="D444" s="2">
        <v>238.4</v>
      </c>
      <c r="E444" s="2"/>
      <c r="F444" s="2"/>
      <c r="G444">
        <v>14.705</v>
      </c>
      <c r="H444" s="2">
        <v>-0.001123</v>
      </c>
      <c r="I444">
        <v>238.4</v>
      </c>
      <c r="K444">
        <f t="shared" si="18"/>
        <v>14.7</v>
      </c>
      <c r="L444">
        <f t="shared" si="19"/>
        <v>-0.1123</v>
      </c>
      <c r="M444">
        <f t="shared" si="20"/>
        <v>5</v>
      </c>
    </row>
    <row r="445" spans="1:13">
      <c r="A445">
        <v>14.772</v>
      </c>
      <c r="B445">
        <v>238.4</v>
      </c>
      <c r="C445">
        <v>13.435</v>
      </c>
      <c r="D445" s="2">
        <v>238.4</v>
      </c>
      <c r="E445" s="2"/>
      <c r="F445" s="2"/>
      <c r="G445">
        <v>14.738</v>
      </c>
      <c r="H445" s="2">
        <v>-0.001372</v>
      </c>
      <c r="I445">
        <v>238.4</v>
      </c>
      <c r="K445">
        <f t="shared" si="18"/>
        <v>14.7</v>
      </c>
      <c r="L445">
        <f t="shared" si="19"/>
        <v>-0.1372</v>
      </c>
      <c r="M445">
        <f t="shared" si="20"/>
        <v>5</v>
      </c>
    </row>
    <row r="446" spans="1:13">
      <c r="A446">
        <v>14.805</v>
      </c>
      <c r="B446">
        <v>238.4</v>
      </c>
      <c r="C446">
        <v>13.468</v>
      </c>
      <c r="D446" s="2">
        <v>238.4</v>
      </c>
      <c r="E446" s="2"/>
      <c r="F446" s="2"/>
      <c r="G446">
        <v>14.772</v>
      </c>
      <c r="H446" s="2">
        <v>-0.001497</v>
      </c>
      <c r="I446">
        <v>238.4</v>
      </c>
      <c r="K446">
        <f t="shared" si="18"/>
        <v>14.75</v>
      </c>
      <c r="L446">
        <f t="shared" si="19"/>
        <v>-0.1497</v>
      </c>
      <c r="M446">
        <f t="shared" si="20"/>
        <v>5</v>
      </c>
    </row>
    <row r="447" spans="1:13">
      <c r="A447">
        <v>14.839</v>
      </c>
      <c r="B447">
        <v>238.4</v>
      </c>
      <c r="C447">
        <v>13.502</v>
      </c>
      <c r="D447" s="2">
        <v>238.4</v>
      </c>
      <c r="E447" s="2"/>
      <c r="F447" s="2"/>
      <c r="G447">
        <v>14.805</v>
      </c>
      <c r="H447" s="2">
        <v>-0.001553</v>
      </c>
      <c r="I447">
        <v>238.4</v>
      </c>
      <c r="K447">
        <f t="shared" si="18"/>
        <v>14.8</v>
      </c>
      <c r="L447">
        <f t="shared" si="19"/>
        <v>-0.1553</v>
      </c>
      <c r="M447">
        <f t="shared" si="20"/>
        <v>5</v>
      </c>
    </row>
    <row r="448" spans="1:13">
      <c r="A448">
        <v>14.872</v>
      </c>
      <c r="B448">
        <v>238.4</v>
      </c>
      <c r="C448">
        <v>13.535</v>
      </c>
      <c r="D448" s="2">
        <v>238.4</v>
      </c>
      <c r="E448" s="2"/>
      <c r="F448" s="2"/>
      <c r="G448">
        <v>14.839</v>
      </c>
      <c r="H448" s="2">
        <v>-0.001267</v>
      </c>
      <c r="I448">
        <v>238.4</v>
      </c>
      <c r="K448">
        <f t="shared" si="18"/>
        <v>14.8</v>
      </c>
      <c r="L448">
        <f t="shared" si="19"/>
        <v>-0.1267</v>
      </c>
      <c r="M448">
        <f t="shared" si="20"/>
        <v>5</v>
      </c>
    </row>
    <row r="449" spans="1:13">
      <c r="A449">
        <v>14.905</v>
      </c>
      <c r="B449">
        <v>238.4</v>
      </c>
      <c r="C449">
        <v>13.569</v>
      </c>
      <c r="D449" s="2">
        <v>238.4</v>
      </c>
      <c r="E449" s="2"/>
      <c r="F449" s="2"/>
      <c r="G449">
        <v>14.872</v>
      </c>
      <c r="H449" s="2">
        <v>-0.0003536</v>
      </c>
      <c r="I449">
        <v>238.4</v>
      </c>
      <c r="K449">
        <f t="shared" si="18"/>
        <v>14.85</v>
      </c>
      <c r="L449">
        <f t="shared" si="19"/>
        <v>-0.03536</v>
      </c>
      <c r="M449">
        <f t="shared" si="20"/>
        <v>5</v>
      </c>
    </row>
    <row r="450" spans="1:13">
      <c r="A450">
        <v>14.939</v>
      </c>
      <c r="B450">
        <v>238.4</v>
      </c>
      <c r="C450">
        <v>13.602</v>
      </c>
      <c r="D450" s="2">
        <v>238.4</v>
      </c>
      <c r="E450" s="2"/>
      <c r="F450" s="2"/>
      <c r="G450">
        <v>14.905</v>
      </c>
      <c r="H450" s="2">
        <v>-4.343e-5</v>
      </c>
      <c r="I450">
        <v>238.4</v>
      </c>
      <c r="K450">
        <f t="shared" si="18"/>
        <v>14.9</v>
      </c>
      <c r="L450">
        <f t="shared" si="19"/>
        <v>-0.004343</v>
      </c>
      <c r="M450">
        <f t="shared" si="20"/>
        <v>5</v>
      </c>
    </row>
    <row r="451" spans="1:13">
      <c r="A451">
        <v>14.972</v>
      </c>
      <c r="B451">
        <v>238.4</v>
      </c>
      <c r="C451">
        <v>13.635</v>
      </c>
      <c r="D451">
        <v>238.4</v>
      </c>
      <c r="G451">
        <v>14.939</v>
      </c>
      <c r="H451" s="2">
        <v>-1.187e-5</v>
      </c>
      <c r="I451">
        <v>238.4</v>
      </c>
      <c r="K451">
        <f t="shared" si="18"/>
        <v>14.9</v>
      </c>
      <c r="L451">
        <f t="shared" si="19"/>
        <v>-0.001187</v>
      </c>
      <c r="M451">
        <f t="shared" si="20"/>
        <v>5</v>
      </c>
    </row>
    <row r="452" spans="1:13">
      <c r="A452">
        <v>15.006</v>
      </c>
      <c r="B452">
        <v>238.4</v>
      </c>
      <c r="C452">
        <v>13.669</v>
      </c>
      <c r="D452">
        <v>238.4</v>
      </c>
      <c r="G452">
        <v>14.972</v>
      </c>
      <c r="H452" s="8" t="s">
        <v>1211</v>
      </c>
      <c r="I452">
        <v>238.4</v>
      </c>
      <c r="K452">
        <f t="shared" ref="K452:K515" si="21">FLOOR(G452,0.05)</f>
        <v>14.95</v>
      </c>
      <c r="L452">
        <f t="shared" si="19"/>
        <v>0.04511</v>
      </c>
      <c r="M452">
        <f t="shared" si="20"/>
        <v>5</v>
      </c>
    </row>
    <row r="453" spans="1:13">
      <c r="A453">
        <v>15.039</v>
      </c>
      <c r="B453">
        <v>238.4</v>
      </c>
      <c r="C453">
        <v>13.702</v>
      </c>
      <c r="D453">
        <v>238.4</v>
      </c>
      <c r="G453">
        <v>15.006</v>
      </c>
      <c r="H453" s="8" t="s">
        <v>595</v>
      </c>
      <c r="I453">
        <v>238.4</v>
      </c>
      <c r="K453">
        <f t="shared" si="21"/>
        <v>15</v>
      </c>
      <c r="L453">
        <f t="shared" ref="L453:L516" si="22">H453*100</f>
        <v>0.1025</v>
      </c>
      <c r="M453">
        <f t="shared" ref="M453:M516" si="23">IF(I453&lt;230,0,5)</f>
        <v>5</v>
      </c>
    </row>
    <row r="454" spans="1:13">
      <c r="A454">
        <v>15.073</v>
      </c>
      <c r="B454">
        <v>238.4</v>
      </c>
      <c r="C454">
        <v>13.736</v>
      </c>
      <c r="D454">
        <v>238.4</v>
      </c>
      <c r="G454">
        <v>15.039</v>
      </c>
      <c r="H454" s="8" t="s">
        <v>1212</v>
      </c>
      <c r="I454">
        <v>238.4</v>
      </c>
      <c r="K454">
        <f t="shared" si="21"/>
        <v>15</v>
      </c>
      <c r="L454">
        <f t="shared" si="22"/>
        <v>0.2274</v>
      </c>
      <c r="M454">
        <f t="shared" si="23"/>
        <v>5</v>
      </c>
    </row>
    <row r="455" spans="1:13">
      <c r="A455">
        <v>15.106</v>
      </c>
      <c r="B455">
        <v>238.4</v>
      </c>
      <c r="C455">
        <v>13.769</v>
      </c>
      <c r="D455">
        <v>182.4</v>
      </c>
      <c r="G455">
        <v>15.073</v>
      </c>
      <c r="H455" s="8" t="s">
        <v>1213</v>
      </c>
      <c r="I455">
        <v>238.4</v>
      </c>
      <c r="K455">
        <f t="shared" si="21"/>
        <v>15.05</v>
      </c>
      <c r="L455">
        <f t="shared" si="22"/>
        <v>0.2823</v>
      </c>
      <c r="M455">
        <f t="shared" si="23"/>
        <v>5</v>
      </c>
    </row>
    <row r="456" spans="1:13">
      <c r="A456">
        <v>15.139</v>
      </c>
      <c r="B456">
        <v>238.4</v>
      </c>
      <c r="C456">
        <v>13.803</v>
      </c>
      <c r="D456">
        <v>191.8</v>
      </c>
      <c r="G456">
        <v>15.106</v>
      </c>
      <c r="H456" s="8" t="s">
        <v>1214</v>
      </c>
      <c r="I456">
        <v>238.4</v>
      </c>
      <c r="K456">
        <f t="shared" si="21"/>
        <v>15.1</v>
      </c>
      <c r="L456">
        <f t="shared" si="22"/>
        <v>0.3725</v>
      </c>
      <c r="M456">
        <f t="shared" si="23"/>
        <v>5</v>
      </c>
    </row>
    <row r="457" spans="1:13">
      <c r="A457">
        <v>15.173</v>
      </c>
      <c r="B457">
        <v>238.4</v>
      </c>
      <c r="C457">
        <v>13.836</v>
      </c>
      <c r="D457">
        <v>191.6</v>
      </c>
      <c r="G457">
        <v>15.139</v>
      </c>
      <c r="H457" s="8" t="s">
        <v>1215</v>
      </c>
      <c r="I457">
        <v>238.4</v>
      </c>
      <c r="K457">
        <f t="shared" si="21"/>
        <v>15.1</v>
      </c>
      <c r="L457">
        <f t="shared" si="22"/>
        <v>0.4926</v>
      </c>
      <c r="M457">
        <f t="shared" si="23"/>
        <v>5</v>
      </c>
    </row>
    <row r="458" spans="1:13">
      <c r="A458">
        <v>15.206</v>
      </c>
      <c r="B458">
        <v>238.4</v>
      </c>
      <c r="C458">
        <v>13.869</v>
      </c>
      <c r="D458">
        <v>190.2</v>
      </c>
      <c r="G458">
        <v>15.173</v>
      </c>
      <c r="H458" s="8" t="s">
        <v>1216</v>
      </c>
      <c r="I458">
        <v>238.4</v>
      </c>
      <c r="K458">
        <f t="shared" si="21"/>
        <v>15.15</v>
      </c>
      <c r="L458">
        <f t="shared" si="22"/>
        <v>0.5053</v>
      </c>
      <c r="M458">
        <f t="shared" si="23"/>
        <v>5</v>
      </c>
    </row>
    <row r="459" spans="1:13">
      <c r="A459">
        <v>15.24</v>
      </c>
      <c r="B459">
        <v>238.4</v>
      </c>
      <c r="C459">
        <v>13.903</v>
      </c>
      <c r="D459">
        <v>188.6</v>
      </c>
      <c r="G459">
        <v>15.206</v>
      </c>
      <c r="H459" s="8" t="s">
        <v>1217</v>
      </c>
      <c r="I459">
        <v>238.4</v>
      </c>
      <c r="K459">
        <f t="shared" si="21"/>
        <v>15.2</v>
      </c>
      <c r="L459">
        <f t="shared" si="22"/>
        <v>0.6184</v>
      </c>
      <c r="M459">
        <f t="shared" si="23"/>
        <v>5</v>
      </c>
    </row>
    <row r="460" spans="1:13">
      <c r="A460">
        <v>15.273</v>
      </c>
      <c r="B460">
        <v>238.4</v>
      </c>
      <c r="C460">
        <v>13.936</v>
      </c>
      <c r="D460">
        <v>188.4</v>
      </c>
      <c r="G460">
        <v>15.24</v>
      </c>
      <c r="H460" s="8" t="s">
        <v>1218</v>
      </c>
      <c r="I460">
        <v>238.4</v>
      </c>
      <c r="K460">
        <f t="shared" si="21"/>
        <v>15.2</v>
      </c>
      <c r="L460">
        <f t="shared" si="22"/>
        <v>0.7297</v>
      </c>
      <c r="M460">
        <f t="shared" si="23"/>
        <v>5</v>
      </c>
    </row>
    <row r="461" spans="1:13">
      <c r="A461">
        <v>15.306</v>
      </c>
      <c r="B461">
        <v>238.4</v>
      </c>
      <c r="C461">
        <v>13.97</v>
      </c>
      <c r="D461">
        <v>187.5</v>
      </c>
      <c r="G461">
        <v>15.273</v>
      </c>
      <c r="H461" s="8" t="s">
        <v>1219</v>
      </c>
      <c r="I461">
        <v>238.4</v>
      </c>
      <c r="K461">
        <f t="shared" si="21"/>
        <v>15.25</v>
      </c>
      <c r="L461">
        <f t="shared" si="22"/>
        <v>0.7411</v>
      </c>
      <c r="M461">
        <f t="shared" si="23"/>
        <v>5</v>
      </c>
    </row>
    <row r="462" spans="1:13">
      <c r="A462">
        <v>15.34</v>
      </c>
      <c r="B462">
        <v>238.4</v>
      </c>
      <c r="C462">
        <v>14.003</v>
      </c>
      <c r="D462">
        <v>186</v>
      </c>
      <c r="G462">
        <v>15.306</v>
      </c>
      <c r="H462" s="8" t="s">
        <v>1220</v>
      </c>
      <c r="I462">
        <v>238.4</v>
      </c>
      <c r="K462">
        <f t="shared" si="21"/>
        <v>15.3</v>
      </c>
      <c r="L462">
        <f t="shared" si="22"/>
        <v>0.7496</v>
      </c>
      <c r="M462">
        <f t="shared" si="23"/>
        <v>5</v>
      </c>
    </row>
    <row r="463" spans="1:13">
      <c r="A463">
        <v>15.373</v>
      </c>
      <c r="B463">
        <v>194.2</v>
      </c>
      <c r="C463">
        <v>14.036</v>
      </c>
      <c r="D463">
        <v>185.3</v>
      </c>
      <c r="G463">
        <v>15.34</v>
      </c>
      <c r="H463" s="8" t="s">
        <v>1221</v>
      </c>
      <c r="I463">
        <v>238.4</v>
      </c>
      <c r="K463">
        <f t="shared" si="21"/>
        <v>15.3</v>
      </c>
      <c r="L463">
        <f t="shared" si="22"/>
        <v>0.8764</v>
      </c>
      <c r="M463">
        <f t="shared" si="23"/>
        <v>5</v>
      </c>
    </row>
    <row r="464" spans="1:13">
      <c r="A464">
        <v>15.407</v>
      </c>
      <c r="B464">
        <v>199.2</v>
      </c>
      <c r="C464">
        <v>14.07</v>
      </c>
      <c r="D464">
        <v>184.1</v>
      </c>
      <c r="G464">
        <v>15.373</v>
      </c>
      <c r="H464" s="8" t="s">
        <v>1222</v>
      </c>
      <c r="I464">
        <v>194.2</v>
      </c>
      <c r="K464">
        <f t="shared" si="21"/>
        <v>15.35</v>
      </c>
      <c r="L464">
        <f t="shared" si="22"/>
        <v>0.9697</v>
      </c>
      <c r="M464">
        <f t="shared" si="23"/>
        <v>0</v>
      </c>
    </row>
    <row r="465" spans="1:13">
      <c r="A465">
        <v>15.44</v>
      </c>
      <c r="B465">
        <v>198.4</v>
      </c>
      <c r="C465">
        <v>14.103</v>
      </c>
      <c r="D465">
        <v>183.1</v>
      </c>
      <c r="G465">
        <v>15.407</v>
      </c>
      <c r="H465" s="8" t="s">
        <v>1223</v>
      </c>
      <c r="I465">
        <v>199.2</v>
      </c>
      <c r="K465">
        <f t="shared" si="21"/>
        <v>15.4</v>
      </c>
      <c r="L465">
        <f t="shared" si="22"/>
        <v>0.9961</v>
      </c>
      <c r="M465">
        <f t="shared" si="23"/>
        <v>0</v>
      </c>
    </row>
    <row r="466" spans="1:13">
      <c r="A466">
        <v>15.474</v>
      </c>
      <c r="B466">
        <v>197.7</v>
      </c>
      <c r="C466">
        <v>14.137</v>
      </c>
      <c r="D466">
        <v>181.5</v>
      </c>
      <c r="G466">
        <v>15.44</v>
      </c>
      <c r="H466" s="8" t="s">
        <v>313</v>
      </c>
      <c r="I466">
        <v>198.4</v>
      </c>
      <c r="K466">
        <f t="shared" si="21"/>
        <v>15.4</v>
      </c>
      <c r="L466">
        <f t="shared" si="22"/>
        <v>1.011</v>
      </c>
      <c r="M466">
        <f t="shared" si="23"/>
        <v>0</v>
      </c>
    </row>
    <row r="467" spans="1:13">
      <c r="A467">
        <v>15.507</v>
      </c>
      <c r="B467">
        <v>196.1</v>
      </c>
      <c r="C467">
        <v>14.17</v>
      </c>
      <c r="D467">
        <v>180.8</v>
      </c>
      <c r="G467">
        <v>15.474</v>
      </c>
      <c r="H467" s="8" t="s">
        <v>278</v>
      </c>
      <c r="I467">
        <v>197.7</v>
      </c>
      <c r="K467">
        <f t="shared" si="21"/>
        <v>15.45</v>
      </c>
      <c r="L467">
        <f t="shared" si="22"/>
        <v>1.012</v>
      </c>
      <c r="M467">
        <f t="shared" si="23"/>
        <v>0</v>
      </c>
    </row>
    <row r="468" spans="1:13">
      <c r="A468">
        <v>15.54</v>
      </c>
      <c r="B468">
        <v>194.5</v>
      </c>
      <c r="C468">
        <v>14.204</v>
      </c>
      <c r="D468">
        <v>179.3</v>
      </c>
      <c r="G468">
        <v>15.507</v>
      </c>
      <c r="H468" s="8" t="s">
        <v>224</v>
      </c>
      <c r="I468">
        <v>196.1</v>
      </c>
      <c r="K468">
        <f t="shared" si="21"/>
        <v>15.5</v>
      </c>
      <c r="L468">
        <f t="shared" si="22"/>
        <v>1</v>
      </c>
      <c r="M468">
        <f t="shared" si="23"/>
        <v>0</v>
      </c>
    </row>
    <row r="469" spans="1:13">
      <c r="A469">
        <v>15.574</v>
      </c>
      <c r="B469">
        <v>194.4</v>
      </c>
      <c r="C469">
        <v>14.237</v>
      </c>
      <c r="D469">
        <v>178.3</v>
      </c>
      <c r="G469">
        <v>15.54</v>
      </c>
      <c r="H469" s="8" t="s">
        <v>1224</v>
      </c>
      <c r="I469">
        <v>194.5</v>
      </c>
      <c r="K469">
        <f t="shared" si="21"/>
        <v>15.5</v>
      </c>
      <c r="L469">
        <f t="shared" si="22"/>
        <v>0.9984</v>
      </c>
      <c r="M469">
        <f t="shared" si="23"/>
        <v>0</v>
      </c>
    </row>
    <row r="470" spans="1:13">
      <c r="A470">
        <v>15.607</v>
      </c>
      <c r="B470">
        <v>192.7</v>
      </c>
      <c r="C470">
        <v>14.27</v>
      </c>
      <c r="D470">
        <v>177.2</v>
      </c>
      <c r="G470">
        <v>15.574</v>
      </c>
      <c r="H470" s="8" t="s">
        <v>1225</v>
      </c>
      <c r="I470">
        <v>194.4</v>
      </c>
      <c r="K470">
        <f t="shared" si="21"/>
        <v>15.55</v>
      </c>
      <c r="L470">
        <f t="shared" si="22"/>
        <v>0.9959</v>
      </c>
      <c r="M470">
        <f t="shared" si="23"/>
        <v>0</v>
      </c>
    </row>
    <row r="471" spans="1:13">
      <c r="A471">
        <v>15.641</v>
      </c>
      <c r="B471">
        <v>192.5</v>
      </c>
      <c r="C471">
        <v>14.304</v>
      </c>
      <c r="D471">
        <v>176</v>
      </c>
      <c r="G471">
        <v>15.607</v>
      </c>
      <c r="H471" s="8" t="s">
        <v>1226</v>
      </c>
      <c r="I471">
        <v>192.7</v>
      </c>
      <c r="K471">
        <f t="shared" si="21"/>
        <v>15.6</v>
      </c>
      <c r="L471">
        <f t="shared" si="22"/>
        <v>1.002</v>
      </c>
      <c r="M471">
        <f t="shared" si="23"/>
        <v>0</v>
      </c>
    </row>
    <row r="472" spans="1:13">
      <c r="A472">
        <v>15.674</v>
      </c>
      <c r="B472">
        <v>191.3</v>
      </c>
      <c r="C472">
        <v>14.337</v>
      </c>
      <c r="D472">
        <v>175.1</v>
      </c>
      <c r="G472">
        <v>15.641</v>
      </c>
      <c r="H472" s="8" t="s">
        <v>308</v>
      </c>
      <c r="I472">
        <v>192.5</v>
      </c>
      <c r="K472">
        <f t="shared" si="21"/>
        <v>15.6</v>
      </c>
      <c r="L472">
        <f t="shared" si="22"/>
        <v>0.9342</v>
      </c>
      <c r="M472">
        <f t="shared" si="23"/>
        <v>0</v>
      </c>
    </row>
    <row r="473" spans="1:13">
      <c r="A473">
        <v>15.708</v>
      </c>
      <c r="B473">
        <v>189.9</v>
      </c>
      <c r="C473">
        <v>14.371</v>
      </c>
      <c r="D473">
        <v>174.4</v>
      </c>
      <c r="G473">
        <v>15.674</v>
      </c>
      <c r="H473" s="8" t="s">
        <v>1227</v>
      </c>
      <c r="I473">
        <v>191.3</v>
      </c>
      <c r="K473">
        <f t="shared" si="21"/>
        <v>15.65</v>
      </c>
      <c r="L473">
        <f t="shared" si="22"/>
        <v>0.8689</v>
      </c>
      <c r="M473">
        <f t="shared" si="23"/>
        <v>0</v>
      </c>
    </row>
    <row r="474" spans="1:13">
      <c r="A474">
        <v>15.741</v>
      </c>
      <c r="B474">
        <v>188.6</v>
      </c>
      <c r="C474">
        <v>14.404</v>
      </c>
      <c r="D474">
        <v>173.4</v>
      </c>
      <c r="G474">
        <v>15.708</v>
      </c>
      <c r="H474" s="8" t="s">
        <v>1228</v>
      </c>
      <c r="I474">
        <v>189.9</v>
      </c>
      <c r="K474">
        <f t="shared" si="21"/>
        <v>15.7</v>
      </c>
      <c r="L474">
        <f t="shared" si="22"/>
        <v>0.8796</v>
      </c>
      <c r="M474">
        <f t="shared" si="23"/>
        <v>0</v>
      </c>
    </row>
    <row r="475" spans="1:13">
      <c r="A475">
        <v>15.774</v>
      </c>
      <c r="B475">
        <v>188.6</v>
      </c>
      <c r="C475">
        <v>14.438</v>
      </c>
      <c r="D475">
        <v>172.3</v>
      </c>
      <c r="G475">
        <v>15.741</v>
      </c>
      <c r="H475" s="8" t="s">
        <v>1229</v>
      </c>
      <c r="I475">
        <v>188.6</v>
      </c>
      <c r="K475">
        <f t="shared" si="21"/>
        <v>15.7</v>
      </c>
      <c r="L475">
        <f t="shared" si="22"/>
        <v>0.7591</v>
      </c>
      <c r="M475">
        <f t="shared" si="23"/>
        <v>0</v>
      </c>
    </row>
    <row r="476" spans="1:13">
      <c r="A476">
        <v>15.808</v>
      </c>
      <c r="B476">
        <v>187.4</v>
      </c>
      <c r="C476">
        <v>14.471</v>
      </c>
      <c r="D476">
        <v>171.1</v>
      </c>
      <c r="G476">
        <v>15.774</v>
      </c>
      <c r="H476" s="8" t="s">
        <v>1230</v>
      </c>
      <c r="I476">
        <v>188.6</v>
      </c>
      <c r="K476">
        <f t="shared" si="21"/>
        <v>15.75</v>
      </c>
      <c r="L476">
        <f t="shared" si="22"/>
        <v>0.7476</v>
      </c>
      <c r="M476">
        <f t="shared" si="23"/>
        <v>0</v>
      </c>
    </row>
    <row r="477" spans="1:13">
      <c r="A477">
        <v>15.841</v>
      </c>
      <c r="B477">
        <v>185.9</v>
      </c>
      <c r="C477">
        <v>14.504</v>
      </c>
      <c r="D477">
        <v>170.1</v>
      </c>
      <c r="G477">
        <v>15.808</v>
      </c>
      <c r="H477" s="8" t="s">
        <v>1231</v>
      </c>
      <c r="I477">
        <v>187.4</v>
      </c>
      <c r="K477">
        <f t="shared" si="21"/>
        <v>15.8</v>
      </c>
      <c r="L477">
        <f t="shared" si="22"/>
        <v>0.7275</v>
      </c>
      <c r="M477">
        <f t="shared" si="23"/>
        <v>0</v>
      </c>
    </row>
    <row r="478" spans="1:13">
      <c r="A478">
        <v>15.875</v>
      </c>
      <c r="B478">
        <v>185.2</v>
      </c>
      <c r="C478">
        <v>14.538</v>
      </c>
      <c r="D478">
        <v>238.4</v>
      </c>
      <c r="G478">
        <v>15.841</v>
      </c>
      <c r="H478" s="8" t="s">
        <v>1232</v>
      </c>
      <c r="I478">
        <v>185.9</v>
      </c>
      <c r="K478">
        <f t="shared" si="21"/>
        <v>15.8</v>
      </c>
      <c r="L478">
        <f t="shared" si="22"/>
        <v>0.6323</v>
      </c>
      <c r="M478">
        <f t="shared" si="23"/>
        <v>0</v>
      </c>
    </row>
    <row r="479" spans="1:13">
      <c r="A479">
        <v>15.908</v>
      </c>
      <c r="B479">
        <v>184.1</v>
      </c>
      <c r="C479">
        <v>14.571</v>
      </c>
      <c r="D479">
        <v>238.4</v>
      </c>
      <c r="G479">
        <v>15.875</v>
      </c>
      <c r="H479" s="8" t="s">
        <v>1233</v>
      </c>
      <c r="I479">
        <v>185.2</v>
      </c>
      <c r="K479">
        <f t="shared" si="21"/>
        <v>15.85</v>
      </c>
      <c r="L479">
        <f t="shared" si="22"/>
        <v>0.5034</v>
      </c>
      <c r="M479">
        <f t="shared" si="23"/>
        <v>0</v>
      </c>
    </row>
    <row r="480" spans="1:13">
      <c r="A480">
        <v>15.941</v>
      </c>
      <c r="B480">
        <v>183.6</v>
      </c>
      <c r="C480">
        <v>14.605</v>
      </c>
      <c r="D480">
        <v>238.4</v>
      </c>
      <c r="G480">
        <v>15.908</v>
      </c>
      <c r="H480" s="8" t="s">
        <v>1234</v>
      </c>
      <c r="I480">
        <v>184.1</v>
      </c>
      <c r="K480">
        <f t="shared" si="21"/>
        <v>15.9</v>
      </c>
      <c r="L480">
        <f t="shared" si="22"/>
        <v>0.5102</v>
      </c>
      <c r="M480">
        <f t="shared" si="23"/>
        <v>0</v>
      </c>
    </row>
    <row r="481" spans="1:13">
      <c r="A481">
        <v>15.975</v>
      </c>
      <c r="B481">
        <v>182.8</v>
      </c>
      <c r="C481">
        <v>14.638</v>
      </c>
      <c r="D481">
        <v>238.4</v>
      </c>
      <c r="G481">
        <v>15.941</v>
      </c>
      <c r="H481" s="8" t="s">
        <v>1235</v>
      </c>
      <c r="I481">
        <v>183.6</v>
      </c>
      <c r="K481">
        <f t="shared" si="21"/>
        <v>15.9</v>
      </c>
      <c r="L481">
        <f t="shared" si="22"/>
        <v>0.3483</v>
      </c>
      <c r="M481">
        <f t="shared" si="23"/>
        <v>0</v>
      </c>
    </row>
    <row r="482" spans="1:13">
      <c r="A482">
        <v>16.008</v>
      </c>
      <c r="B482">
        <v>181.4</v>
      </c>
      <c r="C482">
        <v>14.671</v>
      </c>
      <c r="D482">
        <v>238.4</v>
      </c>
      <c r="G482">
        <v>15.975</v>
      </c>
      <c r="H482" s="8" t="s">
        <v>1236</v>
      </c>
      <c r="I482">
        <v>182.8</v>
      </c>
      <c r="K482">
        <f t="shared" si="21"/>
        <v>15.95</v>
      </c>
      <c r="L482">
        <f t="shared" si="22"/>
        <v>0.299</v>
      </c>
      <c r="M482">
        <f t="shared" si="23"/>
        <v>0</v>
      </c>
    </row>
    <row r="483" spans="1:13">
      <c r="A483">
        <v>16.042</v>
      </c>
      <c r="B483">
        <v>180.4</v>
      </c>
      <c r="C483">
        <v>14.705</v>
      </c>
      <c r="D483">
        <v>238.4</v>
      </c>
      <c r="G483">
        <v>16.008</v>
      </c>
      <c r="H483" s="8" t="s">
        <v>883</v>
      </c>
      <c r="I483">
        <v>181.4</v>
      </c>
      <c r="K483">
        <f t="shared" si="21"/>
        <v>16</v>
      </c>
      <c r="L483">
        <f t="shared" si="22"/>
        <v>0.2483</v>
      </c>
      <c r="M483">
        <f t="shared" si="23"/>
        <v>0</v>
      </c>
    </row>
    <row r="484" spans="1:13">
      <c r="A484">
        <v>16.075</v>
      </c>
      <c r="B484">
        <v>178.5</v>
      </c>
      <c r="C484">
        <v>14.738</v>
      </c>
      <c r="D484">
        <v>238.4</v>
      </c>
      <c r="G484">
        <v>16.042</v>
      </c>
      <c r="H484" s="8" t="s">
        <v>1237</v>
      </c>
      <c r="I484">
        <v>180.4</v>
      </c>
      <c r="K484">
        <f t="shared" si="21"/>
        <v>16</v>
      </c>
      <c r="L484">
        <f t="shared" si="22"/>
        <v>0.2482</v>
      </c>
      <c r="M484">
        <f t="shared" si="23"/>
        <v>0</v>
      </c>
    </row>
    <row r="485" spans="1:13">
      <c r="A485">
        <v>16.109</v>
      </c>
      <c r="B485">
        <v>178.4</v>
      </c>
      <c r="C485">
        <v>14.772</v>
      </c>
      <c r="D485">
        <v>238.4</v>
      </c>
      <c r="G485">
        <v>16.075</v>
      </c>
      <c r="H485" s="8" t="s">
        <v>1238</v>
      </c>
      <c r="I485">
        <v>178.5</v>
      </c>
      <c r="K485">
        <f t="shared" si="21"/>
        <v>16.05</v>
      </c>
      <c r="L485">
        <f t="shared" si="22"/>
        <v>0.1208</v>
      </c>
      <c r="M485">
        <f t="shared" si="23"/>
        <v>0</v>
      </c>
    </row>
    <row r="486" spans="1:13">
      <c r="A486">
        <v>16.142</v>
      </c>
      <c r="B486">
        <v>224.6</v>
      </c>
      <c r="C486">
        <v>14.805</v>
      </c>
      <c r="D486">
        <v>238.4</v>
      </c>
      <c r="G486">
        <v>16.109</v>
      </c>
      <c r="H486" s="8" t="s">
        <v>1239</v>
      </c>
      <c r="I486">
        <v>178.4</v>
      </c>
      <c r="K486">
        <f t="shared" si="21"/>
        <v>16.1</v>
      </c>
      <c r="L486">
        <f t="shared" si="22"/>
        <v>0.1252</v>
      </c>
      <c r="M486">
        <f t="shared" si="23"/>
        <v>0</v>
      </c>
    </row>
    <row r="487" spans="1:13">
      <c r="A487">
        <v>16.175</v>
      </c>
      <c r="B487">
        <v>238.4</v>
      </c>
      <c r="C487">
        <v>14.839</v>
      </c>
      <c r="D487">
        <v>238.4</v>
      </c>
      <c r="G487">
        <v>16.142</v>
      </c>
      <c r="H487" s="8" t="s">
        <v>1240</v>
      </c>
      <c r="I487">
        <v>224.6</v>
      </c>
      <c r="K487">
        <f t="shared" si="21"/>
        <v>16.1</v>
      </c>
      <c r="L487">
        <f t="shared" si="22"/>
        <v>0.07341</v>
      </c>
      <c r="M487">
        <f t="shared" si="23"/>
        <v>0</v>
      </c>
    </row>
    <row r="488" spans="1:13">
      <c r="A488">
        <v>16.209</v>
      </c>
      <c r="B488">
        <v>238.4</v>
      </c>
      <c r="C488">
        <v>14.872</v>
      </c>
      <c r="D488" s="2">
        <v>238.4</v>
      </c>
      <c r="E488" s="2"/>
      <c r="F488" s="2"/>
      <c r="G488">
        <v>16.175</v>
      </c>
      <c r="H488" s="8" t="s">
        <v>1241</v>
      </c>
      <c r="I488">
        <v>238.4</v>
      </c>
      <c r="K488">
        <f t="shared" si="21"/>
        <v>16.15</v>
      </c>
      <c r="L488">
        <f t="shared" si="22"/>
        <v>0.07271</v>
      </c>
      <c r="M488">
        <f t="shared" si="23"/>
        <v>5</v>
      </c>
    </row>
    <row r="489" spans="1:13">
      <c r="A489">
        <v>16.242</v>
      </c>
      <c r="B489">
        <v>238.4</v>
      </c>
      <c r="C489">
        <v>14.905</v>
      </c>
      <c r="D489">
        <v>238.4</v>
      </c>
      <c r="G489">
        <v>16.209</v>
      </c>
      <c r="H489" s="2">
        <v>-3.034e-5</v>
      </c>
      <c r="I489">
        <v>238.4</v>
      </c>
      <c r="K489">
        <f t="shared" si="21"/>
        <v>16.2</v>
      </c>
      <c r="L489">
        <f t="shared" si="22"/>
        <v>-0.003034</v>
      </c>
      <c r="M489">
        <f t="shared" si="23"/>
        <v>5</v>
      </c>
    </row>
    <row r="490" spans="1:13">
      <c r="A490">
        <v>16.276</v>
      </c>
      <c r="B490">
        <v>238.4</v>
      </c>
      <c r="C490">
        <v>14.939</v>
      </c>
      <c r="D490">
        <v>238.4</v>
      </c>
      <c r="G490">
        <v>16.242</v>
      </c>
      <c r="H490" s="8" t="s">
        <v>1242</v>
      </c>
      <c r="I490">
        <v>238.4</v>
      </c>
      <c r="K490">
        <f t="shared" si="21"/>
        <v>16.2</v>
      </c>
      <c r="L490">
        <f t="shared" si="22"/>
        <v>0.001886</v>
      </c>
      <c r="M490">
        <f t="shared" si="23"/>
        <v>5</v>
      </c>
    </row>
    <row r="491" spans="1:13">
      <c r="A491">
        <v>16.309</v>
      </c>
      <c r="B491">
        <v>238.4</v>
      </c>
      <c r="C491">
        <v>14.972</v>
      </c>
      <c r="D491">
        <v>238.4</v>
      </c>
      <c r="G491">
        <v>16.276</v>
      </c>
      <c r="H491" s="8" t="s">
        <v>1243</v>
      </c>
      <c r="I491">
        <v>238.4</v>
      </c>
      <c r="K491">
        <f t="shared" si="21"/>
        <v>16.25</v>
      </c>
      <c r="L491">
        <f t="shared" si="22"/>
        <v>0.0003503</v>
      </c>
      <c r="M491">
        <f t="shared" si="23"/>
        <v>5</v>
      </c>
    </row>
    <row r="492" spans="1:13">
      <c r="A492">
        <v>16.342</v>
      </c>
      <c r="B492">
        <v>238.4</v>
      </c>
      <c r="C492">
        <v>15.006</v>
      </c>
      <c r="D492">
        <v>238.4</v>
      </c>
      <c r="G492">
        <v>16.309</v>
      </c>
      <c r="H492" s="8" t="s">
        <v>596</v>
      </c>
      <c r="I492">
        <v>238.4</v>
      </c>
      <c r="K492">
        <f t="shared" si="21"/>
        <v>16.3</v>
      </c>
      <c r="L492">
        <f t="shared" si="22"/>
        <v>0.105</v>
      </c>
      <c r="M492">
        <f t="shared" si="23"/>
        <v>5</v>
      </c>
    </row>
    <row r="493" spans="1:13">
      <c r="A493">
        <v>16.376</v>
      </c>
      <c r="B493">
        <v>238.4</v>
      </c>
      <c r="C493">
        <v>15.039</v>
      </c>
      <c r="D493">
        <v>238.4</v>
      </c>
      <c r="G493">
        <v>16.342</v>
      </c>
      <c r="H493" s="8" t="s">
        <v>1244</v>
      </c>
      <c r="I493">
        <v>238.4</v>
      </c>
      <c r="K493">
        <f t="shared" si="21"/>
        <v>16.3</v>
      </c>
      <c r="L493">
        <f t="shared" si="22"/>
        <v>0.05459</v>
      </c>
      <c r="M493">
        <f t="shared" si="23"/>
        <v>5</v>
      </c>
    </row>
    <row r="494" spans="1:13">
      <c r="A494">
        <v>16.409</v>
      </c>
      <c r="B494">
        <v>238.4</v>
      </c>
      <c r="C494">
        <v>15.073</v>
      </c>
      <c r="D494">
        <v>238.4</v>
      </c>
      <c r="G494">
        <v>16.376</v>
      </c>
      <c r="H494" s="8" t="s">
        <v>1245</v>
      </c>
      <c r="I494">
        <v>238.4</v>
      </c>
      <c r="K494">
        <f t="shared" si="21"/>
        <v>16.35</v>
      </c>
      <c r="L494">
        <f t="shared" si="22"/>
        <v>0.125</v>
      </c>
      <c r="M494">
        <f t="shared" si="23"/>
        <v>5</v>
      </c>
    </row>
    <row r="495" spans="1:13">
      <c r="A495">
        <v>16.443</v>
      </c>
      <c r="B495">
        <v>238.4</v>
      </c>
      <c r="C495">
        <v>15.106</v>
      </c>
      <c r="D495">
        <v>238.4</v>
      </c>
      <c r="G495">
        <v>16.409</v>
      </c>
      <c r="H495" s="8" t="s">
        <v>1246</v>
      </c>
      <c r="I495">
        <v>238.4</v>
      </c>
      <c r="K495">
        <f t="shared" si="21"/>
        <v>16.4</v>
      </c>
      <c r="L495">
        <f t="shared" si="22"/>
        <v>0.1213</v>
      </c>
      <c r="M495">
        <f t="shared" si="23"/>
        <v>5</v>
      </c>
    </row>
    <row r="496" spans="1:13">
      <c r="A496">
        <v>16.476</v>
      </c>
      <c r="B496">
        <v>238.4</v>
      </c>
      <c r="C496">
        <v>15.139</v>
      </c>
      <c r="D496">
        <v>238.4</v>
      </c>
      <c r="G496">
        <v>16.443</v>
      </c>
      <c r="H496" s="8" t="s">
        <v>1247</v>
      </c>
      <c r="I496">
        <v>238.4</v>
      </c>
      <c r="K496">
        <f t="shared" si="21"/>
        <v>16.4</v>
      </c>
      <c r="L496">
        <f t="shared" si="22"/>
        <v>0.2316</v>
      </c>
      <c r="M496">
        <f t="shared" si="23"/>
        <v>5</v>
      </c>
    </row>
    <row r="497" spans="1:13">
      <c r="A497">
        <v>16.51</v>
      </c>
      <c r="B497">
        <v>238.4</v>
      </c>
      <c r="C497">
        <v>15.173</v>
      </c>
      <c r="D497">
        <v>238.4</v>
      </c>
      <c r="G497">
        <v>16.476</v>
      </c>
      <c r="H497" s="8" t="s">
        <v>1248</v>
      </c>
      <c r="I497">
        <v>238.4</v>
      </c>
      <c r="K497">
        <f t="shared" si="21"/>
        <v>16.45</v>
      </c>
      <c r="L497">
        <f t="shared" si="22"/>
        <v>0.2481</v>
      </c>
      <c r="M497">
        <f t="shared" si="23"/>
        <v>5</v>
      </c>
    </row>
    <row r="498" spans="1:13">
      <c r="A498">
        <v>16.543</v>
      </c>
      <c r="B498">
        <v>238.4</v>
      </c>
      <c r="C498">
        <v>15.206</v>
      </c>
      <c r="D498">
        <v>238.4</v>
      </c>
      <c r="G498">
        <v>16.51</v>
      </c>
      <c r="H498" s="8" t="s">
        <v>1249</v>
      </c>
      <c r="I498">
        <v>238.4</v>
      </c>
      <c r="K498">
        <f t="shared" si="21"/>
        <v>16.5</v>
      </c>
      <c r="L498">
        <f t="shared" si="22"/>
        <v>0.2529</v>
      </c>
      <c r="M498">
        <f t="shared" si="23"/>
        <v>5</v>
      </c>
    </row>
    <row r="499" spans="1:13">
      <c r="A499">
        <v>16.576</v>
      </c>
      <c r="B499">
        <v>238.4</v>
      </c>
      <c r="C499">
        <v>15.24</v>
      </c>
      <c r="D499">
        <v>238.4</v>
      </c>
      <c r="G499">
        <v>16.543</v>
      </c>
      <c r="H499" s="8" t="s">
        <v>1250</v>
      </c>
      <c r="I499">
        <v>238.4</v>
      </c>
      <c r="K499">
        <f t="shared" si="21"/>
        <v>16.5</v>
      </c>
      <c r="L499">
        <f t="shared" si="22"/>
        <v>0.3823</v>
      </c>
      <c r="M499">
        <f t="shared" si="23"/>
        <v>5</v>
      </c>
    </row>
    <row r="500" spans="1:13">
      <c r="A500">
        <v>16.61</v>
      </c>
      <c r="B500">
        <v>238.4</v>
      </c>
      <c r="C500">
        <v>15.273</v>
      </c>
      <c r="D500">
        <v>238.4</v>
      </c>
      <c r="G500">
        <v>16.576</v>
      </c>
      <c r="H500" s="8" t="s">
        <v>1251</v>
      </c>
      <c r="I500">
        <v>238.4</v>
      </c>
      <c r="K500">
        <f t="shared" si="21"/>
        <v>16.55</v>
      </c>
      <c r="L500">
        <f t="shared" si="22"/>
        <v>0.378</v>
      </c>
      <c r="M500">
        <f t="shared" si="23"/>
        <v>5</v>
      </c>
    </row>
    <row r="501" spans="1:13">
      <c r="A501">
        <v>16.643</v>
      </c>
      <c r="B501">
        <v>238.4</v>
      </c>
      <c r="C501">
        <v>15.306</v>
      </c>
      <c r="D501">
        <v>238.4</v>
      </c>
      <c r="G501">
        <v>16.61</v>
      </c>
      <c r="H501" s="8" t="s">
        <v>744</v>
      </c>
      <c r="I501">
        <v>238.4</v>
      </c>
      <c r="K501">
        <f t="shared" si="21"/>
        <v>16.6</v>
      </c>
      <c r="L501">
        <f t="shared" si="22"/>
        <v>0.4993</v>
      </c>
      <c r="M501">
        <f t="shared" si="23"/>
        <v>5</v>
      </c>
    </row>
    <row r="502" spans="1:13">
      <c r="A502">
        <v>16.677</v>
      </c>
      <c r="B502">
        <v>238.4</v>
      </c>
      <c r="C502">
        <v>15.34</v>
      </c>
      <c r="D502">
        <v>238.4</v>
      </c>
      <c r="G502">
        <v>16.643</v>
      </c>
      <c r="H502" s="8" t="s">
        <v>1252</v>
      </c>
      <c r="I502">
        <v>238.4</v>
      </c>
      <c r="K502">
        <f t="shared" si="21"/>
        <v>16.6</v>
      </c>
      <c r="L502">
        <f t="shared" si="22"/>
        <v>0.5537</v>
      </c>
      <c r="M502">
        <f t="shared" si="23"/>
        <v>5</v>
      </c>
    </row>
    <row r="503" spans="1:13">
      <c r="A503">
        <v>16.71</v>
      </c>
      <c r="B503">
        <v>238.4</v>
      </c>
      <c r="C503">
        <v>15.373</v>
      </c>
      <c r="D503">
        <v>194.2</v>
      </c>
      <c r="G503">
        <v>16.677</v>
      </c>
      <c r="H503" s="8" t="s">
        <v>1253</v>
      </c>
      <c r="I503">
        <v>238.4</v>
      </c>
      <c r="K503">
        <f t="shared" si="21"/>
        <v>16.65</v>
      </c>
      <c r="L503">
        <f t="shared" si="22"/>
        <v>0.5586</v>
      </c>
      <c r="M503">
        <f t="shared" si="23"/>
        <v>5</v>
      </c>
    </row>
    <row r="504" spans="1:13">
      <c r="A504">
        <v>16.744</v>
      </c>
      <c r="B504">
        <v>238.4</v>
      </c>
      <c r="C504">
        <v>15.407</v>
      </c>
      <c r="D504">
        <v>199.2</v>
      </c>
      <c r="G504">
        <v>16.71</v>
      </c>
      <c r="H504" s="8" t="s">
        <v>1254</v>
      </c>
      <c r="I504">
        <v>238.4</v>
      </c>
      <c r="K504">
        <f t="shared" si="21"/>
        <v>16.7</v>
      </c>
      <c r="L504">
        <f t="shared" si="22"/>
        <v>0.6353</v>
      </c>
      <c r="M504">
        <f t="shared" si="23"/>
        <v>5</v>
      </c>
    </row>
    <row r="505" spans="1:13">
      <c r="A505">
        <v>16.777</v>
      </c>
      <c r="B505">
        <v>238.4</v>
      </c>
      <c r="C505">
        <v>15.44</v>
      </c>
      <c r="D505">
        <v>198.4</v>
      </c>
      <c r="G505">
        <v>16.744</v>
      </c>
      <c r="H505" s="8" t="s">
        <v>1255</v>
      </c>
      <c r="I505">
        <v>238.4</v>
      </c>
      <c r="K505">
        <f t="shared" si="21"/>
        <v>16.7</v>
      </c>
      <c r="L505">
        <f t="shared" si="22"/>
        <v>0.6687</v>
      </c>
      <c r="M505">
        <f t="shared" si="23"/>
        <v>5</v>
      </c>
    </row>
    <row r="506" spans="1:13">
      <c r="A506">
        <v>16.81</v>
      </c>
      <c r="B506">
        <v>238.4</v>
      </c>
      <c r="C506">
        <v>15.474</v>
      </c>
      <c r="D506">
        <v>197.7</v>
      </c>
      <c r="G506">
        <v>16.777</v>
      </c>
      <c r="H506" s="8" t="s">
        <v>1256</v>
      </c>
      <c r="I506">
        <v>238.4</v>
      </c>
      <c r="K506">
        <f t="shared" si="21"/>
        <v>16.75</v>
      </c>
      <c r="L506">
        <f t="shared" si="22"/>
        <v>0.7051</v>
      </c>
      <c r="M506">
        <f t="shared" si="23"/>
        <v>5</v>
      </c>
    </row>
    <row r="507" spans="1:13">
      <c r="A507">
        <v>16.844</v>
      </c>
      <c r="B507">
        <v>238.4</v>
      </c>
      <c r="C507">
        <v>15.507</v>
      </c>
      <c r="D507">
        <v>196.1</v>
      </c>
      <c r="G507">
        <v>16.81</v>
      </c>
      <c r="H507" s="8" t="s">
        <v>1257</v>
      </c>
      <c r="I507">
        <v>238.4</v>
      </c>
      <c r="K507">
        <f t="shared" si="21"/>
        <v>16.8</v>
      </c>
      <c r="L507">
        <f t="shared" si="22"/>
        <v>0.7534</v>
      </c>
      <c r="M507">
        <f t="shared" si="23"/>
        <v>5</v>
      </c>
    </row>
    <row r="508" spans="1:13">
      <c r="A508">
        <v>16.877</v>
      </c>
      <c r="B508">
        <v>238.4</v>
      </c>
      <c r="C508">
        <v>15.54</v>
      </c>
      <c r="D508">
        <v>194.5</v>
      </c>
      <c r="G508">
        <v>16.844</v>
      </c>
      <c r="H508" s="8" t="s">
        <v>1258</v>
      </c>
      <c r="I508">
        <v>238.4</v>
      </c>
      <c r="K508">
        <f t="shared" si="21"/>
        <v>16.8</v>
      </c>
      <c r="L508">
        <f t="shared" si="22"/>
        <v>0.7443</v>
      </c>
      <c r="M508">
        <f t="shared" si="23"/>
        <v>5</v>
      </c>
    </row>
    <row r="509" spans="1:13">
      <c r="A509">
        <v>16.911</v>
      </c>
      <c r="B509">
        <v>238.4</v>
      </c>
      <c r="C509">
        <v>15.574</v>
      </c>
      <c r="D509">
        <v>194.4</v>
      </c>
      <c r="G509">
        <v>16.877</v>
      </c>
      <c r="H509" s="8" t="s">
        <v>1259</v>
      </c>
      <c r="I509">
        <v>238.4</v>
      </c>
      <c r="K509">
        <f t="shared" si="21"/>
        <v>16.85</v>
      </c>
      <c r="L509">
        <f t="shared" si="22"/>
        <v>0.7483</v>
      </c>
      <c r="M509">
        <f t="shared" si="23"/>
        <v>5</v>
      </c>
    </row>
    <row r="510" spans="1:13">
      <c r="A510">
        <v>16.944</v>
      </c>
      <c r="B510">
        <v>238.4</v>
      </c>
      <c r="C510">
        <v>15.607</v>
      </c>
      <c r="D510">
        <v>192.7</v>
      </c>
      <c r="G510">
        <v>16.911</v>
      </c>
      <c r="H510" s="8" t="s">
        <v>1260</v>
      </c>
      <c r="I510">
        <v>238.4</v>
      </c>
      <c r="K510">
        <f t="shared" si="21"/>
        <v>16.9</v>
      </c>
      <c r="L510">
        <f t="shared" si="22"/>
        <v>0.8709</v>
      </c>
      <c r="M510">
        <f t="shared" si="23"/>
        <v>5</v>
      </c>
    </row>
    <row r="511" spans="1:13">
      <c r="A511">
        <v>16.977</v>
      </c>
      <c r="B511">
        <v>238.4</v>
      </c>
      <c r="C511">
        <v>15.641</v>
      </c>
      <c r="D511">
        <v>192.5</v>
      </c>
      <c r="G511">
        <v>16.944</v>
      </c>
      <c r="H511" s="8" t="s">
        <v>1261</v>
      </c>
      <c r="I511">
        <v>238.4</v>
      </c>
      <c r="K511">
        <f t="shared" si="21"/>
        <v>16.9</v>
      </c>
      <c r="L511">
        <f t="shared" si="22"/>
        <v>0.8729</v>
      </c>
      <c r="M511">
        <f t="shared" si="23"/>
        <v>5</v>
      </c>
    </row>
    <row r="512" spans="1:13">
      <c r="A512">
        <v>17.011</v>
      </c>
      <c r="B512">
        <v>196.3</v>
      </c>
      <c r="C512">
        <v>15.674</v>
      </c>
      <c r="D512">
        <v>191.3</v>
      </c>
      <c r="G512">
        <v>16.977</v>
      </c>
      <c r="H512" s="8" t="s">
        <v>1262</v>
      </c>
      <c r="I512">
        <v>238.4</v>
      </c>
      <c r="K512">
        <f t="shared" si="21"/>
        <v>16.95</v>
      </c>
      <c r="L512">
        <f t="shared" si="22"/>
        <v>0.8767</v>
      </c>
      <c r="M512">
        <f t="shared" si="23"/>
        <v>5</v>
      </c>
    </row>
    <row r="513" spans="1:13">
      <c r="A513">
        <v>17.044</v>
      </c>
      <c r="B513">
        <v>205.2</v>
      </c>
      <c r="C513">
        <v>15.708</v>
      </c>
      <c r="D513">
        <v>189.9</v>
      </c>
      <c r="G513">
        <v>17.011</v>
      </c>
      <c r="H513" s="8" t="s">
        <v>1263</v>
      </c>
      <c r="I513">
        <v>196.3</v>
      </c>
      <c r="K513">
        <f t="shared" si="21"/>
        <v>17</v>
      </c>
      <c r="L513">
        <f t="shared" si="22"/>
        <v>0.8747</v>
      </c>
      <c r="M513">
        <f t="shared" si="23"/>
        <v>0</v>
      </c>
    </row>
    <row r="514" spans="1:13">
      <c r="A514">
        <v>17.078</v>
      </c>
      <c r="B514">
        <v>203.7</v>
      </c>
      <c r="C514">
        <v>15.741</v>
      </c>
      <c r="D514">
        <v>188.6</v>
      </c>
      <c r="G514">
        <v>17.044</v>
      </c>
      <c r="H514" s="8" t="s">
        <v>1264</v>
      </c>
      <c r="I514">
        <v>205.2</v>
      </c>
      <c r="K514">
        <f t="shared" si="21"/>
        <v>17</v>
      </c>
      <c r="L514">
        <f t="shared" si="22"/>
        <v>0.8754</v>
      </c>
      <c r="M514">
        <f t="shared" si="23"/>
        <v>0</v>
      </c>
    </row>
    <row r="515" spans="1:13">
      <c r="A515">
        <v>17.111</v>
      </c>
      <c r="B515">
        <v>201.4</v>
      </c>
      <c r="C515">
        <v>15.774</v>
      </c>
      <c r="D515">
        <v>188.6</v>
      </c>
      <c r="G515">
        <v>17.078</v>
      </c>
      <c r="H515" s="8" t="s">
        <v>1265</v>
      </c>
      <c r="I515">
        <v>203.7</v>
      </c>
      <c r="K515">
        <f t="shared" si="21"/>
        <v>17.05</v>
      </c>
      <c r="L515">
        <f t="shared" si="22"/>
        <v>0.8741</v>
      </c>
      <c r="M515">
        <f t="shared" si="23"/>
        <v>0</v>
      </c>
    </row>
    <row r="516" spans="1:13">
      <c r="A516">
        <v>17.145</v>
      </c>
      <c r="B516">
        <v>201</v>
      </c>
      <c r="C516">
        <v>15.808</v>
      </c>
      <c r="D516">
        <v>187.4</v>
      </c>
      <c r="G516">
        <v>17.111</v>
      </c>
      <c r="H516" s="8" t="s">
        <v>1266</v>
      </c>
      <c r="I516">
        <v>201.4</v>
      </c>
      <c r="K516">
        <f t="shared" ref="K516:K579" si="24">FLOOR(G516,0.05)</f>
        <v>17.1</v>
      </c>
      <c r="L516">
        <f t="shared" si="22"/>
        <v>0.7497</v>
      </c>
      <c r="M516">
        <f t="shared" si="23"/>
        <v>0</v>
      </c>
    </row>
    <row r="517" spans="1:13">
      <c r="A517">
        <v>17.178</v>
      </c>
      <c r="B517">
        <v>199</v>
      </c>
      <c r="C517">
        <v>15.841</v>
      </c>
      <c r="D517">
        <v>185.9</v>
      </c>
      <c r="G517">
        <v>17.145</v>
      </c>
      <c r="H517" s="8" t="s">
        <v>1267</v>
      </c>
      <c r="I517">
        <v>201</v>
      </c>
      <c r="K517">
        <f t="shared" si="24"/>
        <v>17.1</v>
      </c>
      <c r="L517">
        <f t="shared" ref="L517:L580" si="25">H517*100</f>
        <v>0.7571</v>
      </c>
      <c r="M517">
        <f t="shared" ref="M517:M580" si="26">IF(I517&lt;230,0,5)</f>
        <v>0</v>
      </c>
    </row>
    <row r="518" spans="1:13">
      <c r="A518">
        <v>17.211</v>
      </c>
      <c r="B518">
        <v>198.4</v>
      </c>
      <c r="C518">
        <v>15.875</v>
      </c>
      <c r="D518">
        <v>185.2</v>
      </c>
      <c r="G518">
        <v>17.178</v>
      </c>
      <c r="H518" s="8" t="s">
        <v>1268</v>
      </c>
      <c r="I518">
        <v>199</v>
      </c>
      <c r="K518">
        <f t="shared" si="24"/>
        <v>17.15</v>
      </c>
      <c r="L518">
        <f t="shared" si="25"/>
        <v>0.7512</v>
      </c>
      <c r="M518">
        <f t="shared" si="26"/>
        <v>0</v>
      </c>
    </row>
    <row r="519" spans="1:13">
      <c r="A519">
        <v>17.245</v>
      </c>
      <c r="B519">
        <v>197</v>
      </c>
      <c r="C519">
        <v>15.908</v>
      </c>
      <c r="D519">
        <v>184.1</v>
      </c>
      <c r="G519">
        <v>17.211</v>
      </c>
      <c r="H519" s="8" t="s">
        <v>1269</v>
      </c>
      <c r="I519">
        <v>198.4</v>
      </c>
      <c r="K519">
        <f t="shared" si="24"/>
        <v>17.2</v>
      </c>
      <c r="L519">
        <f t="shared" si="25"/>
        <v>0.7569</v>
      </c>
      <c r="M519">
        <f t="shared" si="26"/>
        <v>0</v>
      </c>
    </row>
    <row r="520" spans="1:13">
      <c r="A520">
        <v>17.278</v>
      </c>
      <c r="B520">
        <v>195.9</v>
      </c>
      <c r="C520">
        <v>15.941</v>
      </c>
      <c r="D520">
        <v>183.6</v>
      </c>
      <c r="G520">
        <v>17.245</v>
      </c>
      <c r="H520" s="8" t="s">
        <v>1270</v>
      </c>
      <c r="I520">
        <v>197</v>
      </c>
      <c r="K520">
        <f t="shared" si="24"/>
        <v>17.2</v>
      </c>
      <c r="L520">
        <f t="shared" si="25"/>
        <v>0.7155</v>
      </c>
      <c r="M520">
        <f t="shared" si="26"/>
        <v>0</v>
      </c>
    </row>
    <row r="521" spans="1:13">
      <c r="A521">
        <v>17.312</v>
      </c>
      <c r="B521">
        <v>194.5</v>
      </c>
      <c r="C521">
        <v>15.975</v>
      </c>
      <c r="D521">
        <v>182.8</v>
      </c>
      <c r="G521">
        <v>17.278</v>
      </c>
      <c r="H521" s="8" t="s">
        <v>1271</v>
      </c>
      <c r="I521">
        <v>195.9</v>
      </c>
      <c r="K521">
        <f t="shared" si="24"/>
        <v>17.25</v>
      </c>
      <c r="L521">
        <f t="shared" si="25"/>
        <v>0.6357</v>
      </c>
      <c r="M521">
        <f t="shared" si="26"/>
        <v>0</v>
      </c>
    </row>
    <row r="522" spans="1:13">
      <c r="A522">
        <v>17.345</v>
      </c>
      <c r="B522">
        <v>193.9</v>
      </c>
      <c r="C522">
        <v>16.008</v>
      </c>
      <c r="D522">
        <v>181.4</v>
      </c>
      <c r="G522">
        <v>17.312</v>
      </c>
      <c r="H522" s="8" t="s">
        <v>1272</v>
      </c>
      <c r="I522">
        <v>194.5</v>
      </c>
      <c r="K522">
        <f t="shared" si="24"/>
        <v>17.3</v>
      </c>
      <c r="L522">
        <f t="shared" si="25"/>
        <v>0.5224</v>
      </c>
      <c r="M522">
        <f t="shared" si="26"/>
        <v>0</v>
      </c>
    </row>
    <row r="523" spans="1:13">
      <c r="A523">
        <v>17.379</v>
      </c>
      <c r="B523">
        <v>192.7</v>
      </c>
      <c r="C523">
        <v>16.042</v>
      </c>
      <c r="D523">
        <v>180.4</v>
      </c>
      <c r="G523">
        <v>17.345</v>
      </c>
      <c r="H523" s="8" t="s">
        <v>1273</v>
      </c>
      <c r="I523">
        <v>193.9</v>
      </c>
      <c r="K523">
        <f t="shared" si="24"/>
        <v>17.3</v>
      </c>
      <c r="L523">
        <f t="shared" si="25"/>
        <v>0.5198</v>
      </c>
      <c r="M523">
        <f t="shared" si="26"/>
        <v>0</v>
      </c>
    </row>
    <row r="524" spans="1:13">
      <c r="A524">
        <v>17.412</v>
      </c>
      <c r="B524">
        <v>191.5</v>
      </c>
      <c r="C524">
        <v>16.075</v>
      </c>
      <c r="D524">
        <v>178.5</v>
      </c>
      <c r="G524">
        <v>17.379</v>
      </c>
      <c r="H524" s="8" t="s">
        <v>1274</v>
      </c>
      <c r="I524">
        <v>192.7</v>
      </c>
      <c r="K524">
        <f t="shared" si="24"/>
        <v>17.35</v>
      </c>
      <c r="L524">
        <f t="shared" si="25"/>
        <v>0.5031</v>
      </c>
      <c r="M524">
        <f t="shared" si="26"/>
        <v>0</v>
      </c>
    </row>
    <row r="525" spans="1:13">
      <c r="A525">
        <v>17.445</v>
      </c>
      <c r="B525">
        <v>191.1</v>
      </c>
      <c r="C525">
        <v>16.109</v>
      </c>
      <c r="D525">
        <v>178.4</v>
      </c>
      <c r="G525">
        <v>17.412</v>
      </c>
      <c r="H525" s="8" t="s">
        <v>1275</v>
      </c>
      <c r="I525">
        <v>191.5</v>
      </c>
      <c r="K525">
        <f t="shared" si="24"/>
        <v>17.4</v>
      </c>
      <c r="L525">
        <f t="shared" si="25"/>
        <v>0.4198</v>
      </c>
      <c r="M525">
        <f t="shared" si="26"/>
        <v>0</v>
      </c>
    </row>
    <row r="526" spans="1:13">
      <c r="A526">
        <v>17.479</v>
      </c>
      <c r="B526">
        <v>189.7</v>
      </c>
      <c r="C526">
        <v>16.142</v>
      </c>
      <c r="D526">
        <v>224.6</v>
      </c>
      <c r="G526">
        <v>17.445</v>
      </c>
      <c r="H526" s="8" t="s">
        <v>1276</v>
      </c>
      <c r="I526">
        <v>191.1</v>
      </c>
      <c r="K526">
        <f t="shared" si="24"/>
        <v>17.4</v>
      </c>
      <c r="L526">
        <f t="shared" si="25"/>
        <v>0.3637</v>
      </c>
      <c r="M526">
        <f t="shared" si="26"/>
        <v>0</v>
      </c>
    </row>
    <row r="527" spans="1:13">
      <c r="A527">
        <v>17.512</v>
      </c>
      <c r="B527">
        <v>189</v>
      </c>
      <c r="C527">
        <v>16.175</v>
      </c>
      <c r="D527">
        <v>238.4</v>
      </c>
      <c r="G527">
        <v>17.479</v>
      </c>
      <c r="H527" s="8" t="s">
        <v>1277</v>
      </c>
      <c r="I527">
        <v>189.7</v>
      </c>
      <c r="K527">
        <f t="shared" si="24"/>
        <v>17.45</v>
      </c>
      <c r="L527">
        <f t="shared" si="25"/>
        <v>0.2679</v>
      </c>
      <c r="M527">
        <f t="shared" si="26"/>
        <v>0</v>
      </c>
    </row>
    <row r="528" spans="1:13">
      <c r="A528">
        <v>17.546</v>
      </c>
      <c r="B528">
        <v>187.4</v>
      </c>
      <c r="C528">
        <v>16.209</v>
      </c>
      <c r="D528">
        <v>238.4</v>
      </c>
      <c r="G528">
        <v>17.512</v>
      </c>
      <c r="H528" s="8" t="s">
        <v>858</v>
      </c>
      <c r="I528">
        <v>189</v>
      </c>
      <c r="K528">
        <f t="shared" si="24"/>
        <v>17.5</v>
      </c>
      <c r="L528">
        <f t="shared" si="25"/>
        <v>0.2532</v>
      </c>
      <c r="M528">
        <f t="shared" si="26"/>
        <v>0</v>
      </c>
    </row>
    <row r="529" spans="1:13">
      <c r="A529">
        <v>17.579</v>
      </c>
      <c r="B529">
        <v>187.5</v>
      </c>
      <c r="C529">
        <v>16.242</v>
      </c>
      <c r="D529">
        <v>238.4</v>
      </c>
      <c r="G529">
        <v>17.546</v>
      </c>
      <c r="H529" s="8" t="s">
        <v>570</v>
      </c>
      <c r="I529">
        <v>187.4</v>
      </c>
      <c r="K529">
        <f t="shared" si="24"/>
        <v>17.5</v>
      </c>
      <c r="L529">
        <f t="shared" si="25"/>
        <v>0.2427</v>
      </c>
      <c r="M529">
        <f t="shared" si="26"/>
        <v>0</v>
      </c>
    </row>
    <row r="530" spans="1:13">
      <c r="A530">
        <v>17.612</v>
      </c>
      <c r="B530">
        <v>186.6</v>
      </c>
      <c r="C530">
        <v>16.276</v>
      </c>
      <c r="D530">
        <v>238.4</v>
      </c>
      <c r="G530">
        <v>17.579</v>
      </c>
      <c r="H530" s="8" t="s">
        <v>1278</v>
      </c>
      <c r="I530">
        <v>187.5</v>
      </c>
      <c r="K530">
        <f t="shared" si="24"/>
        <v>17.55</v>
      </c>
      <c r="L530">
        <f t="shared" si="25"/>
        <v>0.2455</v>
      </c>
      <c r="M530">
        <f t="shared" si="26"/>
        <v>0</v>
      </c>
    </row>
    <row r="531" spans="1:13">
      <c r="A531">
        <v>17.646</v>
      </c>
      <c r="B531">
        <v>185.5</v>
      </c>
      <c r="C531">
        <v>16.309</v>
      </c>
      <c r="D531">
        <v>238.4</v>
      </c>
      <c r="G531">
        <v>17.612</v>
      </c>
      <c r="H531" s="8" t="s">
        <v>1279</v>
      </c>
      <c r="I531">
        <v>186.6</v>
      </c>
      <c r="K531">
        <f t="shared" si="24"/>
        <v>17.6</v>
      </c>
      <c r="L531">
        <f t="shared" si="25"/>
        <v>0.2449</v>
      </c>
      <c r="M531">
        <f t="shared" si="26"/>
        <v>0</v>
      </c>
    </row>
    <row r="532" spans="1:13">
      <c r="A532">
        <v>17.679</v>
      </c>
      <c r="B532">
        <v>184.8</v>
      </c>
      <c r="C532">
        <v>16.342</v>
      </c>
      <c r="D532">
        <v>238.4</v>
      </c>
      <c r="G532">
        <v>17.646</v>
      </c>
      <c r="H532" s="8" t="s">
        <v>1280</v>
      </c>
      <c r="I532">
        <v>185.5</v>
      </c>
      <c r="K532">
        <f t="shared" si="24"/>
        <v>17.6</v>
      </c>
      <c r="L532">
        <f t="shared" si="25"/>
        <v>0.2282</v>
      </c>
      <c r="M532">
        <f t="shared" si="26"/>
        <v>0</v>
      </c>
    </row>
    <row r="533" spans="1:13">
      <c r="A533">
        <v>17.713</v>
      </c>
      <c r="B533">
        <v>184</v>
      </c>
      <c r="C533">
        <v>16.376</v>
      </c>
      <c r="D533">
        <v>238.4</v>
      </c>
      <c r="G533">
        <v>17.679</v>
      </c>
      <c r="H533" s="8" t="s">
        <v>1281</v>
      </c>
      <c r="I533">
        <v>184.8</v>
      </c>
      <c r="K533">
        <f t="shared" si="24"/>
        <v>17.65</v>
      </c>
      <c r="L533">
        <f t="shared" si="25"/>
        <v>0.2365</v>
      </c>
      <c r="M533">
        <f t="shared" si="26"/>
        <v>0</v>
      </c>
    </row>
    <row r="534" spans="1:13">
      <c r="A534">
        <v>17.746</v>
      </c>
      <c r="B534">
        <v>182.3</v>
      </c>
      <c r="C534">
        <v>16.409</v>
      </c>
      <c r="D534">
        <v>238.4</v>
      </c>
      <c r="G534">
        <v>17.713</v>
      </c>
      <c r="H534" s="8" t="s">
        <v>1282</v>
      </c>
      <c r="I534">
        <v>184</v>
      </c>
      <c r="K534">
        <f t="shared" si="24"/>
        <v>17.7</v>
      </c>
      <c r="L534">
        <f t="shared" si="25"/>
        <v>0.2384</v>
      </c>
      <c r="M534">
        <f t="shared" si="26"/>
        <v>0</v>
      </c>
    </row>
    <row r="535" spans="1:13">
      <c r="A535">
        <v>17.78</v>
      </c>
      <c r="B535">
        <v>238.4</v>
      </c>
      <c r="C535">
        <v>16.443</v>
      </c>
      <c r="D535">
        <v>238.4</v>
      </c>
      <c r="G535">
        <v>17.746</v>
      </c>
      <c r="H535" s="8" t="s">
        <v>1283</v>
      </c>
      <c r="I535">
        <v>182.3</v>
      </c>
      <c r="K535">
        <f t="shared" si="24"/>
        <v>17.7</v>
      </c>
      <c r="L535">
        <f t="shared" si="25"/>
        <v>0.2416</v>
      </c>
      <c r="M535">
        <f t="shared" si="26"/>
        <v>0</v>
      </c>
    </row>
    <row r="536" spans="1:13">
      <c r="A536">
        <v>17.813</v>
      </c>
      <c r="B536">
        <v>238.4</v>
      </c>
      <c r="C536">
        <v>16.476</v>
      </c>
      <c r="D536">
        <v>238.4</v>
      </c>
      <c r="G536">
        <v>17.78</v>
      </c>
      <c r="H536" s="8" t="s">
        <v>1284</v>
      </c>
      <c r="I536">
        <v>238.4</v>
      </c>
      <c r="K536">
        <f t="shared" si="24"/>
        <v>17.75</v>
      </c>
      <c r="L536">
        <f t="shared" si="25"/>
        <v>0.2398</v>
      </c>
      <c r="M536">
        <f t="shared" si="26"/>
        <v>5</v>
      </c>
    </row>
    <row r="537" spans="1:13">
      <c r="A537">
        <v>17.846</v>
      </c>
      <c r="B537">
        <v>238.4</v>
      </c>
      <c r="C537">
        <v>16.51</v>
      </c>
      <c r="D537">
        <v>238.4</v>
      </c>
      <c r="G537">
        <v>17.813</v>
      </c>
      <c r="H537" s="8" t="s">
        <v>1285</v>
      </c>
      <c r="I537">
        <v>238.4</v>
      </c>
      <c r="K537">
        <f t="shared" si="24"/>
        <v>17.8</v>
      </c>
      <c r="L537">
        <f t="shared" si="25"/>
        <v>0.2433</v>
      </c>
      <c r="M537">
        <f t="shared" si="26"/>
        <v>5</v>
      </c>
    </row>
    <row r="538" spans="1:13">
      <c r="A538">
        <v>17.88</v>
      </c>
      <c r="B538">
        <v>238.4</v>
      </c>
      <c r="C538">
        <v>16.543</v>
      </c>
      <c r="D538">
        <v>238.4</v>
      </c>
      <c r="G538">
        <v>17.846</v>
      </c>
      <c r="H538" s="8" t="s">
        <v>1286</v>
      </c>
      <c r="I538">
        <v>238.4</v>
      </c>
      <c r="K538">
        <f t="shared" si="24"/>
        <v>17.8</v>
      </c>
      <c r="L538">
        <f t="shared" si="25"/>
        <v>0.2685</v>
      </c>
      <c r="M538">
        <f t="shared" si="26"/>
        <v>5</v>
      </c>
    </row>
    <row r="539" spans="1:13">
      <c r="A539">
        <v>17.913</v>
      </c>
      <c r="B539">
        <v>238.4</v>
      </c>
      <c r="C539">
        <v>16.576</v>
      </c>
      <c r="D539">
        <v>238.4</v>
      </c>
      <c r="G539">
        <v>17.88</v>
      </c>
      <c r="H539" s="8" t="s">
        <v>1287</v>
      </c>
      <c r="I539">
        <v>238.4</v>
      </c>
      <c r="K539">
        <f t="shared" si="24"/>
        <v>17.85</v>
      </c>
      <c r="L539">
        <f t="shared" si="25"/>
        <v>0.3631</v>
      </c>
      <c r="M539">
        <f t="shared" si="26"/>
        <v>5</v>
      </c>
    </row>
    <row r="540" spans="1:13">
      <c r="A540">
        <v>17.947</v>
      </c>
      <c r="B540">
        <v>238.4</v>
      </c>
      <c r="C540">
        <v>16.61</v>
      </c>
      <c r="D540">
        <v>238.4</v>
      </c>
      <c r="G540">
        <v>17.913</v>
      </c>
      <c r="H540" s="8" t="s">
        <v>1288</v>
      </c>
      <c r="I540">
        <v>238.4</v>
      </c>
      <c r="K540">
        <f t="shared" si="24"/>
        <v>17.9</v>
      </c>
      <c r="L540">
        <f t="shared" si="25"/>
        <v>0.3911</v>
      </c>
      <c r="M540">
        <f t="shared" si="26"/>
        <v>5</v>
      </c>
    </row>
    <row r="541" spans="1:13">
      <c r="A541">
        <v>17.98</v>
      </c>
      <c r="B541">
        <v>238.4</v>
      </c>
      <c r="C541">
        <v>16.643</v>
      </c>
      <c r="D541">
        <v>238.4</v>
      </c>
      <c r="G541">
        <v>17.947</v>
      </c>
      <c r="H541" s="8" t="s">
        <v>1289</v>
      </c>
      <c r="I541">
        <v>238.4</v>
      </c>
      <c r="K541">
        <f t="shared" si="24"/>
        <v>17.9</v>
      </c>
      <c r="L541">
        <f t="shared" si="25"/>
        <v>0.3417</v>
      </c>
      <c r="M541">
        <f t="shared" si="26"/>
        <v>5</v>
      </c>
    </row>
    <row r="542" spans="1:13">
      <c r="A542">
        <v>18.014</v>
      </c>
      <c r="B542">
        <v>238.4</v>
      </c>
      <c r="C542">
        <v>16.677</v>
      </c>
      <c r="D542">
        <v>238.4</v>
      </c>
      <c r="G542">
        <v>17.98</v>
      </c>
      <c r="H542" s="8" t="s">
        <v>1290</v>
      </c>
      <c r="I542">
        <v>238.4</v>
      </c>
      <c r="K542">
        <f t="shared" si="24"/>
        <v>17.95</v>
      </c>
      <c r="L542">
        <f t="shared" si="25"/>
        <v>0.4887</v>
      </c>
      <c r="M542">
        <f t="shared" si="26"/>
        <v>5</v>
      </c>
    </row>
    <row r="543" spans="1:13">
      <c r="A543">
        <v>18.047</v>
      </c>
      <c r="B543">
        <v>238.4</v>
      </c>
      <c r="C543">
        <v>16.71</v>
      </c>
      <c r="D543">
        <v>238.4</v>
      </c>
      <c r="G543">
        <v>18.014</v>
      </c>
      <c r="H543" s="8" t="s">
        <v>1291</v>
      </c>
      <c r="I543">
        <v>238.4</v>
      </c>
      <c r="K543">
        <f t="shared" si="24"/>
        <v>18</v>
      </c>
      <c r="L543">
        <f t="shared" si="25"/>
        <v>0.495</v>
      </c>
      <c r="M543">
        <f t="shared" si="26"/>
        <v>5</v>
      </c>
    </row>
    <row r="544" spans="1:13">
      <c r="A544">
        <v>18.08</v>
      </c>
      <c r="B544">
        <v>238.4</v>
      </c>
      <c r="C544">
        <v>16.744</v>
      </c>
      <c r="D544">
        <v>238.4</v>
      </c>
      <c r="G544">
        <v>18.047</v>
      </c>
      <c r="H544" s="8" t="s">
        <v>1292</v>
      </c>
      <c r="I544">
        <v>238.4</v>
      </c>
      <c r="K544">
        <f t="shared" si="24"/>
        <v>18</v>
      </c>
      <c r="L544">
        <f t="shared" si="25"/>
        <v>0.4932</v>
      </c>
      <c r="M544">
        <f t="shared" si="26"/>
        <v>5</v>
      </c>
    </row>
    <row r="545" spans="1:13">
      <c r="A545">
        <v>18.114</v>
      </c>
      <c r="B545">
        <v>238.4</v>
      </c>
      <c r="C545">
        <v>16.777</v>
      </c>
      <c r="D545">
        <v>238.4</v>
      </c>
      <c r="G545">
        <v>18.08</v>
      </c>
      <c r="H545" s="8" t="s">
        <v>1293</v>
      </c>
      <c r="I545">
        <v>238.4</v>
      </c>
      <c r="K545">
        <f t="shared" si="24"/>
        <v>18.05</v>
      </c>
      <c r="L545">
        <f t="shared" si="25"/>
        <v>0.5069</v>
      </c>
      <c r="M545">
        <f t="shared" si="26"/>
        <v>5</v>
      </c>
    </row>
    <row r="546" spans="1:13">
      <c r="A546">
        <v>18.147</v>
      </c>
      <c r="B546">
        <v>238.4</v>
      </c>
      <c r="C546">
        <v>16.81</v>
      </c>
      <c r="D546">
        <v>238.4</v>
      </c>
      <c r="G546">
        <v>18.114</v>
      </c>
      <c r="H546" s="8" t="s">
        <v>1254</v>
      </c>
      <c r="I546">
        <v>238.4</v>
      </c>
      <c r="K546">
        <f t="shared" si="24"/>
        <v>18.1</v>
      </c>
      <c r="L546">
        <f t="shared" si="25"/>
        <v>0.6353</v>
      </c>
      <c r="M546">
        <f t="shared" si="26"/>
        <v>5</v>
      </c>
    </row>
    <row r="547" spans="1:13">
      <c r="A547">
        <v>18.181</v>
      </c>
      <c r="B547">
        <v>238.4</v>
      </c>
      <c r="C547">
        <v>16.844</v>
      </c>
      <c r="D547">
        <v>238.4</v>
      </c>
      <c r="G547">
        <v>18.147</v>
      </c>
      <c r="H547" s="8" t="s">
        <v>1294</v>
      </c>
      <c r="I547">
        <v>238.4</v>
      </c>
      <c r="K547">
        <f t="shared" si="24"/>
        <v>18.1</v>
      </c>
      <c r="L547">
        <f t="shared" si="25"/>
        <v>0.6298</v>
      </c>
      <c r="M547">
        <f t="shared" si="26"/>
        <v>5</v>
      </c>
    </row>
    <row r="548" spans="1:13">
      <c r="A548">
        <v>18.214</v>
      </c>
      <c r="B548">
        <v>238.4</v>
      </c>
      <c r="C548">
        <v>16.877</v>
      </c>
      <c r="D548">
        <v>238.4</v>
      </c>
      <c r="G548">
        <v>18.181</v>
      </c>
      <c r="H548" s="8" t="s">
        <v>1295</v>
      </c>
      <c r="I548">
        <v>238.4</v>
      </c>
      <c r="K548">
        <f t="shared" si="24"/>
        <v>18.15</v>
      </c>
      <c r="L548">
        <f t="shared" si="25"/>
        <v>0.7225</v>
      </c>
      <c r="M548">
        <f t="shared" si="26"/>
        <v>5</v>
      </c>
    </row>
    <row r="549" spans="1:13">
      <c r="A549">
        <v>18.247</v>
      </c>
      <c r="B549">
        <v>238.4</v>
      </c>
      <c r="C549">
        <v>16.911</v>
      </c>
      <c r="D549">
        <v>238.4</v>
      </c>
      <c r="G549">
        <v>18.214</v>
      </c>
      <c r="H549" s="8" t="s">
        <v>1296</v>
      </c>
      <c r="I549">
        <v>238.4</v>
      </c>
      <c r="K549">
        <f t="shared" si="24"/>
        <v>18.2</v>
      </c>
      <c r="L549">
        <f t="shared" si="25"/>
        <v>0.7303</v>
      </c>
      <c r="M549">
        <f t="shared" si="26"/>
        <v>5</v>
      </c>
    </row>
    <row r="550" spans="1:13">
      <c r="A550">
        <v>18.281</v>
      </c>
      <c r="B550">
        <v>238.4</v>
      </c>
      <c r="C550">
        <v>16.944</v>
      </c>
      <c r="D550">
        <v>238.4</v>
      </c>
      <c r="G550">
        <v>18.247</v>
      </c>
      <c r="H550" s="8" t="s">
        <v>1297</v>
      </c>
      <c r="I550">
        <v>238.4</v>
      </c>
      <c r="K550">
        <f t="shared" si="24"/>
        <v>18.2</v>
      </c>
      <c r="L550">
        <f t="shared" si="25"/>
        <v>0.7313</v>
      </c>
      <c r="M550">
        <f t="shared" si="26"/>
        <v>5</v>
      </c>
    </row>
    <row r="551" spans="1:13">
      <c r="A551">
        <v>18.314</v>
      </c>
      <c r="B551">
        <v>238.4</v>
      </c>
      <c r="C551">
        <v>16.977</v>
      </c>
      <c r="D551">
        <v>238.4</v>
      </c>
      <c r="G551">
        <v>18.281</v>
      </c>
      <c r="H551" s="8" t="s">
        <v>1298</v>
      </c>
      <c r="I551">
        <v>238.4</v>
      </c>
      <c r="K551">
        <f t="shared" si="24"/>
        <v>18.25</v>
      </c>
      <c r="L551">
        <f t="shared" si="25"/>
        <v>0.7175</v>
      </c>
      <c r="M551">
        <f t="shared" si="26"/>
        <v>5</v>
      </c>
    </row>
    <row r="552" spans="1:13">
      <c r="A552">
        <v>18.348</v>
      </c>
      <c r="B552">
        <v>238.4</v>
      </c>
      <c r="C552">
        <v>17.011</v>
      </c>
      <c r="D552">
        <v>196.3</v>
      </c>
      <c r="G552">
        <v>18.314</v>
      </c>
      <c r="H552" s="8" t="s">
        <v>1299</v>
      </c>
      <c r="I552">
        <v>238.4</v>
      </c>
      <c r="K552">
        <f t="shared" si="24"/>
        <v>18.3</v>
      </c>
      <c r="L552">
        <f t="shared" si="25"/>
        <v>0.7349</v>
      </c>
      <c r="M552">
        <f t="shared" si="26"/>
        <v>5</v>
      </c>
    </row>
    <row r="553" spans="1:13">
      <c r="A553">
        <v>18.381</v>
      </c>
      <c r="B553">
        <v>238.4</v>
      </c>
      <c r="C553">
        <v>17.044</v>
      </c>
      <c r="D553">
        <v>205.2</v>
      </c>
      <c r="G553">
        <v>18.348</v>
      </c>
      <c r="H553" s="8" t="s">
        <v>1300</v>
      </c>
      <c r="I553">
        <v>238.4</v>
      </c>
      <c r="K553">
        <f t="shared" si="24"/>
        <v>18.3</v>
      </c>
      <c r="L553">
        <f t="shared" si="25"/>
        <v>0.7362</v>
      </c>
      <c r="M553">
        <f t="shared" si="26"/>
        <v>5</v>
      </c>
    </row>
    <row r="554" spans="1:13">
      <c r="A554">
        <v>18.415</v>
      </c>
      <c r="B554">
        <v>238.4</v>
      </c>
      <c r="C554">
        <v>17.078</v>
      </c>
      <c r="D554">
        <v>203.7</v>
      </c>
      <c r="G554">
        <v>18.381</v>
      </c>
      <c r="H554" s="8" t="s">
        <v>966</v>
      </c>
      <c r="I554">
        <v>238.4</v>
      </c>
      <c r="K554">
        <f t="shared" si="24"/>
        <v>18.35</v>
      </c>
      <c r="L554">
        <f t="shared" si="25"/>
        <v>0.7368</v>
      </c>
      <c r="M554">
        <f t="shared" si="26"/>
        <v>5</v>
      </c>
    </row>
    <row r="555" spans="1:13">
      <c r="A555">
        <v>18.448</v>
      </c>
      <c r="B555">
        <v>238.4</v>
      </c>
      <c r="C555">
        <v>17.111</v>
      </c>
      <c r="D555">
        <v>201.4</v>
      </c>
      <c r="G555">
        <v>18.415</v>
      </c>
      <c r="H555" s="8" t="s">
        <v>1301</v>
      </c>
      <c r="I555">
        <v>238.4</v>
      </c>
      <c r="K555">
        <f t="shared" si="24"/>
        <v>18.4</v>
      </c>
      <c r="L555">
        <f t="shared" si="25"/>
        <v>0.733</v>
      </c>
      <c r="M555">
        <f t="shared" si="26"/>
        <v>5</v>
      </c>
    </row>
    <row r="556" spans="1:13">
      <c r="A556">
        <v>18.481</v>
      </c>
      <c r="B556">
        <v>238.4</v>
      </c>
      <c r="C556">
        <v>17.145</v>
      </c>
      <c r="D556">
        <v>201</v>
      </c>
      <c r="G556">
        <v>18.448</v>
      </c>
      <c r="H556" s="8" t="s">
        <v>1302</v>
      </c>
      <c r="I556">
        <v>238.4</v>
      </c>
      <c r="K556">
        <f t="shared" si="24"/>
        <v>18.4</v>
      </c>
      <c r="L556">
        <f t="shared" si="25"/>
        <v>0.7326</v>
      </c>
      <c r="M556">
        <f t="shared" si="26"/>
        <v>5</v>
      </c>
    </row>
    <row r="557" spans="1:13">
      <c r="A557">
        <v>18.515</v>
      </c>
      <c r="B557">
        <v>238.4</v>
      </c>
      <c r="C557">
        <v>17.178</v>
      </c>
      <c r="D557">
        <v>199</v>
      </c>
      <c r="G557">
        <v>18.481</v>
      </c>
      <c r="H557" s="8" t="s">
        <v>1303</v>
      </c>
      <c r="I557">
        <v>238.4</v>
      </c>
      <c r="K557">
        <f t="shared" si="24"/>
        <v>18.45</v>
      </c>
      <c r="L557">
        <f t="shared" si="25"/>
        <v>0.7163</v>
      </c>
      <c r="M557">
        <f t="shared" si="26"/>
        <v>5</v>
      </c>
    </row>
    <row r="558" spans="1:13">
      <c r="A558">
        <v>18.548</v>
      </c>
      <c r="B558">
        <v>238.4</v>
      </c>
      <c r="C558">
        <v>17.211</v>
      </c>
      <c r="D558">
        <v>198.4</v>
      </c>
      <c r="G558">
        <v>18.515</v>
      </c>
      <c r="H558" s="8" t="s">
        <v>1304</v>
      </c>
      <c r="I558">
        <v>238.4</v>
      </c>
      <c r="K558">
        <f t="shared" si="24"/>
        <v>18.5</v>
      </c>
      <c r="L558">
        <f t="shared" si="25"/>
        <v>0.7447</v>
      </c>
      <c r="M558">
        <f t="shared" si="26"/>
        <v>5</v>
      </c>
    </row>
    <row r="559" spans="1:13">
      <c r="A559">
        <v>18.582</v>
      </c>
      <c r="B559">
        <v>238.4</v>
      </c>
      <c r="C559">
        <v>17.245</v>
      </c>
      <c r="D559">
        <v>197</v>
      </c>
      <c r="G559">
        <v>18.548</v>
      </c>
      <c r="H559" s="8" t="s">
        <v>1305</v>
      </c>
      <c r="I559">
        <v>238.4</v>
      </c>
      <c r="K559">
        <f t="shared" si="24"/>
        <v>18.5</v>
      </c>
      <c r="L559">
        <f t="shared" si="25"/>
        <v>0.7427</v>
      </c>
      <c r="M559">
        <f t="shared" si="26"/>
        <v>5</v>
      </c>
    </row>
    <row r="560" spans="1:13">
      <c r="A560">
        <v>18.615</v>
      </c>
      <c r="B560">
        <v>219</v>
      </c>
      <c r="C560">
        <v>17.278</v>
      </c>
      <c r="D560">
        <v>195.9</v>
      </c>
      <c r="G560">
        <v>18.582</v>
      </c>
      <c r="H560" s="8" t="s">
        <v>1306</v>
      </c>
      <c r="I560">
        <v>238.4</v>
      </c>
      <c r="K560">
        <f t="shared" si="24"/>
        <v>18.55</v>
      </c>
      <c r="L560">
        <f t="shared" si="25"/>
        <v>0.6417</v>
      </c>
      <c r="M560">
        <f t="shared" si="26"/>
        <v>5</v>
      </c>
    </row>
    <row r="561" spans="1:13">
      <c r="A561">
        <v>18.648</v>
      </c>
      <c r="B561">
        <v>207.6</v>
      </c>
      <c r="C561">
        <v>17.312</v>
      </c>
      <c r="D561">
        <v>194.5</v>
      </c>
      <c r="G561">
        <v>18.615</v>
      </c>
      <c r="H561" s="8" t="s">
        <v>1307</v>
      </c>
      <c r="I561">
        <v>219</v>
      </c>
      <c r="K561">
        <f t="shared" si="24"/>
        <v>18.6</v>
      </c>
      <c r="L561">
        <f t="shared" si="25"/>
        <v>0.6451</v>
      </c>
      <c r="M561">
        <f t="shared" si="26"/>
        <v>0</v>
      </c>
    </row>
    <row r="562" spans="1:13">
      <c r="A562">
        <v>18.682</v>
      </c>
      <c r="B562">
        <v>207.9</v>
      </c>
      <c r="C562">
        <v>17.345</v>
      </c>
      <c r="D562">
        <v>193.9</v>
      </c>
      <c r="G562">
        <v>18.648</v>
      </c>
      <c r="H562" s="8" t="s">
        <v>1308</v>
      </c>
      <c r="I562">
        <v>207.6</v>
      </c>
      <c r="K562">
        <f t="shared" si="24"/>
        <v>18.6</v>
      </c>
      <c r="L562">
        <f t="shared" si="25"/>
        <v>0.6457</v>
      </c>
      <c r="M562">
        <f t="shared" si="26"/>
        <v>0</v>
      </c>
    </row>
    <row r="563" spans="1:13">
      <c r="A563">
        <v>18.715</v>
      </c>
      <c r="B563">
        <v>207</v>
      </c>
      <c r="C563">
        <v>17.379</v>
      </c>
      <c r="D563">
        <v>192.7</v>
      </c>
      <c r="G563">
        <v>18.682</v>
      </c>
      <c r="H563" s="8" t="s">
        <v>1309</v>
      </c>
      <c r="I563">
        <v>207.9</v>
      </c>
      <c r="K563">
        <f t="shared" si="24"/>
        <v>18.65</v>
      </c>
      <c r="L563">
        <f t="shared" si="25"/>
        <v>0.5396</v>
      </c>
      <c r="M563">
        <f t="shared" si="26"/>
        <v>0</v>
      </c>
    </row>
    <row r="564" spans="1:13">
      <c r="A564">
        <v>18.749</v>
      </c>
      <c r="B564">
        <v>205.5</v>
      </c>
      <c r="C564">
        <v>17.412</v>
      </c>
      <c r="D564">
        <v>191.5</v>
      </c>
      <c r="G564">
        <v>18.715</v>
      </c>
      <c r="H564" s="8" t="s">
        <v>1310</v>
      </c>
      <c r="I564">
        <v>207</v>
      </c>
      <c r="K564">
        <f t="shared" si="24"/>
        <v>18.7</v>
      </c>
      <c r="L564">
        <f t="shared" si="25"/>
        <v>0.4964</v>
      </c>
      <c r="M564">
        <f t="shared" si="26"/>
        <v>0</v>
      </c>
    </row>
    <row r="565" spans="1:13">
      <c r="A565">
        <v>18.782</v>
      </c>
      <c r="B565">
        <v>203.6</v>
      </c>
      <c r="C565">
        <v>17.445</v>
      </c>
      <c r="D565">
        <v>191.1</v>
      </c>
      <c r="G565">
        <v>18.749</v>
      </c>
      <c r="H565" s="8" t="s">
        <v>1311</v>
      </c>
      <c r="I565">
        <v>205.5</v>
      </c>
      <c r="K565">
        <f t="shared" si="24"/>
        <v>18.7</v>
      </c>
      <c r="L565">
        <f t="shared" si="25"/>
        <v>0.4635</v>
      </c>
      <c r="M565">
        <f t="shared" si="26"/>
        <v>0</v>
      </c>
    </row>
    <row r="566" spans="1:13">
      <c r="A566">
        <v>18.816</v>
      </c>
      <c r="B566">
        <v>202.9</v>
      </c>
      <c r="C566">
        <v>17.479</v>
      </c>
      <c r="D566">
        <v>189.7</v>
      </c>
      <c r="G566">
        <v>18.782</v>
      </c>
      <c r="H566" s="8" t="s">
        <v>1312</v>
      </c>
      <c r="I566">
        <v>203.6</v>
      </c>
      <c r="K566">
        <f t="shared" si="24"/>
        <v>18.75</v>
      </c>
      <c r="L566">
        <f t="shared" si="25"/>
        <v>0.4911</v>
      </c>
      <c r="M566">
        <f t="shared" si="26"/>
        <v>0</v>
      </c>
    </row>
    <row r="567" spans="1:13">
      <c r="A567">
        <v>18.849</v>
      </c>
      <c r="B567">
        <v>201.6</v>
      </c>
      <c r="C567">
        <v>17.512</v>
      </c>
      <c r="D567">
        <v>189</v>
      </c>
      <c r="G567">
        <v>18.816</v>
      </c>
      <c r="H567" s="8" t="s">
        <v>887</v>
      </c>
      <c r="I567">
        <v>202.9</v>
      </c>
      <c r="K567">
        <f t="shared" si="24"/>
        <v>18.8</v>
      </c>
      <c r="L567">
        <f t="shared" si="25"/>
        <v>0.3824</v>
      </c>
      <c r="M567">
        <f t="shared" si="26"/>
        <v>0</v>
      </c>
    </row>
    <row r="568" spans="1:13">
      <c r="A568">
        <v>18.882</v>
      </c>
      <c r="B568">
        <v>200.3</v>
      </c>
      <c r="C568">
        <v>17.546</v>
      </c>
      <c r="D568">
        <v>187.4</v>
      </c>
      <c r="G568">
        <v>18.849</v>
      </c>
      <c r="H568" s="8" t="s">
        <v>1313</v>
      </c>
      <c r="I568">
        <v>201.6</v>
      </c>
      <c r="K568">
        <f t="shared" si="24"/>
        <v>18.8</v>
      </c>
      <c r="L568">
        <f t="shared" si="25"/>
        <v>0.401</v>
      </c>
      <c r="M568">
        <f t="shared" si="26"/>
        <v>0</v>
      </c>
    </row>
    <row r="569" spans="1:13">
      <c r="A569">
        <v>18.916</v>
      </c>
      <c r="B569">
        <v>199</v>
      </c>
      <c r="C569">
        <v>17.579</v>
      </c>
      <c r="D569">
        <v>187.5</v>
      </c>
      <c r="G569">
        <v>18.882</v>
      </c>
      <c r="H569" s="8" t="s">
        <v>1314</v>
      </c>
      <c r="I569">
        <v>200.3</v>
      </c>
      <c r="K569">
        <f t="shared" si="24"/>
        <v>18.85</v>
      </c>
      <c r="L569">
        <f t="shared" si="25"/>
        <v>0.3784</v>
      </c>
      <c r="M569">
        <f t="shared" si="26"/>
        <v>0</v>
      </c>
    </row>
    <row r="570" spans="1:13">
      <c r="A570">
        <v>18.949</v>
      </c>
      <c r="B570">
        <v>197.6</v>
      </c>
      <c r="C570">
        <v>17.612</v>
      </c>
      <c r="D570">
        <v>186.6</v>
      </c>
      <c r="G570">
        <v>18.916</v>
      </c>
      <c r="H570" s="8" t="s">
        <v>1315</v>
      </c>
      <c r="I570">
        <v>199</v>
      </c>
      <c r="K570">
        <f t="shared" si="24"/>
        <v>18.9</v>
      </c>
      <c r="L570">
        <f t="shared" si="25"/>
        <v>0.3062</v>
      </c>
      <c r="M570">
        <f t="shared" si="26"/>
        <v>0</v>
      </c>
    </row>
    <row r="571" spans="1:13">
      <c r="A571">
        <v>18.983</v>
      </c>
      <c r="B571">
        <v>195.8</v>
      </c>
      <c r="C571">
        <v>17.646</v>
      </c>
      <c r="D571">
        <v>185.5</v>
      </c>
      <c r="G571">
        <v>18.949</v>
      </c>
      <c r="H571" s="8" t="s">
        <v>939</v>
      </c>
      <c r="I571">
        <v>197.6</v>
      </c>
      <c r="K571">
        <f t="shared" si="24"/>
        <v>18.9</v>
      </c>
      <c r="L571">
        <f t="shared" si="25"/>
        <v>0.2706</v>
      </c>
      <c r="M571">
        <f t="shared" si="26"/>
        <v>0</v>
      </c>
    </row>
    <row r="572" spans="1:13">
      <c r="A572">
        <v>19.016</v>
      </c>
      <c r="B572">
        <v>195.2</v>
      </c>
      <c r="C572">
        <v>17.679</v>
      </c>
      <c r="D572">
        <v>184.8</v>
      </c>
      <c r="G572">
        <v>18.983</v>
      </c>
      <c r="H572" s="8" t="s">
        <v>1249</v>
      </c>
      <c r="I572">
        <v>195.8</v>
      </c>
      <c r="K572">
        <f t="shared" si="24"/>
        <v>18.95</v>
      </c>
      <c r="L572">
        <f t="shared" si="25"/>
        <v>0.2529</v>
      </c>
      <c r="M572">
        <f t="shared" si="26"/>
        <v>0</v>
      </c>
    </row>
    <row r="573" spans="1:13">
      <c r="A573">
        <v>19.05</v>
      </c>
      <c r="B573">
        <v>194.1</v>
      </c>
      <c r="C573">
        <v>17.713</v>
      </c>
      <c r="D573">
        <v>184</v>
      </c>
      <c r="G573">
        <v>19.016</v>
      </c>
      <c r="H573" s="8" t="s">
        <v>1316</v>
      </c>
      <c r="I573">
        <v>195.2</v>
      </c>
      <c r="K573">
        <f t="shared" si="24"/>
        <v>19</v>
      </c>
      <c r="L573">
        <f t="shared" si="25"/>
        <v>0.2431</v>
      </c>
      <c r="M573">
        <f t="shared" si="26"/>
        <v>0</v>
      </c>
    </row>
    <row r="574" spans="1:13">
      <c r="A574">
        <v>19.083</v>
      </c>
      <c r="B574">
        <v>193.1</v>
      </c>
      <c r="C574">
        <v>17.746</v>
      </c>
      <c r="D574">
        <v>182.3</v>
      </c>
      <c r="G574">
        <v>19.05</v>
      </c>
      <c r="H574" s="8" t="s">
        <v>1317</v>
      </c>
      <c r="I574">
        <v>194.1</v>
      </c>
      <c r="K574">
        <f t="shared" si="24"/>
        <v>19.05</v>
      </c>
      <c r="L574">
        <f t="shared" si="25"/>
        <v>0.2287</v>
      </c>
      <c r="M574">
        <f t="shared" si="26"/>
        <v>0</v>
      </c>
    </row>
    <row r="575" spans="1:13">
      <c r="A575">
        <v>19.116</v>
      </c>
      <c r="B575">
        <v>193.1</v>
      </c>
      <c r="C575">
        <v>17.78</v>
      </c>
      <c r="D575">
        <v>238.4</v>
      </c>
      <c r="G575">
        <v>19.083</v>
      </c>
      <c r="H575" s="8" t="s">
        <v>1318</v>
      </c>
      <c r="I575">
        <v>193.1</v>
      </c>
      <c r="K575">
        <f t="shared" si="24"/>
        <v>19.05</v>
      </c>
      <c r="L575">
        <f t="shared" si="25"/>
        <v>0.2328</v>
      </c>
      <c r="M575">
        <f t="shared" si="26"/>
        <v>0</v>
      </c>
    </row>
    <row r="576" spans="1:13">
      <c r="A576">
        <v>19.15</v>
      </c>
      <c r="B576">
        <v>191.4</v>
      </c>
      <c r="C576">
        <v>17.813</v>
      </c>
      <c r="D576">
        <v>238.4</v>
      </c>
      <c r="G576">
        <v>19.116</v>
      </c>
      <c r="H576" s="8" t="s">
        <v>1316</v>
      </c>
      <c r="I576">
        <v>193.1</v>
      </c>
      <c r="K576">
        <f t="shared" si="24"/>
        <v>19.1</v>
      </c>
      <c r="L576">
        <f t="shared" si="25"/>
        <v>0.2431</v>
      </c>
      <c r="M576">
        <f t="shared" si="26"/>
        <v>0</v>
      </c>
    </row>
    <row r="577" spans="1:13">
      <c r="A577">
        <v>19.183</v>
      </c>
      <c r="B577">
        <v>190.7</v>
      </c>
      <c r="C577">
        <v>17.846</v>
      </c>
      <c r="D577">
        <v>238.4</v>
      </c>
      <c r="G577">
        <v>19.15</v>
      </c>
      <c r="H577" s="8" t="s">
        <v>1319</v>
      </c>
      <c r="I577">
        <v>191.4</v>
      </c>
      <c r="K577">
        <f t="shared" si="24"/>
        <v>19.15</v>
      </c>
      <c r="L577">
        <f t="shared" si="25"/>
        <v>0.2326</v>
      </c>
      <c r="M577">
        <f t="shared" si="26"/>
        <v>0</v>
      </c>
    </row>
    <row r="578" spans="1:13">
      <c r="A578">
        <v>19.217</v>
      </c>
      <c r="B578">
        <v>190.7</v>
      </c>
      <c r="C578">
        <v>17.88</v>
      </c>
      <c r="D578">
        <v>238.4</v>
      </c>
      <c r="G578">
        <v>19.183</v>
      </c>
      <c r="H578" s="8" t="s">
        <v>1320</v>
      </c>
      <c r="I578">
        <v>190.7</v>
      </c>
      <c r="K578">
        <f t="shared" si="24"/>
        <v>19.15</v>
      </c>
      <c r="L578">
        <f t="shared" si="25"/>
        <v>0.2475</v>
      </c>
      <c r="M578">
        <f t="shared" si="26"/>
        <v>0</v>
      </c>
    </row>
    <row r="579" spans="1:13">
      <c r="A579">
        <v>19.25</v>
      </c>
      <c r="B579">
        <v>189.4</v>
      </c>
      <c r="C579">
        <v>17.913</v>
      </c>
      <c r="D579">
        <v>238.4</v>
      </c>
      <c r="G579">
        <v>19.217</v>
      </c>
      <c r="H579" s="8" t="s">
        <v>1321</v>
      </c>
      <c r="I579">
        <v>190.7</v>
      </c>
      <c r="K579">
        <f t="shared" si="24"/>
        <v>19.2</v>
      </c>
      <c r="L579">
        <f t="shared" si="25"/>
        <v>0.2981</v>
      </c>
      <c r="M579">
        <f t="shared" si="26"/>
        <v>0</v>
      </c>
    </row>
    <row r="580" spans="1:13">
      <c r="A580">
        <v>19.283</v>
      </c>
      <c r="B580">
        <v>188.4</v>
      </c>
      <c r="C580">
        <v>17.947</v>
      </c>
      <c r="D580">
        <v>238.4</v>
      </c>
      <c r="G580">
        <v>19.25</v>
      </c>
      <c r="H580" s="8" t="s">
        <v>1322</v>
      </c>
      <c r="I580">
        <v>189.4</v>
      </c>
      <c r="K580">
        <f t="shared" ref="K580:K643" si="27">FLOOR(G580,0.05)</f>
        <v>19.25</v>
      </c>
      <c r="L580">
        <f t="shared" si="25"/>
        <v>0.3773</v>
      </c>
      <c r="M580">
        <f t="shared" si="26"/>
        <v>0</v>
      </c>
    </row>
    <row r="581" spans="1:13">
      <c r="A581">
        <v>19.317</v>
      </c>
      <c r="B581">
        <v>186.9</v>
      </c>
      <c r="C581">
        <v>17.98</v>
      </c>
      <c r="D581">
        <v>238.4</v>
      </c>
      <c r="G581">
        <v>19.283</v>
      </c>
      <c r="H581" s="8" t="s">
        <v>920</v>
      </c>
      <c r="I581">
        <v>188.4</v>
      </c>
      <c r="K581">
        <f t="shared" si="27"/>
        <v>19.25</v>
      </c>
      <c r="L581">
        <f t="shared" ref="L581:L644" si="28">H581*100</f>
        <v>0.3327</v>
      </c>
      <c r="M581">
        <f t="shared" ref="M581:M644" si="29">IF(I581&lt;230,0,5)</f>
        <v>0</v>
      </c>
    </row>
    <row r="582" spans="1:13">
      <c r="A582">
        <v>19.35</v>
      </c>
      <c r="B582">
        <v>186.1</v>
      </c>
      <c r="C582">
        <v>18.014</v>
      </c>
      <c r="D582">
        <v>238.4</v>
      </c>
      <c r="G582">
        <v>19.317</v>
      </c>
      <c r="H582" s="8" t="s">
        <v>839</v>
      </c>
      <c r="I582">
        <v>186.9</v>
      </c>
      <c r="K582">
        <f t="shared" si="27"/>
        <v>19.3</v>
      </c>
      <c r="L582">
        <f t="shared" si="28"/>
        <v>0.3559</v>
      </c>
      <c r="M582">
        <f t="shared" si="29"/>
        <v>0</v>
      </c>
    </row>
    <row r="583" spans="1:13">
      <c r="A583">
        <v>19.384</v>
      </c>
      <c r="B583">
        <v>185.2</v>
      </c>
      <c r="C583">
        <v>18.047</v>
      </c>
      <c r="D583">
        <v>238.4</v>
      </c>
      <c r="G583">
        <v>19.35</v>
      </c>
      <c r="H583" s="8" t="s">
        <v>1323</v>
      </c>
      <c r="I583">
        <v>186.1</v>
      </c>
      <c r="K583">
        <f t="shared" si="27"/>
        <v>19.35</v>
      </c>
      <c r="L583">
        <f t="shared" si="28"/>
        <v>0.4905</v>
      </c>
      <c r="M583">
        <f t="shared" si="29"/>
        <v>0</v>
      </c>
    </row>
    <row r="584" spans="1:13">
      <c r="A584">
        <v>19.417</v>
      </c>
      <c r="B584">
        <v>238.4</v>
      </c>
      <c r="C584">
        <v>18.08</v>
      </c>
      <c r="D584">
        <v>238.4</v>
      </c>
      <c r="G584">
        <v>19.384</v>
      </c>
      <c r="H584" s="8" t="s">
        <v>1324</v>
      </c>
      <c r="I584">
        <v>185.2</v>
      </c>
      <c r="K584">
        <f t="shared" si="27"/>
        <v>19.35</v>
      </c>
      <c r="L584">
        <f t="shared" si="28"/>
        <v>0.4917</v>
      </c>
      <c r="M584">
        <f t="shared" si="29"/>
        <v>0</v>
      </c>
    </row>
    <row r="585" spans="1:13">
      <c r="A585">
        <v>19.451</v>
      </c>
      <c r="B585">
        <v>238.4</v>
      </c>
      <c r="C585">
        <v>18.114</v>
      </c>
      <c r="D585">
        <v>238.4</v>
      </c>
      <c r="G585">
        <v>19.417</v>
      </c>
      <c r="H585" s="8" t="s">
        <v>1325</v>
      </c>
      <c r="I585">
        <v>238.4</v>
      </c>
      <c r="K585">
        <f t="shared" si="27"/>
        <v>19.4</v>
      </c>
      <c r="L585">
        <f t="shared" si="28"/>
        <v>0.4978</v>
      </c>
      <c r="M585">
        <f t="shared" si="29"/>
        <v>5</v>
      </c>
    </row>
    <row r="586" spans="1:13">
      <c r="A586">
        <v>19.484</v>
      </c>
      <c r="B586">
        <v>238.4</v>
      </c>
      <c r="C586">
        <v>18.147</v>
      </c>
      <c r="D586">
        <v>238.4</v>
      </c>
      <c r="G586">
        <v>19.451</v>
      </c>
      <c r="H586" s="8" t="s">
        <v>1326</v>
      </c>
      <c r="I586">
        <v>238.4</v>
      </c>
      <c r="K586">
        <f t="shared" si="27"/>
        <v>19.45</v>
      </c>
      <c r="L586">
        <f t="shared" si="28"/>
        <v>0.544</v>
      </c>
      <c r="M586">
        <f t="shared" si="29"/>
        <v>5</v>
      </c>
    </row>
    <row r="587" spans="1:13">
      <c r="A587">
        <v>19.517</v>
      </c>
      <c r="B587">
        <v>238.4</v>
      </c>
      <c r="C587">
        <v>18.181</v>
      </c>
      <c r="D587">
        <v>238.4</v>
      </c>
      <c r="G587">
        <v>19.484</v>
      </c>
      <c r="H587" s="8" t="s">
        <v>1327</v>
      </c>
      <c r="I587">
        <v>238.4</v>
      </c>
      <c r="K587">
        <f t="shared" si="27"/>
        <v>19.45</v>
      </c>
      <c r="L587">
        <f t="shared" si="28"/>
        <v>0.6161</v>
      </c>
      <c r="M587">
        <f t="shared" si="29"/>
        <v>5</v>
      </c>
    </row>
    <row r="588" spans="1:13">
      <c r="A588">
        <v>19.551</v>
      </c>
      <c r="B588">
        <v>238.4</v>
      </c>
      <c r="C588">
        <v>18.214</v>
      </c>
      <c r="D588">
        <v>238.4</v>
      </c>
      <c r="G588">
        <v>19.517</v>
      </c>
      <c r="H588" s="8" t="s">
        <v>1328</v>
      </c>
      <c r="I588">
        <v>238.4</v>
      </c>
      <c r="K588">
        <f t="shared" si="27"/>
        <v>19.5</v>
      </c>
      <c r="L588">
        <f t="shared" si="28"/>
        <v>0.6444</v>
      </c>
      <c r="M588">
        <f t="shared" si="29"/>
        <v>5</v>
      </c>
    </row>
    <row r="589" spans="1:13">
      <c r="A589">
        <v>19.584</v>
      </c>
      <c r="B589">
        <v>238.4</v>
      </c>
      <c r="C589">
        <v>18.247</v>
      </c>
      <c r="D589">
        <v>238.4</v>
      </c>
      <c r="G589">
        <v>19.551</v>
      </c>
      <c r="H589" s="8" t="s">
        <v>1329</v>
      </c>
      <c r="I589">
        <v>238.4</v>
      </c>
      <c r="K589">
        <f t="shared" si="27"/>
        <v>19.55</v>
      </c>
      <c r="L589">
        <f t="shared" si="28"/>
        <v>0.6314</v>
      </c>
      <c r="M589">
        <f t="shared" si="29"/>
        <v>5</v>
      </c>
    </row>
    <row r="590" spans="1:13">
      <c r="A590">
        <v>19.618</v>
      </c>
      <c r="B590">
        <v>238.4</v>
      </c>
      <c r="C590">
        <v>18.281</v>
      </c>
      <c r="D590">
        <v>238.4</v>
      </c>
      <c r="G590">
        <v>19.584</v>
      </c>
      <c r="H590" s="8" t="s">
        <v>1330</v>
      </c>
      <c r="I590">
        <v>238.4</v>
      </c>
      <c r="K590">
        <f t="shared" si="27"/>
        <v>19.55</v>
      </c>
      <c r="L590">
        <f t="shared" si="28"/>
        <v>0.6832</v>
      </c>
      <c r="M590">
        <f t="shared" si="29"/>
        <v>5</v>
      </c>
    </row>
    <row r="591" spans="1:13">
      <c r="A591">
        <v>19.651</v>
      </c>
      <c r="B591">
        <v>238.4</v>
      </c>
      <c r="C591">
        <v>18.314</v>
      </c>
      <c r="D591">
        <v>238.4</v>
      </c>
      <c r="G591">
        <v>19.618</v>
      </c>
      <c r="H591" s="8" t="s">
        <v>1331</v>
      </c>
      <c r="I591">
        <v>238.4</v>
      </c>
      <c r="K591">
        <f t="shared" si="27"/>
        <v>19.6</v>
      </c>
      <c r="L591">
        <f t="shared" si="28"/>
        <v>0.7293</v>
      </c>
      <c r="M591">
        <f t="shared" si="29"/>
        <v>5</v>
      </c>
    </row>
    <row r="592" spans="1:13">
      <c r="A592">
        <v>19.685</v>
      </c>
      <c r="B592">
        <v>238.4</v>
      </c>
      <c r="C592">
        <v>18.348</v>
      </c>
      <c r="D592">
        <v>238.4</v>
      </c>
      <c r="G592">
        <v>19.651</v>
      </c>
      <c r="H592" s="8" t="s">
        <v>1332</v>
      </c>
      <c r="I592">
        <v>238.4</v>
      </c>
      <c r="K592">
        <f t="shared" si="27"/>
        <v>19.65</v>
      </c>
      <c r="L592">
        <f t="shared" si="28"/>
        <v>0.6995</v>
      </c>
      <c r="M592">
        <f t="shared" si="29"/>
        <v>5</v>
      </c>
    </row>
    <row r="593" spans="1:13">
      <c r="A593">
        <v>19.718</v>
      </c>
      <c r="B593">
        <v>238.4</v>
      </c>
      <c r="C593">
        <v>18.381</v>
      </c>
      <c r="D593">
        <v>238.4</v>
      </c>
      <c r="G593">
        <v>19.685</v>
      </c>
      <c r="H593" s="8" t="s">
        <v>1333</v>
      </c>
      <c r="I593">
        <v>238.4</v>
      </c>
      <c r="K593">
        <f t="shared" si="27"/>
        <v>19.65</v>
      </c>
      <c r="L593">
        <f t="shared" si="28"/>
        <v>0.722</v>
      </c>
      <c r="M593">
        <f t="shared" si="29"/>
        <v>5</v>
      </c>
    </row>
    <row r="594" spans="1:13">
      <c r="A594">
        <v>19.751</v>
      </c>
      <c r="B594">
        <v>238.4</v>
      </c>
      <c r="C594">
        <v>18.415</v>
      </c>
      <c r="D594">
        <v>238.4</v>
      </c>
      <c r="G594">
        <v>19.718</v>
      </c>
      <c r="H594" s="8" t="s">
        <v>1334</v>
      </c>
      <c r="I594">
        <v>238.4</v>
      </c>
      <c r="K594">
        <f t="shared" si="27"/>
        <v>19.7</v>
      </c>
      <c r="L594">
        <f t="shared" si="28"/>
        <v>0.7022</v>
      </c>
      <c r="M594">
        <f t="shared" si="29"/>
        <v>5</v>
      </c>
    </row>
    <row r="595" spans="1:13">
      <c r="A595">
        <v>19.785</v>
      </c>
      <c r="B595">
        <v>238.4</v>
      </c>
      <c r="C595">
        <v>18.448</v>
      </c>
      <c r="D595">
        <v>238.4</v>
      </c>
      <c r="G595">
        <v>19.751</v>
      </c>
      <c r="H595" s="8" t="s">
        <v>1335</v>
      </c>
      <c r="I595">
        <v>238.4</v>
      </c>
      <c r="K595">
        <f t="shared" si="27"/>
        <v>19.75</v>
      </c>
      <c r="L595">
        <f t="shared" si="28"/>
        <v>0.7431</v>
      </c>
      <c r="M595">
        <f t="shared" si="29"/>
        <v>5</v>
      </c>
    </row>
    <row r="596" spans="1:13">
      <c r="A596">
        <v>19.818</v>
      </c>
      <c r="B596">
        <v>238.4</v>
      </c>
      <c r="C596">
        <v>18.481</v>
      </c>
      <c r="D596">
        <v>238.4</v>
      </c>
      <c r="G596">
        <v>19.785</v>
      </c>
      <c r="H596" s="8" t="s">
        <v>1336</v>
      </c>
      <c r="I596">
        <v>238.4</v>
      </c>
      <c r="K596">
        <f t="shared" si="27"/>
        <v>19.75</v>
      </c>
      <c r="L596">
        <f t="shared" si="28"/>
        <v>0.7306</v>
      </c>
      <c r="M596">
        <f t="shared" si="29"/>
        <v>5</v>
      </c>
    </row>
    <row r="597" spans="1:13">
      <c r="A597">
        <v>19.852</v>
      </c>
      <c r="B597">
        <v>238.4</v>
      </c>
      <c r="C597">
        <v>18.515</v>
      </c>
      <c r="D597">
        <v>238.4</v>
      </c>
      <c r="G597">
        <v>19.818</v>
      </c>
      <c r="H597" s="8" t="s">
        <v>1337</v>
      </c>
      <c r="I597">
        <v>238.4</v>
      </c>
      <c r="K597">
        <f t="shared" si="27"/>
        <v>19.8</v>
      </c>
      <c r="L597">
        <f t="shared" si="28"/>
        <v>0.6919</v>
      </c>
      <c r="M597">
        <f t="shared" si="29"/>
        <v>5</v>
      </c>
    </row>
    <row r="598" spans="1:13">
      <c r="A598">
        <v>19.885</v>
      </c>
      <c r="B598">
        <v>238.4</v>
      </c>
      <c r="C598">
        <v>18.548</v>
      </c>
      <c r="D598">
        <v>238.4</v>
      </c>
      <c r="G598">
        <v>19.852</v>
      </c>
      <c r="H598" s="8" t="s">
        <v>1338</v>
      </c>
      <c r="I598">
        <v>238.4</v>
      </c>
      <c r="K598">
        <f t="shared" si="27"/>
        <v>19.85</v>
      </c>
      <c r="L598">
        <f t="shared" si="28"/>
        <v>0.7444</v>
      </c>
      <c r="M598">
        <f t="shared" si="29"/>
        <v>5</v>
      </c>
    </row>
    <row r="599" spans="1:13">
      <c r="A599">
        <v>19.918</v>
      </c>
      <c r="B599">
        <v>238.4</v>
      </c>
      <c r="C599">
        <v>18.582</v>
      </c>
      <c r="D599">
        <v>238.4</v>
      </c>
      <c r="G599">
        <v>19.885</v>
      </c>
      <c r="H599" s="8" t="s">
        <v>1339</v>
      </c>
      <c r="I599">
        <v>238.4</v>
      </c>
      <c r="K599">
        <f t="shared" si="27"/>
        <v>19.85</v>
      </c>
      <c r="L599">
        <f t="shared" si="28"/>
        <v>0.74</v>
      </c>
      <c r="M599">
        <f t="shared" si="29"/>
        <v>5</v>
      </c>
    </row>
    <row r="600" spans="1:13">
      <c r="A600">
        <v>19.952</v>
      </c>
      <c r="B600">
        <v>238.4</v>
      </c>
      <c r="C600">
        <v>18.615</v>
      </c>
      <c r="D600">
        <v>219</v>
      </c>
      <c r="G600">
        <v>19.918</v>
      </c>
      <c r="H600" s="8" t="s">
        <v>1340</v>
      </c>
      <c r="I600">
        <v>238.4</v>
      </c>
      <c r="K600">
        <f t="shared" si="27"/>
        <v>19.9</v>
      </c>
      <c r="L600">
        <f t="shared" si="28"/>
        <v>0.6849</v>
      </c>
      <c r="M600">
        <f t="shared" si="29"/>
        <v>5</v>
      </c>
    </row>
    <row r="601" spans="1:13">
      <c r="A601">
        <v>19.985</v>
      </c>
      <c r="B601">
        <v>238.4</v>
      </c>
      <c r="C601">
        <v>18.648</v>
      </c>
      <c r="D601">
        <v>207.6</v>
      </c>
      <c r="G601">
        <v>19.952</v>
      </c>
      <c r="H601" s="8" t="s">
        <v>1341</v>
      </c>
      <c r="I601">
        <v>238.4</v>
      </c>
      <c r="K601">
        <f t="shared" si="27"/>
        <v>19.95</v>
      </c>
      <c r="L601">
        <f t="shared" si="28"/>
        <v>0.6037</v>
      </c>
      <c r="M601">
        <f t="shared" si="29"/>
        <v>5</v>
      </c>
    </row>
    <row r="602" spans="1:13">
      <c r="A602">
        <v>20.019</v>
      </c>
      <c r="B602">
        <v>238.4</v>
      </c>
      <c r="C602">
        <v>18.682</v>
      </c>
      <c r="D602">
        <v>207.9</v>
      </c>
      <c r="G602">
        <v>19.985</v>
      </c>
      <c r="H602" s="8" t="s">
        <v>1342</v>
      </c>
      <c r="I602">
        <v>238.4</v>
      </c>
      <c r="K602">
        <f t="shared" si="27"/>
        <v>19.95</v>
      </c>
      <c r="L602">
        <f t="shared" si="28"/>
        <v>0.6106</v>
      </c>
      <c r="M602">
        <f t="shared" si="29"/>
        <v>5</v>
      </c>
    </row>
    <row r="603" spans="1:13">
      <c r="A603">
        <v>20.052</v>
      </c>
      <c r="B603">
        <v>238.4</v>
      </c>
      <c r="C603">
        <v>18.715</v>
      </c>
      <c r="D603">
        <v>207</v>
      </c>
      <c r="G603">
        <v>20.019</v>
      </c>
      <c r="H603" s="8" t="s">
        <v>1343</v>
      </c>
      <c r="I603">
        <v>238.4</v>
      </c>
      <c r="K603">
        <f t="shared" si="27"/>
        <v>20</v>
      </c>
      <c r="L603">
        <f t="shared" si="28"/>
        <v>0.5104</v>
      </c>
      <c r="M603">
        <f t="shared" si="29"/>
        <v>5</v>
      </c>
    </row>
    <row r="604" spans="1:13">
      <c r="A604">
        <v>20.086</v>
      </c>
      <c r="B604">
        <v>238.4</v>
      </c>
      <c r="C604">
        <v>18.749</v>
      </c>
      <c r="D604">
        <v>205.5</v>
      </c>
      <c r="G604">
        <v>20.052</v>
      </c>
      <c r="H604" s="8" t="s">
        <v>1344</v>
      </c>
      <c r="I604">
        <v>238.4</v>
      </c>
      <c r="K604">
        <f t="shared" si="27"/>
        <v>20.05</v>
      </c>
      <c r="L604">
        <f t="shared" si="28"/>
        <v>0.4903</v>
      </c>
      <c r="M604">
        <f t="shared" si="29"/>
        <v>5</v>
      </c>
    </row>
    <row r="605" spans="1:13">
      <c r="A605">
        <v>20.119</v>
      </c>
      <c r="B605">
        <v>238.4</v>
      </c>
      <c r="C605">
        <v>18.782</v>
      </c>
      <c r="D605">
        <v>203.6</v>
      </c>
      <c r="G605">
        <v>20.086</v>
      </c>
      <c r="H605" s="8" t="s">
        <v>1345</v>
      </c>
      <c r="I605">
        <v>238.4</v>
      </c>
      <c r="K605">
        <f t="shared" si="27"/>
        <v>20.05</v>
      </c>
      <c r="L605">
        <f t="shared" si="28"/>
        <v>0.4809</v>
      </c>
      <c r="M605">
        <f t="shared" si="29"/>
        <v>5</v>
      </c>
    </row>
    <row r="606" spans="1:13">
      <c r="A606">
        <v>20.152</v>
      </c>
      <c r="B606">
        <v>238.4</v>
      </c>
      <c r="C606">
        <v>18.816</v>
      </c>
      <c r="D606">
        <v>202.9</v>
      </c>
      <c r="G606">
        <v>20.119</v>
      </c>
      <c r="H606" s="8" t="s">
        <v>1346</v>
      </c>
      <c r="I606">
        <v>238.4</v>
      </c>
      <c r="K606">
        <f t="shared" si="27"/>
        <v>20.1</v>
      </c>
      <c r="L606">
        <f t="shared" si="28"/>
        <v>0.4956</v>
      </c>
      <c r="M606">
        <f t="shared" si="29"/>
        <v>5</v>
      </c>
    </row>
    <row r="607" spans="1:13">
      <c r="A607">
        <v>20.186</v>
      </c>
      <c r="B607">
        <v>238.4</v>
      </c>
      <c r="C607">
        <v>18.849</v>
      </c>
      <c r="D607">
        <v>201.6</v>
      </c>
      <c r="G607">
        <v>20.152</v>
      </c>
      <c r="H607" s="8" t="s">
        <v>1347</v>
      </c>
      <c r="I607">
        <v>238.4</v>
      </c>
      <c r="K607">
        <f t="shared" si="27"/>
        <v>20.15</v>
      </c>
      <c r="L607">
        <f t="shared" si="28"/>
        <v>0.4875</v>
      </c>
      <c r="M607">
        <f t="shared" si="29"/>
        <v>5</v>
      </c>
    </row>
    <row r="608" spans="1:13">
      <c r="A608">
        <v>20.219</v>
      </c>
      <c r="B608">
        <v>238.4</v>
      </c>
      <c r="C608">
        <v>18.882</v>
      </c>
      <c r="D608">
        <v>200.3</v>
      </c>
      <c r="G608">
        <v>20.186</v>
      </c>
      <c r="H608" s="8" t="s">
        <v>1348</v>
      </c>
      <c r="I608">
        <v>238.4</v>
      </c>
      <c r="K608">
        <f t="shared" si="27"/>
        <v>20.15</v>
      </c>
      <c r="L608">
        <f t="shared" si="28"/>
        <v>0.3546</v>
      </c>
      <c r="M608">
        <f t="shared" si="29"/>
        <v>5</v>
      </c>
    </row>
    <row r="609" spans="1:13">
      <c r="A609">
        <v>20.253</v>
      </c>
      <c r="B609">
        <v>206.7</v>
      </c>
      <c r="C609">
        <v>18.916</v>
      </c>
      <c r="D609">
        <v>199</v>
      </c>
      <c r="G609">
        <v>20.219</v>
      </c>
      <c r="H609" s="8" t="s">
        <v>1349</v>
      </c>
      <c r="I609">
        <v>238.4</v>
      </c>
      <c r="K609">
        <f t="shared" si="27"/>
        <v>20.2</v>
      </c>
      <c r="L609">
        <f t="shared" si="28"/>
        <v>0.388</v>
      </c>
      <c r="M609">
        <f t="shared" si="29"/>
        <v>5</v>
      </c>
    </row>
    <row r="610" spans="1:13">
      <c r="A610">
        <v>20.286</v>
      </c>
      <c r="B610">
        <v>212.6</v>
      </c>
      <c r="C610">
        <v>18.949</v>
      </c>
      <c r="D610">
        <v>197.6</v>
      </c>
      <c r="G610">
        <v>20.253</v>
      </c>
      <c r="H610" s="8" t="s">
        <v>1322</v>
      </c>
      <c r="I610">
        <v>206.7</v>
      </c>
      <c r="K610">
        <f t="shared" si="27"/>
        <v>20.25</v>
      </c>
      <c r="L610">
        <f t="shared" si="28"/>
        <v>0.3773</v>
      </c>
      <c r="M610">
        <f t="shared" si="29"/>
        <v>0</v>
      </c>
    </row>
    <row r="611" spans="1:13">
      <c r="A611">
        <v>20.32</v>
      </c>
      <c r="B611">
        <v>210.7</v>
      </c>
      <c r="C611">
        <v>18.983</v>
      </c>
      <c r="D611">
        <v>195.8</v>
      </c>
      <c r="G611">
        <v>20.286</v>
      </c>
      <c r="H611" s="8" t="s">
        <v>1350</v>
      </c>
      <c r="I611">
        <v>212.6</v>
      </c>
      <c r="K611">
        <f t="shared" si="27"/>
        <v>20.25</v>
      </c>
      <c r="L611">
        <f t="shared" si="28"/>
        <v>0.2959</v>
      </c>
      <c r="M611">
        <f t="shared" si="29"/>
        <v>0</v>
      </c>
    </row>
    <row r="612" spans="1:13">
      <c r="A612">
        <v>20.353</v>
      </c>
      <c r="B612">
        <v>209.2</v>
      </c>
      <c r="C612">
        <v>19.016</v>
      </c>
      <c r="D612">
        <v>195.2</v>
      </c>
      <c r="G612">
        <v>20.32</v>
      </c>
      <c r="H612" s="8" t="s">
        <v>1351</v>
      </c>
      <c r="I612">
        <v>210.7</v>
      </c>
      <c r="K612">
        <f t="shared" si="27"/>
        <v>20.3</v>
      </c>
      <c r="L612">
        <f t="shared" si="28"/>
        <v>0.2495</v>
      </c>
      <c r="M612">
        <f t="shared" si="29"/>
        <v>0</v>
      </c>
    </row>
    <row r="613" spans="1:13">
      <c r="A613">
        <v>20.386</v>
      </c>
      <c r="B613">
        <v>207.5</v>
      </c>
      <c r="C613">
        <v>19.05</v>
      </c>
      <c r="D613">
        <v>194.1</v>
      </c>
      <c r="G613">
        <v>20.353</v>
      </c>
      <c r="H613" s="8" t="s">
        <v>988</v>
      </c>
      <c r="I613">
        <v>209.2</v>
      </c>
      <c r="K613">
        <f t="shared" si="27"/>
        <v>20.35</v>
      </c>
      <c r="L613">
        <f t="shared" si="28"/>
        <v>0.2367</v>
      </c>
      <c r="M613">
        <f t="shared" si="29"/>
        <v>0</v>
      </c>
    </row>
    <row r="614" spans="1:13">
      <c r="A614">
        <v>20.42</v>
      </c>
      <c r="B614">
        <v>206.6</v>
      </c>
      <c r="C614">
        <v>19.083</v>
      </c>
      <c r="D614">
        <v>193.1</v>
      </c>
      <c r="G614">
        <v>20.386</v>
      </c>
      <c r="H614" s="8" t="s">
        <v>1167</v>
      </c>
      <c r="I614">
        <v>207.5</v>
      </c>
      <c r="K614">
        <f t="shared" si="27"/>
        <v>20.35</v>
      </c>
      <c r="L614">
        <f t="shared" si="28"/>
        <v>0.2378</v>
      </c>
      <c r="M614">
        <f t="shared" si="29"/>
        <v>0</v>
      </c>
    </row>
    <row r="615" spans="1:13">
      <c r="A615">
        <v>20.453</v>
      </c>
      <c r="B615">
        <v>204.2</v>
      </c>
      <c r="C615">
        <v>19.116</v>
      </c>
      <c r="D615">
        <v>193.1</v>
      </c>
      <c r="G615">
        <v>20.42</v>
      </c>
      <c r="H615" s="8" t="s">
        <v>1352</v>
      </c>
      <c r="I615">
        <v>206.6</v>
      </c>
      <c r="K615">
        <f t="shared" si="27"/>
        <v>20.4</v>
      </c>
      <c r="L615">
        <f t="shared" si="28"/>
        <v>0.2404</v>
      </c>
      <c r="M615">
        <f t="shared" si="29"/>
        <v>0</v>
      </c>
    </row>
    <row r="616" spans="1:13">
      <c r="A616">
        <v>20.487</v>
      </c>
      <c r="B616">
        <v>203.5</v>
      </c>
      <c r="C616">
        <v>19.15</v>
      </c>
      <c r="D616">
        <v>191.4</v>
      </c>
      <c r="G616">
        <v>20.453</v>
      </c>
      <c r="H616" s="8" t="s">
        <v>1353</v>
      </c>
      <c r="I616">
        <v>204.2</v>
      </c>
      <c r="K616">
        <f t="shared" si="27"/>
        <v>20.45</v>
      </c>
      <c r="L616">
        <f t="shared" si="28"/>
        <v>0.2408</v>
      </c>
      <c r="M616">
        <f t="shared" si="29"/>
        <v>0</v>
      </c>
    </row>
    <row r="617" spans="1:13">
      <c r="A617">
        <v>20.52</v>
      </c>
      <c r="B617">
        <v>202.9</v>
      </c>
      <c r="C617">
        <v>19.183</v>
      </c>
      <c r="D617">
        <v>190.7</v>
      </c>
      <c r="G617">
        <v>20.487</v>
      </c>
      <c r="H617" s="8" t="s">
        <v>1354</v>
      </c>
      <c r="I617">
        <v>203.5</v>
      </c>
      <c r="K617">
        <f t="shared" si="27"/>
        <v>20.45</v>
      </c>
      <c r="L617">
        <f t="shared" si="28"/>
        <v>0.2594</v>
      </c>
      <c r="M617">
        <f t="shared" si="29"/>
        <v>0</v>
      </c>
    </row>
    <row r="618" spans="1:13">
      <c r="A618">
        <v>20.553</v>
      </c>
      <c r="B618">
        <v>202.2</v>
      </c>
      <c r="C618">
        <v>19.217</v>
      </c>
      <c r="D618">
        <v>190.7</v>
      </c>
      <c r="G618">
        <v>20.52</v>
      </c>
      <c r="H618" s="8" t="s">
        <v>1355</v>
      </c>
      <c r="I618">
        <v>202.9</v>
      </c>
      <c r="K618">
        <f t="shared" si="27"/>
        <v>20.5</v>
      </c>
      <c r="L618">
        <f t="shared" si="28"/>
        <v>0.2459</v>
      </c>
      <c r="M618">
        <f t="shared" si="29"/>
        <v>0</v>
      </c>
    </row>
    <row r="619" spans="1:13">
      <c r="A619">
        <v>20.587</v>
      </c>
      <c r="B619">
        <v>200.5</v>
      </c>
      <c r="C619">
        <v>19.25</v>
      </c>
      <c r="D619">
        <v>189.4</v>
      </c>
      <c r="G619">
        <v>20.553</v>
      </c>
      <c r="H619" s="8" t="s">
        <v>941</v>
      </c>
      <c r="I619">
        <v>202.2</v>
      </c>
      <c r="K619">
        <f t="shared" si="27"/>
        <v>20.55</v>
      </c>
      <c r="L619">
        <f t="shared" si="28"/>
        <v>0.2895</v>
      </c>
      <c r="M619">
        <f t="shared" si="29"/>
        <v>0</v>
      </c>
    </row>
    <row r="620" spans="1:13">
      <c r="A620">
        <v>20.62</v>
      </c>
      <c r="B620">
        <v>198.6</v>
      </c>
      <c r="C620">
        <v>19.283</v>
      </c>
      <c r="D620">
        <v>188.4</v>
      </c>
      <c r="G620">
        <v>20.587</v>
      </c>
      <c r="H620" s="8" t="s">
        <v>793</v>
      </c>
      <c r="I620">
        <v>200.5</v>
      </c>
      <c r="K620">
        <f t="shared" si="27"/>
        <v>20.55</v>
      </c>
      <c r="L620">
        <f t="shared" si="28"/>
        <v>0.3161</v>
      </c>
      <c r="M620">
        <f t="shared" si="29"/>
        <v>0</v>
      </c>
    </row>
    <row r="621" spans="1:13">
      <c r="A621">
        <v>20.654</v>
      </c>
      <c r="B621">
        <v>199</v>
      </c>
      <c r="C621">
        <v>19.317</v>
      </c>
      <c r="D621">
        <v>186.9</v>
      </c>
      <c r="G621">
        <v>20.62</v>
      </c>
      <c r="H621" s="8" t="s">
        <v>1356</v>
      </c>
      <c r="I621">
        <v>198.6</v>
      </c>
      <c r="K621">
        <f t="shared" si="27"/>
        <v>20.6</v>
      </c>
      <c r="L621">
        <f t="shared" si="28"/>
        <v>0.362</v>
      </c>
      <c r="M621">
        <f t="shared" si="29"/>
        <v>0</v>
      </c>
    </row>
    <row r="622" spans="1:13">
      <c r="A622">
        <v>20.687</v>
      </c>
      <c r="B622">
        <v>197.2</v>
      </c>
      <c r="C622">
        <v>19.35</v>
      </c>
      <c r="D622">
        <v>186.1</v>
      </c>
      <c r="G622">
        <v>20.654</v>
      </c>
      <c r="H622" s="8" t="s">
        <v>1357</v>
      </c>
      <c r="I622">
        <v>199</v>
      </c>
      <c r="K622">
        <f t="shared" si="27"/>
        <v>20.65</v>
      </c>
      <c r="L622">
        <f t="shared" si="28"/>
        <v>0.3803</v>
      </c>
      <c r="M622">
        <f t="shared" si="29"/>
        <v>0</v>
      </c>
    </row>
    <row r="623" spans="1:13">
      <c r="A623">
        <v>20.721</v>
      </c>
      <c r="B623">
        <v>196.7</v>
      </c>
      <c r="C623">
        <v>19.384</v>
      </c>
      <c r="D623">
        <v>185.2</v>
      </c>
      <c r="G623">
        <v>20.687</v>
      </c>
      <c r="H623" s="8" t="s">
        <v>1358</v>
      </c>
      <c r="I623">
        <v>197.2</v>
      </c>
      <c r="K623">
        <f t="shared" si="27"/>
        <v>20.65</v>
      </c>
      <c r="L623">
        <f t="shared" si="28"/>
        <v>0.4804</v>
      </c>
      <c r="M623">
        <f t="shared" si="29"/>
        <v>0</v>
      </c>
    </row>
    <row r="624" spans="1:13">
      <c r="A624">
        <v>20.754</v>
      </c>
      <c r="B624">
        <v>194.8</v>
      </c>
      <c r="C624">
        <v>19.417</v>
      </c>
      <c r="D624">
        <v>238.4</v>
      </c>
      <c r="G624">
        <v>20.721</v>
      </c>
      <c r="H624" s="8" t="s">
        <v>796</v>
      </c>
      <c r="I624">
        <v>196.7</v>
      </c>
      <c r="K624">
        <f t="shared" si="27"/>
        <v>20.7</v>
      </c>
      <c r="L624">
        <f t="shared" si="28"/>
        <v>0.4929</v>
      </c>
      <c r="M624">
        <f t="shared" si="29"/>
        <v>0</v>
      </c>
    </row>
    <row r="625" spans="1:13">
      <c r="A625">
        <v>20.787</v>
      </c>
      <c r="B625">
        <v>193.8</v>
      </c>
      <c r="C625">
        <v>19.451</v>
      </c>
      <c r="D625">
        <v>238.4</v>
      </c>
      <c r="G625">
        <v>20.754</v>
      </c>
      <c r="H625" s="8" t="s">
        <v>1359</v>
      </c>
      <c r="I625">
        <v>194.8</v>
      </c>
      <c r="K625">
        <f t="shared" si="27"/>
        <v>20.75</v>
      </c>
      <c r="L625">
        <f t="shared" si="28"/>
        <v>0.4989</v>
      </c>
      <c r="M625">
        <f t="shared" si="29"/>
        <v>0</v>
      </c>
    </row>
    <row r="626" spans="1:13">
      <c r="A626">
        <v>20.821</v>
      </c>
      <c r="B626">
        <v>193.3</v>
      </c>
      <c r="C626">
        <v>19.484</v>
      </c>
      <c r="D626">
        <v>238.4</v>
      </c>
      <c r="G626">
        <v>20.787</v>
      </c>
      <c r="H626" s="8" t="s">
        <v>1145</v>
      </c>
      <c r="I626">
        <v>193.8</v>
      </c>
      <c r="K626">
        <f t="shared" si="27"/>
        <v>20.75</v>
      </c>
      <c r="L626">
        <f t="shared" si="28"/>
        <v>0.5028</v>
      </c>
      <c r="M626">
        <f t="shared" si="29"/>
        <v>0</v>
      </c>
    </row>
    <row r="627" spans="1:13">
      <c r="A627">
        <v>20.854</v>
      </c>
      <c r="B627">
        <v>191.6</v>
      </c>
      <c r="C627">
        <v>19.517</v>
      </c>
      <c r="D627">
        <v>238.4</v>
      </c>
      <c r="G627">
        <v>20.821</v>
      </c>
      <c r="H627" s="8" t="s">
        <v>1114</v>
      </c>
      <c r="I627">
        <v>193.3</v>
      </c>
      <c r="K627">
        <f t="shared" si="27"/>
        <v>20.8</v>
      </c>
      <c r="L627">
        <f t="shared" si="28"/>
        <v>0.496</v>
      </c>
      <c r="M627">
        <f t="shared" si="29"/>
        <v>0</v>
      </c>
    </row>
    <row r="628" spans="1:13">
      <c r="A628">
        <v>20.888</v>
      </c>
      <c r="B628">
        <v>190.8</v>
      </c>
      <c r="C628">
        <v>19.551</v>
      </c>
      <c r="D628">
        <v>238.4</v>
      </c>
      <c r="G628">
        <v>20.854</v>
      </c>
      <c r="H628" s="8" t="s">
        <v>1360</v>
      </c>
      <c r="I628">
        <v>191.6</v>
      </c>
      <c r="K628">
        <f t="shared" si="27"/>
        <v>20.85</v>
      </c>
      <c r="L628">
        <f t="shared" si="28"/>
        <v>0.6309</v>
      </c>
      <c r="M628">
        <f t="shared" si="29"/>
        <v>0</v>
      </c>
    </row>
    <row r="629" spans="1:13">
      <c r="A629">
        <v>20.921</v>
      </c>
      <c r="B629">
        <v>190.3</v>
      </c>
      <c r="C629">
        <v>19.584</v>
      </c>
      <c r="D629">
        <v>238.4</v>
      </c>
      <c r="G629">
        <v>20.888</v>
      </c>
      <c r="H629" s="8" t="s">
        <v>1171</v>
      </c>
      <c r="I629">
        <v>190.8</v>
      </c>
      <c r="K629">
        <f t="shared" si="27"/>
        <v>20.85</v>
      </c>
      <c r="L629">
        <f t="shared" si="28"/>
        <v>0.6329</v>
      </c>
      <c r="M629">
        <f t="shared" si="29"/>
        <v>0</v>
      </c>
    </row>
    <row r="630" spans="1:13">
      <c r="A630">
        <v>20.954</v>
      </c>
      <c r="B630">
        <v>189.1</v>
      </c>
      <c r="C630">
        <v>19.618</v>
      </c>
      <c r="D630">
        <v>238.4</v>
      </c>
      <c r="G630">
        <v>20.921</v>
      </c>
      <c r="H630" s="8" t="s">
        <v>1361</v>
      </c>
      <c r="I630">
        <v>190.3</v>
      </c>
      <c r="K630">
        <f t="shared" si="27"/>
        <v>20.9</v>
      </c>
      <c r="L630">
        <f t="shared" si="28"/>
        <v>0.6354</v>
      </c>
      <c r="M630">
        <f t="shared" si="29"/>
        <v>0</v>
      </c>
    </row>
    <row r="631" spans="1:13">
      <c r="A631">
        <v>20.988</v>
      </c>
      <c r="B631">
        <v>188.4</v>
      </c>
      <c r="C631">
        <v>19.651</v>
      </c>
      <c r="D631">
        <v>238.4</v>
      </c>
      <c r="G631">
        <v>20.954</v>
      </c>
      <c r="H631" s="8" t="s">
        <v>1362</v>
      </c>
      <c r="I631">
        <v>189.1</v>
      </c>
      <c r="K631">
        <f t="shared" si="27"/>
        <v>20.95</v>
      </c>
      <c r="L631">
        <f t="shared" si="28"/>
        <v>0.6719</v>
      </c>
      <c r="M631">
        <f t="shared" si="29"/>
        <v>0</v>
      </c>
    </row>
    <row r="632" spans="1:13">
      <c r="A632">
        <v>21.021</v>
      </c>
      <c r="B632">
        <v>238.3</v>
      </c>
      <c r="C632">
        <v>19.685</v>
      </c>
      <c r="D632">
        <v>238.4</v>
      </c>
      <c r="G632">
        <v>20.988</v>
      </c>
      <c r="H632" s="8" t="s">
        <v>1363</v>
      </c>
      <c r="I632">
        <v>188.4</v>
      </c>
      <c r="K632">
        <f t="shared" si="27"/>
        <v>20.95</v>
      </c>
      <c r="L632">
        <f t="shared" si="28"/>
        <v>0.6706</v>
      </c>
      <c r="M632">
        <f t="shared" si="29"/>
        <v>0</v>
      </c>
    </row>
    <row r="633" spans="1:13">
      <c r="A633">
        <v>21.055</v>
      </c>
      <c r="B633">
        <v>238.4</v>
      </c>
      <c r="C633">
        <v>19.718</v>
      </c>
      <c r="D633">
        <v>238.4</v>
      </c>
      <c r="G633">
        <v>21.021</v>
      </c>
      <c r="H633" s="8" t="s">
        <v>1364</v>
      </c>
      <c r="I633">
        <v>238.3</v>
      </c>
      <c r="K633">
        <f t="shared" si="27"/>
        <v>21</v>
      </c>
      <c r="L633">
        <f t="shared" si="28"/>
        <v>0.686</v>
      </c>
      <c r="M633">
        <f t="shared" si="29"/>
        <v>5</v>
      </c>
    </row>
    <row r="634" spans="1:13">
      <c r="A634">
        <v>21.088</v>
      </c>
      <c r="B634">
        <v>238.4</v>
      </c>
      <c r="C634">
        <v>19.751</v>
      </c>
      <c r="D634">
        <v>238.4</v>
      </c>
      <c r="G634">
        <v>21.055</v>
      </c>
      <c r="H634" s="8" t="s">
        <v>1365</v>
      </c>
      <c r="I634">
        <v>238.4</v>
      </c>
      <c r="K634">
        <f t="shared" si="27"/>
        <v>21.05</v>
      </c>
      <c r="L634">
        <f t="shared" si="28"/>
        <v>0.7406</v>
      </c>
      <c r="M634">
        <f t="shared" si="29"/>
        <v>5</v>
      </c>
    </row>
    <row r="635" spans="1:13">
      <c r="A635">
        <v>21.122</v>
      </c>
      <c r="B635">
        <v>238.4</v>
      </c>
      <c r="C635">
        <v>19.785</v>
      </c>
      <c r="D635">
        <v>238.4</v>
      </c>
      <c r="G635">
        <v>21.088</v>
      </c>
      <c r="H635" s="8" t="s">
        <v>1366</v>
      </c>
      <c r="I635">
        <v>238.4</v>
      </c>
      <c r="K635">
        <f t="shared" si="27"/>
        <v>21.05</v>
      </c>
      <c r="L635">
        <f t="shared" si="28"/>
        <v>0.751</v>
      </c>
      <c r="M635">
        <f t="shared" si="29"/>
        <v>5</v>
      </c>
    </row>
    <row r="636" spans="1:13">
      <c r="A636">
        <v>21.155</v>
      </c>
      <c r="B636">
        <v>238.4</v>
      </c>
      <c r="C636">
        <v>19.818</v>
      </c>
      <c r="D636">
        <v>238.4</v>
      </c>
      <c r="G636">
        <v>21.122</v>
      </c>
      <c r="H636" s="8" t="s">
        <v>1367</v>
      </c>
      <c r="I636">
        <v>238.4</v>
      </c>
      <c r="K636">
        <f t="shared" si="27"/>
        <v>21.1</v>
      </c>
      <c r="L636">
        <f t="shared" si="28"/>
        <v>0.7507</v>
      </c>
      <c r="M636">
        <f t="shared" si="29"/>
        <v>5</v>
      </c>
    </row>
    <row r="637" spans="1:13">
      <c r="A637">
        <v>21.188</v>
      </c>
      <c r="B637">
        <v>238.4</v>
      </c>
      <c r="C637">
        <v>19.852</v>
      </c>
      <c r="D637">
        <v>238.4</v>
      </c>
      <c r="G637">
        <v>21.155</v>
      </c>
      <c r="H637" s="8" t="s">
        <v>1368</v>
      </c>
      <c r="I637">
        <v>238.4</v>
      </c>
      <c r="K637">
        <f t="shared" si="27"/>
        <v>21.15</v>
      </c>
      <c r="L637">
        <f t="shared" si="28"/>
        <v>0.7437</v>
      </c>
      <c r="M637">
        <f t="shared" si="29"/>
        <v>5</v>
      </c>
    </row>
    <row r="638" spans="1:13">
      <c r="A638">
        <v>21.222</v>
      </c>
      <c r="B638">
        <v>238.4</v>
      </c>
      <c r="C638">
        <v>19.885</v>
      </c>
      <c r="D638">
        <v>238.4</v>
      </c>
      <c r="G638">
        <v>21.188</v>
      </c>
      <c r="H638" s="8" t="s">
        <v>1369</v>
      </c>
      <c r="I638">
        <v>238.4</v>
      </c>
      <c r="K638">
        <f t="shared" si="27"/>
        <v>21.15</v>
      </c>
      <c r="L638">
        <f t="shared" si="28"/>
        <v>0.7338</v>
      </c>
      <c r="M638">
        <f t="shared" si="29"/>
        <v>5</v>
      </c>
    </row>
    <row r="639" spans="1:13">
      <c r="A639">
        <v>21.255</v>
      </c>
      <c r="B639">
        <v>238.4</v>
      </c>
      <c r="C639">
        <v>19.918</v>
      </c>
      <c r="D639">
        <v>238.4</v>
      </c>
      <c r="G639">
        <v>21.222</v>
      </c>
      <c r="H639" s="8" t="s">
        <v>1370</v>
      </c>
      <c r="I639">
        <v>238.4</v>
      </c>
      <c r="K639">
        <f t="shared" si="27"/>
        <v>21.2</v>
      </c>
      <c r="L639">
        <f t="shared" si="28"/>
        <v>0.7125</v>
      </c>
      <c r="M639">
        <f t="shared" si="29"/>
        <v>5</v>
      </c>
    </row>
    <row r="640" spans="1:13">
      <c r="A640">
        <v>21.289</v>
      </c>
      <c r="B640">
        <v>238.4</v>
      </c>
      <c r="C640">
        <v>19.952</v>
      </c>
      <c r="D640">
        <v>238.4</v>
      </c>
      <c r="G640">
        <v>21.255</v>
      </c>
      <c r="H640" s="8" t="s">
        <v>1371</v>
      </c>
      <c r="I640">
        <v>238.4</v>
      </c>
      <c r="K640">
        <f t="shared" si="27"/>
        <v>21.25</v>
      </c>
      <c r="L640">
        <f t="shared" si="28"/>
        <v>0.6356</v>
      </c>
      <c r="M640">
        <f t="shared" si="29"/>
        <v>5</v>
      </c>
    </row>
    <row r="641" spans="1:13">
      <c r="A641">
        <v>21.322</v>
      </c>
      <c r="B641">
        <v>238.4</v>
      </c>
      <c r="C641">
        <v>19.985</v>
      </c>
      <c r="D641">
        <v>238.4</v>
      </c>
      <c r="G641">
        <v>21.289</v>
      </c>
      <c r="H641" s="8" t="s">
        <v>1372</v>
      </c>
      <c r="I641">
        <v>238.4</v>
      </c>
      <c r="K641">
        <f t="shared" si="27"/>
        <v>21.25</v>
      </c>
      <c r="L641">
        <f t="shared" si="28"/>
        <v>0.6316</v>
      </c>
      <c r="M641">
        <f t="shared" si="29"/>
        <v>5</v>
      </c>
    </row>
    <row r="642" spans="1:13">
      <c r="A642">
        <v>21.356</v>
      </c>
      <c r="B642">
        <v>238.4</v>
      </c>
      <c r="C642">
        <v>20.019</v>
      </c>
      <c r="D642">
        <v>238.4</v>
      </c>
      <c r="G642">
        <v>21.322</v>
      </c>
      <c r="H642" s="8" t="s">
        <v>1373</v>
      </c>
      <c r="I642">
        <v>238.4</v>
      </c>
      <c r="K642">
        <f t="shared" si="27"/>
        <v>21.3</v>
      </c>
      <c r="L642">
        <f t="shared" si="28"/>
        <v>0.6355</v>
      </c>
      <c r="M642">
        <f t="shared" si="29"/>
        <v>5</v>
      </c>
    </row>
    <row r="643" spans="1:13">
      <c r="A643">
        <v>21.389</v>
      </c>
      <c r="B643">
        <v>238.4</v>
      </c>
      <c r="C643">
        <v>20.052</v>
      </c>
      <c r="D643">
        <v>238.4</v>
      </c>
      <c r="G643">
        <v>21.356</v>
      </c>
      <c r="H643" s="8" t="s">
        <v>785</v>
      </c>
      <c r="I643">
        <v>238.4</v>
      </c>
      <c r="K643">
        <f t="shared" si="27"/>
        <v>21.35</v>
      </c>
      <c r="L643">
        <f t="shared" si="28"/>
        <v>0.498</v>
      </c>
      <c r="M643">
        <f t="shared" si="29"/>
        <v>5</v>
      </c>
    </row>
    <row r="644" spans="1:13">
      <c r="A644">
        <v>21.422</v>
      </c>
      <c r="B644">
        <v>238.4</v>
      </c>
      <c r="C644">
        <v>20.086</v>
      </c>
      <c r="D644">
        <v>238.4</v>
      </c>
      <c r="G644">
        <v>21.389</v>
      </c>
      <c r="H644" s="8" t="s">
        <v>1374</v>
      </c>
      <c r="I644">
        <v>238.4</v>
      </c>
      <c r="K644">
        <f t="shared" ref="K644:K707" si="30">FLOOR(G644,0.05)</f>
        <v>21.35</v>
      </c>
      <c r="L644">
        <f t="shared" si="28"/>
        <v>0.4832</v>
      </c>
      <c r="M644">
        <f t="shared" si="29"/>
        <v>5</v>
      </c>
    </row>
    <row r="645" spans="1:13">
      <c r="A645">
        <v>21.456</v>
      </c>
      <c r="B645">
        <v>238.4</v>
      </c>
      <c r="C645">
        <v>20.119</v>
      </c>
      <c r="D645">
        <v>238.4</v>
      </c>
      <c r="G645">
        <v>21.422</v>
      </c>
      <c r="H645" s="8" t="s">
        <v>1375</v>
      </c>
      <c r="I645">
        <v>238.4</v>
      </c>
      <c r="K645">
        <f t="shared" si="30"/>
        <v>21.4</v>
      </c>
      <c r="L645">
        <f t="shared" ref="L645:L708" si="31">H645*100</f>
        <v>0.5272</v>
      </c>
      <c r="M645">
        <f t="shared" ref="M645:M708" si="32">IF(I645&lt;230,0,5)</f>
        <v>5</v>
      </c>
    </row>
    <row r="646" spans="1:13">
      <c r="A646">
        <v>21.489</v>
      </c>
      <c r="B646">
        <v>238.4</v>
      </c>
      <c r="C646">
        <v>20.152</v>
      </c>
      <c r="D646">
        <v>238.4</v>
      </c>
      <c r="G646">
        <v>21.456</v>
      </c>
      <c r="H646" s="8" t="s">
        <v>768</v>
      </c>
      <c r="I646">
        <v>238.4</v>
      </c>
      <c r="K646">
        <f t="shared" si="30"/>
        <v>21.45</v>
      </c>
      <c r="L646">
        <f t="shared" si="31"/>
        <v>0.4852</v>
      </c>
      <c r="M646">
        <f t="shared" si="32"/>
        <v>5</v>
      </c>
    </row>
    <row r="647" spans="1:13">
      <c r="A647">
        <v>21.523</v>
      </c>
      <c r="B647">
        <v>238.4</v>
      </c>
      <c r="C647">
        <v>20.186</v>
      </c>
      <c r="D647">
        <v>238.4</v>
      </c>
      <c r="G647">
        <v>21.489</v>
      </c>
      <c r="H647" s="8" t="s">
        <v>1376</v>
      </c>
      <c r="I647">
        <v>238.4</v>
      </c>
      <c r="K647">
        <f t="shared" si="30"/>
        <v>21.45</v>
      </c>
      <c r="L647">
        <f t="shared" si="31"/>
        <v>0.4879</v>
      </c>
      <c r="M647">
        <f t="shared" si="32"/>
        <v>5</v>
      </c>
    </row>
    <row r="648" spans="1:13">
      <c r="A648">
        <v>21.556</v>
      </c>
      <c r="B648">
        <v>238.4</v>
      </c>
      <c r="C648">
        <v>20.219</v>
      </c>
      <c r="D648">
        <v>238.4</v>
      </c>
      <c r="G648">
        <v>21.523</v>
      </c>
      <c r="H648" s="8" t="s">
        <v>1377</v>
      </c>
      <c r="I648">
        <v>238.4</v>
      </c>
      <c r="K648">
        <f t="shared" si="30"/>
        <v>21.5</v>
      </c>
      <c r="L648">
        <f t="shared" si="31"/>
        <v>0.3816</v>
      </c>
      <c r="M648">
        <f t="shared" si="32"/>
        <v>5</v>
      </c>
    </row>
    <row r="649" spans="1:13">
      <c r="A649">
        <v>21.589</v>
      </c>
      <c r="B649">
        <v>238.4</v>
      </c>
      <c r="C649">
        <v>20.253</v>
      </c>
      <c r="D649">
        <v>206.7</v>
      </c>
      <c r="G649">
        <v>21.556</v>
      </c>
      <c r="H649" s="8" t="s">
        <v>1378</v>
      </c>
      <c r="I649">
        <v>238.4</v>
      </c>
      <c r="K649">
        <f t="shared" si="30"/>
        <v>21.55</v>
      </c>
      <c r="L649">
        <f t="shared" si="31"/>
        <v>0.3468</v>
      </c>
      <c r="M649">
        <f t="shared" si="32"/>
        <v>5</v>
      </c>
    </row>
    <row r="650" spans="1:13">
      <c r="A650">
        <v>21.623</v>
      </c>
      <c r="B650">
        <v>238.4</v>
      </c>
      <c r="C650">
        <v>20.286</v>
      </c>
      <c r="D650">
        <v>212.6</v>
      </c>
      <c r="G650">
        <v>21.589</v>
      </c>
      <c r="H650" s="8" t="s">
        <v>1379</v>
      </c>
      <c r="I650">
        <v>238.4</v>
      </c>
      <c r="K650">
        <f t="shared" si="30"/>
        <v>21.55</v>
      </c>
      <c r="L650">
        <f t="shared" si="31"/>
        <v>0.3473</v>
      </c>
      <c r="M650">
        <f t="shared" si="32"/>
        <v>5</v>
      </c>
    </row>
    <row r="651" spans="1:13">
      <c r="A651">
        <v>21.656</v>
      </c>
      <c r="B651">
        <v>238.4</v>
      </c>
      <c r="C651">
        <v>20.32</v>
      </c>
      <c r="D651">
        <v>210.7</v>
      </c>
      <c r="G651">
        <v>21.623</v>
      </c>
      <c r="H651" s="8" t="s">
        <v>1380</v>
      </c>
      <c r="I651">
        <v>238.4</v>
      </c>
      <c r="K651">
        <f t="shared" si="30"/>
        <v>21.6</v>
      </c>
      <c r="L651">
        <f t="shared" si="31"/>
        <v>0.2548</v>
      </c>
      <c r="M651">
        <f t="shared" si="32"/>
        <v>5</v>
      </c>
    </row>
    <row r="652" spans="1:13">
      <c r="A652">
        <v>21.69</v>
      </c>
      <c r="B652">
        <v>238.4</v>
      </c>
      <c r="C652">
        <v>20.353</v>
      </c>
      <c r="D652">
        <v>209.2</v>
      </c>
      <c r="G652">
        <v>21.656</v>
      </c>
      <c r="H652" s="8" t="s">
        <v>1316</v>
      </c>
      <c r="I652">
        <v>238.4</v>
      </c>
      <c r="K652">
        <f t="shared" si="30"/>
        <v>21.65</v>
      </c>
      <c r="L652">
        <f t="shared" si="31"/>
        <v>0.2431</v>
      </c>
      <c r="M652">
        <f t="shared" si="32"/>
        <v>5</v>
      </c>
    </row>
    <row r="653" spans="1:13">
      <c r="A653">
        <v>21.723</v>
      </c>
      <c r="B653">
        <v>238.4</v>
      </c>
      <c r="C653">
        <v>20.386</v>
      </c>
      <c r="D653">
        <v>207.5</v>
      </c>
      <c r="G653">
        <v>21.69</v>
      </c>
      <c r="H653" s="8" t="s">
        <v>1381</v>
      </c>
      <c r="I653">
        <v>238.4</v>
      </c>
      <c r="K653">
        <f t="shared" si="30"/>
        <v>21.65</v>
      </c>
      <c r="L653">
        <f t="shared" si="31"/>
        <v>0.2496</v>
      </c>
      <c r="M653">
        <f t="shared" si="32"/>
        <v>5</v>
      </c>
    </row>
    <row r="654" spans="1:13">
      <c r="A654">
        <v>21.757</v>
      </c>
      <c r="B654">
        <v>238.4</v>
      </c>
      <c r="C654">
        <v>20.42</v>
      </c>
      <c r="D654">
        <v>206.6</v>
      </c>
      <c r="G654">
        <v>21.723</v>
      </c>
      <c r="H654" s="8" t="s">
        <v>1382</v>
      </c>
      <c r="I654">
        <v>238.4</v>
      </c>
      <c r="K654">
        <f t="shared" si="30"/>
        <v>21.7</v>
      </c>
      <c r="L654">
        <f t="shared" si="31"/>
        <v>0.2422</v>
      </c>
      <c r="M654">
        <f t="shared" si="32"/>
        <v>5</v>
      </c>
    </row>
    <row r="655" spans="1:13">
      <c r="A655">
        <v>21.79</v>
      </c>
      <c r="B655">
        <v>238.4</v>
      </c>
      <c r="C655">
        <v>20.453</v>
      </c>
      <c r="D655">
        <v>204.2</v>
      </c>
      <c r="G655">
        <v>21.757</v>
      </c>
      <c r="H655" s="8" t="s">
        <v>1383</v>
      </c>
      <c r="I655">
        <v>238.4</v>
      </c>
      <c r="K655">
        <f t="shared" si="30"/>
        <v>21.75</v>
      </c>
      <c r="L655">
        <f t="shared" si="31"/>
        <v>0.2371</v>
      </c>
      <c r="M655">
        <f t="shared" si="32"/>
        <v>5</v>
      </c>
    </row>
    <row r="656" spans="1:13">
      <c r="A656">
        <v>21.823</v>
      </c>
      <c r="B656">
        <v>238.4</v>
      </c>
      <c r="C656">
        <v>20.487</v>
      </c>
      <c r="D656">
        <v>203.5</v>
      </c>
      <c r="G656">
        <v>21.79</v>
      </c>
      <c r="H656" s="8" t="s">
        <v>1167</v>
      </c>
      <c r="I656">
        <v>238.4</v>
      </c>
      <c r="K656">
        <f t="shared" si="30"/>
        <v>21.75</v>
      </c>
      <c r="L656">
        <f t="shared" si="31"/>
        <v>0.2378</v>
      </c>
      <c r="M656">
        <f t="shared" si="32"/>
        <v>5</v>
      </c>
    </row>
    <row r="657" spans="1:13">
      <c r="A657">
        <v>21.857</v>
      </c>
      <c r="B657">
        <v>228.7</v>
      </c>
      <c r="C657">
        <v>20.52</v>
      </c>
      <c r="D657">
        <v>202.9</v>
      </c>
      <c r="G657">
        <v>21.823</v>
      </c>
      <c r="H657" s="8" t="s">
        <v>1384</v>
      </c>
      <c r="I657">
        <v>238.4</v>
      </c>
      <c r="K657">
        <f t="shared" si="30"/>
        <v>21.8</v>
      </c>
      <c r="L657">
        <f t="shared" si="31"/>
        <v>0.2303</v>
      </c>
      <c r="M657">
        <f t="shared" si="32"/>
        <v>5</v>
      </c>
    </row>
    <row r="658" spans="1:13">
      <c r="A658">
        <v>21.89</v>
      </c>
      <c r="B658">
        <v>211.1</v>
      </c>
      <c r="C658">
        <v>20.553</v>
      </c>
      <c r="D658">
        <v>202.2</v>
      </c>
      <c r="G658">
        <v>21.857</v>
      </c>
      <c r="H658" s="8" t="s">
        <v>892</v>
      </c>
      <c r="I658">
        <v>228.7</v>
      </c>
      <c r="K658">
        <f t="shared" si="30"/>
        <v>21.85</v>
      </c>
      <c r="L658">
        <f t="shared" si="31"/>
        <v>0.2512</v>
      </c>
      <c r="M658">
        <f t="shared" si="32"/>
        <v>0</v>
      </c>
    </row>
    <row r="659" spans="1:13">
      <c r="A659">
        <v>21.924</v>
      </c>
      <c r="B659">
        <v>213.1</v>
      </c>
      <c r="C659">
        <v>20.587</v>
      </c>
      <c r="D659">
        <v>200.5</v>
      </c>
      <c r="G659">
        <v>21.89</v>
      </c>
      <c r="H659" s="8" t="s">
        <v>1385</v>
      </c>
      <c r="I659">
        <v>211.1</v>
      </c>
      <c r="K659">
        <f t="shared" si="30"/>
        <v>21.85</v>
      </c>
      <c r="L659">
        <f t="shared" si="31"/>
        <v>0.2539</v>
      </c>
      <c r="M659">
        <f t="shared" si="32"/>
        <v>0</v>
      </c>
    </row>
    <row r="660" spans="1:13">
      <c r="A660">
        <v>21.957</v>
      </c>
      <c r="B660">
        <v>212.8</v>
      </c>
      <c r="C660">
        <v>20.62</v>
      </c>
      <c r="D660">
        <v>198.6</v>
      </c>
      <c r="G660">
        <v>21.924</v>
      </c>
      <c r="H660" s="8" t="s">
        <v>1381</v>
      </c>
      <c r="I660">
        <v>213.1</v>
      </c>
      <c r="K660">
        <f t="shared" si="30"/>
        <v>21.9</v>
      </c>
      <c r="L660">
        <f t="shared" si="31"/>
        <v>0.2496</v>
      </c>
      <c r="M660">
        <f t="shared" si="32"/>
        <v>0</v>
      </c>
    </row>
    <row r="661" spans="1:13">
      <c r="A661">
        <v>21.991</v>
      </c>
      <c r="B661">
        <v>210.9</v>
      </c>
      <c r="C661">
        <v>20.654</v>
      </c>
      <c r="D661">
        <v>199</v>
      </c>
      <c r="G661">
        <v>21.957</v>
      </c>
      <c r="H661" s="8" t="s">
        <v>1386</v>
      </c>
      <c r="I661">
        <v>212.8</v>
      </c>
      <c r="K661">
        <f t="shared" si="30"/>
        <v>21.95</v>
      </c>
      <c r="L661">
        <f t="shared" si="31"/>
        <v>0.2558</v>
      </c>
      <c r="M661">
        <f t="shared" si="32"/>
        <v>0</v>
      </c>
    </row>
    <row r="662" spans="1:13">
      <c r="A662">
        <v>22.024</v>
      </c>
      <c r="B662">
        <v>209.5</v>
      </c>
      <c r="C662">
        <v>20.687</v>
      </c>
      <c r="D662">
        <v>197.2</v>
      </c>
      <c r="G662">
        <v>21.991</v>
      </c>
      <c r="H662" s="8" t="s">
        <v>1387</v>
      </c>
      <c r="I662">
        <v>210.9</v>
      </c>
      <c r="K662">
        <f t="shared" si="30"/>
        <v>21.95</v>
      </c>
      <c r="L662">
        <f t="shared" si="31"/>
        <v>0.3276</v>
      </c>
      <c r="M662">
        <f t="shared" si="32"/>
        <v>0</v>
      </c>
    </row>
    <row r="663" spans="1:13">
      <c r="A663">
        <v>22.057</v>
      </c>
      <c r="B663">
        <v>208.7</v>
      </c>
      <c r="C663">
        <v>20.721</v>
      </c>
      <c r="D663">
        <v>196.7</v>
      </c>
      <c r="G663">
        <v>22.024</v>
      </c>
      <c r="H663" s="8" t="s">
        <v>820</v>
      </c>
      <c r="I663">
        <v>209.5</v>
      </c>
      <c r="K663">
        <f t="shared" si="30"/>
        <v>22</v>
      </c>
      <c r="L663">
        <f t="shared" si="31"/>
        <v>0.3757</v>
      </c>
      <c r="M663">
        <f t="shared" si="32"/>
        <v>0</v>
      </c>
    </row>
    <row r="664" spans="1:13">
      <c r="A664">
        <v>22.091</v>
      </c>
      <c r="B664">
        <v>206.6</v>
      </c>
      <c r="C664">
        <v>20.754</v>
      </c>
      <c r="D664">
        <v>194.8</v>
      </c>
      <c r="G664">
        <v>22.057</v>
      </c>
      <c r="H664" s="8" t="s">
        <v>1388</v>
      </c>
      <c r="I664">
        <v>208.7</v>
      </c>
      <c r="K664">
        <f t="shared" si="30"/>
        <v>22.05</v>
      </c>
      <c r="L664">
        <f t="shared" si="31"/>
        <v>0.3491</v>
      </c>
      <c r="M664">
        <f t="shared" si="32"/>
        <v>0</v>
      </c>
    </row>
    <row r="665" spans="1:13">
      <c r="A665">
        <v>22.124</v>
      </c>
      <c r="B665">
        <v>206.7</v>
      </c>
      <c r="C665">
        <v>20.787</v>
      </c>
      <c r="D665">
        <v>193.8</v>
      </c>
      <c r="G665">
        <v>22.091</v>
      </c>
      <c r="H665" s="8" t="s">
        <v>1389</v>
      </c>
      <c r="I665">
        <v>206.6</v>
      </c>
      <c r="K665">
        <f t="shared" si="30"/>
        <v>22.05</v>
      </c>
      <c r="L665">
        <f t="shared" si="31"/>
        <v>0.4816</v>
      </c>
      <c r="M665">
        <f t="shared" si="32"/>
        <v>0</v>
      </c>
    </row>
    <row r="666" spans="1:13">
      <c r="A666">
        <v>22.158</v>
      </c>
      <c r="B666">
        <v>203.8</v>
      </c>
      <c r="C666">
        <v>20.821</v>
      </c>
      <c r="D666">
        <v>193.3</v>
      </c>
      <c r="G666">
        <v>22.124</v>
      </c>
      <c r="H666" s="8" t="s">
        <v>1390</v>
      </c>
      <c r="I666">
        <v>206.7</v>
      </c>
      <c r="K666">
        <f t="shared" si="30"/>
        <v>22.1</v>
      </c>
      <c r="L666">
        <f t="shared" si="31"/>
        <v>0.4767</v>
      </c>
      <c r="M666">
        <f t="shared" si="32"/>
        <v>0</v>
      </c>
    </row>
    <row r="667" spans="1:13">
      <c r="A667">
        <v>22.191</v>
      </c>
      <c r="B667">
        <v>203.4</v>
      </c>
      <c r="C667">
        <v>20.854</v>
      </c>
      <c r="D667">
        <v>191.6</v>
      </c>
      <c r="G667">
        <v>22.158</v>
      </c>
      <c r="H667" s="8" t="s">
        <v>1391</v>
      </c>
      <c r="I667">
        <v>203.8</v>
      </c>
      <c r="K667">
        <f t="shared" si="30"/>
        <v>22.15</v>
      </c>
      <c r="L667">
        <f t="shared" si="31"/>
        <v>0.4883</v>
      </c>
      <c r="M667">
        <f t="shared" si="32"/>
        <v>0</v>
      </c>
    </row>
    <row r="668" spans="1:13">
      <c r="A668">
        <v>22.224</v>
      </c>
      <c r="B668">
        <v>201.9</v>
      </c>
      <c r="C668">
        <v>20.888</v>
      </c>
      <c r="D668">
        <v>190.8</v>
      </c>
      <c r="G668">
        <v>22.191</v>
      </c>
      <c r="H668" s="8" t="s">
        <v>1392</v>
      </c>
      <c r="I668">
        <v>203.4</v>
      </c>
      <c r="K668">
        <f t="shared" si="30"/>
        <v>22.15</v>
      </c>
      <c r="L668">
        <f t="shared" si="31"/>
        <v>0.4922</v>
      </c>
      <c r="M668">
        <f t="shared" si="32"/>
        <v>0</v>
      </c>
    </row>
    <row r="669" spans="1:13">
      <c r="A669">
        <v>22.258</v>
      </c>
      <c r="B669">
        <v>201.1</v>
      </c>
      <c r="C669">
        <v>20.921</v>
      </c>
      <c r="D669">
        <v>190.3</v>
      </c>
      <c r="G669">
        <v>22.224</v>
      </c>
      <c r="H669" s="8" t="s">
        <v>1393</v>
      </c>
      <c r="I669">
        <v>201.9</v>
      </c>
      <c r="K669">
        <f t="shared" si="30"/>
        <v>22.2</v>
      </c>
      <c r="L669">
        <f t="shared" si="31"/>
        <v>0.5165</v>
      </c>
      <c r="M669">
        <f t="shared" si="32"/>
        <v>0</v>
      </c>
    </row>
    <row r="670" spans="1:13">
      <c r="A670">
        <v>22.291</v>
      </c>
      <c r="B670">
        <v>199.8</v>
      </c>
      <c r="C670">
        <v>20.954</v>
      </c>
      <c r="D670">
        <v>189.1</v>
      </c>
      <c r="G670">
        <v>22.258</v>
      </c>
      <c r="H670" s="8" t="s">
        <v>1394</v>
      </c>
      <c r="I670">
        <v>201.1</v>
      </c>
      <c r="K670">
        <f t="shared" si="30"/>
        <v>22.25</v>
      </c>
      <c r="L670">
        <f t="shared" si="31"/>
        <v>0.5616</v>
      </c>
      <c r="M670">
        <f t="shared" si="32"/>
        <v>0</v>
      </c>
    </row>
    <row r="671" spans="1:13">
      <c r="A671">
        <v>22.325</v>
      </c>
      <c r="B671">
        <v>199.1</v>
      </c>
      <c r="C671">
        <v>20.988</v>
      </c>
      <c r="D671">
        <v>188.4</v>
      </c>
      <c r="G671">
        <v>22.291</v>
      </c>
      <c r="H671" s="8" t="s">
        <v>1395</v>
      </c>
      <c r="I671">
        <v>199.8</v>
      </c>
      <c r="K671">
        <f t="shared" si="30"/>
        <v>22.25</v>
      </c>
      <c r="L671">
        <f t="shared" si="31"/>
        <v>0.6321</v>
      </c>
      <c r="M671">
        <f t="shared" si="32"/>
        <v>0</v>
      </c>
    </row>
    <row r="672" spans="1:13">
      <c r="A672">
        <v>22.358</v>
      </c>
      <c r="B672">
        <v>197.6</v>
      </c>
      <c r="C672">
        <v>21.021</v>
      </c>
      <c r="D672">
        <v>238.3</v>
      </c>
      <c r="G672">
        <v>22.325</v>
      </c>
      <c r="H672" s="8" t="s">
        <v>1396</v>
      </c>
      <c r="I672">
        <v>199.1</v>
      </c>
      <c r="K672">
        <f t="shared" si="30"/>
        <v>22.3</v>
      </c>
      <c r="L672">
        <f t="shared" si="31"/>
        <v>0.6761</v>
      </c>
      <c r="M672">
        <f t="shared" si="32"/>
        <v>0</v>
      </c>
    </row>
    <row r="673" spans="1:13">
      <c r="A673">
        <v>22.392</v>
      </c>
      <c r="B673">
        <v>196.8</v>
      </c>
      <c r="C673">
        <v>21.055</v>
      </c>
      <c r="D673">
        <v>238.4</v>
      </c>
      <c r="G673">
        <v>22.358</v>
      </c>
      <c r="H673" s="8" t="s">
        <v>1397</v>
      </c>
      <c r="I673">
        <v>197.6</v>
      </c>
      <c r="K673">
        <f t="shared" si="30"/>
        <v>22.35</v>
      </c>
      <c r="L673">
        <f t="shared" si="31"/>
        <v>0.6521</v>
      </c>
      <c r="M673">
        <f t="shared" si="32"/>
        <v>0</v>
      </c>
    </row>
    <row r="674" spans="1:13">
      <c r="A674">
        <v>22.425</v>
      </c>
      <c r="B674">
        <v>196</v>
      </c>
      <c r="C674">
        <v>21.088</v>
      </c>
      <c r="D674">
        <v>238.4</v>
      </c>
      <c r="G674">
        <v>22.392</v>
      </c>
      <c r="H674" s="8" t="s">
        <v>1398</v>
      </c>
      <c r="I674">
        <v>196.8</v>
      </c>
      <c r="K674">
        <f t="shared" si="30"/>
        <v>22.35</v>
      </c>
      <c r="L674">
        <f t="shared" si="31"/>
        <v>0.7558</v>
      </c>
      <c r="M674">
        <f t="shared" si="32"/>
        <v>0</v>
      </c>
    </row>
    <row r="675" spans="1:13">
      <c r="A675">
        <v>22.458</v>
      </c>
      <c r="B675">
        <v>194.9</v>
      </c>
      <c r="C675">
        <v>21.122</v>
      </c>
      <c r="D675">
        <v>238.4</v>
      </c>
      <c r="G675">
        <v>22.425</v>
      </c>
      <c r="H675" s="8" t="s">
        <v>1399</v>
      </c>
      <c r="I675">
        <v>196</v>
      </c>
      <c r="K675">
        <f t="shared" si="30"/>
        <v>22.4</v>
      </c>
      <c r="L675">
        <f t="shared" si="31"/>
        <v>0.7514</v>
      </c>
      <c r="M675">
        <f t="shared" si="32"/>
        <v>0</v>
      </c>
    </row>
    <row r="676" spans="1:13">
      <c r="A676">
        <v>22.492</v>
      </c>
      <c r="B676">
        <v>193.2</v>
      </c>
      <c r="C676">
        <v>21.155</v>
      </c>
      <c r="D676">
        <v>238.4</v>
      </c>
      <c r="G676">
        <v>22.458</v>
      </c>
      <c r="H676" s="8" t="s">
        <v>1400</v>
      </c>
      <c r="I676">
        <v>194.9</v>
      </c>
      <c r="K676">
        <f t="shared" si="30"/>
        <v>22.45</v>
      </c>
      <c r="L676">
        <f t="shared" si="31"/>
        <v>0.7602</v>
      </c>
      <c r="M676">
        <f t="shared" si="32"/>
        <v>0</v>
      </c>
    </row>
    <row r="677" spans="1:13">
      <c r="A677">
        <v>22.525</v>
      </c>
      <c r="B677">
        <v>192.8</v>
      </c>
      <c r="C677">
        <v>21.188</v>
      </c>
      <c r="D677">
        <v>238.4</v>
      </c>
      <c r="G677">
        <v>22.492</v>
      </c>
      <c r="H677" s="8" t="s">
        <v>1401</v>
      </c>
      <c r="I677">
        <v>193.2</v>
      </c>
      <c r="K677">
        <f t="shared" si="30"/>
        <v>22.45</v>
      </c>
      <c r="L677">
        <f t="shared" si="31"/>
        <v>0.7523</v>
      </c>
      <c r="M677">
        <f t="shared" si="32"/>
        <v>0</v>
      </c>
    </row>
    <row r="678" spans="1:13">
      <c r="A678">
        <v>22.559</v>
      </c>
      <c r="B678">
        <v>191.8</v>
      </c>
      <c r="C678">
        <v>21.222</v>
      </c>
      <c r="D678">
        <v>238.4</v>
      </c>
      <c r="G678">
        <v>22.525</v>
      </c>
      <c r="H678" s="8" t="s">
        <v>1336</v>
      </c>
      <c r="I678">
        <v>192.8</v>
      </c>
      <c r="K678">
        <f t="shared" si="30"/>
        <v>22.5</v>
      </c>
      <c r="L678">
        <f t="shared" si="31"/>
        <v>0.7306</v>
      </c>
      <c r="M678">
        <f t="shared" si="32"/>
        <v>0</v>
      </c>
    </row>
    <row r="679" spans="1:13">
      <c r="A679">
        <v>22.592</v>
      </c>
      <c r="B679">
        <v>190.5</v>
      </c>
      <c r="C679">
        <v>21.255</v>
      </c>
      <c r="D679">
        <v>238.4</v>
      </c>
      <c r="G679">
        <v>22.559</v>
      </c>
      <c r="H679" s="8" t="s">
        <v>1402</v>
      </c>
      <c r="I679">
        <v>191.8</v>
      </c>
      <c r="K679">
        <f t="shared" si="30"/>
        <v>22.55</v>
      </c>
      <c r="L679">
        <f t="shared" si="31"/>
        <v>0.744</v>
      </c>
      <c r="M679">
        <f t="shared" si="32"/>
        <v>0</v>
      </c>
    </row>
    <row r="680" spans="1:13">
      <c r="A680">
        <v>22.625</v>
      </c>
      <c r="B680">
        <v>189.3</v>
      </c>
      <c r="C680">
        <v>21.289</v>
      </c>
      <c r="D680">
        <v>238.4</v>
      </c>
      <c r="G680">
        <v>22.592</v>
      </c>
      <c r="H680" s="8" t="s">
        <v>1403</v>
      </c>
      <c r="I680">
        <v>190.5</v>
      </c>
      <c r="K680">
        <f t="shared" si="30"/>
        <v>22.55</v>
      </c>
      <c r="L680">
        <f t="shared" si="31"/>
        <v>0.6843</v>
      </c>
      <c r="M680">
        <f t="shared" si="32"/>
        <v>0</v>
      </c>
    </row>
    <row r="681" spans="1:13">
      <c r="A681">
        <v>22.659</v>
      </c>
      <c r="B681">
        <v>238.4</v>
      </c>
      <c r="C681">
        <v>21.322</v>
      </c>
      <c r="D681">
        <v>238.4</v>
      </c>
      <c r="G681">
        <v>22.625</v>
      </c>
      <c r="H681" s="8" t="s">
        <v>1404</v>
      </c>
      <c r="I681">
        <v>189.3</v>
      </c>
      <c r="K681">
        <f t="shared" si="30"/>
        <v>22.6</v>
      </c>
      <c r="L681">
        <f t="shared" si="31"/>
        <v>0.6104</v>
      </c>
      <c r="M681">
        <f t="shared" si="32"/>
        <v>0</v>
      </c>
    </row>
    <row r="682" spans="1:13">
      <c r="A682">
        <v>22.692</v>
      </c>
      <c r="B682">
        <v>238.4</v>
      </c>
      <c r="C682">
        <v>21.356</v>
      </c>
      <c r="D682">
        <v>238.4</v>
      </c>
      <c r="G682">
        <v>22.659</v>
      </c>
      <c r="H682" s="8" t="s">
        <v>1405</v>
      </c>
      <c r="I682">
        <v>238.4</v>
      </c>
      <c r="K682">
        <f t="shared" si="30"/>
        <v>22.65</v>
      </c>
      <c r="L682">
        <f t="shared" si="31"/>
        <v>0.6055</v>
      </c>
      <c r="M682">
        <f t="shared" si="32"/>
        <v>5</v>
      </c>
    </row>
    <row r="683" spans="1:13">
      <c r="A683">
        <v>22.726</v>
      </c>
      <c r="B683">
        <v>238.4</v>
      </c>
      <c r="C683">
        <v>21.389</v>
      </c>
      <c r="D683">
        <v>238.4</v>
      </c>
      <c r="G683">
        <v>22.692</v>
      </c>
      <c r="H683" s="8" t="s">
        <v>1406</v>
      </c>
      <c r="I683">
        <v>238.4</v>
      </c>
      <c r="K683">
        <f t="shared" si="30"/>
        <v>22.65</v>
      </c>
      <c r="L683">
        <f t="shared" si="31"/>
        <v>0.6076</v>
      </c>
      <c r="M683">
        <f t="shared" si="32"/>
        <v>5</v>
      </c>
    </row>
    <row r="684" spans="1:13">
      <c r="A684">
        <v>22.759</v>
      </c>
      <c r="B684">
        <v>238.4</v>
      </c>
      <c r="C684">
        <v>21.422</v>
      </c>
      <c r="D684">
        <v>238.4</v>
      </c>
      <c r="G684">
        <v>22.726</v>
      </c>
      <c r="H684" s="8" t="s">
        <v>1407</v>
      </c>
      <c r="I684">
        <v>238.4</v>
      </c>
      <c r="K684">
        <f t="shared" si="30"/>
        <v>22.7</v>
      </c>
      <c r="L684">
        <f t="shared" si="31"/>
        <v>0.5367</v>
      </c>
      <c r="M684">
        <f t="shared" si="32"/>
        <v>5</v>
      </c>
    </row>
    <row r="685" spans="1:13">
      <c r="A685">
        <v>22.793</v>
      </c>
      <c r="B685">
        <v>238.4</v>
      </c>
      <c r="C685">
        <v>21.456</v>
      </c>
      <c r="D685">
        <v>238.4</v>
      </c>
      <c r="G685">
        <v>22.759</v>
      </c>
      <c r="H685" s="8" t="s">
        <v>1408</v>
      </c>
      <c r="I685">
        <v>238.4</v>
      </c>
      <c r="K685">
        <f t="shared" si="30"/>
        <v>22.75</v>
      </c>
      <c r="L685">
        <f t="shared" si="31"/>
        <v>0.5009</v>
      </c>
      <c r="M685">
        <f t="shared" si="32"/>
        <v>5</v>
      </c>
    </row>
    <row r="686" spans="1:13">
      <c r="A686">
        <v>22.826</v>
      </c>
      <c r="B686">
        <v>238.4</v>
      </c>
      <c r="C686">
        <v>21.489</v>
      </c>
      <c r="D686">
        <v>238.4</v>
      </c>
      <c r="G686">
        <v>22.793</v>
      </c>
      <c r="H686" s="8" t="s">
        <v>1409</v>
      </c>
      <c r="I686">
        <v>238.4</v>
      </c>
      <c r="K686">
        <f t="shared" si="30"/>
        <v>22.75</v>
      </c>
      <c r="L686">
        <f t="shared" si="31"/>
        <v>0.4963</v>
      </c>
      <c r="M686">
        <f t="shared" si="32"/>
        <v>5</v>
      </c>
    </row>
    <row r="687" spans="1:13">
      <c r="A687">
        <v>22.859</v>
      </c>
      <c r="B687">
        <v>238.4</v>
      </c>
      <c r="C687">
        <v>21.523</v>
      </c>
      <c r="D687">
        <v>238.4</v>
      </c>
      <c r="G687">
        <v>22.826</v>
      </c>
      <c r="H687" s="8" t="s">
        <v>1410</v>
      </c>
      <c r="I687">
        <v>238.4</v>
      </c>
      <c r="K687">
        <f t="shared" si="30"/>
        <v>22.8</v>
      </c>
      <c r="L687">
        <f t="shared" si="31"/>
        <v>0.4679</v>
      </c>
      <c r="M687">
        <f t="shared" si="32"/>
        <v>5</v>
      </c>
    </row>
    <row r="688" spans="1:13">
      <c r="A688">
        <v>22.893</v>
      </c>
      <c r="B688">
        <v>238.4</v>
      </c>
      <c r="C688">
        <v>21.556</v>
      </c>
      <c r="D688">
        <v>238.4</v>
      </c>
      <c r="G688">
        <v>22.859</v>
      </c>
      <c r="H688" s="8" t="s">
        <v>1324</v>
      </c>
      <c r="I688">
        <v>238.4</v>
      </c>
      <c r="K688">
        <f t="shared" si="30"/>
        <v>22.85</v>
      </c>
      <c r="L688">
        <f t="shared" si="31"/>
        <v>0.4917</v>
      </c>
      <c r="M688">
        <f t="shared" si="32"/>
        <v>5</v>
      </c>
    </row>
    <row r="689" spans="1:13">
      <c r="A689">
        <v>22.926</v>
      </c>
      <c r="B689">
        <v>238.4</v>
      </c>
      <c r="C689">
        <v>21.589</v>
      </c>
      <c r="D689">
        <v>238.4</v>
      </c>
      <c r="G689">
        <v>22.893</v>
      </c>
      <c r="H689" s="8" t="s">
        <v>1411</v>
      </c>
      <c r="I689">
        <v>238.4</v>
      </c>
      <c r="K689">
        <f t="shared" si="30"/>
        <v>22.85</v>
      </c>
      <c r="L689">
        <f t="shared" si="31"/>
        <v>0.3763</v>
      </c>
      <c r="M689">
        <f t="shared" si="32"/>
        <v>5</v>
      </c>
    </row>
    <row r="690" spans="1:13">
      <c r="A690">
        <v>22.96</v>
      </c>
      <c r="B690">
        <v>238.4</v>
      </c>
      <c r="C690">
        <v>21.623</v>
      </c>
      <c r="D690">
        <v>238.4</v>
      </c>
      <c r="G690">
        <v>22.926</v>
      </c>
      <c r="H690" s="8" t="s">
        <v>1412</v>
      </c>
      <c r="I690">
        <v>238.4</v>
      </c>
      <c r="K690">
        <f t="shared" si="30"/>
        <v>22.9</v>
      </c>
      <c r="L690">
        <f t="shared" si="31"/>
        <v>0.3517</v>
      </c>
      <c r="M690">
        <f t="shared" si="32"/>
        <v>5</v>
      </c>
    </row>
    <row r="691" spans="1:13">
      <c r="A691">
        <v>22.993</v>
      </c>
      <c r="B691">
        <v>238.4</v>
      </c>
      <c r="C691">
        <v>21.656</v>
      </c>
      <c r="D691">
        <v>238.4</v>
      </c>
      <c r="G691">
        <v>22.96</v>
      </c>
      <c r="H691" s="8" t="s">
        <v>1413</v>
      </c>
      <c r="I691">
        <v>238.4</v>
      </c>
      <c r="K691">
        <f t="shared" si="30"/>
        <v>22.95</v>
      </c>
      <c r="L691">
        <f t="shared" si="31"/>
        <v>0.3908</v>
      </c>
      <c r="M691">
        <f t="shared" si="32"/>
        <v>5</v>
      </c>
    </row>
    <row r="692" spans="1:13">
      <c r="A692">
        <v>23.027</v>
      </c>
      <c r="B692">
        <v>238.4</v>
      </c>
      <c r="C692">
        <v>21.69</v>
      </c>
      <c r="D692">
        <v>238.4</v>
      </c>
      <c r="G692">
        <v>22.993</v>
      </c>
      <c r="H692" s="8" t="s">
        <v>1414</v>
      </c>
      <c r="I692">
        <v>238.4</v>
      </c>
      <c r="K692">
        <f t="shared" si="30"/>
        <v>22.95</v>
      </c>
      <c r="L692">
        <f t="shared" si="31"/>
        <v>0.2978</v>
      </c>
      <c r="M692">
        <f t="shared" si="32"/>
        <v>5</v>
      </c>
    </row>
    <row r="693" spans="1:13">
      <c r="A693">
        <v>23.06</v>
      </c>
      <c r="B693">
        <v>238.4</v>
      </c>
      <c r="C693">
        <v>21.723</v>
      </c>
      <c r="D693">
        <v>238.4</v>
      </c>
      <c r="G693">
        <v>23.027</v>
      </c>
      <c r="H693" s="8" t="s">
        <v>1415</v>
      </c>
      <c r="I693">
        <v>238.4</v>
      </c>
      <c r="K693">
        <f t="shared" si="30"/>
        <v>23</v>
      </c>
      <c r="L693">
        <f t="shared" si="31"/>
        <v>0.2561</v>
      </c>
      <c r="M693">
        <f t="shared" si="32"/>
        <v>5</v>
      </c>
    </row>
    <row r="694" spans="1:13">
      <c r="A694">
        <v>23.093</v>
      </c>
      <c r="B694">
        <v>238.4</v>
      </c>
      <c r="C694">
        <v>21.757</v>
      </c>
      <c r="D694">
        <v>238.4</v>
      </c>
      <c r="G694">
        <v>23.06</v>
      </c>
      <c r="H694" s="8" t="s">
        <v>1416</v>
      </c>
      <c r="I694">
        <v>238.4</v>
      </c>
      <c r="K694">
        <f t="shared" si="30"/>
        <v>23.05</v>
      </c>
      <c r="L694">
        <f t="shared" si="31"/>
        <v>0.252</v>
      </c>
      <c r="M694">
        <f t="shared" si="32"/>
        <v>5</v>
      </c>
    </row>
    <row r="695" spans="1:13">
      <c r="A695">
        <v>23.127</v>
      </c>
      <c r="B695">
        <v>238.4</v>
      </c>
      <c r="C695">
        <v>21.79</v>
      </c>
      <c r="D695">
        <v>238.4</v>
      </c>
      <c r="G695">
        <v>23.093</v>
      </c>
      <c r="H695" s="8" t="s">
        <v>1417</v>
      </c>
      <c r="I695">
        <v>238.4</v>
      </c>
      <c r="K695">
        <f t="shared" si="30"/>
        <v>23.05</v>
      </c>
      <c r="L695">
        <f t="shared" si="31"/>
        <v>0.2442</v>
      </c>
      <c r="M695">
        <f t="shared" si="32"/>
        <v>5</v>
      </c>
    </row>
    <row r="696" spans="1:13">
      <c r="A696">
        <v>23.16</v>
      </c>
      <c r="B696">
        <v>238.4</v>
      </c>
      <c r="C696">
        <v>21.823</v>
      </c>
      <c r="D696">
        <v>238.4</v>
      </c>
      <c r="G696">
        <v>23.127</v>
      </c>
      <c r="H696" s="8" t="s">
        <v>1382</v>
      </c>
      <c r="I696">
        <v>238.4</v>
      </c>
      <c r="K696">
        <f t="shared" si="30"/>
        <v>23.1</v>
      </c>
      <c r="L696">
        <f t="shared" si="31"/>
        <v>0.2422</v>
      </c>
      <c r="M696">
        <f t="shared" si="32"/>
        <v>5</v>
      </c>
    </row>
    <row r="697" spans="1:13">
      <c r="A697">
        <v>23.194</v>
      </c>
      <c r="B697">
        <v>238.4</v>
      </c>
      <c r="C697">
        <v>21.857</v>
      </c>
      <c r="D697">
        <v>228.7</v>
      </c>
      <c r="G697">
        <v>23.16</v>
      </c>
      <c r="H697" s="8" t="s">
        <v>1418</v>
      </c>
      <c r="I697">
        <v>238.4</v>
      </c>
      <c r="K697">
        <f t="shared" si="30"/>
        <v>23.15</v>
      </c>
      <c r="L697">
        <f t="shared" si="31"/>
        <v>0.2418</v>
      </c>
      <c r="M697">
        <f t="shared" si="32"/>
        <v>5</v>
      </c>
    </row>
    <row r="698" spans="1:13">
      <c r="A698">
        <v>23.227</v>
      </c>
      <c r="B698">
        <v>238.4</v>
      </c>
      <c r="C698">
        <v>21.89</v>
      </c>
      <c r="D698">
        <v>211.1</v>
      </c>
      <c r="G698">
        <v>23.194</v>
      </c>
      <c r="H698" s="8" t="s">
        <v>1419</v>
      </c>
      <c r="I698">
        <v>238.4</v>
      </c>
      <c r="K698">
        <f t="shared" si="30"/>
        <v>23.15</v>
      </c>
      <c r="L698">
        <f t="shared" si="31"/>
        <v>0.2412</v>
      </c>
      <c r="M698">
        <f t="shared" si="32"/>
        <v>5</v>
      </c>
    </row>
    <row r="699" spans="1:13">
      <c r="A699">
        <v>23.26</v>
      </c>
      <c r="B699">
        <v>238.4</v>
      </c>
      <c r="C699">
        <v>21.924</v>
      </c>
      <c r="D699">
        <v>213.1</v>
      </c>
      <c r="G699">
        <v>23.227</v>
      </c>
      <c r="H699" s="8" t="s">
        <v>1420</v>
      </c>
      <c r="I699">
        <v>238.4</v>
      </c>
      <c r="K699">
        <f t="shared" si="30"/>
        <v>23.2</v>
      </c>
      <c r="L699">
        <f t="shared" si="31"/>
        <v>0.2435</v>
      </c>
      <c r="M699">
        <f t="shared" si="32"/>
        <v>5</v>
      </c>
    </row>
    <row r="700" spans="1:13">
      <c r="A700">
        <v>23.294</v>
      </c>
      <c r="B700">
        <v>238.4</v>
      </c>
      <c r="C700">
        <v>21.957</v>
      </c>
      <c r="D700">
        <v>212.8</v>
      </c>
      <c r="G700">
        <v>23.26</v>
      </c>
      <c r="H700" s="8" t="s">
        <v>1421</v>
      </c>
      <c r="I700">
        <v>238.4</v>
      </c>
      <c r="K700">
        <f t="shared" si="30"/>
        <v>23.25</v>
      </c>
      <c r="L700">
        <f t="shared" si="31"/>
        <v>0.2672</v>
      </c>
      <c r="M700">
        <f t="shared" si="32"/>
        <v>5</v>
      </c>
    </row>
    <row r="701" spans="1:13">
      <c r="A701">
        <v>23.327</v>
      </c>
      <c r="B701">
        <v>238.4</v>
      </c>
      <c r="C701">
        <v>21.991</v>
      </c>
      <c r="D701">
        <v>210.9</v>
      </c>
      <c r="G701">
        <v>23.294</v>
      </c>
      <c r="H701" s="8" t="s">
        <v>1422</v>
      </c>
      <c r="I701">
        <v>238.4</v>
      </c>
      <c r="K701">
        <f t="shared" si="30"/>
        <v>23.25</v>
      </c>
      <c r="L701">
        <f t="shared" si="31"/>
        <v>0.2464</v>
      </c>
      <c r="M701">
        <f t="shared" si="32"/>
        <v>5</v>
      </c>
    </row>
    <row r="702" spans="1:13">
      <c r="A702">
        <v>23.361</v>
      </c>
      <c r="B702">
        <v>238.4</v>
      </c>
      <c r="C702">
        <v>22.024</v>
      </c>
      <c r="D702">
        <v>209.5</v>
      </c>
      <c r="G702">
        <v>23.327</v>
      </c>
      <c r="H702" s="8" t="s">
        <v>1423</v>
      </c>
      <c r="I702">
        <v>238.4</v>
      </c>
      <c r="K702">
        <f t="shared" si="30"/>
        <v>23.3</v>
      </c>
      <c r="L702">
        <f t="shared" si="31"/>
        <v>0.2403</v>
      </c>
      <c r="M702">
        <f t="shared" si="32"/>
        <v>5</v>
      </c>
    </row>
    <row r="703" spans="1:13">
      <c r="A703">
        <v>23.394</v>
      </c>
      <c r="B703">
        <v>238.4</v>
      </c>
      <c r="C703">
        <v>22.057</v>
      </c>
      <c r="D703">
        <v>208.7</v>
      </c>
      <c r="G703">
        <v>23.361</v>
      </c>
      <c r="H703" s="8" t="s">
        <v>1424</v>
      </c>
      <c r="I703">
        <v>238.4</v>
      </c>
      <c r="K703">
        <f t="shared" si="30"/>
        <v>23.35</v>
      </c>
      <c r="L703">
        <f t="shared" si="31"/>
        <v>0.2468</v>
      </c>
      <c r="M703">
        <f t="shared" si="32"/>
        <v>5</v>
      </c>
    </row>
    <row r="704" spans="1:13">
      <c r="A704">
        <v>23.428</v>
      </c>
      <c r="B704">
        <v>238.4</v>
      </c>
      <c r="C704">
        <v>22.091</v>
      </c>
      <c r="D704">
        <v>206.6</v>
      </c>
      <c r="G704">
        <v>23.394</v>
      </c>
      <c r="H704" s="8" t="s">
        <v>1425</v>
      </c>
      <c r="I704">
        <v>238.4</v>
      </c>
      <c r="K704">
        <f t="shared" si="30"/>
        <v>23.35</v>
      </c>
      <c r="L704">
        <f t="shared" si="31"/>
        <v>0.2667</v>
      </c>
      <c r="M704">
        <f t="shared" si="32"/>
        <v>5</v>
      </c>
    </row>
    <row r="705" spans="1:13">
      <c r="A705">
        <v>23.461</v>
      </c>
      <c r="B705">
        <v>238.4</v>
      </c>
      <c r="C705">
        <v>22.124</v>
      </c>
      <c r="D705">
        <v>206.7</v>
      </c>
      <c r="G705">
        <v>23.428</v>
      </c>
      <c r="H705" s="8" t="s">
        <v>1426</v>
      </c>
      <c r="I705">
        <v>238.4</v>
      </c>
      <c r="K705">
        <f t="shared" si="30"/>
        <v>23.4</v>
      </c>
      <c r="L705">
        <f t="shared" si="31"/>
        <v>0.3815</v>
      </c>
      <c r="M705">
        <f t="shared" si="32"/>
        <v>5</v>
      </c>
    </row>
    <row r="706" spans="1:13">
      <c r="A706">
        <v>23.494</v>
      </c>
      <c r="B706">
        <v>211.9</v>
      </c>
      <c r="C706">
        <v>22.158</v>
      </c>
      <c r="D706">
        <v>203.8</v>
      </c>
      <c r="G706">
        <v>23.461</v>
      </c>
      <c r="H706" s="8" t="s">
        <v>1427</v>
      </c>
      <c r="I706">
        <v>238.4</v>
      </c>
      <c r="K706">
        <f t="shared" si="30"/>
        <v>23.45</v>
      </c>
      <c r="L706">
        <f t="shared" si="31"/>
        <v>0.3834</v>
      </c>
      <c r="M706">
        <f t="shared" si="32"/>
        <v>5</v>
      </c>
    </row>
    <row r="707" spans="1:13">
      <c r="A707">
        <v>23.528</v>
      </c>
      <c r="B707">
        <v>217.5</v>
      </c>
      <c r="C707">
        <v>22.191</v>
      </c>
      <c r="D707">
        <v>203.4</v>
      </c>
      <c r="G707">
        <v>23.494</v>
      </c>
      <c r="H707" s="8" t="s">
        <v>1428</v>
      </c>
      <c r="I707">
        <v>211.9</v>
      </c>
      <c r="K707">
        <f t="shared" si="30"/>
        <v>23.45</v>
      </c>
      <c r="L707">
        <f t="shared" si="31"/>
        <v>0.3541</v>
      </c>
      <c r="M707">
        <f t="shared" si="32"/>
        <v>0</v>
      </c>
    </row>
    <row r="708" spans="1:13">
      <c r="A708">
        <v>23.561</v>
      </c>
      <c r="B708">
        <v>215.9</v>
      </c>
      <c r="C708">
        <v>22.224</v>
      </c>
      <c r="D708">
        <v>201.9</v>
      </c>
      <c r="G708">
        <v>23.528</v>
      </c>
      <c r="H708" s="8" t="s">
        <v>1429</v>
      </c>
      <c r="I708">
        <v>217.5</v>
      </c>
      <c r="K708">
        <f t="shared" ref="K708:K771" si="33">FLOOR(G708,0.05)</f>
        <v>23.5</v>
      </c>
      <c r="L708">
        <f t="shared" si="31"/>
        <v>0.4886</v>
      </c>
      <c r="M708">
        <f t="shared" si="32"/>
        <v>0</v>
      </c>
    </row>
    <row r="709" spans="1:13">
      <c r="A709">
        <v>23.595</v>
      </c>
      <c r="B709">
        <v>214.2</v>
      </c>
      <c r="C709">
        <v>22.258</v>
      </c>
      <c r="D709">
        <v>201.1</v>
      </c>
      <c r="G709">
        <v>23.561</v>
      </c>
      <c r="H709" s="8" t="s">
        <v>1346</v>
      </c>
      <c r="I709">
        <v>215.9</v>
      </c>
      <c r="K709">
        <f t="shared" si="33"/>
        <v>23.55</v>
      </c>
      <c r="L709">
        <f t="shared" ref="L709:L772" si="34">H709*100</f>
        <v>0.4956</v>
      </c>
      <c r="M709">
        <f t="shared" ref="M709:M772" si="35">IF(I709&lt;230,0,5)</f>
        <v>0</v>
      </c>
    </row>
    <row r="710" spans="1:13">
      <c r="A710">
        <v>23.628</v>
      </c>
      <c r="B710">
        <v>212.5</v>
      </c>
      <c r="C710">
        <v>22.291</v>
      </c>
      <c r="D710">
        <v>199.8</v>
      </c>
      <c r="G710">
        <v>23.595</v>
      </c>
      <c r="H710" s="8" t="s">
        <v>1430</v>
      </c>
      <c r="I710">
        <v>214.2</v>
      </c>
      <c r="K710">
        <f t="shared" si="33"/>
        <v>23.55</v>
      </c>
      <c r="L710">
        <f t="shared" si="34"/>
        <v>0.4979</v>
      </c>
      <c r="M710">
        <f t="shared" si="35"/>
        <v>0</v>
      </c>
    </row>
    <row r="711" spans="1:13">
      <c r="A711">
        <v>23.662</v>
      </c>
      <c r="B711">
        <v>210.4</v>
      </c>
      <c r="C711">
        <v>22.325</v>
      </c>
      <c r="D711">
        <v>199.1</v>
      </c>
      <c r="G711">
        <v>23.628</v>
      </c>
      <c r="H711" s="8" t="s">
        <v>1431</v>
      </c>
      <c r="I711">
        <v>212.5</v>
      </c>
      <c r="K711">
        <f t="shared" si="33"/>
        <v>23.6</v>
      </c>
      <c r="L711">
        <f t="shared" si="34"/>
        <v>0.5019</v>
      </c>
      <c r="M711">
        <f t="shared" si="35"/>
        <v>0</v>
      </c>
    </row>
    <row r="712" spans="1:13">
      <c r="A712">
        <v>23.695</v>
      </c>
      <c r="B712">
        <v>209.9</v>
      </c>
      <c r="C712">
        <v>22.358</v>
      </c>
      <c r="D712">
        <v>197.6</v>
      </c>
      <c r="G712">
        <v>23.662</v>
      </c>
      <c r="H712" s="8" t="s">
        <v>1432</v>
      </c>
      <c r="I712">
        <v>210.4</v>
      </c>
      <c r="K712">
        <f t="shared" si="33"/>
        <v>23.65</v>
      </c>
      <c r="L712">
        <f t="shared" si="34"/>
        <v>0.6173</v>
      </c>
      <c r="M712">
        <f t="shared" si="35"/>
        <v>0</v>
      </c>
    </row>
    <row r="713" spans="1:13">
      <c r="A713">
        <v>23.728</v>
      </c>
      <c r="B713">
        <v>208.5</v>
      </c>
      <c r="C713">
        <v>22.392</v>
      </c>
      <c r="D713">
        <v>196.8</v>
      </c>
      <c r="G713">
        <v>23.695</v>
      </c>
      <c r="H713" s="8" t="s">
        <v>1361</v>
      </c>
      <c r="I713">
        <v>209.9</v>
      </c>
      <c r="K713">
        <f t="shared" si="33"/>
        <v>23.65</v>
      </c>
      <c r="L713">
        <f t="shared" si="34"/>
        <v>0.6354</v>
      </c>
      <c r="M713">
        <f t="shared" si="35"/>
        <v>0</v>
      </c>
    </row>
    <row r="714" spans="1:13">
      <c r="A714">
        <v>23.762</v>
      </c>
      <c r="B714">
        <v>208.1</v>
      </c>
      <c r="C714">
        <v>22.425</v>
      </c>
      <c r="D714">
        <v>196</v>
      </c>
      <c r="G714">
        <v>23.728</v>
      </c>
      <c r="H714" s="8" t="s">
        <v>1433</v>
      </c>
      <c r="I714">
        <v>208.5</v>
      </c>
      <c r="K714">
        <f t="shared" si="33"/>
        <v>23.7</v>
      </c>
      <c r="L714">
        <f t="shared" si="34"/>
        <v>0.6869</v>
      </c>
      <c r="M714">
        <f t="shared" si="35"/>
        <v>0</v>
      </c>
    </row>
    <row r="715" spans="1:13">
      <c r="A715">
        <v>23.795</v>
      </c>
      <c r="B715">
        <v>205.5</v>
      </c>
      <c r="C715">
        <v>22.458</v>
      </c>
      <c r="D715">
        <v>194.9</v>
      </c>
      <c r="G715">
        <v>23.762</v>
      </c>
      <c r="H715" s="8" t="s">
        <v>1434</v>
      </c>
      <c r="I715">
        <v>208.1</v>
      </c>
      <c r="K715">
        <f t="shared" si="33"/>
        <v>23.75</v>
      </c>
      <c r="L715">
        <f t="shared" si="34"/>
        <v>0.6911</v>
      </c>
      <c r="M715">
        <f t="shared" si="35"/>
        <v>0</v>
      </c>
    </row>
    <row r="716" spans="1:13">
      <c r="A716">
        <v>23.829</v>
      </c>
      <c r="B716">
        <v>204.6</v>
      </c>
      <c r="C716">
        <v>22.492</v>
      </c>
      <c r="D716">
        <v>193.2</v>
      </c>
      <c r="G716">
        <v>23.795</v>
      </c>
      <c r="H716" s="8" t="s">
        <v>1435</v>
      </c>
      <c r="I716">
        <v>205.5</v>
      </c>
      <c r="K716">
        <f t="shared" si="33"/>
        <v>23.75</v>
      </c>
      <c r="L716">
        <f t="shared" si="34"/>
        <v>0.7014</v>
      </c>
      <c r="M716">
        <f t="shared" si="35"/>
        <v>0</v>
      </c>
    </row>
    <row r="717" spans="1:13">
      <c r="A717">
        <v>23.862</v>
      </c>
      <c r="B717">
        <v>202.9</v>
      </c>
      <c r="C717">
        <v>22.525</v>
      </c>
      <c r="D717">
        <v>192.8</v>
      </c>
      <c r="G717">
        <v>23.829</v>
      </c>
      <c r="H717" s="8" t="s">
        <v>1436</v>
      </c>
      <c r="I717">
        <v>204.6</v>
      </c>
      <c r="K717">
        <f t="shared" si="33"/>
        <v>23.8</v>
      </c>
      <c r="L717">
        <f t="shared" si="34"/>
        <v>0.75</v>
      </c>
      <c r="M717">
        <f t="shared" si="35"/>
        <v>0</v>
      </c>
    </row>
    <row r="718" spans="1:13">
      <c r="A718">
        <v>23.895</v>
      </c>
      <c r="B718">
        <v>202.2</v>
      </c>
      <c r="C718">
        <v>22.559</v>
      </c>
      <c r="D718">
        <v>191.8</v>
      </c>
      <c r="G718">
        <v>23.862</v>
      </c>
      <c r="H718" s="8" t="s">
        <v>1437</v>
      </c>
      <c r="I718">
        <v>202.9</v>
      </c>
      <c r="K718">
        <f t="shared" si="33"/>
        <v>23.85</v>
      </c>
      <c r="L718">
        <f t="shared" si="34"/>
        <v>0.7416</v>
      </c>
      <c r="M718">
        <f t="shared" si="35"/>
        <v>0</v>
      </c>
    </row>
    <row r="719" spans="1:13">
      <c r="A719">
        <v>23.929</v>
      </c>
      <c r="B719">
        <v>200.8</v>
      </c>
      <c r="C719">
        <v>22.592</v>
      </c>
      <c r="D719">
        <v>190.5</v>
      </c>
      <c r="G719">
        <v>23.895</v>
      </c>
      <c r="H719" s="8" t="s">
        <v>1438</v>
      </c>
      <c r="I719">
        <v>202.2</v>
      </c>
      <c r="K719">
        <f t="shared" si="33"/>
        <v>23.85</v>
      </c>
      <c r="L719">
        <f t="shared" si="34"/>
        <v>0.7526</v>
      </c>
      <c r="M719">
        <f t="shared" si="35"/>
        <v>0</v>
      </c>
    </row>
    <row r="720" spans="1:13">
      <c r="A720">
        <v>23.962</v>
      </c>
      <c r="B720">
        <v>199.8</v>
      </c>
      <c r="C720">
        <v>22.625</v>
      </c>
      <c r="D720">
        <v>189.3</v>
      </c>
      <c r="G720">
        <v>23.929</v>
      </c>
      <c r="H720" s="8" t="s">
        <v>1439</v>
      </c>
      <c r="I720">
        <v>200.8</v>
      </c>
      <c r="K720">
        <f t="shared" si="33"/>
        <v>23.9</v>
      </c>
      <c r="L720">
        <f t="shared" si="34"/>
        <v>0.7463</v>
      </c>
      <c r="M720">
        <f t="shared" si="35"/>
        <v>0</v>
      </c>
    </row>
    <row r="721" spans="1:13">
      <c r="A721">
        <v>23.996</v>
      </c>
      <c r="B721">
        <v>199</v>
      </c>
      <c r="C721">
        <v>22.659</v>
      </c>
      <c r="D721">
        <v>238.4</v>
      </c>
      <c r="G721">
        <v>23.962</v>
      </c>
      <c r="H721" s="8" t="s">
        <v>1440</v>
      </c>
      <c r="I721">
        <v>199.8</v>
      </c>
      <c r="K721">
        <f t="shared" si="33"/>
        <v>23.95</v>
      </c>
      <c r="L721">
        <f t="shared" si="34"/>
        <v>0.7595</v>
      </c>
      <c r="M721">
        <f t="shared" si="35"/>
        <v>0</v>
      </c>
    </row>
    <row r="722" spans="1:13">
      <c r="A722">
        <v>24.029</v>
      </c>
      <c r="B722">
        <v>196.9</v>
      </c>
      <c r="C722">
        <v>22.692</v>
      </c>
      <c r="D722">
        <v>238.4</v>
      </c>
      <c r="G722">
        <v>23.996</v>
      </c>
      <c r="H722" s="8" t="s">
        <v>1441</v>
      </c>
      <c r="I722">
        <v>199</v>
      </c>
      <c r="K722">
        <f t="shared" si="33"/>
        <v>23.95</v>
      </c>
      <c r="L722">
        <f t="shared" si="34"/>
        <v>0.757</v>
      </c>
      <c r="M722">
        <f t="shared" si="35"/>
        <v>0</v>
      </c>
    </row>
    <row r="723" spans="1:13">
      <c r="A723">
        <v>24.063</v>
      </c>
      <c r="B723">
        <v>197</v>
      </c>
      <c r="C723">
        <v>22.726</v>
      </c>
      <c r="D723">
        <v>238.4</v>
      </c>
      <c r="G723">
        <v>24.029</v>
      </c>
      <c r="H723" s="8" t="s">
        <v>1442</v>
      </c>
      <c r="I723">
        <v>196.9</v>
      </c>
      <c r="K723">
        <f t="shared" si="33"/>
        <v>24</v>
      </c>
      <c r="L723">
        <f t="shared" si="34"/>
        <v>0.703</v>
      </c>
      <c r="M723">
        <f t="shared" si="35"/>
        <v>0</v>
      </c>
    </row>
    <row r="724" spans="1:13">
      <c r="A724">
        <v>24.096</v>
      </c>
      <c r="B724">
        <v>195.5</v>
      </c>
      <c r="C724">
        <v>22.759</v>
      </c>
      <c r="D724">
        <v>238.4</v>
      </c>
      <c r="G724">
        <v>24.063</v>
      </c>
      <c r="H724" s="8" t="s">
        <v>1443</v>
      </c>
      <c r="I724">
        <v>197</v>
      </c>
      <c r="K724">
        <f t="shared" si="33"/>
        <v>24.05</v>
      </c>
      <c r="L724">
        <f t="shared" si="34"/>
        <v>0.601</v>
      </c>
      <c r="M724">
        <f t="shared" si="35"/>
        <v>0</v>
      </c>
    </row>
    <row r="725" spans="1:13">
      <c r="A725">
        <v>24.129</v>
      </c>
      <c r="B725">
        <v>194</v>
      </c>
      <c r="C725">
        <v>22.793</v>
      </c>
      <c r="D725">
        <v>238.4</v>
      </c>
      <c r="G725">
        <v>24.096</v>
      </c>
      <c r="H725" s="8" t="s">
        <v>100</v>
      </c>
      <c r="I725">
        <v>195.5</v>
      </c>
      <c r="K725">
        <f t="shared" si="33"/>
        <v>24.05</v>
      </c>
      <c r="L725">
        <f t="shared" si="34"/>
        <v>0.5749</v>
      </c>
      <c r="M725">
        <f t="shared" si="35"/>
        <v>0</v>
      </c>
    </row>
    <row r="726" spans="1:13">
      <c r="A726">
        <v>24.163</v>
      </c>
      <c r="B726">
        <v>193.3</v>
      </c>
      <c r="C726">
        <v>22.826</v>
      </c>
      <c r="D726">
        <v>238.4</v>
      </c>
      <c r="G726">
        <v>24.129</v>
      </c>
      <c r="H726" s="8" t="s">
        <v>1444</v>
      </c>
      <c r="I726">
        <v>194</v>
      </c>
      <c r="K726">
        <f t="shared" si="33"/>
        <v>24.1</v>
      </c>
      <c r="L726">
        <f t="shared" si="34"/>
        <v>0.6328</v>
      </c>
      <c r="M726">
        <f t="shared" si="35"/>
        <v>0</v>
      </c>
    </row>
    <row r="727" spans="1:13">
      <c r="A727">
        <v>24.196</v>
      </c>
      <c r="B727">
        <v>192.5</v>
      </c>
      <c r="C727">
        <v>22.859</v>
      </c>
      <c r="D727">
        <v>238.4</v>
      </c>
      <c r="G727">
        <v>24.163</v>
      </c>
      <c r="H727" s="8" t="s">
        <v>1445</v>
      </c>
      <c r="I727">
        <v>193.3</v>
      </c>
      <c r="K727">
        <f t="shared" si="33"/>
        <v>24.15</v>
      </c>
      <c r="L727">
        <f t="shared" si="34"/>
        <v>0.5063</v>
      </c>
      <c r="M727">
        <f t="shared" si="35"/>
        <v>0</v>
      </c>
    </row>
    <row r="728" spans="1:13">
      <c r="A728">
        <v>24.23</v>
      </c>
      <c r="B728">
        <v>191.8</v>
      </c>
      <c r="C728">
        <v>22.893</v>
      </c>
      <c r="D728">
        <v>238.4</v>
      </c>
      <c r="G728">
        <v>24.196</v>
      </c>
      <c r="H728" s="8" t="s">
        <v>1446</v>
      </c>
      <c r="I728">
        <v>192.5</v>
      </c>
      <c r="K728">
        <f t="shared" si="33"/>
        <v>24.15</v>
      </c>
      <c r="L728">
        <f t="shared" si="34"/>
        <v>0.5059</v>
      </c>
      <c r="M728">
        <f t="shared" si="35"/>
        <v>0</v>
      </c>
    </row>
    <row r="729" spans="1:13">
      <c r="A729">
        <v>24.263</v>
      </c>
      <c r="B729">
        <v>190.1</v>
      </c>
      <c r="C729">
        <v>22.926</v>
      </c>
      <c r="D729">
        <v>238.4</v>
      </c>
      <c r="G729">
        <v>24.23</v>
      </c>
      <c r="H729" s="8" t="s">
        <v>1216</v>
      </c>
      <c r="I729">
        <v>191.8</v>
      </c>
      <c r="K729">
        <f t="shared" si="33"/>
        <v>24.2</v>
      </c>
      <c r="L729">
        <f t="shared" si="34"/>
        <v>0.5053</v>
      </c>
      <c r="M729">
        <f t="shared" si="35"/>
        <v>0</v>
      </c>
    </row>
    <row r="730" spans="1:13">
      <c r="A730">
        <v>24.297</v>
      </c>
      <c r="B730">
        <v>238.4</v>
      </c>
      <c r="C730">
        <v>22.96</v>
      </c>
      <c r="D730">
        <v>238.4</v>
      </c>
      <c r="G730">
        <v>24.263</v>
      </c>
      <c r="H730" s="8" t="s">
        <v>1447</v>
      </c>
      <c r="I730">
        <v>190.1</v>
      </c>
      <c r="K730">
        <f t="shared" si="33"/>
        <v>24.25</v>
      </c>
      <c r="L730">
        <f t="shared" si="34"/>
        <v>0.4907</v>
      </c>
      <c r="M730">
        <f t="shared" si="35"/>
        <v>0</v>
      </c>
    </row>
    <row r="731" spans="1:13">
      <c r="A731">
        <v>24.33</v>
      </c>
      <c r="B731">
        <v>238.4</v>
      </c>
      <c r="C731">
        <v>22.993</v>
      </c>
      <c r="D731">
        <v>238.4</v>
      </c>
      <c r="G731">
        <v>24.297</v>
      </c>
      <c r="H731" s="8" t="s">
        <v>1448</v>
      </c>
      <c r="I731">
        <v>238.4</v>
      </c>
      <c r="K731">
        <f t="shared" si="33"/>
        <v>24.25</v>
      </c>
      <c r="L731">
        <f t="shared" si="34"/>
        <v>0.4684</v>
      </c>
      <c r="M731">
        <f t="shared" si="35"/>
        <v>5</v>
      </c>
    </row>
    <row r="732" spans="1:13">
      <c r="A732">
        <v>24.363</v>
      </c>
      <c r="B732">
        <v>238.4</v>
      </c>
      <c r="C732">
        <v>23.027</v>
      </c>
      <c r="D732">
        <v>238.4</v>
      </c>
      <c r="G732">
        <v>24.33</v>
      </c>
      <c r="H732" s="8" t="s">
        <v>1449</v>
      </c>
      <c r="I732">
        <v>238.4</v>
      </c>
      <c r="K732">
        <f t="shared" si="33"/>
        <v>24.3</v>
      </c>
      <c r="L732">
        <f t="shared" si="34"/>
        <v>0.3682</v>
      </c>
      <c r="M732">
        <f t="shared" si="35"/>
        <v>5</v>
      </c>
    </row>
    <row r="733" spans="1:13">
      <c r="A733">
        <v>24.397</v>
      </c>
      <c r="B733">
        <v>238.4</v>
      </c>
      <c r="C733">
        <v>23.06</v>
      </c>
      <c r="D733">
        <v>238.4</v>
      </c>
      <c r="G733">
        <v>24.363</v>
      </c>
      <c r="H733" s="8" t="s">
        <v>1450</v>
      </c>
      <c r="I733">
        <v>238.4</v>
      </c>
      <c r="K733">
        <f t="shared" si="33"/>
        <v>24.35</v>
      </c>
      <c r="L733">
        <f t="shared" si="34"/>
        <v>0.3333</v>
      </c>
      <c r="M733">
        <f t="shared" si="35"/>
        <v>5</v>
      </c>
    </row>
    <row r="734" spans="1:13">
      <c r="A734">
        <v>24.43</v>
      </c>
      <c r="B734">
        <v>238.4</v>
      </c>
      <c r="C734">
        <v>23.093</v>
      </c>
      <c r="D734">
        <v>238.4</v>
      </c>
      <c r="G734">
        <v>24.397</v>
      </c>
      <c r="H734" s="8" t="s">
        <v>1451</v>
      </c>
      <c r="I734">
        <v>238.4</v>
      </c>
      <c r="K734">
        <f t="shared" si="33"/>
        <v>24.35</v>
      </c>
      <c r="L734">
        <f t="shared" si="34"/>
        <v>0.265</v>
      </c>
      <c r="M734">
        <f t="shared" si="35"/>
        <v>5</v>
      </c>
    </row>
    <row r="735" spans="1:13">
      <c r="A735">
        <v>24.464</v>
      </c>
      <c r="B735">
        <v>238.4</v>
      </c>
      <c r="C735">
        <v>23.127</v>
      </c>
      <c r="D735">
        <v>238.4</v>
      </c>
      <c r="G735">
        <v>24.43</v>
      </c>
      <c r="H735" s="8" t="s">
        <v>1452</v>
      </c>
      <c r="I735">
        <v>238.4</v>
      </c>
      <c r="K735">
        <f t="shared" si="33"/>
        <v>24.4</v>
      </c>
      <c r="L735">
        <f t="shared" si="34"/>
        <v>0.2414</v>
      </c>
      <c r="M735">
        <f t="shared" si="35"/>
        <v>5</v>
      </c>
    </row>
    <row r="736" spans="1:13">
      <c r="A736">
        <v>24.497</v>
      </c>
      <c r="B736">
        <v>238.4</v>
      </c>
      <c r="C736">
        <v>23.16</v>
      </c>
      <c r="D736">
        <v>238.4</v>
      </c>
      <c r="G736">
        <v>24.464</v>
      </c>
      <c r="H736" s="8" t="s">
        <v>1453</v>
      </c>
      <c r="I736">
        <v>238.4</v>
      </c>
      <c r="K736">
        <f t="shared" si="33"/>
        <v>24.45</v>
      </c>
      <c r="L736">
        <f t="shared" si="34"/>
        <v>0.2227</v>
      </c>
      <c r="M736">
        <f t="shared" si="35"/>
        <v>5</v>
      </c>
    </row>
    <row r="737" spans="1:13">
      <c r="A737">
        <v>24.53</v>
      </c>
      <c r="B737">
        <v>238.4</v>
      </c>
      <c r="C737">
        <v>23.194</v>
      </c>
      <c r="D737">
        <v>238.4</v>
      </c>
      <c r="G737">
        <v>24.497</v>
      </c>
      <c r="H737" s="8" t="s">
        <v>1454</v>
      </c>
      <c r="I737">
        <v>238.4</v>
      </c>
      <c r="K737">
        <f t="shared" si="33"/>
        <v>24.45</v>
      </c>
      <c r="L737">
        <f t="shared" si="34"/>
        <v>0.2437</v>
      </c>
      <c r="M737">
        <f t="shared" si="35"/>
        <v>5</v>
      </c>
    </row>
    <row r="738" spans="1:13">
      <c r="A738">
        <v>24.564</v>
      </c>
      <c r="B738">
        <v>238.4</v>
      </c>
      <c r="C738">
        <v>23.227</v>
      </c>
      <c r="D738">
        <v>238.4</v>
      </c>
      <c r="G738">
        <v>24.53</v>
      </c>
      <c r="H738" s="8" t="s">
        <v>1455</v>
      </c>
      <c r="I738">
        <v>238.4</v>
      </c>
      <c r="K738">
        <f t="shared" si="33"/>
        <v>24.5</v>
      </c>
      <c r="L738">
        <f t="shared" si="34"/>
        <v>0.2471</v>
      </c>
      <c r="M738">
        <f t="shared" si="35"/>
        <v>5</v>
      </c>
    </row>
    <row r="739" spans="1:13">
      <c r="A739">
        <v>24.597</v>
      </c>
      <c r="B739">
        <v>238.4</v>
      </c>
      <c r="C739">
        <v>23.26</v>
      </c>
      <c r="D739">
        <v>238.4</v>
      </c>
      <c r="G739">
        <v>24.564</v>
      </c>
      <c r="H739" s="8" t="s">
        <v>1456</v>
      </c>
      <c r="I739">
        <v>238.4</v>
      </c>
      <c r="K739">
        <f t="shared" si="33"/>
        <v>24.55</v>
      </c>
      <c r="L739">
        <f t="shared" si="34"/>
        <v>0.2363</v>
      </c>
      <c r="M739">
        <f t="shared" si="35"/>
        <v>5</v>
      </c>
    </row>
    <row r="740" spans="1:13">
      <c r="A740">
        <v>24.631</v>
      </c>
      <c r="B740">
        <v>238.4</v>
      </c>
      <c r="C740">
        <v>23.294</v>
      </c>
      <c r="D740">
        <v>238.4</v>
      </c>
      <c r="G740">
        <v>24.597</v>
      </c>
      <c r="H740" s="8" t="s">
        <v>1457</v>
      </c>
      <c r="I740">
        <v>238.4</v>
      </c>
      <c r="K740">
        <f t="shared" si="33"/>
        <v>24.55</v>
      </c>
      <c r="L740">
        <f t="shared" si="34"/>
        <v>0.2426</v>
      </c>
      <c r="M740">
        <f t="shared" si="35"/>
        <v>5</v>
      </c>
    </row>
    <row r="741" spans="1:13">
      <c r="A741">
        <v>24.664</v>
      </c>
      <c r="B741">
        <v>238.4</v>
      </c>
      <c r="C741">
        <v>23.327</v>
      </c>
      <c r="D741">
        <v>238.4</v>
      </c>
      <c r="G741">
        <v>24.631</v>
      </c>
      <c r="H741" s="8" t="s">
        <v>605</v>
      </c>
      <c r="I741">
        <v>238.4</v>
      </c>
      <c r="K741">
        <f t="shared" si="33"/>
        <v>24.6</v>
      </c>
      <c r="L741">
        <f t="shared" si="34"/>
        <v>0.2425</v>
      </c>
      <c r="M741">
        <f t="shared" si="35"/>
        <v>5</v>
      </c>
    </row>
    <row r="742" spans="1:13">
      <c r="A742">
        <v>24.698</v>
      </c>
      <c r="B742">
        <v>238.4</v>
      </c>
      <c r="C742">
        <v>23.361</v>
      </c>
      <c r="D742">
        <v>238.4</v>
      </c>
      <c r="G742">
        <v>24.664</v>
      </c>
      <c r="H742" s="8" t="s">
        <v>1458</v>
      </c>
      <c r="I742">
        <v>238.4</v>
      </c>
      <c r="K742">
        <f t="shared" si="33"/>
        <v>24.65</v>
      </c>
      <c r="L742">
        <f t="shared" si="34"/>
        <v>0.2479</v>
      </c>
      <c r="M742">
        <f t="shared" si="35"/>
        <v>5</v>
      </c>
    </row>
    <row r="743" spans="1:13">
      <c r="A743">
        <v>24.731</v>
      </c>
      <c r="B743">
        <v>238.4</v>
      </c>
      <c r="C743">
        <v>23.394</v>
      </c>
      <c r="D743">
        <v>238.4</v>
      </c>
      <c r="G743">
        <v>24.698</v>
      </c>
      <c r="H743" s="8" t="s">
        <v>631</v>
      </c>
      <c r="I743">
        <v>238.4</v>
      </c>
      <c r="K743">
        <f t="shared" si="33"/>
        <v>24.65</v>
      </c>
      <c r="L743">
        <f t="shared" si="34"/>
        <v>0.2443</v>
      </c>
      <c r="M743">
        <f t="shared" si="35"/>
        <v>5</v>
      </c>
    </row>
    <row r="744" spans="1:13">
      <c r="A744">
        <v>24.764</v>
      </c>
      <c r="B744">
        <v>238.4</v>
      </c>
      <c r="C744">
        <v>23.428</v>
      </c>
      <c r="D744">
        <v>238.4</v>
      </c>
      <c r="G744">
        <v>24.731</v>
      </c>
      <c r="H744" s="8" t="s">
        <v>1459</v>
      </c>
      <c r="I744">
        <v>238.4</v>
      </c>
      <c r="K744">
        <f t="shared" si="33"/>
        <v>24.7</v>
      </c>
      <c r="L744">
        <f t="shared" si="34"/>
        <v>0.233</v>
      </c>
      <c r="M744">
        <f t="shared" si="35"/>
        <v>5</v>
      </c>
    </row>
    <row r="745" spans="1:13">
      <c r="A745">
        <v>24.798</v>
      </c>
      <c r="B745">
        <v>238.4</v>
      </c>
      <c r="C745">
        <v>23.461</v>
      </c>
      <c r="D745">
        <v>238.4</v>
      </c>
      <c r="G745">
        <v>24.764</v>
      </c>
      <c r="H745" s="8" t="s">
        <v>1460</v>
      </c>
      <c r="I745">
        <v>238.4</v>
      </c>
      <c r="K745">
        <f t="shared" si="33"/>
        <v>24.75</v>
      </c>
      <c r="L745">
        <f t="shared" si="34"/>
        <v>0.2524</v>
      </c>
      <c r="M745">
        <f t="shared" si="35"/>
        <v>5</v>
      </c>
    </row>
    <row r="746" spans="1:13">
      <c r="A746">
        <v>24.831</v>
      </c>
      <c r="B746">
        <v>238.4</v>
      </c>
      <c r="C746">
        <v>23.494</v>
      </c>
      <c r="D746">
        <v>211.9</v>
      </c>
      <c r="G746">
        <v>24.798</v>
      </c>
      <c r="H746" s="8" t="s">
        <v>1461</v>
      </c>
      <c r="I746">
        <v>238.4</v>
      </c>
      <c r="K746">
        <f t="shared" si="33"/>
        <v>24.75</v>
      </c>
      <c r="L746">
        <f t="shared" si="34"/>
        <v>0.2626</v>
      </c>
      <c r="M746">
        <f t="shared" si="35"/>
        <v>5</v>
      </c>
    </row>
    <row r="747" spans="1:13">
      <c r="A747">
        <v>24.865</v>
      </c>
      <c r="B747">
        <v>238.4</v>
      </c>
      <c r="C747">
        <v>23.528</v>
      </c>
      <c r="D747">
        <v>217.5</v>
      </c>
      <c r="G747">
        <v>24.831</v>
      </c>
      <c r="H747" s="8" t="s">
        <v>1462</v>
      </c>
      <c r="I747">
        <v>238.4</v>
      </c>
      <c r="K747">
        <f t="shared" si="33"/>
        <v>24.8</v>
      </c>
      <c r="L747">
        <f t="shared" si="34"/>
        <v>0.3673</v>
      </c>
      <c r="M747">
        <f t="shared" si="35"/>
        <v>5</v>
      </c>
    </row>
    <row r="748" spans="1:13">
      <c r="A748">
        <v>24.898</v>
      </c>
      <c r="B748">
        <v>238.4</v>
      </c>
      <c r="C748">
        <v>23.561</v>
      </c>
      <c r="D748">
        <v>215.9</v>
      </c>
      <c r="G748">
        <v>24.865</v>
      </c>
      <c r="H748" s="8" t="s">
        <v>1463</v>
      </c>
      <c r="I748">
        <v>238.4</v>
      </c>
      <c r="K748">
        <f t="shared" si="33"/>
        <v>24.85</v>
      </c>
      <c r="L748">
        <f t="shared" si="34"/>
        <v>0.3703</v>
      </c>
      <c r="M748">
        <f t="shared" si="35"/>
        <v>5</v>
      </c>
    </row>
    <row r="749" spans="1:13">
      <c r="A749">
        <v>24.931</v>
      </c>
      <c r="B749">
        <v>238.4</v>
      </c>
      <c r="C749">
        <v>23.595</v>
      </c>
      <c r="D749">
        <v>214.2</v>
      </c>
      <c r="G749">
        <v>24.898</v>
      </c>
      <c r="H749" s="8" t="s">
        <v>1464</v>
      </c>
      <c r="I749">
        <v>238.4</v>
      </c>
      <c r="K749">
        <f t="shared" si="33"/>
        <v>24.85</v>
      </c>
      <c r="L749">
        <f t="shared" si="34"/>
        <v>0.3645</v>
      </c>
      <c r="M749">
        <f t="shared" si="35"/>
        <v>5</v>
      </c>
    </row>
    <row r="750" spans="1:13">
      <c r="A750">
        <v>24.965</v>
      </c>
      <c r="B750">
        <v>238.4</v>
      </c>
      <c r="C750">
        <v>23.628</v>
      </c>
      <c r="D750">
        <v>212.5</v>
      </c>
      <c r="G750">
        <v>24.931</v>
      </c>
      <c r="H750" s="8" t="s">
        <v>1465</v>
      </c>
      <c r="I750">
        <v>238.4</v>
      </c>
      <c r="K750">
        <f t="shared" si="33"/>
        <v>24.9</v>
      </c>
      <c r="L750">
        <f t="shared" si="34"/>
        <v>0.3956</v>
      </c>
      <c r="M750">
        <f t="shared" si="35"/>
        <v>5</v>
      </c>
    </row>
    <row r="751" spans="1:13">
      <c r="A751">
        <v>24.998</v>
      </c>
      <c r="B751">
        <v>238.4</v>
      </c>
      <c r="C751">
        <v>23.662</v>
      </c>
      <c r="D751">
        <v>210.4</v>
      </c>
      <c r="G751">
        <v>24.965</v>
      </c>
      <c r="H751" s="8" t="s">
        <v>1466</v>
      </c>
      <c r="I751">
        <v>238.4</v>
      </c>
      <c r="K751">
        <f t="shared" si="33"/>
        <v>24.95</v>
      </c>
      <c r="L751">
        <f t="shared" si="34"/>
        <v>0.4845</v>
      </c>
      <c r="M751">
        <f t="shared" si="35"/>
        <v>5</v>
      </c>
    </row>
    <row r="752" spans="1:13">
      <c r="A752">
        <v>25.032</v>
      </c>
      <c r="B752">
        <v>238.4</v>
      </c>
      <c r="C752">
        <v>23.695</v>
      </c>
      <c r="D752">
        <v>209.9</v>
      </c>
      <c r="G752">
        <v>24.998</v>
      </c>
      <c r="H752" s="8" t="s">
        <v>1467</v>
      </c>
      <c r="I752">
        <v>238.4</v>
      </c>
      <c r="K752">
        <f t="shared" si="33"/>
        <v>24.95</v>
      </c>
      <c r="L752">
        <f t="shared" si="34"/>
        <v>0.4941</v>
      </c>
      <c r="M752">
        <f t="shared" si="35"/>
        <v>5</v>
      </c>
    </row>
    <row r="753" spans="1:13">
      <c r="A753">
        <v>25.065</v>
      </c>
      <c r="B753">
        <v>238.4</v>
      </c>
      <c r="C753">
        <v>23.728</v>
      </c>
      <c r="D753">
        <v>208.5</v>
      </c>
      <c r="G753">
        <v>25.032</v>
      </c>
      <c r="H753" s="8" t="s">
        <v>1431</v>
      </c>
      <c r="I753">
        <v>238.4</v>
      </c>
      <c r="K753">
        <f t="shared" si="33"/>
        <v>25</v>
      </c>
      <c r="L753">
        <f t="shared" si="34"/>
        <v>0.5019</v>
      </c>
      <c r="M753">
        <f t="shared" si="35"/>
        <v>5</v>
      </c>
    </row>
    <row r="754" spans="1:13">
      <c r="A754">
        <v>25.099</v>
      </c>
      <c r="B754">
        <v>238.4</v>
      </c>
      <c r="C754">
        <v>23.762</v>
      </c>
      <c r="D754">
        <v>208.1</v>
      </c>
      <c r="G754">
        <v>25.065</v>
      </c>
      <c r="H754" s="8" t="s">
        <v>1468</v>
      </c>
      <c r="I754">
        <v>238.4</v>
      </c>
      <c r="K754">
        <f t="shared" si="33"/>
        <v>25.05</v>
      </c>
      <c r="L754">
        <f t="shared" si="34"/>
        <v>0.5025</v>
      </c>
      <c r="M754">
        <f t="shared" si="35"/>
        <v>5</v>
      </c>
    </row>
    <row r="755" spans="1:13">
      <c r="A755">
        <v>25.132</v>
      </c>
      <c r="B755">
        <v>212.3</v>
      </c>
      <c r="C755">
        <v>23.795</v>
      </c>
      <c r="D755">
        <v>205.5</v>
      </c>
      <c r="G755">
        <v>25.099</v>
      </c>
      <c r="H755" s="8" t="s">
        <v>1469</v>
      </c>
      <c r="I755">
        <v>238.4</v>
      </c>
      <c r="K755">
        <f t="shared" si="33"/>
        <v>25.05</v>
      </c>
      <c r="L755">
        <f t="shared" si="34"/>
        <v>0.5984</v>
      </c>
      <c r="M755">
        <f t="shared" si="35"/>
        <v>5</v>
      </c>
    </row>
    <row r="756" spans="1:13">
      <c r="A756">
        <v>25.165</v>
      </c>
      <c r="B756">
        <v>217.7</v>
      </c>
      <c r="C756">
        <v>23.829</v>
      </c>
      <c r="D756">
        <v>204.6</v>
      </c>
      <c r="G756">
        <v>25.132</v>
      </c>
      <c r="H756" s="8" t="s">
        <v>1470</v>
      </c>
      <c r="I756">
        <v>212.3</v>
      </c>
      <c r="K756">
        <f t="shared" si="33"/>
        <v>25.1</v>
      </c>
      <c r="L756">
        <f t="shared" si="34"/>
        <v>0.6366</v>
      </c>
      <c r="M756">
        <f t="shared" si="35"/>
        <v>0</v>
      </c>
    </row>
    <row r="757" spans="1:13">
      <c r="A757">
        <v>25.199</v>
      </c>
      <c r="B757">
        <v>215.9</v>
      </c>
      <c r="C757">
        <v>23.862</v>
      </c>
      <c r="D757">
        <v>202.9</v>
      </c>
      <c r="G757">
        <v>25.165</v>
      </c>
      <c r="H757" s="8" t="s">
        <v>1471</v>
      </c>
      <c r="I757">
        <v>217.7</v>
      </c>
      <c r="K757">
        <f t="shared" si="33"/>
        <v>25.15</v>
      </c>
      <c r="L757">
        <f t="shared" si="34"/>
        <v>0.6164</v>
      </c>
      <c r="M757">
        <f t="shared" si="35"/>
        <v>0</v>
      </c>
    </row>
    <row r="758" spans="1:13">
      <c r="A758">
        <v>25.232</v>
      </c>
      <c r="B758">
        <v>215.1</v>
      </c>
      <c r="C758">
        <v>23.895</v>
      </c>
      <c r="D758">
        <v>202.2</v>
      </c>
      <c r="G758">
        <v>25.199</v>
      </c>
      <c r="H758" s="8" t="s">
        <v>1472</v>
      </c>
      <c r="I758">
        <v>215.9</v>
      </c>
      <c r="K758">
        <f t="shared" si="33"/>
        <v>25.15</v>
      </c>
      <c r="L758">
        <f t="shared" si="34"/>
        <v>0.6596</v>
      </c>
      <c r="M758">
        <f t="shared" si="35"/>
        <v>0</v>
      </c>
    </row>
    <row r="759" spans="1:13">
      <c r="A759">
        <v>25.266</v>
      </c>
      <c r="B759">
        <v>213.1</v>
      </c>
      <c r="C759">
        <v>23.929</v>
      </c>
      <c r="D759">
        <v>200.8</v>
      </c>
      <c r="G759">
        <v>25.232</v>
      </c>
      <c r="H759" s="8" t="s">
        <v>1473</v>
      </c>
      <c r="I759">
        <v>215.1</v>
      </c>
      <c r="K759">
        <f t="shared" si="33"/>
        <v>25.2</v>
      </c>
      <c r="L759">
        <f t="shared" si="34"/>
        <v>0.7366</v>
      </c>
      <c r="M759">
        <f t="shared" si="35"/>
        <v>0</v>
      </c>
    </row>
    <row r="760" spans="1:13">
      <c r="A760">
        <v>25.299</v>
      </c>
      <c r="B760">
        <v>211.9</v>
      </c>
      <c r="C760">
        <v>23.962</v>
      </c>
      <c r="D760">
        <v>199.8</v>
      </c>
      <c r="G760">
        <v>25.266</v>
      </c>
      <c r="H760" s="8" t="s">
        <v>1474</v>
      </c>
      <c r="I760">
        <v>213.1</v>
      </c>
      <c r="K760">
        <f t="shared" si="33"/>
        <v>25.25</v>
      </c>
      <c r="L760">
        <f t="shared" si="34"/>
        <v>0.7222</v>
      </c>
      <c r="M760">
        <f t="shared" si="35"/>
        <v>0</v>
      </c>
    </row>
    <row r="761" spans="1:13">
      <c r="A761">
        <v>25.333</v>
      </c>
      <c r="B761">
        <v>210.6</v>
      </c>
      <c r="C761">
        <v>23.996</v>
      </c>
      <c r="D761">
        <v>199</v>
      </c>
      <c r="G761">
        <v>25.299</v>
      </c>
      <c r="H761" s="8" t="s">
        <v>1475</v>
      </c>
      <c r="I761">
        <v>211.9</v>
      </c>
      <c r="K761">
        <f t="shared" si="33"/>
        <v>25.25</v>
      </c>
      <c r="L761">
        <f t="shared" si="34"/>
        <v>0.7418</v>
      </c>
      <c r="M761">
        <f t="shared" si="35"/>
        <v>0</v>
      </c>
    </row>
    <row r="762" spans="1:13">
      <c r="A762">
        <v>25.366</v>
      </c>
      <c r="B762">
        <v>209.3</v>
      </c>
      <c r="C762">
        <v>24.029</v>
      </c>
      <c r="D762">
        <v>196.9</v>
      </c>
      <c r="G762">
        <v>25.333</v>
      </c>
      <c r="H762" s="8" t="s">
        <v>1476</v>
      </c>
      <c r="I762">
        <v>210.6</v>
      </c>
      <c r="K762">
        <f t="shared" si="33"/>
        <v>25.3</v>
      </c>
      <c r="L762">
        <f t="shared" si="34"/>
        <v>0.7459</v>
      </c>
      <c r="M762">
        <f t="shared" si="35"/>
        <v>0</v>
      </c>
    </row>
    <row r="763" spans="1:13">
      <c r="A763">
        <v>25.399</v>
      </c>
      <c r="B763">
        <v>208.1</v>
      </c>
      <c r="C763">
        <v>24.063</v>
      </c>
      <c r="D763">
        <v>197</v>
      </c>
      <c r="G763">
        <v>25.366</v>
      </c>
      <c r="H763" s="8" t="s">
        <v>1477</v>
      </c>
      <c r="I763">
        <v>209.3</v>
      </c>
      <c r="K763">
        <f t="shared" si="33"/>
        <v>25.35</v>
      </c>
      <c r="L763">
        <f t="shared" si="34"/>
        <v>0.7424</v>
      </c>
      <c r="M763">
        <f t="shared" si="35"/>
        <v>0</v>
      </c>
    </row>
    <row r="764" spans="1:13">
      <c r="A764">
        <v>25.433</v>
      </c>
      <c r="B764">
        <v>206</v>
      </c>
      <c r="C764">
        <v>24.096</v>
      </c>
      <c r="D764">
        <v>195.5</v>
      </c>
      <c r="G764">
        <v>25.399</v>
      </c>
      <c r="H764" s="8" t="s">
        <v>1478</v>
      </c>
      <c r="I764">
        <v>208.1</v>
      </c>
      <c r="K764">
        <f t="shared" si="33"/>
        <v>25.35</v>
      </c>
      <c r="L764">
        <f t="shared" si="34"/>
        <v>0.742</v>
      </c>
      <c r="M764">
        <f t="shared" si="35"/>
        <v>0</v>
      </c>
    </row>
    <row r="765" spans="1:13">
      <c r="A765">
        <v>25.466</v>
      </c>
      <c r="B765">
        <v>205.7</v>
      </c>
      <c r="C765">
        <v>24.129</v>
      </c>
      <c r="D765">
        <v>194</v>
      </c>
      <c r="G765">
        <v>25.433</v>
      </c>
      <c r="H765" s="8" t="s">
        <v>1479</v>
      </c>
      <c r="I765">
        <v>206</v>
      </c>
      <c r="K765">
        <f t="shared" si="33"/>
        <v>25.4</v>
      </c>
      <c r="L765">
        <f t="shared" si="34"/>
        <v>0.7309</v>
      </c>
      <c r="M765">
        <f t="shared" si="35"/>
        <v>0</v>
      </c>
    </row>
    <row r="766" spans="1:13">
      <c r="A766">
        <v>25.5</v>
      </c>
      <c r="B766">
        <v>203.9</v>
      </c>
      <c r="C766">
        <v>24.163</v>
      </c>
      <c r="D766">
        <v>193.3</v>
      </c>
      <c r="G766">
        <v>25.466</v>
      </c>
      <c r="H766" s="8" t="s">
        <v>1480</v>
      </c>
      <c r="I766">
        <v>205.7</v>
      </c>
      <c r="K766">
        <f t="shared" si="33"/>
        <v>25.45</v>
      </c>
      <c r="L766">
        <f t="shared" si="34"/>
        <v>0.7252</v>
      </c>
      <c r="M766">
        <f t="shared" si="35"/>
        <v>0</v>
      </c>
    </row>
    <row r="767" spans="1:13">
      <c r="A767">
        <v>25.533</v>
      </c>
      <c r="B767">
        <v>203.2</v>
      </c>
      <c r="C767">
        <v>24.196</v>
      </c>
      <c r="D767">
        <v>192.5</v>
      </c>
      <c r="G767">
        <v>25.5</v>
      </c>
      <c r="H767" s="8" t="s">
        <v>1481</v>
      </c>
      <c r="I767">
        <v>203.9</v>
      </c>
      <c r="K767">
        <f t="shared" si="33"/>
        <v>25.5</v>
      </c>
      <c r="L767">
        <f t="shared" si="34"/>
        <v>0.637</v>
      </c>
      <c r="M767">
        <f t="shared" si="35"/>
        <v>0</v>
      </c>
    </row>
    <row r="768" spans="1:13">
      <c r="A768">
        <v>25.566</v>
      </c>
      <c r="B768">
        <v>202.8</v>
      </c>
      <c r="C768">
        <v>24.23</v>
      </c>
      <c r="D768">
        <v>191.8</v>
      </c>
      <c r="G768">
        <v>25.533</v>
      </c>
      <c r="H768" s="8" t="s">
        <v>1482</v>
      </c>
      <c r="I768">
        <v>203.2</v>
      </c>
      <c r="K768">
        <f t="shared" si="33"/>
        <v>25.5</v>
      </c>
      <c r="L768">
        <f t="shared" si="34"/>
        <v>0.6332</v>
      </c>
      <c r="M768">
        <f t="shared" si="35"/>
        <v>0</v>
      </c>
    </row>
    <row r="769" spans="1:13">
      <c r="A769">
        <v>25.6</v>
      </c>
      <c r="B769">
        <v>200.7</v>
      </c>
      <c r="C769">
        <v>24.263</v>
      </c>
      <c r="D769">
        <v>190.1</v>
      </c>
      <c r="G769">
        <v>25.566</v>
      </c>
      <c r="H769" s="8" t="s">
        <v>1483</v>
      </c>
      <c r="I769">
        <v>202.8</v>
      </c>
      <c r="K769">
        <f t="shared" si="33"/>
        <v>25.55</v>
      </c>
      <c r="L769">
        <f t="shared" si="34"/>
        <v>0.5604</v>
      </c>
      <c r="M769">
        <f t="shared" si="35"/>
        <v>0</v>
      </c>
    </row>
    <row r="770" spans="1:13">
      <c r="A770">
        <v>25.633</v>
      </c>
      <c r="B770">
        <v>199.5</v>
      </c>
      <c r="C770">
        <v>24.297</v>
      </c>
      <c r="D770">
        <v>238.4</v>
      </c>
      <c r="G770">
        <v>25.6</v>
      </c>
      <c r="H770" s="8" t="s">
        <v>1484</v>
      </c>
      <c r="I770">
        <v>200.7</v>
      </c>
      <c r="K770">
        <f t="shared" si="33"/>
        <v>25.6</v>
      </c>
      <c r="L770">
        <f t="shared" si="34"/>
        <v>0.4997</v>
      </c>
      <c r="M770">
        <f t="shared" si="35"/>
        <v>0</v>
      </c>
    </row>
    <row r="771" spans="1:13">
      <c r="A771">
        <v>25.667</v>
      </c>
      <c r="B771">
        <v>198.3</v>
      </c>
      <c r="C771">
        <v>24.33</v>
      </c>
      <c r="D771">
        <v>238.4</v>
      </c>
      <c r="G771">
        <v>25.633</v>
      </c>
      <c r="H771" s="8" t="s">
        <v>1485</v>
      </c>
      <c r="I771">
        <v>199.5</v>
      </c>
      <c r="K771">
        <f t="shared" si="33"/>
        <v>25.6</v>
      </c>
      <c r="L771">
        <f t="shared" si="34"/>
        <v>0.485</v>
      </c>
      <c r="M771">
        <f t="shared" si="35"/>
        <v>0</v>
      </c>
    </row>
    <row r="772" spans="1:13">
      <c r="A772">
        <v>25.7</v>
      </c>
      <c r="B772">
        <v>197.4</v>
      </c>
      <c r="C772">
        <v>24.363</v>
      </c>
      <c r="D772">
        <v>238.4</v>
      </c>
      <c r="G772">
        <v>25.667</v>
      </c>
      <c r="H772" s="8" t="s">
        <v>1468</v>
      </c>
      <c r="I772">
        <v>198.3</v>
      </c>
      <c r="K772">
        <f t="shared" ref="K772:K835" si="36">FLOOR(G772,0.05)</f>
        <v>25.65</v>
      </c>
      <c r="L772">
        <f t="shared" si="34"/>
        <v>0.5025</v>
      </c>
      <c r="M772">
        <f t="shared" si="35"/>
        <v>0</v>
      </c>
    </row>
    <row r="773" spans="1:13">
      <c r="A773">
        <v>25.734</v>
      </c>
      <c r="B773">
        <v>196.1</v>
      </c>
      <c r="C773">
        <v>24.397</v>
      </c>
      <c r="D773">
        <v>238.4</v>
      </c>
      <c r="G773">
        <v>25.7</v>
      </c>
      <c r="H773" s="8" t="s">
        <v>1486</v>
      </c>
      <c r="I773">
        <v>197.4</v>
      </c>
      <c r="K773">
        <f t="shared" si="36"/>
        <v>25.7</v>
      </c>
      <c r="L773">
        <f t="shared" ref="L773:L836" si="37">H773*100</f>
        <v>0.4869</v>
      </c>
      <c r="M773">
        <f t="shared" ref="M773:M836" si="38">IF(I773&lt;230,0,5)</f>
        <v>0</v>
      </c>
    </row>
    <row r="774" spans="1:13">
      <c r="A774">
        <v>25.767</v>
      </c>
      <c r="B774">
        <v>195</v>
      </c>
      <c r="C774">
        <v>24.43</v>
      </c>
      <c r="D774">
        <v>238.4</v>
      </c>
      <c r="G774">
        <v>25.734</v>
      </c>
      <c r="H774" s="8" t="s">
        <v>1487</v>
      </c>
      <c r="I774">
        <v>196.1</v>
      </c>
      <c r="K774">
        <f t="shared" si="36"/>
        <v>25.7</v>
      </c>
      <c r="L774">
        <f t="shared" si="37"/>
        <v>0.363</v>
      </c>
      <c r="M774">
        <f t="shared" si="38"/>
        <v>0</v>
      </c>
    </row>
    <row r="775" spans="1:13">
      <c r="A775">
        <v>25.8</v>
      </c>
      <c r="B775">
        <v>194.9</v>
      </c>
      <c r="C775">
        <v>24.464</v>
      </c>
      <c r="D775">
        <v>238.4</v>
      </c>
      <c r="G775">
        <v>25.767</v>
      </c>
      <c r="H775" s="8" t="s">
        <v>1488</v>
      </c>
      <c r="I775">
        <v>195</v>
      </c>
      <c r="K775">
        <f t="shared" si="36"/>
        <v>25.75</v>
      </c>
      <c r="L775">
        <f t="shared" si="37"/>
        <v>0.3621</v>
      </c>
      <c r="M775">
        <f t="shared" si="38"/>
        <v>0</v>
      </c>
    </row>
    <row r="776" spans="1:13">
      <c r="A776">
        <v>25.834</v>
      </c>
      <c r="B776">
        <v>193.8</v>
      </c>
      <c r="C776">
        <v>24.497</v>
      </c>
      <c r="D776">
        <v>238.4</v>
      </c>
      <c r="G776">
        <v>25.8</v>
      </c>
      <c r="H776" s="8" t="s">
        <v>1489</v>
      </c>
      <c r="I776">
        <v>194.9</v>
      </c>
      <c r="K776">
        <f t="shared" si="36"/>
        <v>25.8</v>
      </c>
      <c r="L776">
        <f t="shared" si="37"/>
        <v>0.358</v>
      </c>
      <c r="M776">
        <f t="shared" si="38"/>
        <v>0</v>
      </c>
    </row>
    <row r="777" spans="1:13">
      <c r="A777">
        <v>25.867</v>
      </c>
      <c r="B777">
        <v>191.7</v>
      </c>
      <c r="C777">
        <v>24.53</v>
      </c>
      <c r="D777">
        <v>238.4</v>
      </c>
      <c r="G777">
        <v>25.834</v>
      </c>
      <c r="H777" s="8" t="s">
        <v>1490</v>
      </c>
      <c r="I777">
        <v>193.8</v>
      </c>
      <c r="K777">
        <f t="shared" si="36"/>
        <v>25.8</v>
      </c>
      <c r="L777">
        <f t="shared" si="37"/>
        <v>0.3462</v>
      </c>
      <c r="M777">
        <f t="shared" si="38"/>
        <v>0</v>
      </c>
    </row>
    <row r="778" spans="1:13">
      <c r="A778">
        <v>25.901</v>
      </c>
      <c r="B778">
        <v>238.2</v>
      </c>
      <c r="C778">
        <v>24.564</v>
      </c>
      <c r="D778">
        <v>238.4</v>
      </c>
      <c r="G778">
        <v>25.867</v>
      </c>
      <c r="H778" s="8" t="s">
        <v>1491</v>
      </c>
      <c r="I778">
        <v>191.7</v>
      </c>
      <c r="K778">
        <f t="shared" si="36"/>
        <v>25.85</v>
      </c>
      <c r="L778">
        <f t="shared" si="37"/>
        <v>0.2677</v>
      </c>
      <c r="M778">
        <f t="shared" si="38"/>
        <v>0</v>
      </c>
    </row>
    <row r="779" spans="1:13">
      <c r="A779">
        <v>25.934</v>
      </c>
      <c r="B779">
        <v>238.2</v>
      </c>
      <c r="C779">
        <v>24.597</v>
      </c>
      <c r="D779">
        <v>238.4</v>
      </c>
      <c r="G779">
        <v>25.901</v>
      </c>
      <c r="H779" s="8" t="s">
        <v>1492</v>
      </c>
      <c r="I779">
        <v>238.2</v>
      </c>
      <c r="K779">
        <f t="shared" si="36"/>
        <v>25.9</v>
      </c>
      <c r="L779">
        <f t="shared" si="37"/>
        <v>0.2451</v>
      </c>
      <c r="M779">
        <f t="shared" si="38"/>
        <v>5</v>
      </c>
    </row>
    <row r="780" spans="1:13">
      <c r="A780">
        <v>25.968</v>
      </c>
      <c r="B780">
        <v>238.2</v>
      </c>
      <c r="C780">
        <v>24.631</v>
      </c>
      <c r="D780">
        <v>238.4</v>
      </c>
      <c r="G780">
        <v>25.934</v>
      </c>
      <c r="H780" s="8" t="s">
        <v>1493</v>
      </c>
      <c r="I780">
        <v>238.2</v>
      </c>
      <c r="K780">
        <f t="shared" si="36"/>
        <v>25.9</v>
      </c>
      <c r="L780">
        <f t="shared" si="37"/>
        <v>0.2521</v>
      </c>
      <c r="M780">
        <f t="shared" si="38"/>
        <v>5</v>
      </c>
    </row>
    <row r="781" spans="1:13">
      <c r="A781">
        <v>26.001</v>
      </c>
      <c r="B781">
        <v>238.2</v>
      </c>
      <c r="C781">
        <v>24.664</v>
      </c>
      <c r="D781">
        <v>238.4</v>
      </c>
      <c r="G781">
        <v>25.968</v>
      </c>
      <c r="H781" s="8" t="s">
        <v>1494</v>
      </c>
      <c r="I781">
        <v>238.2</v>
      </c>
      <c r="K781">
        <f t="shared" si="36"/>
        <v>25.95</v>
      </c>
      <c r="L781">
        <f t="shared" si="37"/>
        <v>0.2389</v>
      </c>
      <c r="M781">
        <f t="shared" si="38"/>
        <v>5</v>
      </c>
    </row>
    <row r="782" spans="1:13">
      <c r="A782">
        <v>26.034</v>
      </c>
      <c r="B782">
        <v>238.2</v>
      </c>
      <c r="C782">
        <v>24.698</v>
      </c>
      <c r="D782">
        <v>238.4</v>
      </c>
      <c r="G782">
        <v>26.001</v>
      </c>
      <c r="H782" s="8" t="s">
        <v>882</v>
      </c>
      <c r="I782">
        <v>238.2</v>
      </c>
      <c r="K782">
        <f t="shared" si="36"/>
        <v>26</v>
      </c>
      <c r="L782">
        <f t="shared" si="37"/>
        <v>0.2448</v>
      </c>
      <c r="M782">
        <f t="shared" si="38"/>
        <v>5</v>
      </c>
    </row>
    <row r="783" spans="1:13">
      <c r="A783">
        <v>26.068</v>
      </c>
      <c r="B783">
        <v>238.4</v>
      </c>
      <c r="C783">
        <v>24.731</v>
      </c>
      <c r="D783">
        <v>238.4</v>
      </c>
      <c r="G783">
        <v>26.034</v>
      </c>
      <c r="H783" s="8" t="s">
        <v>1495</v>
      </c>
      <c r="I783">
        <v>238.2</v>
      </c>
      <c r="K783">
        <f t="shared" si="36"/>
        <v>26</v>
      </c>
      <c r="L783">
        <f t="shared" si="37"/>
        <v>0.2368</v>
      </c>
      <c r="M783">
        <f t="shared" si="38"/>
        <v>5</v>
      </c>
    </row>
    <row r="784" spans="1:13">
      <c r="A784">
        <v>26.101</v>
      </c>
      <c r="B784">
        <v>238.4</v>
      </c>
      <c r="C784">
        <v>24.764</v>
      </c>
      <c r="D784">
        <v>238.4</v>
      </c>
      <c r="G784">
        <v>26.068</v>
      </c>
      <c r="H784" s="8" t="s">
        <v>1496</v>
      </c>
      <c r="I784">
        <v>238.4</v>
      </c>
      <c r="K784">
        <f t="shared" si="36"/>
        <v>26.05</v>
      </c>
      <c r="L784">
        <f t="shared" si="37"/>
        <v>0.2531</v>
      </c>
      <c r="M784">
        <f t="shared" si="38"/>
        <v>5</v>
      </c>
    </row>
    <row r="785" spans="1:13">
      <c r="A785">
        <v>26.135</v>
      </c>
      <c r="B785">
        <v>238.4</v>
      </c>
      <c r="C785">
        <v>24.798</v>
      </c>
      <c r="D785">
        <v>238.4</v>
      </c>
      <c r="G785">
        <v>26.101</v>
      </c>
      <c r="H785" s="8" t="s">
        <v>1497</v>
      </c>
      <c r="I785">
        <v>238.4</v>
      </c>
      <c r="K785">
        <f t="shared" si="36"/>
        <v>26.1</v>
      </c>
      <c r="L785">
        <f t="shared" si="37"/>
        <v>0.2499</v>
      </c>
      <c r="M785">
        <f t="shared" si="38"/>
        <v>5</v>
      </c>
    </row>
    <row r="786" spans="1:13">
      <c r="A786">
        <v>26.168</v>
      </c>
      <c r="B786">
        <v>238.4</v>
      </c>
      <c r="C786">
        <v>24.831</v>
      </c>
      <c r="D786">
        <v>238.4</v>
      </c>
      <c r="G786">
        <v>26.135</v>
      </c>
      <c r="H786" s="8" t="s">
        <v>1423</v>
      </c>
      <c r="I786">
        <v>238.4</v>
      </c>
      <c r="K786">
        <f t="shared" si="36"/>
        <v>26.1</v>
      </c>
      <c r="L786">
        <f t="shared" si="37"/>
        <v>0.2403</v>
      </c>
      <c r="M786">
        <f t="shared" si="38"/>
        <v>5</v>
      </c>
    </row>
    <row r="787" spans="1:13">
      <c r="A787">
        <v>26.201</v>
      </c>
      <c r="B787">
        <v>238.4</v>
      </c>
      <c r="C787">
        <v>24.865</v>
      </c>
      <c r="D787">
        <v>238.4</v>
      </c>
      <c r="G787">
        <v>26.168</v>
      </c>
      <c r="H787" s="8" t="s">
        <v>1498</v>
      </c>
      <c r="I787">
        <v>238.4</v>
      </c>
      <c r="K787">
        <f t="shared" si="36"/>
        <v>26.15</v>
      </c>
      <c r="L787">
        <f t="shared" si="37"/>
        <v>0.2984</v>
      </c>
      <c r="M787">
        <f t="shared" si="38"/>
        <v>5</v>
      </c>
    </row>
    <row r="788" spans="1:13">
      <c r="A788">
        <v>26.235</v>
      </c>
      <c r="B788">
        <v>238.4</v>
      </c>
      <c r="C788">
        <v>24.898</v>
      </c>
      <c r="D788">
        <v>238.4</v>
      </c>
      <c r="G788">
        <v>26.201</v>
      </c>
      <c r="H788" s="8" t="s">
        <v>1499</v>
      </c>
      <c r="I788">
        <v>238.4</v>
      </c>
      <c r="K788">
        <f t="shared" si="36"/>
        <v>26.2</v>
      </c>
      <c r="L788">
        <f t="shared" si="37"/>
        <v>0.3801</v>
      </c>
      <c r="M788">
        <f t="shared" si="38"/>
        <v>5</v>
      </c>
    </row>
    <row r="789" spans="1:13">
      <c r="A789">
        <v>26.268</v>
      </c>
      <c r="B789">
        <v>238.4</v>
      </c>
      <c r="C789">
        <v>24.931</v>
      </c>
      <c r="D789">
        <v>238.4</v>
      </c>
      <c r="G789">
        <v>26.235</v>
      </c>
      <c r="H789" s="8" t="s">
        <v>1357</v>
      </c>
      <c r="I789">
        <v>238.4</v>
      </c>
      <c r="K789">
        <f t="shared" si="36"/>
        <v>26.2</v>
      </c>
      <c r="L789">
        <f t="shared" si="37"/>
        <v>0.3803</v>
      </c>
      <c r="M789">
        <f t="shared" si="38"/>
        <v>5</v>
      </c>
    </row>
    <row r="790" spans="1:13">
      <c r="A790">
        <v>26.302</v>
      </c>
      <c r="B790">
        <v>238.4</v>
      </c>
      <c r="C790">
        <v>24.965</v>
      </c>
      <c r="D790">
        <v>238.4</v>
      </c>
      <c r="G790">
        <v>26.268</v>
      </c>
      <c r="H790" s="8" t="s">
        <v>1500</v>
      </c>
      <c r="I790">
        <v>238.4</v>
      </c>
      <c r="K790">
        <f t="shared" si="36"/>
        <v>26.25</v>
      </c>
      <c r="L790">
        <f t="shared" si="37"/>
        <v>0.3754</v>
      </c>
      <c r="M790">
        <f t="shared" si="38"/>
        <v>5</v>
      </c>
    </row>
    <row r="791" spans="1:13">
      <c r="A791">
        <v>26.335</v>
      </c>
      <c r="B791">
        <v>238.4</v>
      </c>
      <c r="C791">
        <v>24.998</v>
      </c>
      <c r="D791">
        <v>238.4</v>
      </c>
      <c r="G791">
        <v>26.302</v>
      </c>
      <c r="H791" s="8" t="s">
        <v>968</v>
      </c>
      <c r="I791">
        <v>238.4</v>
      </c>
      <c r="K791">
        <f t="shared" si="36"/>
        <v>26.3</v>
      </c>
      <c r="L791">
        <f t="shared" si="37"/>
        <v>0.3696</v>
      </c>
      <c r="M791">
        <f t="shared" si="38"/>
        <v>5</v>
      </c>
    </row>
    <row r="792" spans="1:13">
      <c r="A792">
        <v>26.369</v>
      </c>
      <c r="B792">
        <v>238.4</v>
      </c>
      <c r="C792">
        <v>25.032</v>
      </c>
      <c r="D792">
        <v>238.4</v>
      </c>
      <c r="G792">
        <v>26.335</v>
      </c>
      <c r="H792" s="8" t="s">
        <v>1501</v>
      </c>
      <c r="I792">
        <v>238.4</v>
      </c>
      <c r="K792">
        <f t="shared" si="36"/>
        <v>26.3</v>
      </c>
      <c r="L792">
        <f t="shared" si="37"/>
        <v>0.4827</v>
      </c>
      <c r="M792">
        <f t="shared" si="38"/>
        <v>5</v>
      </c>
    </row>
    <row r="793" spans="1:13">
      <c r="A793">
        <v>26.402</v>
      </c>
      <c r="B793">
        <v>238.4</v>
      </c>
      <c r="C793">
        <v>25.065</v>
      </c>
      <c r="D793">
        <v>238.4</v>
      </c>
      <c r="G793">
        <v>26.369</v>
      </c>
      <c r="H793" s="8" t="s">
        <v>1502</v>
      </c>
      <c r="I793">
        <v>238.4</v>
      </c>
      <c r="K793">
        <f t="shared" si="36"/>
        <v>26.35</v>
      </c>
      <c r="L793">
        <f t="shared" si="37"/>
        <v>0.4904</v>
      </c>
      <c r="M793">
        <f t="shared" si="38"/>
        <v>5</v>
      </c>
    </row>
    <row r="794" spans="1:13">
      <c r="A794">
        <v>26.435</v>
      </c>
      <c r="B794">
        <v>238.4</v>
      </c>
      <c r="C794">
        <v>25.099</v>
      </c>
      <c r="D794">
        <v>238.4</v>
      </c>
      <c r="G794">
        <v>26.402</v>
      </c>
      <c r="H794" s="8" t="s">
        <v>1503</v>
      </c>
      <c r="I794">
        <v>238.4</v>
      </c>
      <c r="K794">
        <f t="shared" si="36"/>
        <v>26.4</v>
      </c>
      <c r="L794">
        <f t="shared" si="37"/>
        <v>0.4895</v>
      </c>
      <c r="M794">
        <f t="shared" si="38"/>
        <v>5</v>
      </c>
    </row>
    <row r="795" spans="1:13">
      <c r="A795">
        <v>26.469</v>
      </c>
      <c r="B795">
        <v>238.4</v>
      </c>
      <c r="C795">
        <v>25.132</v>
      </c>
      <c r="D795">
        <v>212.3</v>
      </c>
      <c r="G795">
        <v>26.435</v>
      </c>
      <c r="H795" s="8" t="s">
        <v>1504</v>
      </c>
      <c r="I795">
        <v>238.4</v>
      </c>
      <c r="K795">
        <f t="shared" si="36"/>
        <v>26.4</v>
      </c>
      <c r="L795">
        <f t="shared" si="37"/>
        <v>0.478</v>
      </c>
      <c r="M795">
        <f t="shared" si="38"/>
        <v>5</v>
      </c>
    </row>
    <row r="796" spans="1:13">
      <c r="A796">
        <v>26.502</v>
      </c>
      <c r="B796">
        <v>238.4</v>
      </c>
      <c r="C796">
        <v>25.165</v>
      </c>
      <c r="D796">
        <v>217.7</v>
      </c>
      <c r="G796">
        <v>26.469</v>
      </c>
      <c r="H796" s="8" t="s">
        <v>1505</v>
      </c>
      <c r="I796">
        <v>238.4</v>
      </c>
      <c r="K796">
        <f t="shared" si="36"/>
        <v>26.45</v>
      </c>
      <c r="L796">
        <f t="shared" si="37"/>
        <v>0.5087</v>
      </c>
      <c r="M796">
        <f t="shared" si="38"/>
        <v>5</v>
      </c>
    </row>
    <row r="797" spans="1:13">
      <c r="A797">
        <v>26.536</v>
      </c>
      <c r="B797">
        <v>238.4</v>
      </c>
      <c r="C797">
        <v>25.199</v>
      </c>
      <c r="D797">
        <v>215.9</v>
      </c>
      <c r="G797">
        <v>26.502</v>
      </c>
      <c r="H797" s="8" t="s">
        <v>1506</v>
      </c>
      <c r="I797">
        <v>238.4</v>
      </c>
      <c r="K797">
        <f t="shared" si="36"/>
        <v>26.5</v>
      </c>
      <c r="L797">
        <f t="shared" si="37"/>
        <v>0.4906</v>
      </c>
      <c r="M797">
        <f t="shared" si="38"/>
        <v>5</v>
      </c>
    </row>
    <row r="798" spans="1:13">
      <c r="A798">
        <v>26.569</v>
      </c>
      <c r="B798">
        <v>238.4</v>
      </c>
      <c r="C798">
        <v>25.232</v>
      </c>
      <c r="D798">
        <v>215.1</v>
      </c>
      <c r="G798">
        <v>26.536</v>
      </c>
      <c r="H798" s="8" t="s">
        <v>1507</v>
      </c>
      <c r="I798">
        <v>238.4</v>
      </c>
      <c r="K798">
        <f t="shared" si="36"/>
        <v>26.5</v>
      </c>
      <c r="L798">
        <f t="shared" si="37"/>
        <v>0.5123</v>
      </c>
      <c r="M798">
        <f t="shared" si="38"/>
        <v>5</v>
      </c>
    </row>
    <row r="799" spans="1:13">
      <c r="A799">
        <v>26.603</v>
      </c>
      <c r="B799">
        <v>238.4</v>
      </c>
      <c r="C799">
        <v>25.266</v>
      </c>
      <c r="D799">
        <v>213.1</v>
      </c>
      <c r="G799">
        <v>26.569</v>
      </c>
      <c r="H799" s="8" t="s">
        <v>1508</v>
      </c>
      <c r="I799">
        <v>238.4</v>
      </c>
      <c r="K799">
        <f t="shared" si="36"/>
        <v>26.55</v>
      </c>
      <c r="L799">
        <f t="shared" si="37"/>
        <v>0.6059</v>
      </c>
      <c r="M799">
        <f t="shared" si="38"/>
        <v>5</v>
      </c>
    </row>
    <row r="800" spans="1:13">
      <c r="A800">
        <v>26.636</v>
      </c>
      <c r="B800">
        <v>238.4</v>
      </c>
      <c r="C800">
        <v>25.299</v>
      </c>
      <c r="D800">
        <v>211.9</v>
      </c>
      <c r="G800">
        <v>26.603</v>
      </c>
      <c r="H800" s="8" t="s">
        <v>1509</v>
      </c>
      <c r="I800">
        <v>238.4</v>
      </c>
      <c r="K800">
        <f t="shared" si="36"/>
        <v>26.6</v>
      </c>
      <c r="L800">
        <f t="shared" si="37"/>
        <v>0.6409</v>
      </c>
      <c r="M800">
        <f t="shared" si="38"/>
        <v>5</v>
      </c>
    </row>
    <row r="801" spans="1:13">
      <c r="A801">
        <v>26.669</v>
      </c>
      <c r="B801">
        <v>238.4</v>
      </c>
      <c r="C801">
        <v>25.333</v>
      </c>
      <c r="D801">
        <v>210.6</v>
      </c>
      <c r="G801">
        <v>26.636</v>
      </c>
      <c r="H801" s="8" t="s">
        <v>1510</v>
      </c>
      <c r="I801">
        <v>238.4</v>
      </c>
      <c r="K801">
        <f t="shared" si="36"/>
        <v>26.6</v>
      </c>
      <c r="L801">
        <f t="shared" si="37"/>
        <v>0.6378</v>
      </c>
      <c r="M801">
        <f t="shared" si="38"/>
        <v>5</v>
      </c>
    </row>
    <row r="802" spans="1:13">
      <c r="A802">
        <v>26.703</v>
      </c>
      <c r="B802">
        <v>238.4</v>
      </c>
      <c r="C802">
        <v>25.366</v>
      </c>
      <c r="D802">
        <v>209.3</v>
      </c>
      <c r="G802">
        <v>26.669</v>
      </c>
      <c r="H802" s="8" t="s">
        <v>1511</v>
      </c>
      <c r="I802">
        <v>238.4</v>
      </c>
      <c r="K802">
        <f t="shared" si="36"/>
        <v>26.65</v>
      </c>
      <c r="L802">
        <f t="shared" si="37"/>
        <v>0.6337</v>
      </c>
      <c r="M802">
        <f t="shared" si="38"/>
        <v>5</v>
      </c>
    </row>
    <row r="803" spans="1:13">
      <c r="A803">
        <v>26.736</v>
      </c>
      <c r="B803">
        <v>215.1</v>
      </c>
      <c r="C803">
        <v>25.399</v>
      </c>
      <c r="D803">
        <v>208.1</v>
      </c>
      <c r="G803">
        <v>26.703</v>
      </c>
      <c r="H803" s="8" t="s">
        <v>1512</v>
      </c>
      <c r="I803">
        <v>238.4</v>
      </c>
      <c r="K803">
        <f t="shared" si="36"/>
        <v>26.7</v>
      </c>
      <c r="L803">
        <f t="shared" si="37"/>
        <v>0.6327</v>
      </c>
      <c r="M803">
        <f t="shared" si="38"/>
        <v>5</v>
      </c>
    </row>
    <row r="804" spans="1:13">
      <c r="A804">
        <v>26.77</v>
      </c>
      <c r="B804">
        <v>218.3</v>
      </c>
      <c r="C804">
        <v>25.433</v>
      </c>
      <c r="D804">
        <v>206</v>
      </c>
      <c r="G804">
        <v>26.736</v>
      </c>
      <c r="H804" s="8" t="s">
        <v>1513</v>
      </c>
      <c r="I804">
        <v>215.1</v>
      </c>
      <c r="K804">
        <f t="shared" si="36"/>
        <v>26.7</v>
      </c>
      <c r="L804">
        <f t="shared" si="37"/>
        <v>0.6338</v>
      </c>
      <c r="M804">
        <f t="shared" si="38"/>
        <v>0</v>
      </c>
    </row>
    <row r="805" spans="1:13">
      <c r="A805">
        <v>26.803</v>
      </c>
      <c r="B805">
        <v>217.7</v>
      </c>
      <c r="C805">
        <v>25.466</v>
      </c>
      <c r="D805">
        <v>205.7</v>
      </c>
      <c r="G805">
        <v>26.77</v>
      </c>
      <c r="H805" s="8" t="s">
        <v>1514</v>
      </c>
      <c r="I805">
        <v>218.3</v>
      </c>
      <c r="K805">
        <f t="shared" si="36"/>
        <v>26.75</v>
      </c>
      <c r="L805">
        <f t="shared" si="37"/>
        <v>0.6346</v>
      </c>
      <c r="M805">
        <f t="shared" si="38"/>
        <v>0</v>
      </c>
    </row>
    <row r="806" spans="1:13">
      <c r="A806">
        <v>26.836</v>
      </c>
      <c r="B806">
        <v>216.8</v>
      </c>
      <c r="C806">
        <v>25.5</v>
      </c>
      <c r="D806">
        <v>203.9</v>
      </c>
      <c r="G806">
        <v>26.803</v>
      </c>
      <c r="H806" s="8" t="s">
        <v>1511</v>
      </c>
      <c r="I806">
        <v>217.7</v>
      </c>
      <c r="K806">
        <f t="shared" si="36"/>
        <v>26.8</v>
      </c>
      <c r="L806">
        <f t="shared" si="37"/>
        <v>0.6337</v>
      </c>
      <c r="M806">
        <f t="shared" si="38"/>
        <v>0</v>
      </c>
    </row>
    <row r="807" spans="1:13">
      <c r="A807">
        <v>26.87</v>
      </c>
      <c r="B807">
        <v>214.7</v>
      </c>
      <c r="C807">
        <v>25.533</v>
      </c>
      <c r="D807">
        <v>203.2</v>
      </c>
      <c r="G807">
        <v>26.836</v>
      </c>
      <c r="H807" s="8" t="s">
        <v>1515</v>
      </c>
      <c r="I807">
        <v>216.8</v>
      </c>
      <c r="K807">
        <f t="shared" si="36"/>
        <v>26.8</v>
      </c>
      <c r="L807">
        <f t="shared" si="37"/>
        <v>0.6313</v>
      </c>
      <c r="M807">
        <f t="shared" si="38"/>
        <v>0</v>
      </c>
    </row>
    <row r="808" spans="1:13">
      <c r="A808">
        <v>26.903</v>
      </c>
      <c r="B808">
        <v>213.7</v>
      </c>
      <c r="C808">
        <v>25.566</v>
      </c>
      <c r="D808">
        <v>202.8</v>
      </c>
      <c r="G808">
        <v>26.87</v>
      </c>
      <c r="H808" s="8" t="s">
        <v>1329</v>
      </c>
      <c r="I808">
        <v>214.7</v>
      </c>
      <c r="K808">
        <f t="shared" si="36"/>
        <v>26.85</v>
      </c>
      <c r="L808">
        <f t="shared" si="37"/>
        <v>0.6314</v>
      </c>
      <c r="M808">
        <f t="shared" si="38"/>
        <v>0</v>
      </c>
    </row>
    <row r="809" spans="1:13">
      <c r="A809">
        <v>26.937</v>
      </c>
      <c r="B809">
        <v>212.7</v>
      </c>
      <c r="C809">
        <v>25.6</v>
      </c>
      <c r="D809">
        <v>200.7</v>
      </c>
      <c r="G809">
        <v>26.903</v>
      </c>
      <c r="H809" s="8" t="s">
        <v>1516</v>
      </c>
      <c r="I809">
        <v>213.7</v>
      </c>
      <c r="K809">
        <f t="shared" si="36"/>
        <v>26.9</v>
      </c>
      <c r="L809">
        <f t="shared" si="37"/>
        <v>0.629</v>
      </c>
      <c r="M809">
        <f t="shared" si="38"/>
        <v>0</v>
      </c>
    </row>
    <row r="810" spans="1:13">
      <c r="A810">
        <v>26.97</v>
      </c>
      <c r="B810">
        <v>210.2</v>
      </c>
      <c r="C810">
        <v>25.633</v>
      </c>
      <c r="D810">
        <v>199.5</v>
      </c>
      <c r="G810">
        <v>26.937</v>
      </c>
      <c r="H810" s="8" t="s">
        <v>1517</v>
      </c>
      <c r="I810">
        <v>212.7</v>
      </c>
      <c r="K810">
        <f t="shared" si="36"/>
        <v>26.9</v>
      </c>
      <c r="L810">
        <f t="shared" si="37"/>
        <v>0.5652</v>
      </c>
      <c r="M810">
        <f t="shared" si="38"/>
        <v>0</v>
      </c>
    </row>
    <row r="811" spans="1:13">
      <c r="A811">
        <v>27.004</v>
      </c>
      <c r="B811">
        <v>209.9</v>
      </c>
      <c r="C811">
        <v>25.667</v>
      </c>
      <c r="D811">
        <v>198.3</v>
      </c>
      <c r="G811">
        <v>26.97</v>
      </c>
      <c r="H811" s="8" t="s">
        <v>1518</v>
      </c>
      <c r="I811">
        <v>210.2</v>
      </c>
      <c r="K811">
        <f t="shared" si="36"/>
        <v>26.95</v>
      </c>
      <c r="L811">
        <f t="shared" si="37"/>
        <v>0.4967</v>
      </c>
      <c r="M811">
        <f t="shared" si="38"/>
        <v>0</v>
      </c>
    </row>
    <row r="812" spans="1:13">
      <c r="A812">
        <v>27.037</v>
      </c>
      <c r="B812">
        <v>209.3</v>
      </c>
      <c r="C812">
        <v>25.7</v>
      </c>
      <c r="D812">
        <v>197.4</v>
      </c>
      <c r="G812">
        <v>27.004</v>
      </c>
      <c r="H812" s="8" t="s">
        <v>1519</v>
      </c>
      <c r="I812">
        <v>209.9</v>
      </c>
      <c r="K812">
        <f t="shared" si="36"/>
        <v>27</v>
      </c>
      <c r="L812">
        <f t="shared" si="37"/>
        <v>0.4826</v>
      </c>
      <c r="M812">
        <f t="shared" si="38"/>
        <v>0</v>
      </c>
    </row>
    <row r="813" spans="1:13">
      <c r="A813">
        <v>27.07</v>
      </c>
      <c r="B813">
        <v>206.5</v>
      </c>
      <c r="C813">
        <v>25.734</v>
      </c>
      <c r="D813">
        <v>196.1</v>
      </c>
      <c r="G813">
        <v>27.037</v>
      </c>
      <c r="H813" s="8" t="s">
        <v>1520</v>
      </c>
      <c r="I813">
        <v>209.3</v>
      </c>
      <c r="K813">
        <f t="shared" si="36"/>
        <v>27</v>
      </c>
      <c r="L813">
        <f t="shared" si="37"/>
        <v>0.482</v>
      </c>
      <c r="M813">
        <f t="shared" si="38"/>
        <v>0</v>
      </c>
    </row>
    <row r="814" spans="1:13">
      <c r="A814">
        <v>27.104</v>
      </c>
      <c r="B814">
        <v>206.3</v>
      </c>
      <c r="C814">
        <v>25.767</v>
      </c>
      <c r="D814">
        <v>195</v>
      </c>
      <c r="G814">
        <v>27.07</v>
      </c>
      <c r="H814" s="8" t="s">
        <v>1484</v>
      </c>
      <c r="I814">
        <v>206.5</v>
      </c>
      <c r="K814">
        <f t="shared" si="36"/>
        <v>27.05</v>
      </c>
      <c r="L814">
        <f t="shared" si="37"/>
        <v>0.4997</v>
      </c>
      <c r="M814">
        <f t="shared" si="38"/>
        <v>0</v>
      </c>
    </row>
    <row r="815" spans="1:13">
      <c r="A815">
        <v>27.137</v>
      </c>
      <c r="B815">
        <v>204.3</v>
      </c>
      <c r="C815">
        <v>25.8</v>
      </c>
      <c r="D815">
        <v>194.9</v>
      </c>
      <c r="G815">
        <v>27.104</v>
      </c>
      <c r="H815" s="8" t="s">
        <v>1521</v>
      </c>
      <c r="I815">
        <v>206.3</v>
      </c>
      <c r="K815">
        <f t="shared" si="36"/>
        <v>27.1</v>
      </c>
      <c r="L815">
        <f t="shared" si="37"/>
        <v>0.5022</v>
      </c>
      <c r="M815">
        <f t="shared" si="38"/>
        <v>0</v>
      </c>
    </row>
    <row r="816" spans="1:13">
      <c r="A816">
        <v>27.171</v>
      </c>
      <c r="B816">
        <v>202.9</v>
      </c>
      <c r="C816">
        <v>25.834</v>
      </c>
      <c r="D816">
        <v>193.8</v>
      </c>
      <c r="G816">
        <v>27.137</v>
      </c>
      <c r="H816" s="8" t="s">
        <v>1522</v>
      </c>
      <c r="I816">
        <v>204.3</v>
      </c>
      <c r="K816">
        <f t="shared" si="36"/>
        <v>27.1</v>
      </c>
      <c r="L816">
        <f t="shared" si="37"/>
        <v>0.4897</v>
      </c>
      <c r="M816">
        <f t="shared" si="38"/>
        <v>0</v>
      </c>
    </row>
    <row r="817" spans="1:13">
      <c r="A817">
        <v>27.204</v>
      </c>
      <c r="B817">
        <v>202.5</v>
      </c>
      <c r="C817">
        <v>25.867</v>
      </c>
      <c r="D817">
        <v>191.7</v>
      </c>
      <c r="G817">
        <v>27.171</v>
      </c>
      <c r="H817" s="8" t="s">
        <v>1523</v>
      </c>
      <c r="I817">
        <v>202.9</v>
      </c>
      <c r="K817">
        <f t="shared" si="36"/>
        <v>27.15</v>
      </c>
      <c r="L817">
        <f t="shared" si="37"/>
        <v>0.4311</v>
      </c>
      <c r="M817">
        <f t="shared" si="38"/>
        <v>0</v>
      </c>
    </row>
    <row r="818" spans="1:13">
      <c r="A818">
        <v>27.237</v>
      </c>
      <c r="B818">
        <v>201.7</v>
      </c>
      <c r="C818">
        <v>25.901</v>
      </c>
      <c r="D818">
        <v>238.2</v>
      </c>
      <c r="G818">
        <v>27.204</v>
      </c>
      <c r="H818" s="8" t="s">
        <v>1524</v>
      </c>
      <c r="I818">
        <v>202.5</v>
      </c>
      <c r="K818">
        <f t="shared" si="36"/>
        <v>27.2</v>
      </c>
      <c r="L818">
        <f t="shared" si="37"/>
        <v>0.3768</v>
      </c>
      <c r="M818">
        <f t="shared" si="38"/>
        <v>0</v>
      </c>
    </row>
    <row r="819" spans="1:13">
      <c r="A819">
        <v>27.271</v>
      </c>
      <c r="B819">
        <v>199.5</v>
      </c>
      <c r="C819">
        <v>25.934</v>
      </c>
      <c r="D819">
        <v>238.2</v>
      </c>
      <c r="G819">
        <v>27.237</v>
      </c>
      <c r="H819" s="8" t="s">
        <v>1525</v>
      </c>
      <c r="I819">
        <v>201.7</v>
      </c>
      <c r="K819">
        <f t="shared" si="36"/>
        <v>27.2</v>
      </c>
      <c r="L819">
        <f t="shared" si="37"/>
        <v>0.3839</v>
      </c>
      <c r="M819">
        <f t="shared" si="38"/>
        <v>0</v>
      </c>
    </row>
    <row r="820" spans="1:13">
      <c r="A820">
        <v>27.304</v>
      </c>
      <c r="B820">
        <v>198.1</v>
      </c>
      <c r="C820">
        <v>25.968</v>
      </c>
      <c r="D820">
        <v>238.2</v>
      </c>
      <c r="G820">
        <v>27.271</v>
      </c>
      <c r="H820" s="8" t="s">
        <v>1525</v>
      </c>
      <c r="I820">
        <v>199.5</v>
      </c>
      <c r="K820">
        <f t="shared" si="36"/>
        <v>27.25</v>
      </c>
      <c r="L820">
        <f t="shared" si="37"/>
        <v>0.3839</v>
      </c>
      <c r="M820">
        <f t="shared" si="38"/>
        <v>0</v>
      </c>
    </row>
    <row r="821" spans="1:13">
      <c r="A821">
        <v>27.338</v>
      </c>
      <c r="B821">
        <v>197.6</v>
      </c>
      <c r="C821">
        <v>26.001</v>
      </c>
      <c r="D821">
        <v>238.2</v>
      </c>
      <c r="G821">
        <v>27.304</v>
      </c>
      <c r="H821" s="8" t="s">
        <v>1526</v>
      </c>
      <c r="I821">
        <v>198.1</v>
      </c>
      <c r="K821">
        <f t="shared" si="36"/>
        <v>27.3</v>
      </c>
      <c r="L821">
        <f t="shared" si="37"/>
        <v>0.3822</v>
      </c>
      <c r="M821">
        <f t="shared" si="38"/>
        <v>0</v>
      </c>
    </row>
    <row r="822" spans="1:13">
      <c r="A822">
        <v>27.371</v>
      </c>
      <c r="B822">
        <v>196.4</v>
      </c>
      <c r="C822">
        <v>26.034</v>
      </c>
      <c r="D822">
        <v>238.2</v>
      </c>
      <c r="G822">
        <v>27.338</v>
      </c>
      <c r="H822" s="8" t="s">
        <v>1527</v>
      </c>
      <c r="I822">
        <v>197.6</v>
      </c>
      <c r="K822">
        <f t="shared" si="36"/>
        <v>27.3</v>
      </c>
      <c r="L822">
        <f t="shared" si="37"/>
        <v>0.3848</v>
      </c>
      <c r="M822">
        <f t="shared" si="38"/>
        <v>0</v>
      </c>
    </row>
    <row r="823" spans="1:13">
      <c r="A823">
        <v>27.405</v>
      </c>
      <c r="B823">
        <v>195.4</v>
      </c>
      <c r="C823">
        <v>26.068</v>
      </c>
      <c r="D823">
        <v>238.4</v>
      </c>
      <c r="G823">
        <v>27.371</v>
      </c>
      <c r="H823" s="8" t="s">
        <v>1528</v>
      </c>
      <c r="I823">
        <v>196.4</v>
      </c>
      <c r="K823">
        <f t="shared" si="36"/>
        <v>27.35</v>
      </c>
      <c r="L823">
        <f t="shared" si="37"/>
        <v>0.3808</v>
      </c>
      <c r="M823">
        <f t="shared" si="38"/>
        <v>0</v>
      </c>
    </row>
    <row r="824" spans="1:13">
      <c r="A824">
        <v>27.438</v>
      </c>
      <c r="B824">
        <v>195</v>
      </c>
      <c r="C824">
        <v>26.101</v>
      </c>
      <c r="D824">
        <v>238.4</v>
      </c>
      <c r="G824">
        <v>27.405</v>
      </c>
      <c r="H824" s="8" t="s">
        <v>1529</v>
      </c>
      <c r="I824">
        <v>195.4</v>
      </c>
      <c r="K824">
        <f t="shared" si="36"/>
        <v>27.4</v>
      </c>
      <c r="L824">
        <f t="shared" si="37"/>
        <v>0.3813</v>
      </c>
      <c r="M824">
        <f t="shared" si="38"/>
        <v>0</v>
      </c>
    </row>
    <row r="825" spans="1:13">
      <c r="A825">
        <v>27.471</v>
      </c>
      <c r="B825">
        <v>194.5</v>
      </c>
      <c r="C825">
        <v>26.135</v>
      </c>
      <c r="D825">
        <v>238.4</v>
      </c>
      <c r="G825">
        <v>27.438</v>
      </c>
      <c r="H825" s="8" t="s">
        <v>1530</v>
      </c>
      <c r="I825">
        <v>195</v>
      </c>
      <c r="K825">
        <f t="shared" si="36"/>
        <v>27.4</v>
      </c>
      <c r="L825">
        <f t="shared" si="37"/>
        <v>0.3841</v>
      </c>
      <c r="M825">
        <f t="shared" si="38"/>
        <v>0</v>
      </c>
    </row>
    <row r="826" spans="1:13">
      <c r="A826">
        <v>27.505</v>
      </c>
      <c r="B826">
        <v>192.3</v>
      </c>
      <c r="C826">
        <v>26.168</v>
      </c>
      <c r="D826">
        <v>238.4</v>
      </c>
      <c r="G826">
        <v>27.471</v>
      </c>
      <c r="H826" s="8" t="s">
        <v>1526</v>
      </c>
      <c r="I826">
        <v>194.5</v>
      </c>
      <c r="K826">
        <f t="shared" si="36"/>
        <v>27.45</v>
      </c>
      <c r="L826">
        <f t="shared" si="37"/>
        <v>0.3822</v>
      </c>
      <c r="M826">
        <f t="shared" si="38"/>
        <v>0</v>
      </c>
    </row>
    <row r="827" spans="1:13">
      <c r="A827">
        <v>27.538</v>
      </c>
      <c r="B827">
        <v>238.4</v>
      </c>
      <c r="C827">
        <v>26.201</v>
      </c>
      <c r="D827">
        <v>238.4</v>
      </c>
      <c r="G827">
        <v>27.505</v>
      </c>
      <c r="H827" s="8" t="s">
        <v>1531</v>
      </c>
      <c r="I827">
        <v>192.3</v>
      </c>
      <c r="K827">
        <f t="shared" si="36"/>
        <v>27.5</v>
      </c>
      <c r="L827">
        <f t="shared" si="37"/>
        <v>0.3835</v>
      </c>
      <c r="M827">
        <f t="shared" si="38"/>
        <v>0</v>
      </c>
    </row>
    <row r="828" spans="1:13">
      <c r="A828">
        <v>27.572</v>
      </c>
      <c r="B828">
        <v>238.4</v>
      </c>
      <c r="C828">
        <v>26.235</v>
      </c>
      <c r="D828">
        <v>238.4</v>
      </c>
      <c r="G828">
        <v>27.538</v>
      </c>
      <c r="H828" s="8" t="s">
        <v>1526</v>
      </c>
      <c r="I828">
        <v>238.4</v>
      </c>
      <c r="K828">
        <f t="shared" si="36"/>
        <v>27.5</v>
      </c>
      <c r="L828">
        <f t="shared" si="37"/>
        <v>0.3822</v>
      </c>
      <c r="M828">
        <f t="shared" si="38"/>
        <v>5</v>
      </c>
    </row>
    <row r="829" spans="1:13">
      <c r="A829">
        <v>27.605</v>
      </c>
      <c r="B829">
        <v>238.4</v>
      </c>
      <c r="C829">
        <v>26.268</v>
      </c>
      <c r="D829">
        <v>238.4</v>
      </c>
      <c r="G829">
        <v>27.572</v>
      </c>
      <c r="H829" s="8" t="s">
        <v>1532</v>
      </c>
      <c r="I829">
        <v>238.4</v>
      </c>
      <c r="K829">
        <f t="shared" si="36"/>
        <v>27.55</v>
      </c>
      <c r="L829">
        <f t="shared" si="37"/>
        <v>0.3799</v>
      </c>
      <c r="M829">
        <f t="shared" si="38"/>
        <v>5</v>
      </c>
    </row>
    <row r="830" spans="1:13">
      <c r="A830">
        <v>27.639</v>
      </c>
      <c r="B830">
        <v>238.4</v>
      </c>
      <c r="C830">
        <v>26.302</v>
      </c>
      <c r="D830">
        <v>238.4</v>
      </c>
      <c r="G830">
        <v>27.605</v>
      </c>
      <c r="H830" s="8" t="s">
        <v>1533</v>
      </c>
      <c r="I830">
        <v>238.4</v>
      </c>
      <c r="K830">
        <f t="shared" si="36"/>
        <v>27.6</v>
      </c>
      <c r="L830">
        <f t="shared" si="37"/>
        <v>0.3825</v>
      </c>
      <c r="M830">
        <f t="shared" si="38"/>
        <v>5</v>
      </c>
    </row>
    <row r="831" spans="1:13">
      <c r="A831">
        <v>27.672</v>
      </c>
      <c r="B831">
        <v>238.4</v>
      </c>
      <c r="C831">
        <v>26.335</v>
      </c>
      <c r="D831">
        <v>238.4</v>
      </c>
      <c r="G831">
        <v>27.639</v>
      </c>
      <c r="H831" s="8" t="s">
        <v>1534</v>
      </c>
      <c r="I831">
        <v>238.4</v>
      </c>
      <c r="K831">
        <f t="shared" si="36"/>
        <v>27.6</v>
      </c>
      <c r="L831">
        <f t="shared" si="37"/>
        <v>0.4781</v>
      </c>
      <c r="M831">
        <f t="shared" si="38"/>
        <v>5</v>
      </c>
    </row>
    <row r="832" spans="1:13">
      <c r="A832">
        <v>27.705</v>
      </c>
      <c r="B832">
        <v>238.4</v>
      </c>
      <c r="C832">
        <v>26.369</v>
      </c>
      <c r="D832">
        <v>238.4</v>
      </c>
      <c r="G832">
        <v>27.672</v>
      </c>
      <c r="H832" s="8" t="s">
        <v>1535</v>
      </c>
      <c r="I832">
        <v>238.4</v>
      </c>
      <c r="K832">
        <f t="shared" si="36"/>
        <v>27.65</v>
      </c>
      <c r="L832">
        <f t="shared" si="37"/>
        <v>0.4871</v>
      </c>
      <c r="M832">
        <f t="shared" si="38"/>
        <v>5</v>
      </c>
    </row>
    <row r="833" spans="1:13">
      <c r="A833">
        <v>27.739</v>
      </c>
      <c r="B833">
        <v>238.4</v>
      </c>
      <c r="C833">
        <v>26.402</v>
      </c>
      <c r="D833">
        <v>238.4</v>
      </c>
      <c r="G833">
        <v>27.705</v>
      </c>
      <c r="H833" s="8" t="s">
        <v>1536</v>
      </c>
      <c r="I833">
        <v>238.4</v>
      </c>
      <c r="K833">
        <f t="shared" si="36"/>
        <v>27.7</v>
      </c>
      <c r="L833">
        <f t="shared" si="37"/>
        <v>0.4838</v>
      </c>
      <c r="M833">
        <f t="shared" si="38"/>
        <v>5</v>
      </c>
    </row>
    <row r="834" spans="1:13">
      <c r="A834">
        <v>27.772</v>
      </c>
      <c r="B834">
        <v>238.4</v>
      </c>
      <c r="C834">
        <v>26.435</v>
      </c>
      <c r="D834">
        <v>238.4</v>
      </c>
      <c r="G834">
        <v>27.739</v>
      </c>
      <c r="H834" s="8" t="s">
        <v>1537</v>
      </c>
      <c r="I834">
        <v>238.4</v>
      </c>
      <c r="K834">
        <f t="shared" si="36"/>
        <v>27.7</v>
      </c>
      <c r="L834">
        <f t="shared" si="37"/>
        <v>0.4954</v>
      </c>
      <c r="M834">
        <f t="shared" si="38"/>
        <v>5</v>
      </c>
    </row>
    <row r="835" spans="1:13">
      <c r="A835">
        <v>27.806</v>
      </c>
      <c r="B835">
        <v>238.4</v>
      </c>
      <c r="C835">
        <v>26.469</v>
      </c>
      <c r="D835">
        <v>238.4</v>
      </c>
      <c r="G835">
        <v>27.772</v>
      </c>
      <c r="H835" s="8" t="s">
        <v>1521</v>
      </c>
      <c r="I835">
        <v>238.4</v>
      </c>
      <c r="K835">
        <f t="shared" si="36"/>
        <v>27.75</v>
      </c>
      <c r="L835">
        <f t="shared" si="37"/>
        <v>0.5022</v>
      </c>
      <c r="M835">
        <f t="shared" si="38"/>
        <v>5</v>
      </c>
    </row>
    <row r="836" spans="1:13">
      <c r="A836">
        <v>27.839</v>
      </c>
      <c r="B836">
        <v>238.4</v>
      </c>
      <c r="C836">
        <v>26.502</v>
      </c>
      <c r="D836">
        <v>238.4</v>
      </c>
      <c r="G836">
        <v>27.806</v>
      </c>
      <c r="H836" s="8" t="s">
        <v>1538</v>
      </c>
      <c r="I836">
        <v>238.4</v>
      </c>
      <c r="K836">
        <f t="shared" ref="K836:K899" si="39">FLOOR(G836,0.05)</f>
        <v>27.8</v>
      </c>
      <c r="L836">
        <f t="shared" si="37"/>
        <v>0.5007</v>
      </c>
      <c r="M836">
        <f t="shared" si="38"/>
        <v>5</v>
      </c>
    </row>
    <row r="837" spans="1:13">
      <c r="A837">
        <v>27.872</v>
      </c>
      <c r="B837">
        <v>238.4</v>
      </c>
      <c r="C837">
        <v>26.536</v>
      </c>
      <c r="D837">
        <v>238.4</v>
      </c>
      <c r="G837">
        <v>27.839</v>
      </c>
      <c r="H837" s="8" t="s">
        <v>1539</v>
      </c>
      <c r="I837">
        <v>238.4</v>
      </c>
      <c r="K837">
        <f t="shared" si="39"/>
        <v>27.8</v>
      </c>
      <c r="L837">
        <f t="shared" ref="L837:L900" si="40">H837*100</f>
        <v>0.4975</v>
      </c>
      <c r="M837">
        <f t="shared" ref="M837:M900" si="41">IF(I837&lt;230,0,5)</f>
        <v>5</v>
      </c>
    </row>
    <row r="838" spans="1:13">
      <c r="A838">
        <v>27.906</v>
      </c>
      <c r="B838">
        <v>238.4</v>
      </c>
      <c r="C838">
        <v>26.569</v>
      </c>
      <c r="D838">
        <v>238.4</v>
      </c>
      <c r="G838">
        <v>27.872</v>
      </c>
      <c r="H838" s="8" t="s">
        <v>1540</v>
      </c>
      <c r="I838">
        <v>238.4</v>
      </c>
      <c r="K838">
        <f t="shared" si="39"/>
        <v>27.85</v>
      </c>
      <c r="L838">
        <f t="shared" si="40"/>
        <v>0.5055</v>
      </c>
      <c r="M838">
        <f t="shared" si="41"/>
        <v>5</v>
      </c>
    </row>
    <row r="839" spans="1:13">
      <c r="A839">
        <v>27.939</v>
      </c>
      <c r="B839">
        <v>238.4</v>
      </c>
      <c r="C839">
        <v>26.603</v>
      </c>
      <c r="D839">
        <v>238.4</v>
      </c>
      <c r="G839">
        <v>27.906</v>
      </c>
      <c r="H839" s="8" t="s">
        <v>1541</v>
      </c>
      <c r="I839">
        <v>238.4</v>
      </c>
      <c r="K839">
        <f t="shared" si="39"/>
        <v>27.9</v>
      </c>
      <c r="L839">
        <f t="shared" si="40"/>
        <v>0.5057</v>
      </c>
      <c r="M839">
        <f t="shared" si="41"/>
        <v>5</v>
      </c>
    </row>
    <row r="840" spans="1:13">
      <c r="A840">
        <v>27.973</v>
      </c>
      <c r="B840">
        <v>238.4</v>
      </c>
      <c r="C840">
        <v>26.636</v>
      </c>
      <c r="D840">
        <v>238.4</v>
      </c>
      <c r="G840">
        <v>27.939</v>
      </c>
      <c r="H840" s="8" t="s">
        <v>1542</v>
      </c>
      <c r="I840">
        <v>238.4</v>
      </c>
      <c r="K840">
        <f t="shared" si="39"/>
        <v>27.9</v>
      </c>
      <c r="L840">
        <f t="shared" si="40"/>
        <v>0.503</v>
      </c>
      <c r="M840">
        <f t="shared" si="41"/>
        <v>5</v>
      </c>
    </row>
    <row r="841" spans="1:13">
      <c r="A841">
        <v>28.006</v>
      </c>
      <c r="B841">
        <v>238.4</v>
      </c>
      <c r="C841">
        <v>26.669</v>
      </c>
      <c r="D841">
        <v>238.4</v>
      </c>
      <c r="G841">
        <v>27.973</v>
      </c>
      <c r="H841" s="8" t="s">
        <v>1543</v>
      </c>
      <c r="I841">
        <v>238.4</v>
      </c>
      <c r="K841">
        <f t="shared" si="39"/>
        <v>27.95</v>
      </c>
      <c r="L841">
        <f t="shared" si="40"/>
        <v>0.5233</v>
      </c>
      <c r="M841">
        <f t="shared" si="41"/>
        <v>5</v>
      </c>
    </row>
    <row r="842" spans="1:13">
      <c r="A842">
        <v>28.04</v>
      </c>
      <c r="B842">
        <v>238.4</v>
      </c>
      <c r="C842">
        <v>26.703</v>
      </c>
      <c r="D842">
        <v>238.4</v>
      </c>
      <c r="G842">
        <v>28.006</v>
      </c>
      <c r="H842" s="8" t="s">
        <v>1544</v>
      </c>
      <c r="I842">
        <v>238.4</v>
      </c>
      <c r="K842">
        <f t="shared" si="39"/>
        <v>28</v>
      </c>
      <c r="L842">
        <f t="shared" si="40"/>
        <v>0.5546</v>
      </c>
      <c r="M842">
        <f t="shared" si="41"/>
        <v>5</v>
      </c>
    </row>
    <row r="843" spans="1:13">
      <c r="A843">
        <v>28.073</v>
      </c>
      <c r="B843">
        <v>238.4</v>
      </c>
      <c r="C843">
        <v>26.736</v>
      </c>
      <c r="D843">
        <v>215.1</v>
      </c>
      <c r="G843">
        <v>28.04</v>
      </c>
      <c r="H843" s="8" t="s">
        <v>1545</v>
      </c>
      <c r="I843">
        <v>238.4</v>
      </c>
      <c r="K843">
        <f t="shared" si="39"/>
        <v>28</v>
      </c>
      <c r="L843">
        <f t="shared" si="40"/>
        <v>0.5554</v>
      </c>
      <c r="M843">
        <f t="shared" si="41"/>
        <v>5</v>
      </c>
    </row>
    <row r="844" spans="1:13">
      <c r="A844">
        <v>28.106</v>
      </c>
      <c r="B844">
        <v>238.4</v>
      </c>
      <c r="C844">
        <v>26.77</v>
      </c>
      <c r="D844">
        <v>218.3</v>
      </c>
      <c r="G844">
        <v>28.073</v>
      </c>
      <c r="H844" s="8" t="s">
        <v>1546</v>
      </c>
      <c r="I844">
        <v>238.4</v>
      </c>
      <c r="K844">
        <f t="shared" si="39"/>
        <v>28.05</v>
      </c>
      <c r="L844">
        <f t="shared" si="40"/>
        <v>0.5574</v>
      </c>
      <c r="M844">
        <f t="shared" si="41"/>
        <v>5</v>
      </c>
    </row>
    <row r="845" spans="1:13">
      <c r="A845">
        <v>28.14</v>
      </c>
      <c r="B845">
        <v>238.4</v>
      </c>
      <c r="C845">
        <v>26.803</v>
      </c>
      <c r="D845">
        <v>217.7</v>
      </c>
      <c r="G845">
        <v>28.106</v>
      </c>
      <c r="H845" s="8" t="s">
        <v>1547</v>
      </c>
      <c r="I845">
        <v>238.4</v>
      </c>
      <c r="K845">
        <f t="shared" si="39"/>
        <v>28.1</v>
      </c>
      <c r="L845">
        <f t="shared" si="40"/>
        <v>0.5127</v>
      </c>
      <c r="M845">
        <f t="shared" si="41"/>
        <v>5</v>
      </c>
    </row>
    <row r="846" spans="1:13">
      <c r="A846">
        <v>28.173</v>
      </c>
      <c r="B846">
        <v>238.4</v>
      </c>
      <c r="C846">
        <v>26.836</v>
      </c>
      <c r="D846">
        <v>216.8</v>
      </c>
      <c r="G846">
        <v>28.14</v>
      </c>
      <c r="H846" s="8" t="s">
        <v>1548</v>
      </c>
      <c r="I846">
        <v>238.4</v>
      </c>
      <c r="K846">
        <f t="shared" si="39"/>
        <v>28.1</v>
      </c>
      <c r="L846">
        <f t="shared" si="40"/>
        <v>0.5609</v>
      </c>
      <c r="M846">
        <f t="shared" si="41"/>
        <v>5</v>
      </c>
    </row>
    <row r="847" spans="1:13">
      <c r="A847">
        <v>28.207</v>
      </c>
      <c r="B847">
        <v>238.4</v>
      </c>
      <c r="C847">
        <v>26.87</v>
      </c>
      <c r="D847">
        <v>214.7</v>
      </c>
      <c r="G847">
        <v>28.173</v>
      </c>
      <c r="H847" s="8" t="s">
        <v>1549</v>
      </c>
      <c r="I847">
        <v>238.4</v>
      </c>
      <c r="K847">
        <f t="shared" si="39"/>
        <v>28.15</v>
      </c>
      <c r="L847">
        <f t="shared" si="40"/>
        <v>0.4971</v>
      </c>
      <c r="M847">
        <f t="shared" si="41"/>
        <v>5</v>
      </c>
    </row>
    <row r="848" spans="1:13">
      <c r="A848">
        <v>28.24</v>
      </c>
      <c r="B848">
        <v>238.4</v>
      </c>
      <c r="C848">
        <v>26.903</v>
      </c>
      <c r="D848">
        <v>213.7</v>
      </c>
      <c r="G848">
        <v>28.207</v>
      </c>
      <c r="H848" s="8" t="s">
        <v>1550</v>
      </c>
      <c r="I848">
        <v>238.4</v>
      </c>
      <c r="K848">
        <f t="shared" si="39"/>
        <v>28.2</v>
      </c>
      <c r="L848">
        <f t="shared" si="40"/>
        <v>0.4957</v>
      </c>
      <c r="M848">
        <f t="shared" si="41"/>
        <v>5</v>
      </c>
    </row>
    <row r="849" spans="1:13">
      <c r="A849">
        <v>28.274</v>
      </c>
      <c r="B849">
        <v>238.4</v>
      </c>
      <c r="C849">
        <v>26.937</v>
      </c>
      <c r="D849">
        <v>212.7</v>
      </c>
      <c r="G849">
        <v>28.24</v>
      </c>
      <c r="H849" s="8" t="s">
        <v>1551</v>
      </c>
      <c r="I849">
        <v>238.4</v>
      </c>
      <c r="K849">
        <f t="shared" si="39"/>
        <v>28.2</v>
      </c>
      <c r="L849">
        <f t="shared" si="40"/>
        <v>0.4998</v>
      </c>
      <c r="M849">
        <f t="shared" si="41"/>
        <v>5</v>
      </c>
    </row>
    <row r="850" spans="1:13">
      <c r="A850">
        <v>28.307</v>
      </c>
      <c r="B850">
        <v>238.4</v>
      </c>
      <c r="C850">
        <v>26.97</v>
      </c>
      <c r="D850">
        <v>210.2</v>
      </c>
      <c r="G850">
        <v>28.274</v>
      </c>
      <c r="H850" s="8" t="s">
        <v>1484</v>
      </c>
      <c r="I850">
        <v>238.4</v>
      </c>
      <c r="K850">
        <f t="shared" si="39"/>
        <v>28.25</v>
      </c>
      <c r="L850">
        <f t="shared" si="40"/>
        <v>0.4997</v>
      </c>
      <c r="M850">
        <f t="shared" si="41"/>
        <v>5</v>
      </c>
    </row>
    <row r="851" spans="1:13">
      <c r="A851">
        <v>28.34</v>
      </c>
      <c r="B851">
        <v>238.4</v>
      </c>
      <c r="C851">
        <v>27.004</v>
      </c>
      <c r="D851">
        <v>209.9</v>
      </c>
      <c r="G851">
        <v>28.307</v>
      </c>
      <c r="H851" s="8" t="s">
        <v>1183</v>
      </c>
      <c r="I851">
        <v>238.4</v>
      </c>
      <c r="K851">
        <f t="shared" si="39"/>
        <v>28.3</v>
      </c>
      <c r="L851">
        <f t="shared" si="40"/>
        <v>0.4851</v>
      </c>
      <c r="M851">
        <f t="shared" si="41"/>
        <v>5</v>
      </c>
    </row>
    <row r="852" spans="1:13">
      <c r="A852">
        <v>28.374</v>
      </c>
      <c r="B852">
        <v>215.2</v>
      </c>
      <c r="C852">
        <v>27.037</v>
      </c>
      <c r="D852">
        <v>209.3</v>
      </c>
      <c r="G852">
        <v>28.34</v>
      </c>
      <c r="H852" s="8" t="s">
        <v>1552</v>
      </c>
      <c r="I852">
        <v>238.4</v>
      </c>
      <c r="K852">
        <f t="shared" si="39"/>
        <v>28.3</v>
      </c>
      <c r="L852">
        <f t="shared" si="40"/>
        <v>0.4817</v>
      </c>
      <c r="M852">
        <f t="shared" si="41"/>
        <v>5</v>
      </c>
    </row>
    <row r="853" spans="1:13">
      <c r="A853">
        <v>28.407</v>
      </c>
      <c r="B853">
        <v>218.6</v>
      </c>
      <c r="C853">
        <v>27.07</v>
      </c>
      <c r="D853">
        <v>206.5</v>
      </c>
      <c r="G853">
        <v>28.374</v>
      </c>
      <c r="H853" s="8" t="s">
        <v>1553</v>
      </c>
      <c r="I853">
        <v>215.2</v>
      </c>
      <c r="K853">
        <f t="shared" si="39"/>
        <v>28.35</v>
      </c>
      <c r="L853">
        <f t="shared" si="40"/>
        <v>0.5038</v>
      </c>
      <c r="M853">
        <f t="shared" si="41"/>
        <v>0</v>
      </c>
    </row>
    <row r="854" spans="1:13">
      <c r="A854">
        <v>28.441</v>
      </c>
      <c r="B854">
        <v>217.2</v>
      </c>
      <c r="C854">
        <v>27.104</v>
      </c>
      <c r="D854">
        <v>206.3</v>
      </c>
      <c r="G854">
        <v>28.407</v>
      </c>
      <c r="H854" s="8" t="s">
        <v>1554</v>
      </c>
      <c r="I854">
        <v>218.6</v>
      </c>
      <c r="K854">
        <f t="shared" si="39"/>
        <v>28.4</v>
      </c>
      <c r="L854">
        <f t="shared" si="40"/>
        <v>0.4981</v>
      </c>
      <c r="M854">
        <f t="shared" si="41"/>
        <v>0</v>
      </c>
    </row>
    <row r="855" spans="1:13">
      <c r="A855">
        <v>28.474</v>
      </c>
      <c r="B855">
        <v>215.9</v>
      </c>
      <c r="C855">
        <v>27.137</v>
      </c>
      <c r="D855">
        <v>204.3</v>
      </c>
      <c r="G855">
        <v>28.441</v>
      </c>
      <c r="H855" s="8" t="s">
        <v>1555</v>
      </c>
      <c r="I855">
        <v>217.2</v>
      </c>
      <c r="K855">
        <f t="shared" si="39"/>
        <v>28.4</v>
      </c>
      <c r="L855">
        <f t="shared" si="40"/>
        <v>0.4688</v>
      </c>
      <c r="M855">
        <f t="shared" si="41"/>
        <v>0</v>
      </c>
    </row>
    <row r="856" spans="1:13">
      <c r="A856">
        <v>28.507</v>
      </c>
      <c r="B856">
        <v>215</v>
      </c>
      <c r="C856">
        <v>27.171</v>
      </c>
      <c r="D856">
        <v>202.9</v>
      </c>
      <c r="G856">
        <v>28.474</v>
      </c>
      <c r="H856" s="8" t="s">
        <v>1556</v>
      </c>
      <c r="I856">
        <v>215.9</v>
      </c>
      <c r="K856">
        <f t="shared" si="39"/>
        <v>28.45</v>
      </c>
      <c r="L856">
        <f t="shared" si="40"/>
        <v>0.4686</v>
      </c>
      <c r="M856">
        <f t="shared" si="41"/>
        <v>0</v>
      </c>
    </row>
    <row r="857" spans="1:13">
      <c r="A857">
        <v>28.541</v>
      </c>
      <c r="B857">
        <v>213.1</v>
      </c>
      <c r="C857">
        <v>27.204</v>
      </c>
      <c r="D857">
        <v>202.5</v>
      </c>
      <c r="G857">
        <v>28.507</v>
      </c>
      <c r="H857" s="8" t="s">
        <v>1557</v>
      </c>
      <c r="I857">
        <v>215</v>
      </c>
      <c r="K857">
        <f t="shared" si="39"/>
        <v>28.5</v>
      </c>
      <c r="L857">
        <f t="shared" si="40"/>
        <v>0.4598</v>
      </c>
      <c r="M857">
        <f t="shared" si="41"/>
        <v>0</v>
      </c>
    </row>
    <row r="858" spans="1:13">
      <c r="A858">
        <v>28.574</v>
      </c>
      <c r="B858">
        <v>211.4</v>
      </c>
      <c r="C858">
        <v>27.237</v>
      </c>
      <c r="D858">
        <v>201.7</v>
      </c>
      <c r="G858">
        <v>28.541</v>
      </c>
      <c r="H858" s="8" t="s">
        <v>1558</v>
      </c>
      <c r="I858">
        <v>213.1</v>
      </c>
      <c r="K858">
        <f t="shared" si="39"/>
        <v>28.5</v>
      </c>
      <c r="L858">
        <f t="shared" si="40"/>
        <v>0.383</v>
      </c>
      <c r="M858">
        <f t="shared" si="41"/>
        <v>0</v>
      </c>
    </row>
    <row r="859" spans="1:13">
      <c r="A859">
        <v>28.608</v>
      </c>
      <c r="B859">
        <v>210.3</v>
      </c>
      <c r="C859">
        <v>27.271</v>
      </c>
      <c r="D859">
        <v>199.5</v>
      </c>
      <c r="G859">
        <v>28.574</v>
      </c>
      <c r="H859" s="8" t="s">
        <v>750</v>
      </c>
      <c r="I859">
        <v>211.4</v>
      </c>
      <c r="K859">
        <f t="shared" si="39"/>
        <v>28.55</v>
      </c>
      <c r="L859">
        <f t="shared" si="40"/>
        <v>0.3565</v>
      </c>
      <c r="M859">
        <f t="shared" si="41"/>
        <v>0</v>
      </c>
    </row>
    <row r="860" spans="1:13">
      <c r="A860">
        <v>28.641</v>
      </c>
      <c r="B860">
        <v>209.5</v>
      </c>
      <c r="C860">
        <v>27.304</v>
      </c>
      <c r="D860">
        <v>198.1</v>
      </c>
      <c r="G860">
        <v>28.608</v>
      </c>
      <c r="H860" s="8" t="s">
        <v>1559</v>
      </c>
      <c r="I860">
        <v>210.3</v>
      </c>
      <c r="K860">
        <f t="shared" si="39"/>
        <v>28.6</v>
      </c>
      <c r="L860">
        <f t="shared" si="40"/>
        <v>0.3787</v>
      </c>
      <c r="M860">
        <f t="shared" si="41"/>
        <v>0</v>
      </c>
    </row>
    <row r="861" spans="1:13">
      <c r="A861">
        <v>28.675</v>
      </c>
      <c r="B861">
        <v>208.6</v>
      </c>
      <c r="C861">
        <v>27.338</v>
      </c>
      <c r="D861">
        <v>197.6</v>
      </c>
      <c r="G861">
        <v>28.641</v>
      </c>
      <c r="H861" s="8" t="s">
        <v>1560</v>
      </c>
      <c r="I861">
        <v>209.5</v>
      </c>
      <c r="K861">
        <f t="shared" si="39"/>
        <v>28.6</v>
      </c>
      <c r="L861">
        <f t="shared" si="40"/>
        <v>0.3776</v>
      </c>
      <c r="M861">
        <f t="shared" si="41"/>
        <v>0</v>
      </c>
    </row>
    <row r="862" spans="1:13">
      <c r="A862">
        <v>28.708</v>
      </c>
      <c r="B862">
        <v>207.5</v>
      </c>
      <c r="C862">
        <v>27.371</v>
      </c>
      <c r="D862">
        <v>196.4</v>
      </c>
      <c r="G862">
        <v>28.675</v>
      </c>
      <c r="H862" s="8" t="s">
        <v>1524</v>
      </c>
      <c r="I862">
        <v>208.6</v>
      </c>
      <c r="K862">
        <f t="shared" si="39"/>
        <v>28.65</v>
      </c>
      <c r="L862">
        <f t="shared" si="40"/>
        <v>0.3768</v>
      </c>
      <c r="M862">
        <f t="shared" si="41"/>
        <v>0</v>
      </c>
    </row>
    <row r="863" spans="1:13">
      <c r="A863">
        <v>28.741</v>
      </c>
      <c r="B863">
        <v>206.3</v>
      </c>
      <c r="C863">
        <v>27.405</v>
      </c>
      <c r="D863">
        <v>195.4</v>
      </c>
      <c r="G863">
        <v>28.708</v>
      </c>
      <c r="H863" s="8" t="s">
        <v>1561</v>
      </c>
      <c r="I863">
        <v>207.5</v>
      </c>
      <c r="K863">
        <f t="shared" si="39"/>
        <v>28.7</v>
      </c>
      <c r="L863">
        <f t="shared" si="40"/>
        <v>0.3786</v>
      </c>
      <c r="M863">
        <f t="shared" si="41"/>
        <v>0</v>
      </c>
    </row>
    <row r="864" spans="1:13">
      <c r="A864">
        <v>28.775</v>
      </c>
      <c r="B864">
        <v>204.8</v>
      </c>
      <c r="C864">
        <v>27.438</v>
      </c>
      <c r="D864">
        <v>195</v>
      </c>
      <c r="G864">
        <v>28.741</v>
      </c>
      <c r="H864" s="8" t="s">
        <v>1562</v>
      </c>
      <c r="I864">
        <v>206.3</v>
      </c>
      <c r="K864">
        <f t="shared" si="39"/>
        <v>28.7</v>
      </c>
      <c r="L864">
        <f t="shared" si="40"/>
        <v>0.3793</v>
      </c>
      <c r="M864">
        <f t="shared" si="41"/>
        <v>0</v>
      </c>
    </row>
    <row r="865" spans="1:13">
      <c r="A865">
        <v>28.808</v>
      </c>
      <c r="B865">
        <v>203.5</v>
      </c>
      <c r="C865">
        <v>27.471</v>
      </c>
      <c r="D865">
        <v>194.5</v>
      </c>
      <c r="G865">
        <v>28.775</v>
      </c>
      <c r="H865" s="8" t="s">
        <v>1563</v>
      </c>
      <c r="I865">
        <v>204.8</v>
      </c>
      <c r="K865">
        <f t="shared" si="39"/>
        <v>28.75</v>
      </c>
      <c r="L865">
        <f t="shared" si="40"/>
        <v>0.3798</v>
      </c>
      <c r="M865">
        <f t="shared" si="41"/>
        <v>0</v>
      </c>
    </row>
    <row r="866" spans="1:13">
      <c r="A866">
        <v>28.842</v>
      </c>
      <c r="B866">
        <v>203.2</v>
      </c>
      <c r="C866">
        <v>27.505</v>
      </c>
      <c r="D866">
        <v>192.3</v>
      </c>
      <c r="G866">
        <v>28.808</v>
      </c>
      <c r="H866" s="8" t="s">
        <v>1564</v>
      </c>
      <c r="I866">
        <v>203.5</v>
      </c>
      <c r="K866">
        <f t="shared" si="39"/>
        <v>28.8</v>
      </c>
      <c r="L866">
        <f t="shared" si="40"/>
        <v>0.3817</v>
      </c>
      <c r="M866">
        <f t="shared" si="41"/>
        <v>0</v>
      </c>
    </row>
    <row r="867" spans="1:13">
      <c r="A867">
        <v>28.875</v>
      </c>
      <c r="B867">
        <v>202.5</v>
      </c>
      <c r="C867">
        <v>27.538</v>
      </c>
      <c r="D867">
        <v>238.4</v>
      </c>
      <c r="G867">
        <v>28.842</v>
      </c>
      <c r="H867" s="8" t="s">
        <v>1525</v>
      </c>
      <c r="I867">
        <v>203.2</v>
      </c>
      <c r="K867">
        <f t="shared" si="39"/>
        <v>28.8</v>
      </c>
      <c r="L867">
        <f t="shared" si="40"/>
        <v>0.3839</v>
      </c>
      <c r="M867">
        <f t="shared" si="41"/>
        <v>0</v>
      </c>
    </row>
    <row r="868" spans="1:13">
      <c r="A868">
        <v>28.909</v>
      </c>
      <c r="B868">
        <v>200.4</v>
      </c>
      <c r="C868">
        <v>27.572</v>
      </c>
      <c r="D868">
        <v>238.4</v>
      </c>
      <c r="G868">
        <v>28.875</v>
      </c>
      <c r="H868" s="8" t="s">
        <v>982</v>
      </c>
      <c r="I868">
        <v>202.5</v>
      </c>
      <c r="K868">
        <f t="shared" si="39"/>
        <v>28.85</v>
      </c>
      <c r="L868">
        <f t="shared" si="40"/>
        <v>0.377</v>
      </c>
      <c r="M868">
        <f t="shared" si="41"/>
        <v>0</v>
      </c>
    </row>
    <row r="869" spans="1:13">
      <c r="A869">
        <v>28.942</v>
      </c>
      <c r="B869">
        <v>199.3</v>
      </c>
      <c r="C869">
        <v>27.605</v>
      </c>
      <c r="D869">
        <v>238.4</v>
      </c>
      <c r="G869">
        <v>28.909</v>
      </c>
      <c r="H869" s="8" t="s">
        <v>1565</v>
      </c>
      <c r="I869">
        <v>200.4</v>
      </c>
      <c r="K869">
        <f t="shared" si="39"/>
        <v>28.9</v>
      </c>
      <c r="L869">
        <f t="shared" si="40"/>
        <v>0.4721</v>
      </c>
      <c r="M869">
        <f t="shared" si="41"/>
        <v>0</v>
      </c>
    </row>
    <row r="870" spans="1:13">
      <c r="A870">
        <v>28.975</v>
      </c>
      <c r="B870">
        <v>197.3</v>
      </c>
      <c r="C870">
        <v>27.639</v>
      </c>
      <c r="D870">
        <v>238.4</v>
      </c>
      <c r="G870">
        <v>28.942</v>
      </c>
      <c r="H870" s="8" t="s">
        <v>1347</v>
      </c>
      <c r="I870">
        <v>199.3</v>
      </c>
      <c r="K870">
        <f t="shared" si="39"/>
        <v>28.9</v>
      </c>
      <c r="L870">
        <f t="shared" si="40"/>
        <v>0.4875</v>
      </c>
      <c r="M870">
        <f t="shared" si="41"/>
        <v>0</v>
      </c>
    </row>
    <row r="871" spans="1:13">
      <c r="A871">
        <v>29.009</v>
      </c>
      <c r="B871">
        <v>197</v>
      </c>
      <c r="C871">
        <v>27.672</v>
      </c>
      <c r="D871">
        <v>238.4</v>
      </c>
      <c r="G871">
        <v>28.975</v>
      </c>
      <c r="H871" s="8" t="s">
        <v>1506</v>
      </c>
      <c r="I871">
        <v>197.3</v>
      </c>
      <c r="K871">
        <f t="shared" si="39"/>
        <v>28.95</v>
      </c>
      <c r="L871">
        <f t="shared" si="40"/>
        <v>0.4906</v>
      </c>
      <c r="M871">
        <f t="shared" si="41"/>
        <v>0</v>
      </c>
    </row>
    <row r="872" spans="1:13">
      <c r="A872">
        <v>29.042</v>
      </c>
      <c r="B872">
        <v>196</v>
      </c>
      <c r="C872">
        <v>27.705</v>
      </c>
      <c r="D872">
        <v>238.4</v>
      </c>
      <c r="G872">
        <v>29.009</v>
      </c>
      <c r="H872" s="8" t="s">
        <v>1551</v>
      </c>
      <c r="I872">
        <v>197</v>
      </c>
      <c r="K872">
        <f t="shared" si="39"/>
        <v>29</v>
      </c>
      <c r="L872">
        <f t="shared" si="40"/>
        <v>0.4998</v>
      </c>
      <c r="M872">
        <f t="shared" si="41"/>
        <v>0</v>
      </c>
    </row>
    <row r="873" spans="1:13">
      <c r="A873">
        <v>29.076</v>
      </c>
      <c r="B873">
        <v>194.4</v>
      </c>
      <c r="C873">
        <v>27.739</v>
      </c>
      <c r="D873">
        <v>238.4</v>
      </c>
      <c r="G873">
        <v>29.042</v>
      </c>
      <c r="H873" s="8" t="s">
        <v>1566</v>
      </c>
      <c r="I873">
        <v>196</v>
      </c>
      <c r="K873">
        <f t="shared" si="39"/>
        <v>29</v>
      </c>
      <c r="L873">
        <f t="shared" si="40"/>
        <v>0.509</v>
      </c>
      <c r="M873">
        <f t="shared" si="41"/>
        <v>0</v>
      </c>
    </row>
    <row r="874" spans="1:13">
      <c r="A874">
        <v>29.109</v>
      </c>
      <c r="B874">
        <v>194.1</v>
      </c>
      <c r="C874">
        <v>27.772</v>
      </c>
      <c r="D874">
        <v>238.4</v>
      </c>
      <c r="G874">
        <v>29.076</v>
      </c>
      <c r="H874" s="8" t="s">
        <v>1114</v>
      </c>
      <c r="I874">
        <v>194.4</v>
      </c>
      <c r="K874">
        <f t="shared" si="39"/>
        <v>29.05</v>
      </c>
      <c r="L874">
        <f t="shared" si="40"/>
        <v>0.496</v>
      </c>
      <c r="M874">
        <f t="shared" si="41"/>
        <v>0</v>
      </c>
    </row>
    <row r="875" spans="1:13">
      <c r="A875">
        <v>29.142</v>
      </c>
      <c r="B875">
        <v>232.4</v>
      </c>
      <c r="C875">
        <v>27.806</v>
      </c>
      <c r="D875">
        <v>238.4</v>
      </c>
      <c r="G875">
        <v>29.109</v>
      </c>
      <c r="H875" s="8" t="s">
        <v>1567</v>
      </c>
      <c r="I875">
        <v>194.1</v>
      </c>
      <c r="K875">
        <f t="shared" si="39"/>
        <v>29.1</v>
      </c>
      <c r="L875">
        <f t="shared" si="40"/>
        <v>0.4935</v>
      </c>
      <c r="M875">
        <f t="shared" si="41"/>
        <v>0</v>
      </c>
    </row>
    <row r="876" spans="1:13">
      <c r="A876">
        <v>29.176</v>
      </c>
      <c r="B876">
        <v>238.4</v>
      </c>
      <c r="C876">
        <v>27.839</v>
      </c>
      <c r="D876">
        <v>238.4</v>
      </c>
      <c r="G876">
        <v>29.142</v>
      </c>
      <c r="H876" s="8" t="s">
        <v>1568</v>
      </c>
      <c r="I876">
        <v>232.4</v>
      </c>
      <c r="K876">
        <f t="shared" si="39"/>
        <v>29.1</v>
      </c>
      <c r="L876">
        <f t="shared" si="40"/>
        <v>0.4938</v>
      </c>
      <c r="M876">
        <f t="shared" si="41"/>
        <v>5</v>
      </c>
    </row>
    <row r="877" spans="1:13">
      <c r="A877">
        <v>29.209</v>
      </c>
      <c r="B877">
        <v>238.4</v>
      </c>
      <c r="C877">
        <v>27.872</v>
      </c>
      <c r="D877">
        <v>238.4</v>
      </c>
      <c r="G877">
        <v>29.176</v>
      </c>
      <c r="H877" s="8" t="s">
        <v>1569</v>
      </c>
      <c r="I877">
        <v>238.4</v>
      </c>
      <c r="K877">
        <f t="shared" si="39"/>
        <v>29.15</v>
      </c>
      <c r="L877">
        <f t="shared" si="40"/>
        <v>0.4861</v>
      </c>
      <c r="M877">
        <f t="shared" si="41"/>
        <v>5</v>
      </c>
    </row>
    <row r="878" spans="1:13">
      <c r="A878">
        <v>29.243</v>
      </c>
      <c r="B878">
        <v>238.4</v>
      </c>
      <c r="C878">
        <v>27.906</v>
      </c>
      <c r="D878">
        <v>238.4</v>
      </c>
      <c r="G878">
        <v>29.209</v>
      </c>
      <c r="H878" s="8" t="s">
        <v>1570</v>
      </c>
      <c r="I878">
        <v>238.4</v>
      </c>
      <c r="K878">
        <f t="shared" si="39"/>
        <v>29.2</v>
      </c>
      <c r="L878">
        <f t="shared" si="40"/>
        <v>0.4968</v>
      </c>
      <c r="M878">
        <f t="shared" si="41"/>
        <v>5</v>
      </c>
    </row>
    <row r="879" spans="1:13">
      <c r="A879">
        <v>29.276</v>
      </c>
      <c r="B879">
        <v>238.4</v>
      </c>
      <c r="C879">
        <v>27.939</v>
      </c>
      <c r="D879">
        <v>238.4</v>
      </c>
      <c r="G879">
        <v>29.243</v>
      </c>
      <c r="H879" s="8" t="s">
        <v>1571</v>
      </c>
      <c r="I879">
        <v>238.4</v>
      </c>
      <c r="K879">
        <f t="shared" si="39"/>
        <v>29.2</v>
      </c>
      <c r="L879">
        <f t="shared" si="40"/>
        <v>0.5042</v>
      </c>
      <c r="M879">
        <f t="shared" si="41"/>
        <v>5</v>
      </c>
    </row>
    <row r="880" spans="1:13">
      <c r="A880">
        <v>29.31</v>
      </c>
      <c r="B880">
        <v>238.4</v>
      </c>
      <c r="C880">
        <v>27.973</v>
      </c>
      <c r="D880">
        <v>238.4</v>
      </c>
      <c r="G880">
        <v>29.276</v>
      </c>
      <c r="H880" s="8" t="s">
        <v>1572</v>
      </c>
      <c r="I880">
        <v>238.4</v>
      </c>
      <c r="K880">
        <f t="shared" si="39"/>
        <v>29.25</v>
      </c>
      <c r="L880">
        <f t="shared" si="40"/>
        <v>0.5096</v>
      </c>
      <c r="M880">
        <f t="shared" si="41"/>
        <v>5</v>
      </c>
    </row>
    <row r="881" spans="1:13">
      <c r="A881">
        <v>29.343</v>
      </c>
      <c r="B881">
        <v>238.4</v>
      </c>
      <c r="C881">
        <v>28.006</v>
      </c>
      <c r="D881">
        <v>238.4</v>
      </c>
      <c r="G881">
        <v>29.31</v>
      </c>
      <c r="H881" s="8" t="s">
        <v>1573</v>
      </c>
      <c r="I881">
        <v>238.4</v>
      </c>
      <c r="K881">
        <f t="shared" si="39"/>
        <v>29.3</v>
      </c>
      <c r="L881">
        <f t="shared" si="40"/>
        <v>0.5263</v>
      </c>
      <c r="M881">
        <f t="shared" si="41"/>
        <v>5</v>
      </c>
    </row>
    <row r="882" spans="1:13">
      <c r="A882">
        <v>29.376</v>
      </c>
      <c r="B882">
        <v>238.4</v>
      </c>
      <c r="C882">
        <v>28.04</v>
      </c>
      <c r="D882">
        <v>238.4</v>
      </c>
      <c r="G882">
        <v>29.343</v>
      </c>
      <c r="H882" s="8" t="s">
        <v>1574</v>
      </c>
      <c r="I882">
        <v>238.4</v>
      </c>
      <c r="K882">
        <f t="shared" si="39"/>
        <v>29.3</v>
      </c>
      <c r="L882">
        <f t="shared" si="40"/>
        <v>0.5291</v>
      </c>
      <c r="M882">
        <f t="shared" si="41"/>
        <v>5</v>
      </c>
    </row>
    <row r="883" spans="1:13">
      <c r="A883">
        <v>29.41</v>
      </c>
      <c r="B883">
        <v>238.4</v>
      </c>
      <c r="C883">
        <v>28.073</v>
      </c>
      <c r="D883">
        <v>238.4</v>
      </c>
      <c r="G883">
        <v>29.376</v>
      </c>
      <c r="H883" s="8" t="s">
        <v>1575</v>
      </c>
      <c r="I883">
        <v>238.4</v>
      </c>
      <c r="K883">
        <f t="shared" si="39"/>
        <v>29.35</v>
      </c>
      <c r="L883">
        <f t="shared" si="40"/>
        <v>0.527</v>
      </c>
      <c r="M883">
        <f t="shared" si="41"/>
        <v>5</v>
      </c>
    </row>
    <row r="884" spans="1:13">
      <c r="A884">
        <v>29.443</v>
      </c>
      <c r="B884">
        <v>238.4</v>
      </c>
      <c r="C884">
        <v>28.106</v>
      </c>
      <c r="D884">
        <v>238.4</v>
      </c>
      <c r="G884">
        <v>29.41</v>
      </c>
      <c r="H884" s="8" t="s">
        <v>1576</v>
      </c>
      <c r="I884">
        <v>238.4</v>
      </c>
      <c r="K884">
        <f t="shared" si="39"/>
        <v>29.4</v>
      </c>
      <c r="L884">
        <f t="shared" si="40"/>
        <v>0.516</v>
      </c>
      <c r="M884">
        <f t="shared" si="41"/>
        <v>5</v>
      </c>
    </row>
    <row r="885" spans="1:13">
      <c r="A885">
        <v>29.477</v>
      </c>
      <c r="B885">
        <v>238.4</v>
      </c>
      <c r="C885">
        <v>28.14</v>
      </c>
      <c r="D885">
        <v>238.4</v>
      </c>
      <c r="G885">
        <v>29.443</v>
      </c>
      <c r="H885" s="8" t="s">
        <v>1233</v>
      </c>
      <c r="I885">
        <v>238.4</v>
      </c>
      <c r="K885">
        <f t="shared" si="39"/>
        <v>29.4</v>
      </c>
      <c r="L885">
        <f t="shared" si="40"/>
        <v>0.5034</v>
      </c>
      <c r="M885">
        <f t="shared" si="41"/>
        <v>5</v>
      </c>
    </row>
    <row r="886" spans="1:13">
      <c r="A886">
        <v>29.51</v>
      </c>
      <c r="B886">
        <v>238.4</v>
      </c>
      <c r="C886">
        <v>28.173</v>
      </c>
      <c r="D886">
        <v>238.4</v>
      </c>
      <c r="G886">
        <v>29.477</v>
      </c>
      <c r="H886" s="8" t="s">
        <v>1577</v>
      </c>
      <c r="I886">
        <v>238.4</v>
      </c>
      <c r="K886">
        <f t="shared" si="39"/>
        <v>29.45</v>
      </c>
      <c r="L886">
        <f t="shared" si="40"/>
        <v>0.5117</v>
      </c>
      <c r="M886">
        <f t="shared" si="41"/>
        <v>5</v>
      </c>
    </row>
    <row r="887" spans="1:13">
      <c r="A887">
        <v>29.543</v>
      </c>
      <c r="B887">
        <v>238.4</v>
      </c>
      <c r="C887">
        <v>28.207</v>
      </c>
      <c r="D887">
        <v>238.4</v>
      </c>
      <c r="G887">
        <v>29.51</v>
      </c>
      <c r="H887" s="8" t="s">
        <v>1578</v>
      </c>
      <c r="I887">
        <v>238.4</v>
      </c>
      <c r="K887">
        <f t="shared" si="39"/>
        <v>29.5</v>
      </c>
      <c r="L887">
        <f t="shared" si="40"/>
        <v>0.5</v>
      </c>
      <c r="M887">
        <f t="shared" si="41"/>
        <v>5</v>
      </c>
    </row>
    <row r="888" spans="1:13">
      <c r="A888">
        <v>29.577</v>
      </c>
      <c r="B888">
        <v>238.4</v>
      </c>
      <c r="C888">
        <v>28.24</v>
      </c>
      <c r="D888">
        <v>238.4</v>
      </c>
      <c r="G888">
        <v>29.543</v>
      </c>
      <c r="H888" s="8" t="s">
        <v>1506</v>
      </c>
      <c r="I888">
        <v>238.4</v>
      </c>
      <c r="K888">
        <f t="shared" si="39"/>
        <v>29.5</v>
      </c>
      <c r="L888">
        <f t="shared" si="40"/>
        <v>0.4906</v>
      </c>
      <c r="M888">
        <f t="shared" si="41"/>
        <v>5</v>
      </c>
    </row>
    <row r="889" spans="1:13">
      <c r="A889">
        <v>29.61</v>
      </c>
      <c r="B889">
        <v>238.4</v>
      </c>
      <c r="C889">
        <v>28.274</v>
      </c>
      <c r="D889">
        <v>238.4</v>
      </c>
      <c r="G889">
        <v>29.577</v>
      </c>
      <c r="H889" s="8" t="s">
        <v>1579</v>
      </c>
      <c r="I889">
        <v>238.4</v>
      </c>
      <c r="K889">
        <f t="shared" si="39"/>
        <v>29.55</v>
      </c>
      <c r="L889">
        <f t="shared" si="40"/>
        <v>0.4855</v>
      </c>
      <c r="M889">
        <f t="shared" si="41"/>
        <v>5</v>
      </c>
    </row>
    <row r="890" spans="1:13">
      <c r="A890">
        <v>29.644</v>
      </c>
      <c r="B890">
        <v>238.4</v>
      </c>
      <c r="C890">
        <v>28.307</v>
      </c>
      <c r="D890">
        <v>238.4</v>
      </c>
      <c r="G890">
        <v>29.61</v>
      </c>
      <c r="H890" s="8" t="s">
        <v>1580</v>
      </c>
      <c r="I890">
        <v>238.4</v>
      </c>
      <c r="K890">
        <f t="shared" si="39"/>
        <v>29.6</v>
      </c>
      <c r="L890">
        <f t="shared" si="40"/>
        <v>0.4834</v>
      </c>
      <c r="M890">
        <f t="shared" si="41"/>
        <v>5</v>
      </c>
    </row>
    <row r="891" spans="1:13">
      <c r="A891">
        <v>29.677</v>
      </c>
      <c r="B891">
        <v>238.4</v>
      </c>
      <c r="C891">
        <v>28.34</v>
      </c>
      <c r="D891">
        <v>238.4</v>
      </c>
      <c r="G891">
        <v>29.644</v>
      </c>
      <c r="H891" s="8" t="s">
        <v>1581</v>
      </c>
      <c r="I891">
        <v>238.4</v>
      </c>
      <c r="K891">
        <f t="shared" si="39"/>
        <v>29.6</v>
      </c>
      <c r="L891">
        <f t="shared" si="40"/>
        <v>0.4602</v>
      </c>
      <c r="M891">
        <f t="shared" si="41"/>
        <v>5</v>
      </c>
    </row>
    <row r="892" spans="1:13">
      <c r="A892">
        <v>29.711</v>
      </c>
      <c r="B892">
        <v>238.4</v>
      </c>
      <c r="C892">
        <v>28.374</v>
      </c>
      <c r="D892">
        <v>215.2</v>
      </c>
      <c r="G892">
        <v>29.677</v>
      </c>
      <c r="H892" s="8" t="s">
        <v>1582</v>
      </c>
      <c r="I892">
        <v>238.4</v>
      </c>
      <c r="K892">
        <f t="shared" si="39"/>
        <v>29.65</v>
      </c>
      <c r="L892">
        <f t="shared" si="40"/>
        <v>0.4821</v>
      </c>
      <c r="M892">
        <f t="shared" si="41"/>
        <v>5</v>
      </c>
    </row>
    <row r="893" spans="1:13">
      <c r="A893">
        <v>29.744</v>
      </c>
      <c r="B893">
        <v>238.4</v>
      </c>
      <c r="C893">
        <v>28.407</v>
      </c>
      <c r="D893">
        <v>218.6</v>
      </c>
      <c r="G893">
        <v>29.711</v>
      </c>
      <c r="H893" s="8" t="s">
        <v>1569</v>
      </c>
      <c r="I893">
        <v>238.4</v>
      </c>
      <c r="K893">
        <f t="shared" si="39"/>
        <v>29.7</v>
      </c>
      <c r="L893">
        <f t="shared" si="40"/>
        <v>0.4861</v>
      </c>
      <c r="M893">
        <f t="shared" si="41"/>
        <v>5</v>
      </c>
    </row>
    <row r="894" spans="1:13">
      <c r="A894">
        <v>29.777</v>
      </c>
      <c r="B894">
        <v>238.4</v>
      </c>
      <c r="C894">
        <v>28.441</v>
      </c>
      <c r="D894">
        <v>217.2</v>
      </c>
      <c r="G894">
        <v>29.744</v>
      </c>
      <c r="H894" s="8" t="s">
        <v>1583</v>
      </c>
      <c r="I894">
        <v>238.4</v>
      </c>
      <c r="K894">
        <f t="shared" si="39"/>
        <v>29.7</v>
      </c>
      <c r="L894">
        <f t="shared" si="40"/>
        <v>0.4866</v>
      </c>
      <c r="M894">
        <f t="shared" si="41"/>
        <v>5</v>
      </c>
    </row>
    <row r="895" spans="1:13">
      <c r="A895">
        <v>29.811</v>
      </c>
      <c r="B895">
        <v>238.4</v>
      </c>
      <c r="C895">
        <v>28.474</v>
      </c>
      <c r="D895">
        <v>215.9</v>
      </c>
      <c r="G895">
        <v>29.777</v>
      </c>
      <c r="H895" s="8" t="s">
        <v>1584</v>
      </c>
      <c r="I895">
        <v>238.4</v>
      </c>
      <c r="K895">
        <f t="shared" si="39"/>
        <v>29.75</v>
      </c>
      <c r="L895">
        <f t="shared" si="40"/>
        <v>0.3633</v>
      </c>
      <c r="M895">
        <f t="shared" si="41"/>
        <v>5</v>
      </c>
    </row>
    <row r="896" spans="1:13">
      <c r="A896">
        <v>29.844</v>
      </c>
      <c r="B896">
        <v>238.4</v>
      </c>
      <c r="C896">
        <v>28.507</v>
      </c>
      <c r="D896">
        <v>215</v>
      </c>
      <c r="G896">
        <v>29.811</v>
      </c>
      <c r="H896" s="8" t="s">
        <v>1585</v>
      </c>
      <c r="I896">
        <v>238.4</v>
      </c>
      <c r="K896">
        <f t="shared" si="39"/>
        <v>29.8</v>
      </c>
      <c r="L896">
        <f t="shared" si="40"/>
        <v>0.3606</v>
      </c>
      <c r="M896">
        <f t="shared" si="41"/>
        <v>5</v>
      </c>
    </row>
    <row r="897" spans="1:13">
      <c r="A897">
        <v>29.878</v>
      </c>
      <c r="B897">
        <v>238.4</v>
      </c>
      <c r="C897">
        <v>28.541</v>
      </c>
      <c r="D897">
        <v>213.1</v>
      </c>
      <c r="G897">
        <v>29.844</v>
      </c>
      <c r="H897" s="8" t="s">
        <v>1500</v>
      </c>
      <c r="I897">
        <v>238.4</v>
      </c>
      <c r="K897">
        <f t="shared" si="39"/>
        <v>29.8</v>
      </c>
      <c r="L897">
        <f t="shared" si="40"/>
        <v>0.3754</v>
      </c>
      <c r="M897">
        <f t="shared" si="41"/>
        <v>5</v>
      </c>
    </row>
    <row r="898" spans="1:13">
      <c r="A898">
        <v>29.911</v>
      </c>
      <c r="B898">
        <v>238.4</v>
      </c>
      <c r="C898">
        <v>28.574</v>
      </c>
      <c r="D898">
        <v>211.4</v>
      </c>
      <c r="G898">
        <v>29.878</v>
      </c>
      <c r="H898" s="8" t="s">
        <v>1586</v>
      </c>
      <c r="I898">
        <v>238.4</v>
      </c>
      <c r="K898">
        <f t="shared" si="39"/>
        <v>29.85</v>
      </c>
      <c r="L898">
        <f t="shared" si="40"/>
        <v>0.3718</v>
      </c>
      <c r="M898">
        <f t="shared" si="41"/>
        <v>5</v>
      </c>
    </row>
    <row r="899" spans="1:13">
      <c r="A899">
        <v>29.945</v>
      </c>
      <c r="B899">
        <v>238.4</v>
      </c>
      <c r="C899">
        <v>28.608</v>
      </c>
      <c r="D899">
        <v>210.3</v>
      </c>
      <c r="G899">
        <v>29.911</v>
      </c>
      <c r="H899" s="8" t="s">
        <v>968</v>
      </c>
      <c r="I899">
        <v>238.4</v>
      </c>
      <c r="K899">
        <f t="shared" si="39"/>
        <v>29.9</v>
      </c>
      <c r="L899">
        <f t="shared" si="40"/>
        <v>0.3696</v>
      </c>
      <c r="M899">
        <f t="shared" si="41"/>
        <v>5</v>
      </c>
    </row>
    <row r="900" spans="1:13">
      <c r="A900">
        <v>29.978</v>
      </c>
      <c r="B900">
        <v>238.4</v>
      </c>
      <c r="C900">
        <v>28.641</v>
      </c>
      <c r="D900">
        <v>209.5</v>
      </c>
      <c r="G900">
        <v>29.945</v>
      </c>
      <c r="H900" s="8" t="s">
        <v>1587</v>
      </c>
      <c r="I900">
        <v>238.4</v>
      </c>
      <c r="K900">
        <f t="shared" ref="K900:K963" si="42">FLOOR(G900,0.05)</f>
        <v>29.9</v>
      </c>
      <c r="L900">
        <f t="shared" si="40"/>
        <v>0.3634</v>
      </c>
      <c r="M900">
        <f t="shared" si="41"/>
        <v>5</v>
      </c>
    </row>
    <row r="901" spans="1:13">
      <c r="A901">
        <v>30.011</v>
      </c>
      <c r="B901">
        <v>213.8</v>
      </c>
      <c r="C901">
        <v>28.675</v>
      </c>
      <c r="D901">
        <v>208.6</v>
      </c>
      <c r="G901">
        <v>29.978</v>
      </c>
      <c r="H901" s="8" t="s">
        <v>1588</v>
      </c>
      <c r="I901">
        <v>238.4</v>
      </c>
      <c r="K901">
        <f t="shared" si="42"/>
        <v>29.95</v>
      </c>
      <c r="L901">
        <f t="shared" ref="L901:L964" si="43">H901*100</f>
        <v>0.3551</v>
      </c>
      <c r="M901">
        <f t="shared" ref="M901:M964" si="44">IF(I901&lt;230,0,5)</f>
        <v>5</v>
      </c>
    </row>
    <row r="902" spans="1:13">
      <c r="A902">
        <v>30.045</v>
      </c>
      <c r="B902">
        <v>219.3</v>
      </c>
      <c r="C902">
        <v>28.708</v>
      </c>
      <c r="D902">
        <v>207.5</v>
      </c>
      <c r="G902">
        <v>30.011</v>
      </c>
      <c r="H902" s="8" t="s">
        <v>1589</v>
      </c>
      <c r="I902">
        <v>213.8</v>
      </c>
      <c r="K902">
        <f t="shared" si="42"/>
        <v>30</v>
      </c>
      <c r="L902">
        <f t="shared" si="43"/>
        <v>0.3493</v>
      </c>
      <c r="M902">
        <f t="shared" si="44"/>
        <v>0</v>
      </c>
    </row>
    <row r="903" spans="1:13">
      <c r="A903">
        <v>30.078</v>
      </c>
      <c r="B903">
        <v>218.3</v>
      </c>
      <c r="C903">
        <v>28.741</v>
      </c>
      <c r="D903">
        <v>206.3</v>
      </c>
      <c r="G903">
        <v>30.045</v>
      </c>
      <c r="H903" s="8" t="s">
        <v>1590</v>
      </c>
      <c r="I903">
        <v>219.3</v>
      </c>
      <c r="K903">
        <f t="shared" si="42"/>
        <v>30</v>
      </c>
      <c r="L903">
        <f t="shared" si="43"/>
        <v>0.3459</v>
      </c>
      <c r="M903">
        <f t="shared" si="44"/>
        <v>0</v>
      </c>
    </row>
    <row r="904" spans="1:13">
      <c r="A904">
        <v>30.112</v>
      </c>
      <c r="B904">
        <v>216.7</v>
      </c>
      <c r="C904">
        <v>28.775</v>
      </c>
      <c r="D904">
        <v>204.8</v>
      </c>
      <c r="G904">
        <v>30.078</v>
      </c>
      <c r="H904" s="8" t="s">
        <v>923</v>
      </c>
      <c r="I904">
        <v>218.3</v>
      </c>
      <c r="K904">
        <f t="shared" si="42"/>
        <v>30.05</v>
      </c>
      <c r="L904">
        <f t="shared" si="43"/>
        <v>0.3535</v>
      </c>
      <c r="M904">
        <f t="shared" si="44"/>
        <v>0</v>
      </c>
    </row>
    <row r="905" spans="1:13">
      <c r="A905">
        <v>30.145</v>
      </c>
      <c r="B905">
        <v>214.9</v>
      </c>
      <c r="C905">
        <v>28.808</v>
      </c>
      <c r="D905">
        <v>203.5</v>
      </c>
      <c r="G905">
        <v>30.112</v>
      </c>
      <c r="H905" s="8" t="s">
        <v>1591</v>
      </c>
      <c r="I905">
        <v>216.7</v>
      </c>
      <c r="K905">
        <f t="shared" si="42"/>
        <v>30.1</v>
      </c>
      <c r="L905">
        <f t="shared" si="43"/>
        <v>0.369</v>
      </c>
      <c r="M905">
        <f t="shared" si="44"/>
        <v>0</v>
      </c>
    </row>
    <row r="906" spans="1:13">
      <c r="A906">
        <v>30.178</v>
      </c>
      <c r="B906">
        <v>214.2</v>
      </c>
      <c r="C906">
        <v>28.842</v>
      </c>
      <c r="D906">
        <v>203.2</v>
      </c>
      <c r="G906">
        <v>30.145</v>
      </c>
      <c r="H906" s="8" t="s">
        <v>847</v>
      </c>
      <c r="I906">
        <v>214.9</v>
      </c>
      <c r="K906">
        <f t="shared" si="42"/>
        <v>30.1</v>
      </c>
      <c r="L906">
        <f t="shared" si="43"/>
        <v>0.3716</v>
      </c>
      <c r="M906">
        <f t="shared" si="44"/>
        <v>0</v>
      </c>
    </row>
    <row r="907" spans="1:13">
      <c r="A907">
        <v>30.212</v>
      </c>
      <c r="B907">
        <v>212.3</v>
      </c>
      <c r="C907">
        <v>28.875</v>
      </c>
      <c r="D907">
        <v>202.5</v>
      </c>
      <c r="G907">
        <v>30.178</v>
      </c>
      <c r="H907" s="8" t="s">
        <v>852</v>
      </c>
      <c r="I907">
        <v>214.2</v>
      </c>
      <c r="K907">
        <f t="shared" si="42"/>
        <v>30.15</v>
      </c>
      <c r="L907">
        <f t="shared" si="43"/>
        <v>0.3721</v>
      </c>
      <c r="M907">
        <f t="shared" si="44"/>
        <v>0</v>
      </c>
    </row>
    <row r="908" spans="1:13">
      <c r="A908">
        <v>30.245</v>
      </c>
      <c r="B908">
        <v>211.3</v>
      </c>
      <c r="C908">
        <v>28.909</v>
      </c>
      <c r="D908">
        <v>200.4</v>
      </c>
      <c r="G908">
        <v>30.212</v>
      </c>
      <c r="H908" s="8" t="s">
        <v>1058</v>
      </c>
      <c r="I908">
        <v>212.3</v>
      </c>
      <c r="K908">
        <f t="shared" si="42"/>
        <v>30.2</v>
      </c>
      <c r="L908">
        <f t="shared" si="43"/>
        <v>0.3635</v>
      </c>
      <c r="M908">
        <f t="shared" si="44"/>
        <v>0</v>
      </c>
    </row>
    <row r="909" spans="1:13">
      <c r="A909">
        <v>30.279</v>
      </c>
      <c r="B909">
        <v>210.1</v>
      </c>
      <c r="C909">
        <v>28.942</v>
      </c>
      <c r="D909">
        <v>199.3</v>
      </c>
      <c r="G909">
        <v>30.245</v>
      </c>
      <c r="H909" s="8" t="s">
        <v>1592</v>
      </c>
      <c r="I909">
        <v>211.3</v>
      </c>
      <c r="K909">
        <f t="shared" si="42"/>
        <v>30.2</v>
      </c>
      <c r="L909">
        <f t="shared" si="43"/>
        <v>0.3545</v>
      </c>
      <c r="M909">
        <f t="shared" si="44"/>
        <v>0</v>
      </c>
    </row>
    <row r="910" spans="1:13">
      <c r="A910">
        <v>30.312</v>
      </c>
      <c r="B910">
        <v>208.1</v>
      </c>
      <c r="C910">
        <v>28.975</v>
      </c>
      <c r="D910">
        <v>197.3</v>
      </c>
      <c r="G910">
        <v>30.279</v>
      </c>
      <c r="H910" s="8" t="s">
        <v>1593</v>
      </c>
      <c r="I910">
        <v>210.1</v>
      </c>
      <c r="K910">
        <f t="shared" si="42"/>
        <v>30.25</v>
      </c>
      <c r="L910">
        <f t="shared" si="43"/>
        <v>0.4628</v>
      </c>
      <c r="M910">
        <f t="shared" si="44"/>
        <v>0</v>
      </c>
    </row>
    <row r="911" spans="1:13">
      <c r="A911">
        <v>30.346</v>
      </c>
      <c r="B911">
        <v>207.8</v>
      </c>
      <c r="C911">
        <v>29.009</v>
      </c>
      <c r="D911">
        <v>197</v>
      </c>
      <c r="G911">
        <v>30.312</v>
      </c>
      <c r="H911" s="8" t="s">
        <v>1594</v>
      </c>
      <c r="I911">
        <v>208.1</v>
      </c>
      <c r="K911">
        <f t="shared" si="42"/>
        <v>30.3</v>
      </c>
      <c r="L911">
        <f t="shared" si="43"/>
        <v>0.4298</v>
      </c>
      <c r="M911">
        <f t="shared" si="44"/>
        <v>0</v>
      </c>
    </row>
    <row r="912" spans="1:13">
      <c r="A912">
        <v>30.379</v>
      </c>
      <c r="B912">
        <v>206.5</v>
      </c>
      <c r="C912">
        <v>29.042</v>
      </c>
      <c r="D912">
        <v>196</v>
      </c>
      <c r="G912">
        <v>30.346</v>
      </c>
      <c r="H912" s="8" t="s">
        <v>1595</v>
      </c>
      <c r="I912">
        <v>207.8</v>
      </c>
      <c r="K912">
        <f t="shared" si="42"/>
        <v>30.3</v>
      </c>
      <c r="L912">
        <f t="shared" si="43"/>
        <v>0.469</v>
      </c>
      <c r="M912">
        <f t="shared" si="44"/>
        <v>0</v>
      </c>
    </row>
    <row r="913" spans="1:13">
      <c r="A913">
        <v>30.412</v>
      </c>
      <c r="B913">
        <v>204.4</v>
      </c>
      <c r="C913">
        <v>29.076</v>
      </c>
      <c r="D913">
        <v>194.4</v>
      </c>
      <c r="G913">
        <v>30.379</v>
      </c>
      <c r="H913" s="8" t="s">
        <v>1596</v>
      </c>
      <c r="I913">
        <v>206.5</v>
      </c>
      <c r="K913">
        <f t="shared" si="42"/>
        <v>30.35</v>
      </c>
      <c r="L913">
        <f t="shared" si="43"/>
        <v>0.4868</v>
      </c>
      <c r="M913">
        <f t="shared" si="44"/>
        <v>0</v>
      </c>
    </row>
    <row r="914" spans="1:13">
      <c r="A914">
        <v>30.446</v>
      </c>
      <c r="B914">
        <v>204.2</v>
      </c>
      <c r="C914">
        <v>29.109</v>
      </c>
      <c r="D914">
        <v>194.1</v>
      </c>
      <c r="G914">
        <v>30.412</v>
      </c>
      <c r="H914" s="8" t="s">
        <v>1597</v>
      </c>
      <c r="I914">
        <v>204.4</v>
      </c>
      <c r="K914">
        <f t="shared" si="42"/>
        <v>30.4</v>
      </c>
      <c r="L914">
        <f t="shared" si="43"/>
        <v>0.4825</v>
      </c>
      <c r="M914">
        <f t="shared" si="44"/>
        <v>0</v>
      </c>
    </row>
    <row r="915" spans="1:13">
      <c r="A915">
        <v>30.479</v>
      </c>
      <c r="B915">
        <v>201.7</v>
      </c>
      <c r="C915">
        <v>29.142</v>
      </c>
      <c r="D915">
        <v>232.4</v>
      </c>
      <c r="G915">
        <v>30.446</v>
      </c>
      <c r="H915" s="8" t="s">
        <v>1598</v>
      </c>
      <c r="I915">
        <v>204.2</v>
      </c>
      <c r="K915">
        <f t="shared" si="42"/>
        <v>30.4</v>
      </c>
      <c r="L915">
        <f t="shared" si="43"/>
        <v>0.4892</v>
      </c>
      <c r="M915">
        <f t="shared" si="44"/>
        <v>0</v>
      </c>
    </row>
    <row r="916" spans="1:13">
      <c r="A916">
        <v>30.513</v>
      </c>
      <c r="B916">
        <v>201.6</v>
      </c>
      <c r="C916">
        <v>29.176</v>
      </c>
      <c r="D916">
        <v>238.4</v>
      </c>
      <c r="G916">
        <v>30.479</v>
      </c>
      <c r="H916" s="8" t="s">
        <v>1599</v>
      </c>
      <c r="I916">
        <v>201.7</v>
      </c>
      <c r="K916">
        <f t="shared" si="42"/>
        <v>30.45</v>
      </c>
      <c r="L916">
        <f t="shared" si="43"/>
        <v>0.4973</v>
      </c>
      <c r="M916">
        <f t="shared" si="44"/>
        <v>0</v>
      </c>
    </row>
    <row r="917" spans="1:13">
      <c r="A917">
        <v>30.546</v>
      </c>
      <c r="B917">
        <v>200</v>
      </c>
      <c r="C917">
        <v>29.209</v>
      </c>
      <c r="D917">
        <v>238.4</v>
      </c>
      <c r="G917">
        <v>30.513</v>
      </c>
      <c r="H917" s="8" t="s">
        <v>1600</v>
      </c>
      <c r="I917">
        <v>201.6</v>
      </c>
      <c r="K917">
        <f t="shared" si="42"/>
        <v>30.5</v>
      </c>
      <c r="L917">
        <f t="shared" si="43"/>
        <v>0.5002</v>
      </c>
      <c r="M917">
        <f t="shared" si="44"/>
        <v>0</v>
      </c>
    </row>
    <row r="918" spans="1:13">
      <c r="A918">
        <v>30.58</v>
      </c>
      <c r="B918">
        <v>199.6</v>
      </c>
      <c r="C918">
        <v>29.243</v>
      </c>
      <c r="D918">
        <v>238.4</v>
      </c>
      <c r="G918">
        <v>30.546</v>
      </c>
      <c r="H918" s="8" t="s">
        <v>1601</v>
      </c>
      <c r="I918">
        <v>200</v>
      </c>
      <c r="K918">
        <f t="shared" si="42"/>
        <v>30.5</v>
      </c>
      <c r="L918">
        <f t="shared" si="43"/>
        <v>0.506</v>
      </c>
      <c r="M918">
        <f t="shared" si="44"/>
        <v>0</v>
      </c>
    </row>
    <row r="919" spans="1:13">
      <c r="A919">
        <v>30.613</v>
      </c>
      <c r="B919">
        <v>198.7</v>
      </c>
      <c r="C919">
        <v>29.276</v>
      </c>
      <c r="D919">
        <v>238.4</v>
      </c>
      <c r="G919">
        <v>30.58</v>
      </c>
      <c r="H919" s="8" t="s">
        <v>1602</v>
      </c>
      <c r="I919">
        <v>199.6</v>
      </c>
      <c r="K919">
        <f t="shared" si="42"/>
        <v>30.55</v>
      </c>
      <c r="L919">
        <f t="shared" si="43"/>
        <v>0.5376</v>
      </c>
      <c r="M919">
        <f t="shared" si="44"/>
        <v>0</v>
      </c>
    </row>
    <row r="920" spans="1:13">
      <c r="A920">
        <v>30.646</v>
      </c>
      <c r="B920">
        <v>196.8</v>
      </c>
      <c r="C920">
        <v>29.31</v>
      </c>
      <c r="D920">
        <v>238.4</v>
      </c>
      <c r="G920">
        <v>30.613</v>
      </c>
      <c r="H920" s="8" t="s">
        <v>1603</v>
      </c>
      <c r="I920">
        <v>198.7</v>
      </c>
      <c r="K920">
        <f t="shared" si="42"/>
        <v>30.6</v>
      </c>
      <c r="L920">
        <f t="shared" si="43"/>
        <v>0.6466</v>
      </c>
      <c r="M920">
        <f t="shared" si="44"/>
        <v>0</v>
      </c>
    </row>
    <row r="921" spans="1:13">
      <c r="A921">
        <v>30.68</v>
      </c>
      <c r="B921">
        <v>196.1</v>
      </c>
      <c r="C921">
        <v>29.343</v>
      </c>
      <c r="D921">
        <v>238.4</v>
      </c>
      <c r="G921">
        <v>30.646</v>
      </c>
      <c r="H921" s="8" t="s">
        <v>1191</v>
      </c>
      <c r="I921">
        <v>196.8</v>
      </c>
      <c r="K921">
        <f t="shared" si="42"/>
        <v>30.6</v>
      </c>
      <c r="L921">
        <f t="shared" si="43"/>
        <v>0.6324</v>
      </c>
      <c r="M921">
        <f t="shared" si="44"/>
        <v>0</v>
      </c>
    </row>
    <row r="922" spans="1:13">
      <c r="A922">
        <v>30.713</v>
      </c>
      <c r="B922">
        <v>194.9</v>
      </c>
      <c r="C922">
        <v>29.376</v>
      </c>
      <c r="D922">
        <v>238.4</v>
      </c>
      <c r="G922">
        <v>30.68</v>
      </c>
      <c r="H922" s="8" t="s">
        <v>1604</v>
      </c>
      <c r="I922">
        <v>196.1</v>
      </c>
      <c r="K922">
        <f t="shared" si="42"/>
        <v>30.65</v>
      </c>
      <c r="L922">
        <f t="shared" si="43"/>
        <v>0.633</v>
      </c>
      <c r="M922">
        <f t="shared" si="44"/>
        <v>0</v>
      </c>
    </row>
    <row r="923" spans="1:13">
      <c r="A923">
        <v>30.747</v>
      </c>
      <c r="B923">
        <v>193.9</v>
      </c>
      <c r="C923">
        <v>29.41</v>
      </c>
      <c r="D923">
        <v>238.4</v>
      </c>
      <c r="G923">
        <v>30.713</v>
      </c>
      <c r="H923" s="8" t="s">
        <v>1605</v>
      </c>
      <c r="I923">
        <v>194.9</v>
      </c>
      <c r="K923">
        <f t="shared" si="42"/>
        <v>30.7</v>
      </c>
      <c r="L923">
        <f t="shared" si="43"/>
        <v>0.6307</v>
      </c>
      <c r="M923">
        <f t="shared" si="44"/>
        <v>0</v>
      </c>
    </row>
    <row r="924" spans="1:13">
      <c r="A924">
        <v>30.78</v>
      </c>
      <c r="B924">
        <v>238.4</v>
      </c>
      <c r="C924">
        <v>29.443</v>
      </c>
      <c r="D924">
        <v>238.4</v>
      </c>
      <c r="G924">
        <v>30.747</v>
      </c>
      <c r="H924" s="8" t="s">
        <v>1606</v>
      </c>
      <c r="I924">
        <v>193.9</v>
      </c>
      <c r="K924">
        <f t="shared" si="42"/>
        <v>30.7</v>
      </c>
      <c r="L924">
        <f t="shared" si="43"/>
        <v>0.6292</v>
      </c>
      <c r="M924">
        <f t="shared" si="44"/>
        <v>0</v>
      </c>
    </row>
    <row r="925" spans="1:13">
      <c r="A925">
        <v>30.813</v>
      </c>
      <c r="B925">
        <v>238.4</v>
      </c>
      <c r="C925">
        <v>29.477</v>
      </c>
      <c r="D925">
        <v>238.4</v>
      </c>
      <c r="G925">
        <v>30.78</v>
      </c>
      <c r="H925" s="8" t="s">
        <v>1607</v>
      </c>
      <c r="I925">
        <v>238.4</v>
      </c>
      <c r="K925">
        <f t="shared" si="42"/>
        <v>30.75</v>
      </c>
      <c r="L925">
        <f t="shared" si="43"/>
        <v>0.6287</v>
      </c>
      <c r="M925">
        <f t="shared" si="44"/>
        <v>5</v>
      </c>
    </row>
    <row r="926" spans="1:13">
      <c r="A926">
        <v>30.847</v>
      </c>
      <c r="B926">
        <v>238.4</v>
      </c>
      <c r="C926">
        <v>29.51</v>
      </c>
      <c r="D926">
        <v>238.4</v>
      </c>
      <c r="G926">
        <v>30.813</v>
      </c>
      <c r="H926" s="8" t="s">
        <v>1608</v>
      </c>
      <c r="I926">
        <v>238.4</v>
      </c>
      <c r="K926">
        <f t="shared" si="42"/>
        <v>30.8</v>
      </c>
      <c r="L926">
        <f t="shared" si="43"/>
        <v>0.6301</v>
      </c>
      <c r="M926">
        <f t="shared" si="44"/>
        <v>5</v>
      </c>
    </row>
    <row r="927" spans="1:13">
      <c r="A927">
        <v>30.88</v>
      </c>
      <c r="B927">
        <v>238.4</v>
      </c>
      <c r="C927">
        <v>29.543</v>
      </c>
      <c r="D927">
        <v>238.4</v>
      </c>
      <c r="G927">
        <v>30.847</v>
      </c>
      <c r="H927" s="8" t="s">
        <v>1609</v>
      </c>
      <c r="I927">
        <v>238.4</v>
      </c>
      <c r="K927">
        <f t="shared" si="42"/>
        <v>30.8</v>
      </c>
      <c r="L927">
        <f t="shared" si="43"/>
        <v>0.5129</v>
      </c>
      <c r="M927">
        <f t="shared" si="44"/>
        <v>5</v>
      </c>
    </row>
    <row r="928" spans="1:13">
      <c r="A928">
        <v>30.914</v>
      </c>
      <c r="B928">
        <v>238.4</v>
      </c>
      <c r="C928">
        <v>29.577</v>
      </c>
      <c r="D928">
        <v>238.4</v>
      </c>
      <c r="G928">
        <v>30.88</v>
      </c>
      <c r="H928" s="8" t="s">
        <v>1610</v>
      </c>
      <c r="I928">
        <v>238.4</v>
      </c>
      <c r="K928">
        <f t="shared" si="42"/>
        <v>30.85</v>
      </c>
      <c r="L928">
        <f t="shared" si="43"/>
        <v>0.5026</v>
      </c>
      <c r="M928">
        <f t="shared" si="44"/>
        <v>5</v>
      </c>
    </row>
    <row r="929" spans="1:13">
      <c r="A929">
        <v>30.947</v>
      </c>
      <c r="B929">
        <v>238.4</v>
      </c>
      <c r="C929">
        <v>29.61</v>
      </c>
      <c r="D929">
        <v>238.4</v>
      </c>
      <c r="G929">
        <v>30.914</v>
      </c>
      <c r="H929" s="8" t="s">
        <v>1611</v>
      </c>
      <c r="I929">
        <v>238.4</v>
      </c>
      <c r="K929">
        <f t="shared" si="42"/>
        <v>30.9</v>
      </c>
      <c r="L929">
        <f t="shared" si="43"/>
        <v>0.4843</v>
      </c>
      <c r="M929">
        <f t="shared" si="44"/>
        <v>5</v>
      </c>
    </row>
    <row r="930" spans="1:13">
      <c r="A930">
        <v>30.981</v>
      </c>
      <c r="B930">
        <v>238.4</v>
      </c>
      <c r="C930">
        <v>29.644</v>
      </c>
      <c r="D930">
        <v>238.4</v>
      </c>
      <c r="G930">
        <v>30.947</v>
      </c>
      <c r="H930" s="8" t="s">
        <v>1612</v>
      </c>
      <c r="I930">
        <v>238.4</v>
      </c>
      <c r="K930">
        <f t="shared" si="42"/>
        <v>30.9</v>
      </c>
      <c r="L930">
        <f t="shared" si="43"/>
        <v>0.471</v>
      </c>
      <c r="M930">
        <f t="shared" si="44"/>
        <v>5</v>
      </c>
    </row>
    <row r="931" spans="1:13">
      <c r="A931">
        <v>31.014</v>
      </c>
      <c r="B931">
        <v>238.4</v>
      </c>
      <c r="C931">
        <v>29.677</v>
      </c>
      <c r="D931">
        <v>238.4</v>
      </c>
      <c r="G931">
        <v>30.981</v>
      </c>
      <c r="H931" s="8" t="s">
        <v>1613</v>
      </c>
      <c r="I931">
        <v>238.4</v>
      </c>
      <c r="K931">
        <f t="shared" si="42"/>
        <v>30.95</v>
      </c>
      <c r="L931">
        <f t="shared" si="43"/>
        <v>0.4775</v>
      </c>
      <c r="M931">
        <f t="shared" si="44"/>
        <v>5</v>
      </c>
    </row>
    <row r="932" spans="1:13">
      <c r="A932">
        <v>31.047</v>
      </c>
      <c r="B932">
        <v>238.4</v>
      </c>
      <c r="C932">
        <v>29.711</v>
      </c>
      <c r="D932">
        <v>238.4</v>
      </c>
      <c r="G932">
        <v>31.014</v>
      </c>
      <c r="H932" s="8" t="s">
        <v>1614</v>
      </c>
      <c r="I932">
        <v>238.4</v>
      </c>
      <c r="K932">
        <f t="shared" si="42"/>
        <v>31</v>
      </c>
      <c r="L932">
        <f t="shared" si="43"/>
        <v>0.4829</v>
      </c>
      <c r="M932">
        <f t="shared" si="44"/>
        <v>5</v>
      </c>
    </row>
    <row r="933" spans="1:13">
      <c r="A933">
        <v>31.081</v>
      </c>
      <c r="B933">
        <v>238.4</v>
      </c>
      <c r="C933">
        <v>29.744</v>
      </c>
      <c r="D933">
        <v>238.4</v>
      </c>
      <c r="G933">
        <v>31.047</v>
      </c>
      <c r="H933" s="8" t="s">
        <v>1597</v>
      </c>
      <c r="I933">
        <v>238.4</v>
      </c>
      <c r="K933">
        <f t="shared" si="42"/>
        <v>31</v>
      </c>
      <c r="L933">
        <f t="shared" si="43"/>
        <v>0.4825</v>
      </c>
      <c r="M933">
        <f t="shared" si="44"/>
        <v>5</v>
      </c>
    </row>
    <row r="934" spans="1:13">
      <c r="A934">
        <v>31.114</v>
      </c>
      <c r="B934">
        <v>238.4</v>
      </c>
      <c r="C934">
        <v>29.777</v>
      </c>
      <c r="D934">
        <v>238.4</v>
      </c>
      <c r="G934">
        <v>31.081</v>
      </c>
      <c r="H934" s="8" t="s">
        <v>1615</v>
      </c>
      <c r="I934">
        <v>238.4</v>
      </c>
      <c r="K934">
        <f t="shared" si="42"/>
        <v>31.05</v>
      </c>
      <c r="L934">
        <f t="shared" si="43"/>
        <v>0.4418</v>
      </c>
      <c r="M934">
        <f t="shared" si="44"/>
        <v>5</v>
      </c>
    </row>
    <row r="935" spans="1:13">
      <c r="A935">
        <v>31.148</v>
      </c>
      <c r="B935">
        <v>238.4</v>
      </c>
      <c r="C935">
        <v>29.811</v>
      </c>
      <c r="D935">
        <v>238.4</v>
      </c>
      <c r="G935">
        <v>31.114</v>
      </c>
      <c r="H935" s="8" t="s">
        <v>1616</v>
      </c>
      <c r="I935">
        <v>238.4</v>
      </c>
      <c r="K935">
        <f t="shared" si="42"/>
        <v>31.1</v>
      </c>
      <c r="L935">
        <f t="shared" si="43"/>
        <v>0.413</v>
      </c>
      <c r="M935">
        <f t="shared" si="44"/>
        <v>5</v>
      </c>
    </row>
    <row r="936" spans="1:13">
      <c r="A936">
        <v>31.181</v>
      </c>
      <c r="B936">
        <v>238.4</v>
      </c>
      <c r="C936">
        <v>29.844</v>
      </c>
      <c r="D936">
        <v>238.4</v>
      </c>
      <c r="G936">
        <v>31.148</v>
      </c>
      <c r="H936" s="8" t="s">
        <v>1617</v>
      </c>
      <c r="I936">
        <v>238.4</v>
      </c>
      <c r="K936">
        <f t="shared" si="42"/>
        <v>31.1</v>
      </c>
      <c r="L936">
        <f t="shared" si="43"/>
        <v>0.3658</v>
      </c>
      <c r="M936">
        <f t="shared" si="44"/>
        <v>5</v>
      </c>
    </row>
    <row r="937" spans="1:13">
      <c r="A937">
        <v>31.214</v>
      </c>
      <c r="B937">
        <v>238.4</v>
      </c>
      <c r="C937">
        <v>29.878</v>
      </c>
      <c r="D937">
        <v>238.4</v>
      </c>
      <c r="G937">
        <v>31.181</v>
      </c>
      <c r="H937" s="8" t="s">
        <v>1618</v>
      </c>
      <c r="I937">
        <v>238.4</v>
      </c>
      <c r="K937">
        <f t="shared" si="42"/>
        <v>31.15</v>
      </c>
      <c r="L937">
        <f t="shared" si="43"/>
        <v>0.3698</v>
      </c>
      <c r="M937">
        <f t="shared" si="44"/>
        <v>5</v>
      </c>
    </row>
    <row r="938" spans="1:13">
      <c r="A938">
        <v>31.248</v>
      </c>
      <c r="B938">
        <v>238.4</v>
      </c>
      <c r="C938">
        <v>29.911</v>
      </c>
      <c r="D938">
        <v>238.4</v>
      </c>
      <c r="G938">
        <v>31.214</v>
      </c>
      <c r="H938" s="8" t="s">
        <v>1619</v>
      </c>
      <c r="I938">
        <v>238.4</v>
      </c>
      <c r="K938">
        <f t="shared" si="42"/>
        <v>31.2</v>
      </c>
      <c r="L938">
        <f t="shared" si="43"/>
        <v>0.3744</v>
      </c>
      <c r="M938">
        <f t="shared" si="44"/>
        <v>5</v>
      </c>
    </row>
    <row r="939" spans="1:13">
      <c r="A939">
        <v>31.281</v>
      </c>
      <c r="B939">
        <v>238.4</v>
      </c>
      <c r="C939">
        <v>29.945</v>
      </c>
      <c r="D939">
        <v>238.4</v>
      </c>
      <c r="G939">
        <v>31.248</v>
      </c>
      <c r="H939" s="8" t="s">
        <v>1620</v>
      </c>
      <c r="I939">
        <v>238.4</v>
      </c>
      <c r="K939">
        <f t="shared" si="42"/>
        <v>31.2</v>
      </c>
      <c r="L939">
        <f t="shared" si="43"/>
        <v>0.3338</v>
      </c>
      <c r="M939">
        <f t="shared" si="44"/>
        <v>5</v>
      </c>
    </row>
    <row r="940" spans="1:13">
      <c r="A940">
        <v>31.315</v>
      </c>
      <c r="B940">
        <v>238.4</v>
      </c>
      <c r="C940">
        <v>29.978</v>
      </c>
      <c r="D940">
        <v>238.4</v>
      </c>
      <c r="G940">
        <v>31.281</v>
      </c>
      <c r="H940" s="8" t="s">
        <v>1463</v>
      </c>
      <c r="I940">
        <v>238.4</v>
      </c>
      <c r="K940">
        <f t="shared" si="42"/>
        <v>31.25</v>
      </c>
      <c r="L940">
        <f t="shared" si="43"/>
        <v>0.3703</v>
      </c>
      <c r="M940">
        <f t="shared" si="44"/>
        <v>5</v>
      </c>
    </row>
    <row r="941" spans="1:13">
      <c r="A941">
        <v>31.348</v>
      </c>
      <c r="B941">
        <v>238.4</v>
      </c>
      <c r="C941">
        <v>30.011</v>
      </c>
      <c r="D941">
        <v>213.8</v>
      </c>
      <c r="G941">
        <v>31.315</v>
      </c>
      <c r="H941" s="8" t="s">
        <v>1621</v>
      </c>
      <c r="I941">
        <v>238.4</v>
      </c>
      <c r="K941">
        <f t="shared" si="42"/>
        <v>31.3</v>
      </c>
      <c r="L941">
        <f t="shared" si="43"/>
        <v>0.3513</v>
      </c>
      <c r="M941">
        <f t="shared" si="44"/>
        <v>5</v>
      </c>
    </row>
    <row r="942" spans="1:13">
      <c r="A942">
        <v>31.382</v>
      </c>
      <c r="B942">
        <v>238.4</v>
      </c>
      <c r="C942">
        <v>30.045</v>
      </c>
      <c r="D942">
        <v>219.3</v>
      </c>
      <c r="G942">
        <v>31.348</v>
      </c>
      <c r="H942" s="8" t="s">
        <v>1622</v>
      </c>
      <c r="I942">
        <v>238.4</v>
      </c>
      <c r="K942">
        <f t="shared" si="42"/>
        <v>31.3</v>
      </c>
      <c r="L942">
        <f t="shared" si="43"/>
        <v>0.3402</v>
      </c>
      <c r="M942">
        <f t="shared" si="44"/>
        <v>5</v>
      </c>
    </row>
    <row r="943" spans="1:13">
      <c r="A943">
        <v>31.415</v>
      </c>
      <c r="B943">
        <v>238.4</v>
      </c>
      <c r="C943">
        <v>30.078</v>
      </c>
      <c r="D943">
        <v>218.3</v>
      </c>
      <c r="G943">
        <v>31.382</v>
      </c>
      <c r="H943" s="8" t="s">
        <v>1623</v>
      </c>
      <c r="I943">
        <v>238.4</v>
      </c>
      <c r="K943">
        <f t="shared" si="42"/>
        <v>31.35</v>
      </c>
      <c r="L943">
        <f t="shared" si="43"/>
        <v>0.3366</v>
      </c>
      <c r="M943">
        <f t="shared" si="44"/>
        <v>5</v>
      </c>
    </row>
    <row r="944" spans="1:13">
      <c r="A944">
        <v>31.448</v>
      </c>
      <c r="B944">
        <v>238.4</v>
      </c>
      <c r="C944">
        <v>30.112</v>
      </c>
      <c r="D944">
        <v>216.7</v>
      </c>
      <c r="G944">
        <v>31.415</v>
      </c>
      <c r="H944" s="8" t="s">
        <v>1624</v>
      </c>
      <c r="I944">
        <v>238.4</v>
      </c>
      <c r="K944">
        <f t="shared" si="42"/>
        <v>31.4</v>
      </c>
      <c r="L944">
        <f t="shared" si="43"/>
        <v>0.3372</v>
      </c>
      <c r="M944">
        <f t="shared" si="44"/>
        <v>5</v>
      </c>
    </row>
    <row r="945" spans="1:13">
      <c r="A945">
        <v>31.482</v>
      </c>
      <c r="B945">
        <v>238.4</v>
      </c>
      <c r="C945">
        <v>30.145</v>
      </c>
      <c r="D945">
        <v>214.9</v>
      </c>
      <c r="G945">
        <v>31.448</v>
      </c>
      <c r="H945" s="8" t="s">
        <v>1625</v>
      </c>
      <c r="I945">
        <v>238.4</v>
      </c>
      <c r="K945">
        <f t="shared" si="42"/>
        <v>31.4</v>
      </c>
      <c r="L945">
        <f t="shared" si="43"/>
        <v>0.3358</v>
      </c>
      <c r="M945">
        <f t="shared" si="44"/>
        <v>5</v>
      </c>
    </row>
    <row r="946" spans="1:13">
      <c r="A946">
        <v>31.515</v>
      </c>
      <c r="B946">
        <v>238.4</v>
      </c>
      <c r="C946">
        <v>30.178</v>
      </c>
      <c r="D946">
        <v>214.2</v>
      </c>
      <c r="G946">
        <v>31.482</v>
      </c>
      <c r="H946" s="8" t="s">
        <v>911</v>
      </c>
      <c r="I946">
        <v>238.4</v>
      </c>
      <c r="K946">
        <f t="shared" si="42"/>
        <v>31.45</v>
      </c>
      <c r="L946">
        <f t="shared" si="43"/>
        <v>0.3373</v>
      </c>
      <c r="M946">
        <f t="shared" si="44"/>
        <v>5</v>
      </c>
    </row>
    <row r="947" spans="1:13">
      <c r="A947">
        <v>31.549</v>
      </c>
      <c r="B947">
        <v>238.4</v>
      </c>
      <c r="C947">
        <v>30.212</v>
      </c>
      <c r="D947">
        <v>212.3</v>
      </c>
      <c r="G947">
        <v>31.515</v>
      </c>
      <c r="H947" s="8" t="s">
        <v>1626</v>
      </c>
      <c r="I947">
        <v>238.4</v>
      </c>
      <c r="K947">
        <f t="shared" si="42"/>
        <v>31.5</v>
      </c>
      <c r="L947">
        <f t="shared" si="43"/>
        <v>0.3663</v>
      </c>
      <c r="M947">
        <f t="shared" si="44"/>
        <v>5</v>
      </c>
    </row>
    <row r="948" spans="1:13">
      <c r="A948">
        <v>31.582</v>
      </c>
      <c r="B948">
        <v>238.4</v>
      </c>
      <c r="C948">
        <v>30.245</v>
      </c>
      <c r="D948">
        <v>211.3</v>
      </c>
      <c r="G948">
        <v>31.549</v>
      </c>
      <c r="H948" s="8" t="s">
        <v>1449</v>
      </c>
      <c r="I948">
        <v>238.4</v>
      </c>
      <c r="K948">
        <f t="shared" si="42"/>
        <v>31.5</v>
      </c>
      <c r="L948">
        <f t="shared" si="43"/>
        <v>0.3682</v>
      </c>
      <c r="M948">
        <f t="shared" si="44"/>
        <v>5</v>
      </c>
    </row>
    <row r="949" spans="1:13">
      <c r="A949">
        <v>31.616</v>
      </c>
      <c r="B949">
        <v>215.5</v>
      </c>
      <c r="C949">
        <v>30.279</v>
      </c>
      <c r="D949">
        <v>210.1</v>
      </c>
      <c r="G949">
        <v>31.582</v>
      </c>
      <c r="H949" s="8" t="s">
        <v>1627</v>
      </c>
      <c r="I949">
        <v>238.4</v>
      </c>
      <c r="K949">
        <f t="shared" si="42"/>
        <v>31.55</v>
      </c>
      <c r="L949">
        <f t="shared" si="43"/>
        <v>0.3701</v>
      </c>
      <c r="M949">
        <f t="shared" si="44"/>
        <v>5</v>
      </c>
    </row>
    <row r="950" spans="1:13">
      <c r="A950">
        <v>31.649</v>
      </c>
      <c r="B950">
        <v>220</v>
      </c>
      <c r="C950">
        <v>30.312</v>
      </c>
      <c r="D950">
        <v>208.1</v>
      </c>
      <c r="G950">
        <v>31.616</v>
      </c>
      <c r="H950" s="8" t="s">
        <v>1627</v>
      </c>
      <c r="I950">
        <v>215.5</v>
      </c>
      <c r="K950">
        <f t="shared" si="42"/>
        <v>31.6</v>
      </c>
      <c r="L950">
        <f t="shared" si="43"/>
        <v>0.3701</v>
      </c>
      <c r="M950">
        <f t="shared" si="44"/>
        <v>0</v>
      </c>
    </row>
    <row r="951" spans="1:13">
      <c r="A951">
        <v>31.682</v>
      </c>
      <c r="B951">
        <v>218.4</v>
      </c>
      <c r="C951">
        <v>30.346</v>
      </c>
      <c r="D951">
        <v>207.8</v>
      </c>
      <c r="G951">
        <v>31.649</v>
      </c>
      <c r="H951" s="8" t="s">
        <v>1628</v>
      </c>
      <c r="I951">
        <v>220</v>
      </c>
      <c r="K951">
        <f t="shared" si="42"/>
        <v>31.6</v>
      </c>
      <c r="L951">
        <f t="shared" si="43"/>
        <v>0.372</v>
      </c>
      <c r="M951">
        <f t="shared" si="44"/>
        <v>0</v>
      </c>
    </row>
    <row r="952" spans="1:13">
      <c r="A952">
        <v>31.716</v>
      </c>
      <c r="B952">
        <v>216.3</v>
      </c>
      <c r="C952">
        <v>30.379</v>
      </c>
      <c r="D952">
        <v>206.5</v>
      </c>
      <c r="G952">
        <v>31.682</v>
      </c>
      <c r="H952" s="8" t="s">
        <v>1560</v>
      </c>
      <c r="I952">
        <v>218.4</v>
      </c>
      <c r="K952">
        <f t="shared" si="42"/>
        <v>31.65</v>
      </c>
      <c r="L952">
        <f t="shared" si="43"/>
        <v>0.3776</v>
      </c>
      <c r="M952">
        <f t="shared" si="44"/>
        <v>0</v>
      </c>
    </row>
    <row r="953" spans="1:13">
      <c r="A953">
        <v>31.749</v>
      </c>
      <c r="B953">
        <v>215.5</v>
      </c>
      <c r="C953">
        <v>30.412</v>
      </c>
      <c r="D953">
        <v>204.4</v>
      </c>
      <c r="G953">
        <v>31.716</v>
      </c>
      <c r="H953" s="8" t="s">
        <v>1629</v>
      </c>
      <c r="I953">
        <v>216.3</v>
      </c>
      <c r="K953">
        <f t="shared" si="42"/>
        <v>31.7</v>
      </c>
      <c r="L953">
        <f t="shared" si="43"/>
        <v>0.488</v>
      </c>
      <c r="M953">
        <f t="shared" si="44"/>
        <v>0</v>
      </c>
    </row>
    <row r="954" spans="1:13">
      <c r="A954">
        <v>31.783</v>
      </c>
      <c r="B954">
        <v>214.5</v>
      </c>
      <c r="C954">
        <v>30.446</v>
      </c>
      <c r="D954">
        <v>204.2</v>
      </c>
      <c r="G954">
        <v>31.749</v>
      </c>
      <c r="H954" s="8" t="s">
        <v>1630</v>
      </c>
      <c r="I954">
        <v>215.5</v>
      </c>
      <c r="K954">
        <f t="shared" si="42"/>
        <v>31.7</v>
      </c>
      <c r="L954">
        <f t="shared" si="43"/>
        <v>0.5023</v>
      </c>
      <c r="M954">
        <f t="shared" si="44"/>
        <v>0</v>
      </c>
    </row>
    <row r="955" spans="1:13">
      <c r="A955">
        <v>31.816</v>
      </c>
      <c r="B955">
        <v>214.4</v>
      </c>
      <c r="C955">
        <v>30.479</v>
      </c>
      <c r="D955">
        <v>201.7</v>
      </c>
      <c r="G955">
        <v>31.783</v>
      </c>
      <c r="H955" s="8" t="s">
        <v>1631</v>
      </c>
      <c r="I955">
        <v>214.5</v>
      </c>
      <c r="K955">
        <f t="shared" si="42"/>
        <v>31.75</v>
      </c>
      <c r="L955">
        <f t="shared" si="43"/>
        <v>0.5194</v>
      </c>
      <c r="M955">
        <f t="shared" si="44"/>
        <v>0</v>
      </c>
    </row>
    <row r="956" spans="1:13">
      <c r="A956">
        <v>31.849</v>
      </c>
      <c r="B956">
        <v>212.7</v>
      </c>
      <c r="C956">
        <v>30.513</v>
      </c>
      <c r="D956">
        <v>201.6</v>
      </c>
      <c r="G956">
        <v>31.816</v>
      </c>
      <c r="H956" s="8" t="s">
        <v>1632</v>
      </c>
      <c r="I956">
        <v>214.4</v>
      </c>
      <c r="K956">
        <f t="shared" si="42"/>
        <v>31.8</v>
      </c>
      <c r="L956">
        <f t="shared" si="43"/>
        <v>0.5122</v>
      </c>
      <c r="M956">
        <f t="shared" si="44"/>
        <v>0</v>
      </c>
    </row>
    <row r="957" spans="1:13">
      <c r="A957">
        <v>31.883</v>
      </c>
      <c r="B957">
        <v>210.3</v>
      </c>
      <c r="C957">
        <v>30.546</v>
      </c>
      <c r="D957">
        <v>200</v>
      </c>
      <c r="G957">
        <v>31.849</v>
      </c>
      <c r="H957" s="8" t="s">
        <v>1633</v>
      </c>
      <c r="I957">
        <v>212.7</v>
      </c>
      <c r="K957">
        <f t="shared" si="42"/>
        <v>31.8</v>
      </c>
      <c r="L957">
        <f t="shared" si="43"/>
        <v>0.4807</v>
      </c>
      <c r="M957">
        <f t="shared" si="44"/>
        <v>0</v>
      </c>
    </row>
    <row r="958" spans="1:13">
      <c r="A958">
        <v>31.916</v>
      </c>
      <c r="B958">
        <v>209.1</v>
      </c>
      <c r="C958">
        <v>30.58</v>
      </c>
      <c r="D958">
        <v>199.6</v>
      </c>
      <c r="G958">
        <v>31.883</v>
      </c>
      <c r="H958" s="8" t="s">
        <v>1634</v>
      </c>
      <c r="I958">
        <v>210.3</v>
      </c>
      <c r="K958">
        <f t="shared" si="42"/>
        <v>31.85</v>
      </c>
      <c r="L958">
        <f t="shared" si="43"/>
        <v>0.5016</v>
      </c>
      <c r="M958">
        <f t="shared" si="44"/>
        <v>0</v>
      </c>
    </row>
    <row r="959" spans="1:13">
      <c r="A959">
        <v>31.95</v>
      </c>
      <c r="B959">
        <v>208</v>
      </c>
      <c r="C959">
        <v>30.613</v>
      </c>
      <c r="D959">
        <v>198.7</v>
      </c>
      <c r="G959">
        <v>31.916</v>
      </c>
      <c r="H959" s="8" t="s">
        <v>961</v>
      </c>
      <c r="I959">
        <v>209.1</v>
      </c>
      <c r="K959">
        <f t="shared" si="42"/>
        <v>31.9</v>
      </c>
      <c r="L959">
        <f t="shared" si="43"/>
        <v>0.5292</v>
      </c>
      <c r="M959">
        <f t="shared" si="44"/>
        <v>0</v>
      </c>
    </row>
    <row r="960" spans="1:13">
      <c r="A960">
        <v>31.983</v>
      </c>
      <c r="B960">
        <v>206.6</v>
      </c>
      <c r="C960">
        <v>30.646</v>
      </c>
      <c r="D960">
        <v>196.8</v>
      </c>
      <c r="G960">
        <v>31.95</v>
      </c>
      <c r="H960" s="8" t="s">
        <v>1635</v>
      </c>
      <c r="I960">
        <v>208</v>
      </c>
      <c r="K960">
        <f t="shared" si="42"/>
        <v>31.95</v>
      </c>
      <c r="L960">
        <f t="shared" si="43"/>
        <v>0.6152</v>
      </c>
      <c r="M960">
        <f t="shared" si="44"/>
        <v>0</v>
      </c>
    </row>
    <row r="961" spans="1:13">
      <c r="A961">
        <v>32.017</v>
      </c>
      <c r="B961">
        <v>205.8</v>
      </c>
      <c r="C961">
        <v>30.68</v>
      </c>
      <c r="D961">
        <v>196.1</v>
      </c>
      <c r="G961">
        <v>31.983</v>
      </c>
      <c r="H961" s="8" t="s">
        <v>1636</v>
      </c>
      <c r="I961">
        <v>206.6</v>
      </c>
      <c r="K961">
        <f t="shared" si="42"/>
        <v>31.95</v>
      </c>
      <c r="L961">
        <f t="shared" si="43"/>
        <v>0.6201</v>
      </c>
      <c r="M961">
        <f t="shared" si="44"/>
        <v>0</v>
      </c>
    </row>
    <row r="962" spans="1:13">
      <c r="A962">
        <v>32.05</v>
      </c>
      <c r="B962">
        <v>204.1</v>
      </c>
      <c r="C962">
        <v>30.713</v>
      </c>
      <c r="D962">
        <v>194.9</v>
      </c>
      <c r="G962">
        <v>32.017</v>
      </c>
      <c r="H962" s="8" t="s">
        <v>1637</v>
      </c>
      <c r="I962">
        <v>205.8</v>
      </c>
      <c r="K962">
        <f t="shared" si="42"/>
        <v>32</v>
      </c>
      <c r="L962">
        <f t="shared" si="43"/>
        <v>0.6209</v>
      </c>
      <c r="M962">
        <f t="shared" si="44"/>
        <v>0</v>
      </c>
    </row>
    <row r="963" spans="1:13">
      <c r="A963">
        <v>32.083</v>
      </c>
      <c r="B963">
        <v>203</v>
      </c>
      <c r="C963">
        <v>30.747</v>
      </c>
      <c r="D963">
        <v>193.9</v>
      </c>
      <c r="G963">
        <v>32.05</v>
      </c>
      <c r="H963" s="8" t="s">
        <v>1638</v>
      </c>
      <c r="I963">
        <v>204.1</v>
      </c>
      <c r="K963">
        <f t="shared" si="42"/>
        <v>32.05</v>
      </c>
      <c r="L963">
        <f t="shared" si="43"/>
        <v>0.6276</v>
      </c>
      <c r="M963">
        <f t="shared" si="44"/>
        <v>0</v>
      </c>
    </row>
    <row r="964" spans="1:13">
      <c r="A964">
        <v>32.117</v>
      </c>
      <c r="B964">
        <v>201.5</v>
      </c>
      <c r="C964">
        <v>30.78</v>
      </c>
      <c r="D964">
        <v>238.4</v>
      </c>
      <c r="G964">
        <v>32.083</v>
      </c>
      <c r="H964" s="8" t="s">
        <v>1639</v>
      </c>
      <c r="I964">
        <v>203</v>
      </c>
      <c r="K964">
        <f t="shared" ref="K964:K1027" si="45">FLOOR(G964,0.05)</f>
        <v>32.05</v>
      </c>
      <c r="L964">
        <f t="shared" si="43"/>
        <v>0.6067</v>
      </c>
      <c r="M964">
        <f t="shared" si="44"/>
        <v>0</v>
      </c>
    </row>
    <row r="965" spans="1:13">
      <c r="A965">
        <v>32.15</v>
      </c>
      <c r="B965">
        <v>200.7</v>
      </c>
      <c r="C965">
        <v>30.813</v>
      </c>
      <c r="D965">
        <v>238.4</v>
      </c>
      <c r="G965">
        <v>32.117</v>
      </c>
      <c r="H965" s="8" t="s">
        <v>1640</v>
      </c>
      <c r="I965">
        <v>201.5</v>
      </c>
      <c r="K965">
        <f t="shared" si="45"/>
        <v>32.1</v>
      </c>
      <c r="L965">
        <f t="shared" ref="L965:L1028" si="46">H965*100</f>
        <v>0.607</v>
      </c>
      <c r="M965">
        <f t="shared" ref="M965:M1028" si="47">IF(I965&lt;230,0,5)</f>
        <v>0</v>
      </c>
    </row>
    <row r="966" spans="1:13">
      <c r="A966">
        <v>32.184</v>
      </c>
      <c r="B966">
        <v>199.6</v>
      </c>
      <c r="C966">
        <v>30.847</v>
      </c>
      <c r="D966">
        <v>238.4</v>
      </c>
      <c r="G966">
        <v>32.15</v>
      </c>
      <c r="H966" s="8" t="s">
        <v>1641</v>
      </c>
      <c r="I966">
        <v>200.7</v>
      </c>
      <c r="K966">
        <f t="shared" si="45"/>
        <v>32.15</v>
      </c>
      <c r="L966">
        <f t="shared" si="46"/>
        <v>0.6061</v>
      </c>
      <c r="M966">
        <f t="shared" si="47"/>
        <v>0</v>
      </c>
    </row>
    <row r="967" spans="1:13">
      <c r="A967">
        <v>32.217</v>
      </c>
      <c r="B967">
        <v>198.9</v>
      </c>
      <c r="C967">
        <v>30.88</v>
      </c>
      <c r="D967">
        <v>238.4</v>
      </c>
      <c r="G967">
        <v>32.184</v>
      </c>
      <c r="H967" s="8" t="s">
        <v>1642</v>
      </c>
      <c r="I967">
        <v>199.6</v>
      </c>
      <c r="K967">
        <f t="shared" si="45"/>
        <v>32.15</v>
      </c>
      <c r="L967">
        <f t="shared" si="46"/>
        <v>0.6054</v>
      </c>
      <c r="M967">
        <f t="shared" si="47"/>
        <v>0</v>
      </c>
    </row>
    <row r="968" spans="1:13">
      <c r="A968">
        <v>32.251</v>
      </c>
      <c r="B968">
        <v>197.6</v>
      </c>
      <c r="C968">
        <v>30.914</v>
      </c>
      <c r="D968">
        <v>238.4</v>
      </c>
      <c r="G968">
        <v>32.217</v>
      </c>
      <c r="H968" s="8" t="s">
        <v>1643</v>
      </c>
      <c r="I968">
        <v>198.9</v>
      </c>
      <c r="K968">
        <f t="shared" si="45"/>
        <v>32.2</v>
      </c>
      <c r="L968">
        <f t="shared" si="46"/>
        <v>0.6066</v>
      </c>
      <c r="M968">
        <f t="shared" si="47"/>
        <v>0</v>
      </c>
    </row>
    <row r="969" spans="1:13">
      <c r="A969">
        <v>32.284</v>
      </c>
      <c r="B969">
        <v>197.6</v>
      </c>
      <c r="C969">
        <v>30.947</v>
      </c>
      <c r="D969">
        <v>238.4</v>
      </c>
      <c r="G969">
        <v>32.251</v>
      </c>
      <c r="H969" s="8" t="s">
        <v>1644</v>
      </c>
      <c r="I969">
        <v>197.6</v>
      </c>
      <c r="K969">
        <f t="shared" si="45"/>
        <v>32.25</v>
      </c>
      <c r="L969">
        <f t="shared" si="46"/>
        <v>0.6236</v>
      </c>
      <c r="M969">
        <f t="shared" si="47"/>
        <v>0</v>
      </c>
    </row>
    <row r="970" spans="1:13">
      <c r="A970">
        <v>32.317</v>
      </c>
      <c r="B970">
        <v>194.6</v>
      </c>
      <c r="C970">
        <v>30.981</v>
      </c>
      <c r="D970">
        <v>238.4</v>
      </c>
      <c r="G970">
        <v>32.284</v>
      </c>
      <c r="H970" s="8" t="s">
        <v>1505</v>
      </c>
      <c r="I970">
        <v>197.6</v>
      </c>
      <c r="K970">
        <f t="shared" si="45"/>
        <v>32.25</v>
      </c>
      <c r="L970">
        <f t="shared" si="46"/>
        <v>0.5087</v>
      </c>
      <c r="M970">
        <f t="shared" si="47"/>
        <v>0</v>
      </c>
    </row>
    <row r="971" spans="1:13">
      <c r="A971">
        <v>32.351</v>
      </c>
      <c r="B971">
        <v>194.5</v>
      </c>
      <c r="C971">
        <v>31.014</v>
      </c>
      <c r="D971">
        <v>238.4</v>
      </c>
      <c r="G971">
        <v>32.317</v>
      </c>
      <c r="H971" s="8" t="s">
        <v>1645</v>
      </c>
      <c r="I971">
        <v>194.6</v>
      </c>
      <c r="K971">
        <f t="shared" si="45"/>
        <v>32.3</v>
      </c>
      <c r="L971">
        <f t="shared" si="46"/>
        <v>0.4833</v>
      </c>
      <c r="M971">
        <f t="shared" si="47"/>
        <v>0</v>
      </c>
    </row>
    <row r="972" spans="1:13">
      <c r="A972">
        <v>32.384</v>
      </c>
      <c r="B972">
        <v>227.1</v>
      </c>
      <c r="C972">
        <v>31.047</v>
      </c>
      <c r="D972">
        <v>238.4</v>
      </c>
      <c r="G972">
        <v>32.351</v>
      </c>
      <c r="H972" s="8" t="s">
        <v>1646</v>
      </c>
      <c r="I972">
        <v>194.5</v>
      </c>
      <c r="K972">
        <f t="shared" si="45"/>
        <v>32.35</v>
      </c>
      <c r="L972">
        <f t="shared" si="46"/>
        <v>0.4888</v>
      </c>
      <c r="M972">
        <f t="shared" si="47"/>
        <v>0</v>
      </c>
    </row>
    <row r="973" spans="1:13">
      <c r="A973">
        <v>32.418</v>
      </c>
      <c r="B973">
        <v>238.4</v>
      </c>
      <c r="C973">
        <v>31.081</v>
      </c>
      <c r="D973">
        <v>238.4</v>
      </c>
      <c r="G973">
        <v>32.384</v>
      </c>
      <c r="H973" s="8" t="s">
        <v>1215</v>
      </c>
      <c r="I973">
        <v>227.1</v>
      </c>
      <c r="K973">
        <f t="shared" si="45"/>
        <v>32.35</v>
      </c>
      <c r="L973">
        <f t="shared" si="46"/>
        <v>0.4926</v>
      </c>
      <c r="M973">
        <f t="shared" si="47"/>
        <v>0</v>
      </c>
    </row>
    <row r="974" spans="1:13">
      <c r="A974">
        <v>32.451</v>
      </c>
      <c r="B974">
        <v>238.4</v>
      </c>
      <c r="C974">
        <v>31.114</v>
      </c>
      <c r="D974">
        <v>238.4</v>
      </c>
      <c r="G974">
        <v>32.418</v>
      </c>
      <c r="H974" s="8" t="s">
        <v>1647</v>
      </c>
      <c r="I974">
        <v>238.4</v>
      </c>
      <c r="K974">
        <f t="shared" si="45"/>
        <v>32.4</v>
      </c>
      <c r="L974">
        <f t="shared" si="46"/>
        <v>0.5077</v>
      </c>
      <c r="M974">
        <f t="shared" si="47"/>
        <v>5</v>
      </c>
    </row>
    <row r="975" spans="1:13">
      <c r="A975">
        <v>32.484</v>
      </c>
      <c r="B975">
        <v>238.4</v>
      </c>
      <c r="C975">
        <v>31.148</v>
      </c>
      <c r="D975">
        <v>238.4</v>
      </c>
      <c r="G975">
        <v>32.451</v>
      </c>
      <c r="H975" s="8" t="s">
        <v>1648</v>
      </c>
      <c r="I975">
        <v>238.4</v>
      </c>
      <c r="K975">
        <f t="shared" si="45"/>
        <v>32.45</v>
      </c>
      <c r="L975">
        <f t="shared" si="46"/>
        <v>0.5021</v>
      </c>
      <c r="M975">
        <f t="shared" si="47"/>
        <v>5</v>
      </c>
    </row>
    <row r="976" spans="1:13">
      <c r="A976">
        <v>32.518</v>
      </c>
      <c r="B976">
        <v>238.4</v>
      </c>
      <c r="C976">
        <v>31.181</v>
      </c>
      <c r="D976">
        <v>238.4</v>
      </c>
      <c r="G976">
        <v>32.484</v>
      </c>
      <c r="H976" s="8" t="s">
        <v>1649</v>
      </c>
      <c r="I976">
        <v>238.4</v>
      </c>
      <c r="K976">
        <f t="shared" si="45"/>
        <v>32.45</v>
      </c>
      <c r="L976">
        <f t="shared" si="46"/>
        <v>0.4792</v>
      </c>
      <c r="M976">
        <f t="shared" si="47"/>
        <v>5</v>
      </c>
    </row>
    <row r="977" spans="1:13">
      <c r="A977">
        <v>32.551</v>
      </c>
      <c r="B977">
        <v>238.4</v>
      </c>
      <c r="C977">
        <v>31.214</v>
      </c>
      <c r="D977">
        <v>238.4</v>
      </c>
      <c r="G977">
        <v>32.518</v>
      </c>
      <c r="H977" s="8" t="s">
        <v>1650</v>
      </c>
      <c r="I977">
        <v>238.4</v>
      </c>
      <c r="K977">
        <f t="shared" si="45"/>
        <v>32.5</v>
      </c>
      <c r="L977">
        <f t="shared" si="46"/>
        <v>0.4285</v>
      </c>
      <c r="M977">
        <f t="shared" si="47"/>
        <v>5</v>
      </c>
    </row>
    <row r="978" spans="1:13">
      <c r="A978">
        <v>32.585</v>
      </c>
      <c r="B978">
        <v>238.4</v>
      </c>
      <c r="C978">
        <v>31.248</v>
      </c>
      <c r="D978">
        <v>238.4</v>
      </c>
      <c r="G978">
        <v>32.551</v>
      </c>
      <c r="H978" s="8" t="s">
        <v>1651</v>
      </c>
      <c r="I978">
        <v>238.4</v>
      </c>
      <c r="K978">
        <f t="shared" si="45"/>
        <v>32.55</v>
      </c>
      <c r="L978">
        <f t="shared" si="46"/>
        <v>0.3648</v>
      </c>
      <c r="M978">
        <f t="shared" si="47"/>
        <v>5</v>
      </c>
    </row>
    <row r="979" spans="1:13">
      <c r="A979">
        <v>32.618</v>
      </c>
      <c r="B979">
        <v>238.4</v>
      </c>
      <c r="C979">
        <v>31.281</v>
      </c>
      <c r="D979">
        <v>238.4</v>
      </c>
      <c r="G979">
        <v>32.585</v>
      </c>
      <c r="H979" s="8" t="s">
        <v>1652</v>
      </c>
      <c r="I979">
        <v>238.4</v>
      </c>
      <c r="K979">
        <f t="shared" si="45"/>
        <v>32.55</v>
      </c>
      <c r="L979">
        <f t="shared" si="46"/>
        <v>0.3639</v>
      </c>
      <c r="M979">
        <f t="shared" si="47"/>
        <v>5</v>
      </c>
    </row>
    <row r="980" spans="1:13">
      <c r="A980">
        <v>32.652</v>
      </c>
      <c r="B980">
        <v>238.4</v>
      </c>
      <c r="C980">
        <v>31.315</v>
      </c>
      <c r="D980">
        <v>238.4</v>
      </c>
      <c r="G980">
        <v>32.618</v>
      </c>
      <c r="H980" s="8" t="s">
        <v>899</v>
      </c>
      <c r="I980">
        <v>238.4</v>
      </c>
      <c r="K980">
        <f t="shared" si="45"/>
        <v>32.6</v>
      </c>
      <c r="L980">
        <f t="shared" si="46"/>
        <v>0.3684</v>
      </c>
      <c r="M980">
        <f t="shared" si="47"/>
        <v>5</v>
      </c>
    </row>
    <row r="981" spans="1:13">
      <c r="A981">
        <v>32.685</v>
      </c>
      <c r="B981">
        <v>238.4</v>
      </c>
      <c r="C981">
        <v>31.348</v>
      </c>
      <c r="D981">
        <v>238.4</v>
      </c>
      <c r="G981">
        <v>32.652</v>
      </c>
      <c r="H981" s="8" t="s">
        <v>1653</v>
      </c>
      <c r="I981">
        <v>238.4</v>
      </c>
      <c r="K981">
        <f t="shared" si="45"/>
        <v>32.65</v>
      </c>
      <c r="L981">
        <f t="shared" si="46"/>
        <v>0.3805</v>
      </c>
      <c r="M981">
        <f t="shared" si="47"/>
        <v>5</v>
      </c>
    </row>
    <row r="982" spans="1:13">
      <c r="A982">
        <v>32.718</v>
      </c>
      <c r="B982">
        <v>238.4</v>
      </c>
      <c r="C982">
        <v>31.382</v>
      </c>
      <c r="D982">
        <v>238.4</v>
      </c>
      <c r="G982">
        <v>32.685</v>
      </c>
      <c r="H982" s="8" t="s">
        <v>1654</v>
      </c>
      <c r="I982">
        <v>238.4</v>
      </c>
      <c r="K982">
        <f t="shared" si="45"/>
        <v>32.65</v>
      </c>
      <c r="L982">
        <f t="shared" si="46"/>
        <v>0.3534</v>
      </c>
      <c r="M982">
        <f t="shared" si="47"/>
        <v>5</v>
      </c>
    </row>
    <row r="983" spans="1:13">
      <c r="A983">
        <v>32.752</v>
      </c>
      <c r="B983">
        <v>238.4</v>
      </c>
      <c r="C983">
        <v>31.415</v>
      </c>
      <c r="D983">
        <v>238.4</v>
      </c>
      <c r="G983">
        <v>32.718</v>
      </c>
      <c r="H983" s="8" t="s">
        <v>1655</v>
      </c>
      <c r="I983">
        <v>238.4</v>
      </c>
      <c r="K983">
        <f t="shared" si="45"/>
        <v>32.7</v>
      </c>
      <c r="L983">
        <f t="shared" si="46"/>
        <v>0.257</v>
      </c>
      <c r="M983">
        <f t="shared" si="47"/>
        <v>5</v>
      </c>
    </row>
    <row r="984" spans="1:13">
      <c r="A984">
        <v>32.785</v>
      </c>
      <c r="B984">
        <v>238.4</v>
      </c>
      <c r="C984">
        <v>31.448</v>
      </c>
      <c r="D984">
        <v>238.4</v>
      </c>
      <c r="G984">
        <v>32.752</v>
      </c>
      <c r="H984" s="8" t="s">
        <v>1656</v>
      </c>
      <c r="I984">
        <v>238.4</v>
      </c>
      <c r="K984">
        <f t="shared" si="45"/>
        <v>32.75</v>
      </c>
      <c r="L984">
        <f t="shared" si="46"/>
        <v>0.2546</v>
      </c>
      <c r="M984">
        <f t="shared" si="47"/>
        <v>5</v>
      </c>
    </row>
    <row r="985" spans="1:13">
      <c r="A985">
        <v>32.819</v>
      </c>
      <c r="B985">
        <v>238.4</v>
      </c>
      <c r="C985">
        <v>31.482</v>
      </c>
      <c r="D985">
        <v>238.4</v>
      </c>
      <c r="G985">
        <v>32.785</v>
      </c>
      <c r="H985" s="8" t="s">
        <v>1385</v>
      </c>
      <c r="I985">
        <v>238.4</v>
      </c>
      <c r="K985">
        <f t="shared" si="45"/>
        <v>32.75</v>
      </c>
      <c r="L985">
        <f t="shared" si="46"/>
        <v>0.2539</v>
      </c>
      <c r="M985">
        <f t="shared" si="47"/>
        <v>5</v>
      </c>
    </row>
    <row r="986" spans="1:13">
      <c r="A986">
        <v>32.852</v>
      </c>
      <c r="B986">
        <v>238.4</v>
      </c>
      <c r="C986">
        <v>31.515</v>
      </c>
      <c r="D986">
        <v>238.4</v>
      </c>
      <c r="G986">
        <v>32.819</v>
      </c>
      <c r="H986" s="8" t="s">
        <v>1657</v>
      </c>
      <c r="I986">
        <v>238.4</v>
      </c>
      <c r="K986">
        <f t="shared" si="45"/>
        <v>32.8</v>
      </c>
      <c r="L986">
        <f t="shared" si="46"/>
        <v>0.2511</v>
      </c>
      <c r="M986">
        <f t="shared" si="47"/>
        <v>5</v>
      </c>
    </row>
    <row r="987" spans="1:13">
      <c r="A987">
        <v>32.886</v>
      </c>
      <c r="B987">
        <v>238.4</v>
      </c>
      <c r="C987">
        <v>31.549</v>
      </c>
      <c r="D987">
        <v>238.4</v>
      </c>
      <c r="G987">
        <v>32.852</v>
      </c>
      <c r="H987" s="8" t="s">
        <v>1658</v>
      </c>
      <c r="I987">
        <v>238.4</v>
      </c>
      <c r="K987">
        <f t="shared" si="45"/>
        <v>32.85</v>
      </c>
      <c r="L987">
        <f t="shared" si="46"/>
        <v>0.2474</v>
      </c>
      <c r="M987">
        <f t="shared" si="47"/>
        <v>5</v>
      </c>
    </row>
    <row r="988" spans="1:13">
      <c r="A988">
        <v>32.919</v>
      </c>
      <c r="B988">
        <v>238.4</v>
      </c>
      <c r="C988">
        <v>31.582</v>
      </c>
      <c r="D988">
        <v>238.4</v>
      </c>
      <c r="G988">
        <v>32.886</v>
      </c>
      <c r="H988" s="8" t="s">
        <v>1659</v>
      </c>
      <c r="I988">
        <v>238.4</v>
      </c>
      <c r="K988">
        <f t="shared" si="45"/>
        <v>32.85</v>
      </c>
      <c r="L988">
        <f t="shared" si="46"/>
        <v>0.2654</v>
      </c>
      <c r="M988">
        <f t="shared" si="47"/>
        <v>5</v>
      </c>
    </row>
    <row r="989" spans="1:13">
      <c r="A989">
        <v>32.952</v>
      </c>
      <c r="B989">
        <v>238.4</v>
      </c>
      <c r="C989">
        <v>31.616</v>
      </c>
      <c r="D989">
        <v>215.5</v>
      </c>
      <c r="G989">
        <v>32.919</v>
      </c>
      <c r="H989" s="8" t="s">
        <v>1168</v>
      </c>
      <c r="I989">
        <v>238.4</v>
      </c>
      <c r="K989">
        <f t="shared" si="45"/>
        <v>32.9</v>
      </c>
      <c r="L989">
        <f t="shared" si="46"/>
        <v>0.2516</v>
      </c>
      <c r="M989">
        <f t="shared" si="47"/>
        <v>5</v>
      </c>
    </row>
    <row r="990" spans="1:13">
      <c r="A990">
        <v>32.986</v>
      </c>
      <c r="B990">
        <v>238.4</v>
      </c>
      <c r="C990">
        <v>31.649</v>
      </c>
      <c r="D990">
        <v>220</v>
      </c>
      <c r="G990">
        <v>32.952</v>
      </c>
      <c r="H990" s="8" t="s">
        <v>507</v>
      </c>
      <c r="I990">
        <v>238.4</v>
      </c>
      <c r="K990">
        <f t="shared" si="45"/>
        <v>32.95</v>
      </c>
      <c r="L990">
        <f t="shared" si="46"/>
        <v>0.2614</v>
      </c>
      <c r="M990">
        <f t="shared" si="47"/>
        <v>5</v>
      </c>
    </row>
    <row r="991" spans="1:13">
      <c r="A991">
        <v>33.019</v>
      </c>
      <c r="B991">
        <v>238.4</v>
      </c>
      <c r="C991">
        <v>31.682</v>
      </c>
      <c r="D991">
        <v>218.4</v>
      </c>
      <c r="G991">
        <v>32.986</v>
      </c>
      <c r="H991" s="8" t="s">
        <v>1660</v>
      </c>
      <c r="I991">
        <v>238.4</v>
      </c>
      <c r="K991">
        <f t="shared" si="45"/>
        <v>32.95</v>
      </c>
      <c r="L991">
        <f t="shared" si="46"/>
        <v>0.3364</v>
      </c>
      <c r="M991">
        <f t="shared" si="47"/>
        <v>5</v>
      </c>
    </row>
    <row r="992" spans="1:13">
      <c r="A992">
        <v>33.053</v>
      </c>
      <c r="B992">
        <v>238.4</v>
      </c>
      <c r="C992">
        <v>31.716</v>
      </c>
      <c r="D992">
        <v>216.3</v>
      </c>
      <c r="G992">
        <v>33.019</v>
      </c>
      <c r="H992" s="8" t="s">
        <v>1661</v>
      </c>
      <c r="I992">
        <v>238.4</v>
      </c>
      <c r="K992">
        <f t="shared" si="45"/>
        <v>33</v>
      </c>
      <c r="L992">
        <f t="shared" si="46"/>
        <v>0.3747</v>
      </c>
      <c r="M992">
        <f t="shared" si="47"/>
        <v>5</v>
      </c>
    </row>
    <row r="993" spans="1:13">
      <c r="A993">
        <v>33.086</v>
      </c>
      <c r="B993">
        <v>238.4</v>
      </c>
      <c r="C993">
        <v>31.749</v>
      </c>
      <c r="D993">
        <v>215.5</v>
      </c>
      <c r="G993">
        <v>33.053</v>
      </c>
      <c r="H993" s="8" t="s">
        <v>1662</v>
      </c>
      <c r="I993">
        <v>238.4</v>
      </c>
      <c r="K993">
        <f t="shared" si="45"/>
        <v>33.05</v>
      </c>
      <c r="L993">
        <f t="shared" si="46"/>
        <v>0.3761</v>
      </c>
      <c r="M993">
        <f t="shared" si="47"/>
        <v>5</v>
      </c>
    </row>
    <row r="994" spans="1:13">
      <c r="A994">
        <v>33.119</v>
      </c>
      <c r="B994">
        <v>238.4</v>
      </c>
      <c r="C994">
        <v>31.783</v>
      </c>
      <c r="D994">
        <v>214.5</v>
      </c>
      <c r="G994">
        <v>33.086</v>
      </c>
      <c r="H994" s="8" t="s">
        <v>1663</v>
      </c>
      <c r="I994">
        <v>238.4</v>
      </c>
      <c r="K994">
        <f t="shared" si="45"/>
        <v>33.05</v>
      </c>
      <c r="L994">
        <f t="shared" si="46"/>
        <v>0.3547</v>
      </c>
      <c r="M994">
        <f t="shared" si="47"/>
        <v>5</v>
      </c>
    </row>
    <row r="995" spans="1:13">
      <c r="A995">
        <v>33.153</v>
      </c>
      <c r="B995">
        <v>238.4</v>
      </c>
      <c r="C995">
        <v>31.816</v>
      </c>
      <c r="D995">
        <v>214.4</v>
      </c>
      <c r="G995">
        <v>33.119</v>
      </c>
      <c r="H995" s="8" t="s">
        <v>1664</v>
      </c>
      <c r="I995">
        <v>238.4</v>
      </c>
      <c r="K995">
        <f t="shared" si="45"/>
        <v>33.1</v>
      </c>
      <c r="L995">
        <f t="shared" si="46"/>
        <v>0.4102</v>
      </c>
      <c r="M995">
        <f t="shared" si="47"/>
        <v>5</v>
      </c>
    </row>
    <row r="996" spans="1:13">
      <c r="A996">
        <v>33.186</v>
      </c>
      <c r="B996">
        <v>238.4</v>
      </c>
      <c r="C996">
        <v>31.849</v>
      </c>
      <c r="D996">
        <v>212.7</v>
      </c>
      <c r="G996">
        <v>33.153</v>
      </c>
      <c r="H996" s="8" t="s">
        <v>1665</v>
      </c>
      <c r="I996">
        <v>238.4</v>
      </c>
      <c r="K996">
        <f t="shared" si="45"/>
        <v>33.15</v>
      </c>
      <c r="L996">
        <f t="shared" si="46"/>
        <v>0.4991</v>
      </c>
      <c r="M996">
        <f t="shared" si="47"/>
        <v>5</v>
      </c>
    </row>
    <row r="997" spans="1:13">
      <c r="A997">
        <v>33.22</v>
      </c>
      <c r="B997">
        <v>238.4</v>
      </c>
      <c r="C997">
        <v>31.883</v>
      </c>
      <c r="D997">
        <v>210.3</v>
      </c>
      <c r="G997">
        <v>33.186</v>
      </c>
      <c r="H997" s="8" t="s">
        <v>1666</v>
      </c>
      <c r="I997">
        <v>238.4</v>
      </c>
      <c r="K997">
        <f t="shared" si="45"/>
        <v>33.15</v>
      </c>
      <c r="L997">
        <f t="shared" si="46"/>
        <v>0.492</v>
      </c>
      <c r="M997">
        <f t="shared" si="47"/>
        <v>5</v>
      </c>
    </row>
    <row r="998" spans="1:13">
      <c r="A998">
        <v>33.253</v>
      </c>
      <c r="B998">
        <v>216.1</v>
      </c>
      <c r="C998">
        <v>31.916</v>
      </c>
      <c r="D998">
        <v>209.1</v>
      </c>
      <c r="G998">
        <v>33.22</v>
      </c>
      <c r="H998" s="8" t="s">
        <v>1667</v>
      </c>
      <c r="I998">
        <v>238.4</v>
      </c>
      <c r="K998">
        <f t="shared" si="45"/>
        <v>33.2</v>
      </c>
      <c r="L998">
        <f t="shared" si="46"/>
        <v>0.4949</v>
      </c>
      <c r="M998">
        <f t="shared" si="47"/>
        <v>5</v>
      </c>
    </row>
    <row r="999" spans="1:13">
      <c r="A999">
        <v>33.287</v>
      </c>
      <c r="B999">
        <v>220</v>
      </c>
      <c r="C999">
        <v>31.95</v>
      </c>
      <c r="D999">
        <v>208</v>
      </c>
      <c r="G999">
        <v>33.253</v>
      </c>
      <c r="H999" s="8" t="s">
        <v>1668</v>
      </c>
      <c r="I999">
        <v>216.1</v>
      </c>
      <c r="K999">
        <f t="shared" si="45"/>
        <v>33.25</v>
      </c>
      <c r="L999">
        <f t="shared" si="46"/>
        <v>0.497</v>
      </c>
      <c r="M999">
        <f t="shared" si="47"/>
        <v>0</v>
      </c>
    </row>
    <row r="1000" spans="1:13">
      <c r="A1000">
        <v>33.32</v>
      </c>
      <c r="B1000">
        <v>218</v>
      </c>
      <c r="C1000">
        <v>31.983</v>
      </c>
      <c r="D1000">
        <v>206.6</v>
      </c>
      <c r="G1000">
        <v>33.287</v>
      </c>
      <c r="H1000" s="8" t="s">
        <v>1468</v>
      </c>
      <c r="I1000">
        <v>220</v>
      </c>
      <c r="K1000">
        <f t="shared" si="45"/>
        <v>33.25</v>
      </c>
      <c r="L1000">
        <f t="shared" si="46"/>
        <v>0.5025</v>
      </c>
      <c r="M1000">
        <f t="shared" si="47"/>
        <v>0</v>
      </c>
    </row>
    <row r="1001" spans="1:13">
      <c r="A1001">
        <v>33.353</v>
      </c>
      <c r="B1001">
        <v>216.7</v>
      </c>
      <c r="C1001">
        <v>32.017</v>
      </c>
      <c r="D1001">
        <v>205.8</v>
      </c>
      <c r="G1001">
        <v>33.32</v>
      </c>
      <c r="H1001" s="8" t="s">
        <v>1610</v>
      </c>
      <c r="I1001">
        <v>218</v>
      </c>
      <c r="K1001">
        <f t="shared" si="45"/>
        <v>33.3</v>
      </c>
      <c r="L1001">
        <f t="shared" si="46"/>
        <v>0.5026</v>
      </c>
      <c r="M1001">
        <f t="shared" si="47"/>
        <v>0</v>
      </c>
    </row>
    <row r="1002" spans="1:13">
      <c r="A1002">
        <v>33.387</v>
      </c>
      <c r="B1002">
        <v>215.2</v>
      </c>
      <c r="C1002">
        <v>32.05</v>
      </c>
      <c r="D1002">
        <v>204.1</v>
      </c>
      <c r="G1002">
        <v>33.353</v>
      </c>
      <c r="H1002" s="8" t="s">
        <v>1669</v>
      </c>
      <c r="I1002">
        <v>216.7</v>
      </c>
      <c r="K1002">
        <f t="shared" si="45"/>
        <v>33.35</v>
      </c>
      <c r="L1002">
        <f t="shared" si="46"/>
        <v>0.5175</v>
      </c>
      <c r="M1002">
        <f t="shared" si="47"/>
        <v>0</v>
      </c>
    </row>
    <row r="1003" spans="1:13">
      <c r="A1003">
        <v>33.42</v>
      </c>
      <c r="B1003">
        <v>213.2</v>
      </c>
      <c r="C1003">
        <v>32.083</v>
      </c>
      <c r="D1003">
        <v>203</v>
      </c>
      <c r="G1003">
        <v>33.387</v>
      </c>
      <c r="H1003" s="8" t="s">
        <v>1670</v>
      </c>
      <c r="I1003">
        <v>215.2</v>
      </c>
      <c r="K1003">
        <f t="shared" si="45"/>
        <v>33.35</v>
      </c>
      <c r="L1003">
        <f t="shared" si="46"/>
        <v>0.6473</v>
      </c>
      <c r="M1003">
        <f t="shared" si="47"/>
        <v>0</v>
      </c>
    </row>
    <row r="1004" spans="1:13">
      <c r="A1004">
        <v>33.454</v>
      </c>
      <c r="B1004">
        <v>212.2</v>
      </c>
      <c r="C1004">
        <v>32.117</v>
      </c>
      <c r="D1004">
        <v>201.5</v>
      </c>
      <c r="G1004">
        <v>33.42</v>
      </c>
      <c r="H1004" s="8" t="s">
        <v>1671</v>
      </c>
      <c r="I1004">
        <v>213.2</v>
      </c>
      <c r="K1004">
        <f t="shared" si="45"/>
        <v>33.4</v>
      </c>
      <c r="L1004">
        <f t="shared" si="46"/>
        <v>0.636</v>
      </c>
      <c r="M1004">
        <f t="shared" si="47"/>
        <v>0</v>
      </c>
    </row>
    <row r="1005" spans="1:13">
      <c r="A1005">
        <v>33.487</v>
      </c>
      <c r="B1005">
        <v>211.8</v>
      </c>
      <c r="C1005">
        <v>32.15</v>
      </c>
      <c r="D1005">
        <v>200.7</v>
      </c>
      <c r="G1005">
        <v>33.454</v>
      </c>
      <c r="H1005" s="8" t="s">
        <v>1605</v>
      </c>
      <c r="I1005">
        <v>212.2</v>
      </c>
      <c r="K1005">
        <f t="shared" si="45"/>
        <v>33.45</v>
      </c>
      <c r="L1005">
        <f t="shared" si="46"/>
        <v>0.6307</v>
      </c>
      <c r="M1005">
        <f t="shared" si="47"/>
        <v>0</v>
      </c>
    </row>
    <row r="1006" spans="1:13">
      <c r="A1006">
        <v>33.52</v>
      </c>
      <c r="B1006">
        <v>209.8</v>
      </c>
      <c r="C1006">
        <v>32.184</v>
      </c>
      <c r="D1006">
        <v>199.6</v>
      </c>
      <c r="G1006">
        <v>33.487</v>
      </c>
      <c r="H1006" s="8" t="s">
        <v>1672</v>
      </c>
      <c r="I1006">
        <v>211.8</v>
      </c>
      <c r="K1006">
        <f t="shared" si="45"/>
        <v>33.45</v>
      </c>
      <c r="L1006">
        <f t="shared" si="46"/>
        <v>0.6363</v>
      </c>
      <c r="M1006">
        <f t="shared" si="47"/>
        <v>0</v>
      </c>
    </row>
    <row r="1007" spans="1:13">
      <c r="A1007">
        <v>33.554</v>
      </c>
      <c r="B1007">
        <v>209.4</v>
      </c>
      <c r="C1007">
        <v>32.217</v>
      </c>
      <c r="D1007">
        <v>198.9</v>
      </c>
      <c r="G1007">
        <v>33.52</v>
      </c>
      <c r="H1007" s="8" t="s">
        <v>1510</v>
      </c>
      <c r="I1007">
        <v>209.8</v>
      </c>
      <c r="K1007">
        <f t="shared" si="45"/>
        <v>33.5</v>
      </c>
      <c r="L1007">
        <f t="shared" si="46"/>
        <v>0.6378</v>
      </c>
      <c r="M1007">
        <f t="shared" si="47"/>
        <v>0</v>
      </c>
    </row>
    <row r="1008" spans="1:13">
      <c r="A1008">
        <v>33.587</v>
      </c>
      <c r="B1008">
        <v>208.3</v>
      </c>
      <c r="C1008">
        <v>32.251</v>
      </c>
      <c r="D1008">
        <v>197.6</v>
      </c>
      <c r="G1008">
        <v>33.554</v>
      </c>
      <c r="H1008" s="8" t="s">
        <v>1673</v>
      </c>
      <c r="I1008">
        <v>209.4</v>
      </c>
      <c r="K1008">
        <f t="shared" si="45"/>
        <v>33.55</v>
      </c>
      <c r="L1008">
        <f t="shared" si="46"/>
        <v>0.6336</v>
      </c>
      <c r="M1008">
        <f t="shared" si="47"/>
        <v>0</v>
      </c>
    </row>
    <row r="1009" spans="1:13">
      <c r="A1009">
        <v>33.621</v>
      </c>
      <c r="B1009">
        <v>205.7</v>
      </c>
      <c r="C1009">
        <v>32.284</v>
      </c>
      <c r="D1009">
        <v>197.6</v>
      </c>
      <c r="G1009">
        <v>33.587</v>
      </c>
      <c r="H1009" s="8" t="s">
        <v>1604</v>
      </c>
      <c r="I1009">
        <v>208.3</v>
      </c>
      <c r="K1009">
        <f t="shared" si="45"/>
        <v>33.55</v>
      </c>
      <c r="L1009">
        <f t="shared" si="46"/>
        <v>0.633</v>
      </c>
      <c r="M1009">
        <f t="shared" si="47"/>
        <v>0</v>
      </c>
    </row>
    <row r="1010" spans="1:13">
      <c r="A1010">
        <v>33.654</v>
      </c>
      <c r="B1010">
        <v>204.9</v>
      </c>
      <c r="C1010">
        <v>32.317</v>
      </c>
      <c r="D1010">
        <v>194.6</v>
      </c>
      <c r="G1010">
        <v>33.621</v>
      </c>
      <c r="H1010" s="8" t="s">
        <v>1674</v>
      </c>
      <c r="I1010">
        <v>205.7</v>
      </c>
      <c r="K1010">
        <f t="shared" si="45"/>
        <v>33.6</v>
      </c>
      <c r="L1010">
        <f t="shared" si="46"/>
        <v>0.6364</v>
      </c>
      <c r="M1010">
        <f t="shared" si="47"/>
        <v>0</v>
      </c>
    </row>
    <row r="1011" spans="1:13">
      <c r="A1011">
        <v>33.688</v>
      </c>
      <c r="B1011">
        <v>204.1</v>
      </c>
      <c r="C1011">
        <v>32.351</v>
      </c>
      <c r="D1011">
        <v>194.5</v>
      </c>
      <c r="G1011">
        <v>33.654</v>
      </c>
      <c r="H1011" s="8" t="s">
        <v>1675</v>
      </c>
      <c r="I1011">
        <v>204.9</v>
      </c>
      <c r="K1011">
        <f t="shared" si="45"/>
        <v>33.65</v>
      </c>
      <c r="L1011">
        <f t="shared" si="46"/>
        <v>0.6362</v>
      </c>
      <c r="M1011">
        <f t="shared" si="47"/>
        <v>0</v>
      </c>
    </row>
    <row r="1012" spans="1:13">
      <c r="A1012">
        <v>33.721</v>
      </c>
      <c r="B1012">
        <v>202.1</v>
      </c>
      <c r="C1012">
        <v>32.384</v>
      </c>
      <c r="D1012">
        <v>227.1</v>
      </c>
      <c r="G1012">
        <v>33.688</v>
      </c>
      <c r="H1012" s="8" t="s">
        <v>1676</v>
      </c>
      <c r="I1012">
        <v>204.1</v>
      </c>
      <c r="K1012">
        <f t="shared" si="45"/>
        <v>33.65</v>
      </c>
      <c r="L1012">
        <f t="shared" si="46"/>
        <v>0.554</v>
      </c>
      <c r="M1012">
        <f t="shared" si="47"/>
        <v>0</v>
      </c>
    </row>
    <row r="1013" spans="1:13">
      <c r="A1013">
        <v>33.754</v>
      </c>
      <c r="B1013">
        <v>201.4</v>
      </c>
      <c r="C1013">
        <v>32.418</v>
      </c>
      <c r="D1013">
        <v>238.4</v>
      </c>
      <c r="G1013">
        <v>33.721</v>
      </c>
      <c r="H1013" s="8" t="s">
        <v>1677</v>
      </c>
      <c r="I1013">
        <v>202.1</v>
      </c>
      <c r="K1013">
        <f t="shared" si="45"/>
        <v>33.7</v>
      </c>
      <c r="L1013">
        <f t="shared" si="46"/>
        <v>0.5374</v>
      </c>
      <c r="M1013">
        <f t="shared" si="47"/>
        <v>0</v>
      </c>
    </row>
    <row r="1014" spans="1:13">
      <c r="A1014">
        <v>33.788</v>
      </c>
      <c r="B1014">
        <v>200.1</v>
      </c>
      <c r="C1014">
        <v>32.451</v>
      </c>
      <c r="D1014">
        <v>238.4</v>
      </c>
      <c r="G1014">
        <v>33.754</v>
      </c>
      <c r="H1014" s="8" t="s">
        <v>47</v>
      </c>
      <c r="I1014">
        <v>201.4</v>
      </c>
      <c r="K1014">
        <f t="shared" si="45"/>
        <v>33.75</v>
      </c>
      <c r="L1014">
        <f t="shared" si="46"/>
        <v>0.5051</v>
      </c>
      <c r="M1014">
        <f t="shared" si="47"/>
        <v>0</v>
      </c>
    </row>
    <row r="1015" spans="1:13">
      <c r="A1015">
        <v>33.821</v>
      </c>
      <c r="B1015">
        <v>199.6</v>
      </c>
      <c r="C1015">
        <v>32.484</v>
      </c>
      <c r="D1015">
        <v>238.4</v>
      </c>
      <c r="G1015">
        <v>33.788</v>
      </c>
      <c r="H1015" s="8" t="s">
        <v>1678</v>
      </c>
      <c r="I1015">
        <v>200.1</v>
      </c>
      <c r="K1015">
        <f t="shared" si="45"/>
        <v>33.75</v>
      </c>
      <c r="L1015">
        <f t="shared" si="46"/>
        <v>0.5091</v>
      </c>
      <c r="M1015">
        <f t="shared" si="47"/>
        <v>0</v>
      </c>
    </row>
    <row r="1016" spans="1:13">
      <c r="A1016">
        <v>33.855</v>
      </c>
      <c r="B1016">
        <v>198.1</v>
      </c>
      <c r="C1016">
        <v>32.518</v>
      </c>
      <c r="D1016">
        <v>238.4</v>
      </c>
      <c r="G1016">
        <v>33.821</v>
      </c>
      <c r="H1016" s="8" t="s">
        <v>1502</v>
      </c>
      <c r="I1016">
        <v>199.6</v>
      </c>
      <c r="K1016">
        <f t="shared" si="45"/>
        <v>33.8</v>
      </c>
      <c r="L1016">
        <f t="shared" si="46"/>
        <v>0.4904</v>
      </c>
      <c r="M1016">
        <f t="shared" si="47"/>
        <v>0</v>
      </c>
    </row>
    <row r="1017" spans="1:13">
      <c r="A1017">
        <v>33.888</v>
      </c>
      <c r="B1017">
        <v>197</v>
      </c>
      <c r="C1017">
        <v>32.551</v>
      </c>
      <c r="D1017">
        <v>238.4</v>
      </c>
      <c r="G1017">
        <v>33.855</v>
      </c>
      <c r="H1017" s="8" t="s">
        <v>1484</v>
      </c>
      <c r="I1017">
        <v>198.1</v>
      </c>
      <c r="K1017">
        <f t="shared" si="45"/>
        <v>33.85</v>
      </c>
      <c r="L1017">
        <f t="shared" si="46"/>
        <v>0.4997</v>
      </c>
      <c r="M1017">
        <f t="shared" si="47"/>
        <v>0</v>
      </c>
    </row>
    <row r="1018" spans="1:13">
      <c r="A1018">
        <v>33.922</v>
      </c>
      <c r="B1018">
        <v>196</v>
      </c>
      <c r="C1018">
        <v>32.585</v>
      </c>
      <c r="D1018">
        <v>238.4</v>
      </c>
      <c r="G1018">
        <v>33.888</v>
      </c>
      <c r="H1018" s="8" t="s">
        <v>1679</v>
      </c>
      <c r="I1018">
        <v>197</v>
      </c>
      <c r="K1018">
        <f t="shared" si="45"/>
        <v>33.85</v>
      </c>
      <c r="L1018">
        <f t="shared" si="46"/>
        <v>0.4878</v>
      </c>
      <c r="M1018">
        <f t="shared" si="47"/>
        <v>0</v>
      </c>
    </row>
    <row r="1019" spans="1:13">
      <c r="A1019">
        <v>33.955</v>
      </c>
      <c r="B1019">
        <v>195.3</v>
      </c>
      <c r="C1019">
        <v>32.618</v>
      </c>
      <c r="D1019">
        <v>238.4</v>
      </c>
      <c r="G1019">
        <v>33.922</v>
      </c>
      <c r="H1019" s="8" t="s">
        <v>1680</v>
      </c>
      <c r="I1019">
        <v>196</v>
      </c>
      <c r="K1019">
        <f t="shared" si="45"/>
        <v>33.9</v>
      </c>
      <c r="L1019">
        <f t="shared" si="46"/>
        <v>0.4876</v>
      </c>
      <c r="M1019">
        <f t="shared" si="47"/>
        <v>0</v>
      </c>
    </row>
    <row r="1020" spans="1:13">
      <c r="A1020">
        <v>33.988</v>
      </c>
      <c r="B1020">
        <v>193.6</v>
      </c>
      <c r="C1020">
        <v>32.652</v>
      </c>
      <c r="D1020">
        <v>238.4</v>
      </c>
      <c r="G1020">
        <v>33.955</v>
      </c>
      <c r="H1020" s="8" t="s">
        <v>1348</v>
      </c>
      <c r="I1020">
        <v>195.3</v>
      </c>
      <c r="K1020">
        <f t="shared" si="45"/>
        <v>33.95</v>
      </c>
      <c r="L1020">
        <f t="shared" si="46"/>
        <v>0.3546</v>
      </c>
      <c r="M1020">
        <f t="shared" si="47"/>
        <v>0</v>
      </c>
    </row>
    <row r="1021" spans="1:13">
      <c r="A1021">
        <v>34.022</v>
      </c>
      <c r="B1021">
        <v>238.4</v>
      </c>
      <c r="C1021">
        <v>32.685</v>
      </c>
      <c r="D1021">
        <v>238.4</v>
      </c>
      <c r="G1021">
        <v>33.988</v>
      </c>
      <c r="H1021" s="8" t="s">
        <v>1654</v>
      </c>
      <c r="I1021">
        <v>193.6</v>
      </c>
      <c r="K1021">
        <f t="shared" si="45"/>
        <v>33.95</v>
      </c>
      <c r="L1021">
        <f t="shared" si="46"/>
        <v>0.3534</v>
      </c>
      <c r="M1021">
        <f t="shared" si="47"/>
        <v>0</v>
      </c>
    </row>
    <row r="1022" spans="1:13">
      <c r="A1022">
        <v>34.055</v>
      </c>
      <c r="B1022">
        <v>238.4</v>
      </c>
      <c r="C1022">
        <v>32.718</v>
      </c>
      <c r="D1022">
        <v>238.4</v>
      </c>
      <c r="G1022">
        <v>34.022</v>
      </c>
      <c r="H1022" s="8" t="s">
        <v>1681</v>
      </c>
      <c r="I1022">
        <v>238.4</v>
      </c>
      <c r="K1022">
        <f t="shared" si="45"/>
        <v>34</v>
      </c>
      <c r="L1022">
        <f t="shared" si="46"/>
        <v>0.4261</v>
      </c>
      <c r="M1022">
        <f t="shared" si="47"/>
        <v>5</v>
      </c>
    </row>
    <row r="1023" spans="1:13">
      <c r="A1023">
        <v>34.089</v>
      </c>
      <c r="B1023">
        <v>238.4</v>
      </c>
      <c r="C1023">
        <v>32.752</v>
      </c>
      <c r="D1023">
        <v>238.4</v>
      </c>
      <c r="G1023">
        <v>34.055</v>
      </c>
      <c r="H1023" s="8" t="s">
        <v>1682</v>
      </c>
      <c r="I1023">
        <v>238.4</v>
      </c>
      <c r="K1023">
        <f t="shared" si="45"/>
        <v>34.05</v>
      </c>
      <c r="L1023">
        <f t="shared" si="46"/>
        <v>0.3502</v>
      </c>
      <c r="M1023">
        <f t="shared" si="47"/>
        <v>5</v>
      </c>
    </row>
    <row r="1024" spans="1:13">
      <c r="A1024">
        <v>34.122</v>
      </c>
      <c r="B1024">
        <v>238.4</v>
      </c>
      <c r="C1024">
        <v>32.785</v>
      </c>
      <c r="D1024">
        <v>238.4</v>
      </c>
      <c r="G1024">
        <v>34.089</v>
      </c>
      <c r="H1024" s="8" t="s">
        <v>1683</v>
      </c>
      <c r="I1024">
        <v>238.4</v>
      </c>
      <c r="K1024">
        <f t="shared" si="45"/>
        <v>34.05</v>
      </c>
      <c r="L1024">
        <f t="shared" si="46"/>
        <v>0.3928</v>
      </c>
      <c r="M1024">
        <f t="shared" si="47"/>
        <v>5</v>
      </c>
    </row>
    <row r="1025" spans="1:13">
      <c r="A1025">
        <v>34.155</v>
      </c>
      <c r="B1025">
        <v>238.4</v>
      </c>
      <c r="C1025">
        <v>32.819</v>
      </c>
      <c r="D1025">
        <v>238.4</v>
      </c>
      <c r="G1025">
        <v>34.122</v>
      </c>
      <c r="H1025" s="8" t="s">
        <v>1684</v>
      </c>
      <c r="I1025">
        <v>238.4</v>
      </c>
      <c r="K1025">
        <f t="shared" si="45"/>
        <v>34.1</v>
      </c>
      <c r="L1025">
        <f t="shared" si="46"/>
        <v>0.3906</v>
      </c>
      <c r="M1025">
        <f t="shared" si="47"/>
        <v>5</v>
      </c>
    </row>
    <row r="1026" spans="1:13">
      <c r="A1026">
        <v>34.189</v>
      </c>
      <c r="B1026">
        <v>238.4</v>
      </c>
      <c r="C1026">
        <v>32.852</v>
      </c>
      <c r="D1026">
        <v>238.4</v>
      </c>
      <c r="G1026">
        <v>34.155</v>
      </c>
      <c r="H1026" s="8" t="s">
        <v>1250</v>
      </c>
      <c r="I1026">
        <v>238.4</v>
      </c>
      <c r="K1026">
        <f t="shared" si="45"/>
        <v>34.15</v>
      </c>
      <c r="L1026">
        <f t="shared" si="46"/>
        <v>0.3823</v>
      </c>
      <c r="M1026">
        <f t="shared" si="47"/>
        <v>5</v>
      </c>
    </row>
    <row r="1027" spans="1:13">
      <c r="A1027">
        <v>34.222</v>
      </c>
      <c r="B1027">
        <v>238.4</v>
      </c>
      <c r="C1027">
        <v>32.886</v>
      </c>
      <c r="D1027">
        <v>238.4</v>
      </c>
      <c r="G1027">
        <v>34.189</v>
      </c>
      <c r="H1027" s="8" t="s">
        <v>1685</v>
      </c>
      <c r="I1027">
        <v>238.4</v>
      </c>
      <c r="K1027">
        <f t="shared" si="45"/>
        <v>34.15</v>
      </c>
      <c r="L1027">
        <f t="shared" si="46"/>
        <v>0.3272</v>
      </c>
      <c r="M1027">
        <f t="shared" si="47"/>
        <v>5</v>
      </c>
    </row>
    <row r="1028" spans="1:13">
      <c r="A1028">
        <v>34.256</v>
      </c>
      <c r="B1028">
        <v>238.4</v>
      </c>
      <c r="C1028">
        <v>32.919</v>
      </c>
      <c r="D1028">
        <v>238.4</v>
      </c>
      <c r="G1028">
        <v>34.222</v>
      </c>
      <c r="H1028" s="8" t="s">
        <v>1620</v>
      </c>
      <c r="I1028">
        <v>238.4</v>
      </c>
      <c r="K1028">
        <f t="shared" ref="K1028:K1091" si="48">FLOOR(G1028,0.05)</f>
        <v>34.2</v>
      </c>
      <c r="L1028">
        <f t="shared" si="46"/>
        <v>0.3338</v>
      </c>
      <c r="M1028">
        <f t="shared" si="47"/>
        <v>5</v>
      </c>
    </row>
    <row r="1029" spans="1:13">
      <c r="A1029">
        <v>34.289</v>
      </c>
      <c r="B1029">
        <v>238.4</v>
      </c>
      <c r="C1029">
        <v>32.952</v>
      </c>
      <c r="D1029">
        <v>238.4</v>
      </c>
      <c r="G1029">
        <v>34.256</v>
      </c>
      <c r="H1029" s="8" t="s">
        <v>1686</v>
      </c>
      <c r="I1029">
        <v>238.4</v>
      </c>
      <c r="K1029">
        <f t="shared" si="48"/>
        <v>34.25</v>
      </c>
      <c r="L1029">
        <f t="shared" ref="L1029:L1092" si="49">H1029*100</f>
        <v>0.3258</v>
      </c>
      <c r="M1029">
        <f t="shared" ref="M1029:M1092" si="50">IF(I1029&lt;230,0,5)</f>
        <v>5</v>
      </c>
    </row>
    <row r="1030" spans="1:13">
      <c r="A1030">
        <v>34.323</v>
      </c>
      <c r="B1030">
        <v>238.4</v>
      </c>
      <c r="C1030">
        <v>32.986</v>
      </c>
      <c r="D1030">
        <v>238.4</v>
      </c>
      <c r="G1030">
        <v>34.289</v>
      </c>
      <c r="H1030" s="8" t="s">
        <v>1687</v>
      </c>
      <c r="I1030">
        <v>238.4</v>
      </c>
      <c r="K1030">
        <f t="shared" si="48"/>
        <v>34.25</v>
      </c>
      <c r="L1030">
        <f t="shared" si="49"/>
        <v>0.3201</v>
      </c>
      <c r="M1030">
        <f t="shared" si="50"/>
        <v>5</v>
      </c>
    </row>
    <row r="1031" spans="1:13">
      <c r="A1031">
        <v>34.356</v>
      </c>
      <c r="B1031">
        <v>238.4</v>
      </c>
      <c r="C1031">
        <v>33.019</v>
      </c>
      <c r="D1031">
        <v>238.4</v>
      </c>
      <c r="G1031">
        <v>34.323</v>
      </c>
      <c r="H1031" s="8" t="s">
        <v>1688</v>
      </c>
      <c r="I1031">
        <v>238.4</v>
      </c>
      <c r="K1031">
        <f t="shared" si="48"/>
        <v>34.3</v>
      </c>
      <c r="L1031">
        <f t="shared" si="49"/>
        <v>0.3209</v>
      </c>
      <c r="M1031">
        <f t="shared" si="50"/>
        <v>5</v>
      </c>
    </row>
    <row r="1032" spans="1:13">
      <c r="A1032">
        <v>34.389</v>
      </c>
      <c r="B1032">
        <v>238.4</v>
      </c>
      <c r="C1032">
        <v>33.053</v>
      </c>
      <c r="D1032">
        <v>238.4</v>
      </c>
      <c r="G1032">
        <v>34.356</v>
      </c>
      <c r="H1032" s="8" t="s">
        <v>853</v>
      </c>
      <c r="I1032">
        <v>238.4</v>
      </c>
      <c r="K1032">
        <f t="shared" si="48"/>
        <v>34.35</v>
      </c>
      <c r="L1032">
        <f t="shared" si="49"/>
        <v>0.3252</v>
      </c>
      <c r="M1032">
        <f t="shared" si="50"/>
        <v>5</v>
      </c>
    </row>
    <row r="1033" spans="1:13">
      <c r="A1033">
        <v>34.423</v>
      </c>
      <c r="B1033">
        <v>238.4</v>
      </c>
      <c r="C1033">
        <v>33.086</v>
      </c>
      <c r="D1033">
        <v>238.4</v>
      </c>
      <c r="G1033">
        <v>34.389</v>
      </c>
      <c r="H1033" s="8" t="s">
        <v>863</v>
      </c>
      <c r="I1033">
        <v>238.4</v>
      </c>
      <c r="K1033">
        <f t="shared" si="48"/>
        <v>34.35</v>
      </c>
      <c r="L1033">
        <f t="shared" si="49"/>
        <v>0.4113</v>
      </c>
      <c r="M1033">
        <f t="shared" si="50"/>
        <v>5</v>
      </c>
    </row>
    <row r="1034" spans="1:13">
      <c r="A1034">
        <v>34.456</v>
      </c>
      <c r="B1034">
        <v>238.4</v>
      </c>
      <c r="C1034">
        <v>33.119</v>
      </c>
      <c r="D1034">
        <v>238.4</v>
      </c>
      <c r="G1034">
        <v>34.423</v>
      </c>
      <c r="H1034" s="8" t="s">
        <v>1689</v>
      </c>
      <c r="I1034">
        <v>238.4</v>
      </c>
      <c r="K1034">
        <f t="shared" si="48"/>
        <v>34.4</v>
      </c>
      <c r="L1034">
        <f t="shared" si="49"/>
        <v>0.4018</v>
      </c>
      <c r="M1034">
        <f t="shared" si="50"/>
        <v>5</v>
      </c>
    </row>
    <row r="1035" spans="1:13">
      <c r="A1035">
        <v>34.49</v>
      </c>
      <c r="B1035">
        <v>238.4</v>
      </c>
      <c r="C1035">
        <v>33.153</v>
      </c>
      <c r="D1035">
        <v>238.4</v>
      </c>
      <c r="G1035">
        <v>34.456</v>
      </c>
      <c r="H1035" s="8" t="s">
        <v>1690</v>
      </c>
      <c r="I1035">
        <v>238.4</v>
      </c>
      <c r="K1035">
        <f t="shared" si="48"/>
        <v>34.45</v>
      </c>
      <c r="L1035">
        <f t="shared" si="49"/>
        <v>0.3985</v>
      </c>
      <c r="M1035">
        <f t="shared" si="50"/>
        <v>5</v>
      </c>
    </row>
    <row r="1036" spans="1:13">
      <c r="A1036">
        <v>34.523</v>
      </c>
      <c r="B1036">
        <v>238.4</v>
      </c>
      <c r="C1036">
        <v>33.186</v>
      </c>
      <c r="D1036">
        <v>238.4</v>
      </c>
      <c r="G1036">
        <v>34.49</v>
      </c>
      <c r="H1036" s="8" t="s">
        <v>1691</v>
      </c>
      <c r="I1036">
        <v>238.4</v>
      </c>
      <c r="K1036">
        <f t="shared" si="48"/>
        <v>34.45</v>
      </c>
      <c r="L1036">
        <f t="shared" si="49"/>
        <v>0.3769</v>
      </c>
      <c r="M1036">
        <f t="shared" si="50"/>
        <v>5</v>
      </c>
    </row>
    <row r="1037" spans="1:13">
      <c r="A1037">
        <v>34.557</v>
      </c>
      <c r="B1037">
        <v>238.4</v>
      </c>
      <c r="C1037">
        <v>33.22</v>
      </c>
      <c r="D1037">
        <v>238.4</v>
      </c>
      <c r="G1037">
        <v>34.523</v>
      </c>
      <c r="H1037" s="8" t="s">
        <v>1692</v>
      </c>
      <c r="I1037">
        <v>238.4</v>
      </c>
      <c r="K1037">
        <f t="shared" si="48"/>
        <v>34.5</v>
      </c>
      <c r="L1037">
        <f t="shared" si="49"/>
        <v>0.4007</v>
      </c>
      <c r="M1037">
        <f t="shared" si="50"/>
        <v>5</v>
      </c>
    </row>
    <row r="1038" spans="1:13">
      <c r="A1038">
        <v>34.59</v>
      </c>
      <c r="B1038">
        <v>238.4</v>
      </c>
      <c r="C1038">
        <v>33.253</v>
      </c>
      <c r="D1038">
        <v>216.1</v>
      </c>
      <c r="G1038">
        <v>34.557</v>
      </c>
      <c r="H1038" s="8" t="s">
        <v>1693</v>
      </c>
      <c r="I1038">
        <v>238.4</v>
      </c>
      <c r="K1038">
        <f t="shared" si="48"/>
        <v>34.55</v>
      </c>
      <c r="L1038">
        <f t="shared" si="49"/>
        <v>0.4844</v>
      </c>
      <c r="M1038">
        <f t="shared" si="50"/>
        <v>5</v>
      </c>
    </row>
    <row r="1039" spans="1:13">
      <c r="A1039">
        <v>34.623</v>
      </c>
      <c r="B1039">
        <v>238.4</v>
      </c>
      <c r="C1039">
        <v>33.287</v>
      </c>
      <c r="D1039">
        <v>220</v>
      </c>
      <c r="G1039">
        <v>34.59</v>
      </c>
      <c r="H1039" s="8" t="s">
        <v>1694</v>
      </c>
      <c r="I1039">
        <v>238.4</v>
      </c>
      <c r="K1039">
        <f t="shared" si="48"/>
        <v>34.55</v>
      </c>
      <c r="L1039">
        <f t="shared" si="49"/>
        <v>0.4837</v>
      </c>
      <c r="M1039">
        <f t="shared" si="50"/>
        <v>5</v>
      </c>
    </row>
    <row r="1040" spans="1:13">
      <c r="A1040">
        <v>34.657</v>
      </c>
      <c r="B1040">
        <v>238.4</v>
      </c>
      <c r="C1040">
        <v>33.32</v>
      </c>
      <c r="D1040">
        <v>218</v>
      </c>
      <c r="G1040">
        <v>34.623</v>
      </c>
      <c r="H1040" s="8" t="s">
        <v>1695</v>
      </c>
      <c r="I1040">
        <v>238.4</v>
      </c>
      <c r="K1040">
        <f t="shared" si="48"/>
        <v>34.6</v>
      </c>
      <c r="L1040">
        <f t="shared" si="49"/>
        <v>0.5017</v>
      </c>
      <c r="M1040">
        <f t="shared" si="50"/>
        <v>5</v>
      </c>
    </row>
    <row r="1041" spans="1:13">
      <c r="A1041">
        <v>34.69</v>
      </c>
      <c r="B1041">
        <v>238.4</v>
      </c>
      <c r="C1041">
        <v>33.353</v>
      </c>
      <c r="D1041">
        <v>216.7</v>
      </c>
      <c r="G1041">
        <v>34.657</v>
      </c>
      <c r="H1041" s="8" t="s">
        <v>1696</v>
      </c>
      <c r="I1041">
        <v>238.4</v>
      </c>
      <c r="K1041">
        <f t="shared" si="48"/>
        <v>34.65</v>
      </c>
      <c r="L1041">
        <f t="shared" si="49"/>
        <v>0.4793</v>
      </c>
      <c r="M1041">
        <f t="shared" si="50"/>
        <v>5</v>
      </c>
    </row>
    <row r="1042" spans="1:13">
      <c r="A1042">
        <v>34.724</v>
      </c>
      <c r="B1042">
        <v>238.4</v>
      </c>
      <c r="C1042">
        <v>33.387</v>
      </c>
      <c r="D1042">
        <v>215.2</v>
      </c>
      <c r="G1042">
        <v>34.69</v>
      </c>
      <c r="H1042" s="8" t="s">
        <v>1697</v>
      </c>
      <c r="I1042">
        <v>238.4</v>
      </c>
      <c r="K1042">
        <f t="shared" si="48"/>
        <v>34.65</v>
      </c>
      <c r="L1042">
        <f t="shared" si="49"/>
        <v>0.4896</v>
      </c>
      <c r="M1042">
        <f t="shared" si="50"/>
        <v>5</v>
      </c>
    </row>
    <row r="1043" spans="1:13">
      <c r="A1043">
        <v>34.757</v>
      </c>
      <c r="B1043">
        <v>238.4</v>
      </c>
      <c r="C1043">
        <v>33.42</v>
      </c>
      <c r="D1043">
        <v>213.2</v>
      </c>
      <c r="G1043">
        <v>34.724</v>
      </c>
      <c r="H1043" s="8" t="s">
        <v>1501</v>
      </c>
      <c r="I1043">
        <v>238.4</v>
      </c>
      <c r="K1043">
        <f t="shared" si="48"/>
        <v>34.7</v>
      </c>
      <c r="L1043">
        <f t="shared" si="49"/>
        <v>0.4827</v>
      </c>
      <c r="M1043">
        <f t="shared" si="50"/>
        <v>5</v>
      </c>
    </row>
    <row r="1044" spans="1:13">
      <c r="A1044">
        <v>34.79</v>
      </c>
      <c r="B1044">
        <v>238.4</v>
      </c>
      <c r="C1044">
        <v>33.454</v>
      </c>
      <c r="D1044">
        <v>212.2</v>
      </c>
      <c r="G1044">
        <v>34.757</v>
      </c>
      <c r="H1044" s="8" t="s">
        <v>1698</v>
      </c>
      <c r="I1044">
        <v>238.4</v>
      </c>
      <c r="K1044">
        <f t="shared" si="48"/>
        <v>34.75</v>
      </c>
      <c r="L1044">
        <f t="shared" si="49"/>
        <v>0.5027</v>
      </c>
      <c r="M1044">
        <f t="shared" si="50"/>
        <v>5</v>
      </c>
    </row>
    <row r="1045" spans="1:13">
      <c r="A1045">
        <v>34.824</v>
      </c>
      <c r="B1045">
        <v>238.4</v>
      </c>
      <c r="C1045">
        <v>33.487</v>
      </c>
      <c r="D1045">
        <v>211.8</v>
      </c>
      <c r="G1045">
        <v>34.79</v>
      </c>
      <c r="H1045" s="8" t="s">
        <v>1699</v>
      </c>
      <c r="I1045">
        <v>238.4</v>
      </c>
      <c r="K1045">
        <f t="shared" si="48"/>
        <v>34.75</v>
      </c>
      <c r="L1045">
        <f t="shared" si="49"/>
        <v>0.504</v>
      </c>
      <c r="M1045">
        <f t="shared" si="50"/>
        <v>5</v>
      </c>
    </row>
    <row r="1046" spans="1:13">
      <c r="A1046">
        <v>34.857</v>
      </c>
      <c r="B1046">
        <v>220.9</v>
      </c>
      <c r="C1046">
        <v>33.52</v>
      </c>
      <c r="D1046">
        <v>209.8</v>
      </c>
      <c r="G1046">
        <v>34.824</v>
      </c>
      <c r="H1046" s="8" t="s">
        <v>1700</v>
      </c>
      <c r="I1046">
        <v>238.4</v>
      </c>
      <c r="K1046">
        <f t="shared" si="48"/>
        <v>34.8</v>
      </c>
      <c r="L1046">
        <f t="shared" si="49"/>
        <v>0.5342</v>
      </c>
      <c r="M1046">
        <f t="shared" si="50"/>
        <v>5</v>
      </c>
    </row>
    <row r="1047" spans="1:13">
      <c r="A1047">
        <v>34.891</v>
      </c>
      <c r="B1047">
        <v>220.4</v>
      </c>
      <c r="C1047">
        <v>33.554</v>
      </c>
      <c r="D1047">
        <v>209.4</v>
      </c>
      <c r="G1047">
        <v>34.857</v>
      </c>
      <c r="H1047" s="8" t="s">
        <v>1701</v>
      </c>
      <c r="I1047">
        <v>220.9</v>
      </c>
      <c r="K1047">
        <f t="shared" si="48"/>
        <v>34.85</v>
      </c>
      <c r="L1047">
        <f t="shared" si="49"/>
        <v>0.5081</v>
      </c>
      <c r="M1047">
        <f t="shared" si="50"/>
        <v>0</v>
      </c>
    </row>
    <row r="1048" spans="1:13">
      <c r="A1048">
        <v>34.924</v>
      </c>
      <c r="B1048">
        <v>219.3</v>
      </c>
      <c r="C1048">
        <v>33.587</v>
      </c>
      <c r="D1048">
        <v>208.3</v>
      </c>
      <c r="G1048">
        <v>34.891</v>
      </c>
      <c r="H1048" s="8" t="s">
        <v>1702</v>
      </c>
      <c r="I1048">
        <v>220.4</v>
      </c>
      <c r="K1048">
        <f t="shared" si="48"/>
        <v>34.85</v>
      </c>
      <c r="L1048">
        <f t="shared" si="49"/>
        <v>0.5338</v>
      </c>
      <c r="M1048">
        <f t="shared" si="50"/>
        <v>0</v>
      </c>
    </row>
    <row r="1049" spans="1:13">
      <c r="A1049">
        <v>34.958</v>
      </c>
      <c r="B1049">
        <v>217.5</v>
      </c>
      <c r="C1049">
        <v>33.621</v>
      </c>
      <c r="D1049">
        <v>205.7</v>
      </c>
      <c r="G1049">
        <v>34.924</v>
      </c>
      <c r="H1049" s="8" t="s">
        <v>1309</v>
      </c>
      <c r="I1049">
        <v>219.3</v>
      </c>
      <c r="K1049">
        <f t="shared" si="48"/>
        <v>34.9</v>
      </c>
      <c r="L1049">
        <f t="shared" si="49"/>
        <v>0.5396</v>
      </c>
      <c r="M1049">
        <f t="shared" si="50"/>
        <v>0</v>
      </c>
    </row>
    <row r="1050" spans="1:13">
      <c r="A1050">
        <v>34.991</v>
      </c>
      <c r="B1050">
        <v>216.4</v>
      </c>
      <c r="C1050">
        <v>33.654</v>
      </c>
      <c r="D1050">
        <v>204.9</v>
      </c>
      <c r="G1050">
        <v>34.958</v>
      </c>
      <c r="H1050" s="8" t="s">
        <v>1272</v>
      </c>
      <c r="I1050">
        <v>217.5</v>
      </c>
      <c r="K1050">
        <f t="shared" si="48"/>
        <v>34.95</v>
      </c>
      <c r="L1050">
        <f t="shared" si="49"/>
        <v>0.5224</v>
      </c>
      <c r="M1050">
        <f t="shared" si="50"/>
        <v>0</v>
      </c>
    </row>
    <row r="1051" spans="1:13">
      <c r="A1051">
        <v>35.024</v>
      </c>
      <c r="B1051">
        <v>214.9</v>
      </c>
      <c r="C1051">
        <v>33.688</v>
      </c>
      <c r="D1051">
        <v>204.1</v>
      </c>
      <c r="G1051">
        <v>34.991</v>
      </c>
      <c r="H1051" s="8" t="s">
        <v>1703</v>
      </c>
      <c r="I1051">
        <v>216.4</v>
      </c>
      <c r="K1051">
        <f t="shared" si="48"/>
        <v>34.95</v>
      </c>
      <c r="L1051">
        <f t="shared" si="49"/>
        <v>0.529</v>
      </c>
      <c r="M1051">
        <f t="shared" si="50"/>
        <v>0</v>
      </c>
    </row>
    <row r="1052" spans="1:13">
      <c r="A1052">
        <v>35.058</v>
      </c>
      <c r="B1052">
        <v>213.4</v>
      </c>
      <c r="C1052">
        <v>33.721</v>
      </c>
      <c r="D1052">
        <v>202.1</v>
      </c>
      <c r="G1052">
        <v>35.024</v>
      </c>
      <c r="H1052" s="8" t="s">
        <v>1704</v>
      </c>
      <c r="I1052">
        <v>214.9</v>
      </c>
      <c r="K1052">
        <f t="shared" si="48"/>
        <v>35</v>
      </c>
      <c r="L1052">
        <f t="shared" si="49"/>
        <v>0.5146</v>
      </c>
      <c r="M1052">
        <f t="shared" si="50"/>
        <v>0</v>
      </c>
    </row>
    <row r="1053" spans="1:13">
      <c r="A1053">
        <v>35.091</v>
      </c>
      <c r="B1053">
        <v>212.5</v>
      </c>
      <c r="C1053">
        <v>33.754</v>
      </c>
      <c r="D1053">
        <v>201.4</v>
      </c>
      <c r="G1053">
        <v>35.058</v>
      </c>
      <c r="H1053" s="8" t="s">
        <v>1705</v>
      </c>
      <c r="I1053">
        <v>213.4</v>
      </c>
      <c r="K1053">
        <f t="shared" si="48"/>
        <v>35.05</v>
      </c>
      <c r="L1053">
        <f t="shared" si="49"/>
        <v>0.5075</v>
      </c>
      <c r="M1053">
        <f t="shared" si="50"/>
        <v>0</v>
      </c>
    </row>
    <row r="1054" spans="1:13">
      <c r="A1054">
        <v>35.125</v>
      </c>
      <c r="B1054">
        <v>211.4</v>
      </c>
      <c r="C1054">
        <v>33.788</v>
      </c>
      <c r="D1054">
        <v>200.1</v>
      </c>
      <c r="G1054">
        <v>35.091</v>
      </c>
      <c r="H1054" s="8" t="s">
        <v>1695</v>
      </c>
      <c r="I1054">
        <v>212.5</v>
      </c>
      <c r="K1054">
        <f t="shared" si="48"/>
        <v>35.05</v>
      </c>
      <c r="L1054">
        <f t="shared" si="49"/>
        <v>0.5017</v>
      </c>
      <c r="M1054">
        <f t="shared" si="50"/>
        <v>0</v>
      </c>
    </row>
    <row r="1055" spans="1:13">
      <c r="A1055">
        <v>35.158</v>
      </c>
      <c r="B1055">
        <v>209.7</v>
      </c>
      <c r="C1055">
        <v>33.821</v>
      </c>
      <c r="D1055">
        <v>199.6</v>
      </c>
      <c r="G1055">
        <v>35.125</v>
      </c>
      <c r="H1055" s="8" t="s">
        <v>1630</v>
      </c>
      <c r="I1055">
        <v>211.4</v>
      </c>
      <c r="K1055">
        <f t="shared" si="48"/>
        <v>35.1</v>
      </c>
      <c r="L1055">
        <f t="shared" si="49"/>
        <v>0.5023</v>
      </c>
      <c r="M1055">
        <f t="shared" si="50"/>
        <v>0</v>
      </c>
    </row>
    <row r="1056" spans="1:13">
      <c r="A1056">
        <v>35.192</v>
      </c>
      <c r="B1056">
        <v>208.5</v>
      </c>
      <c r="C1056">
        <v>33.855</v>
      </c>
      <c r="D1056">
        <v>198.1</v>
      </c>
      <c r="G1056">
        <v>35.158</v>
      </c>
      <c r="H1056" s="8" t="s">
        <v>1706</v>
      </c>
      <c r="I1056">
        <v>209.7</v>
      </c>
      <c r="K1056">
        <f t="shared" si="48"/>
        <v>35.15</v>
      </c>
      <c r="L1056">
        <f t="shared" si="49"/>
        <v>0.5099</v>
      </c>
      <c r="M1056">
        <f t="shared" si="50"/>
        <v>0</v>
      </c>
    </row>
    <row r="1057" spans="1:13">
      <c r="A1057">
        <v>35.225</v>
      </c>
      <c r="B1057">
        <v>207.8</v>
      </c>
      <c r="C1057">
        <v>33.888</v>
      </c>
      <c r="D1057">
        <v>197</v>
      </c>
      <c r="G1057">
        <v>35.192</v>
      </c>
      <c r="H1057" s="8" t="s">
        <v>1707</v>
      </c>
      <c r="I1057">
        <v>208.5</v>
      </c>
      <c r="K1057">
        <f t="shared" si="48"/>
        <v>35.15</v>
      </c>
      <c r="L1057">
        <f t="shared" si="49"/>
        <v>0.5404</v>
      </c>
      <c r="M1057">
        <f t="shared" si="50"/>
        <v>0</v>
      </c>
    </row>
    <row r="1058" spans="1:13">
      <c r="A1058">
        <v>35.258</v>
      </c>
      <c r="B1058">
        <v>205.5</v>
      </c>
      <c r="C1058">
        <v>33.922</v>
      </c>
      <c r="D1058">
        <v>196</v>
      </c>
      <c r="G1058">
        <v>35.225</v>
      </c>
      <c r="H1058" s="8" t="s">
        <v>1708</v>
      </c>
      <c r="I1058">
        <v>207.8</v>
      </c>
      <c r="K1058">
        <f t="shared" si="48"/>
        <v>35.2</v>
      </c>
      <c r="L1058">
        <f t="shared" si="49"/>
        <v>0.5065</v>
      </c>
      <c r="M1058">
        <f t="shared" si="50"/>
        <v>0</v>
      </c>
    </row>
    <row r="1059" spans="1:13">
      <c r="A1059">
        <v>35.292</v>
      </c>
      <c r="B1059">
        <v>204.6</v>
      </c>
      <c r="C1059">
        <v>33.955</v>
      </c>
      <c r="D1059">
        <v>195.3</v>
      </c>
      <c r="G1059">
        <v>35.258</v>
      </c>
      <c r="H1059" s="8" t="s">
        <v>1699</v>
      </c>
      <c r="I1059">
        <v>205.5</v>
      </c>
      <c r="K1059">
        <f t="shared" si="48"/>
        <v>35.25</v>
      </c>
      <c r="L1059">
        <f t="shared" si="49"/>
        <v>0.504</v>
      </c>
      <c r="M1059">
        <f t="shared" si="50"/>
        <v>0</v>
      </c>
    </row>
    <row r="1060" spans="1:13">
      <c r="A1060">
        <v>35.325</v>
      </c>
      <c r="B1060">
        <v>203.3</v>
      </c>
      <c r="C1060">
        <v>33.988</v>
      </c>
      <c r="D1060">
        <v>193.6</v>
      </c>
      <c r="G1060">
        <v>35.292</v>
      </c>
      <c r="H1060" s="8" t="s">
        <v>1709</v>
      </c>
      <c r="I1060">
        <v>204.6</v>
      </c>
      <c r="K1060">
        <f t="shared" si="48"/>
        <v>35.25</v>
      </c>
      <c r="L1060">
        <f t="shared" si="49"/>
        <v>0.5035</v>
      </c>
      <c r="M1060">
        <f t="shared" si="50"/>
        <v>0</v>
      </c>
    </row>
    <row r="1061" spans="1:13">
      <c r="A1061">
        <v>35.359</v>
      </c>
      <c r="B1061">
        <v>202.9</v>
      </c>
      <c r="C1061">
        <v>34.022</v>
      </c>
      <c r="D1061">
        <v>238.4</v>
      </c>
      <c r="G1061">
        <v>35.325</v>
      </c>
      <c r="H1061" s="8" t="s">
        <v>1535</v>
      </c>
      <c r="I1061">
        <v>203.3</v>
      </c>
      <c r="K1061">
        <f t="shared" si="48"/>
        <v>35.3</v>
      </c>
      <c r="L1061">
        <f t="shared" si="49"/>
        <v>0.4871</v>
      </c>
      <c r="M1061">
        <f t="shared" si="50"/>
        <v>0</v>
      </c>
    </row>
    <row r="1062" spans="1:13">
      <c r="A1062">
        <v>35.392</v>
      </c>
      <c r="B1062">
        <v>200.6</v>
      </c>
      <c r="C1062">
        <v>34.055</v>
      </c>
      <c r="D1062">
        <v>238.4</v>
      </c>
      <c r="G1062">
        <v>35.359</v>
      </c>
      <c r="H1062" s="8" t="s">
        <v>1710</v>
      </c>
      <c r="I1062">
        <v>202.9</v>
      </c>
      <c r="K1062">
        <f t="shared" si="48"/>
        <v>35.35</v>
      </c>
      <c r="L1062">
        <f t="shared" si="49"/>
        <v>0.4874</v>
      </c>
      <c r="M1062">
        <f t="shared" si="50"/>
        <v>0</v>
      </c>
    </row>
    <row r="1063" spans="1:13">
      <c r="A1063">
        <v>35.425</v>
      </c>
      <c r="B1063">
        <v>199.9</v>
      </c>
      <c r="C1063">
        <v>34.089</v>
      </c>
      <c r="D1063">
        <v>238.4</v>
      </c>
      <c r="G1063">
        <v>35.392</v>
      </c>
      <c r="H1063" s="8" t="s">
        <v>1711</v>
      </c>
      <c r="I1063">
        <v>200.6</v>
      </c>
      <c r="K1063">
        <f t="shared" si="48"/>
        <v>35.35</v>
      </c>
      <c r="L1063">
        <f t="shared" si="49"/>
        <v>0.474</v>
      </c>
      <c r="M1063">
        <f t="shared" si="50"/>
        <v>0</v>
      </c>
    </row>
    <row r="1064" spans="1:13">
      <c r="A1064">
        <v>35.459</v>
      </c>
      <c r="B1064">
        <v>200</v>
      </c>
      <c r="C1064">
        <v>34.122</v>
      </c>
      <c r="D1064">
        <v>238.4</v>
      </c>
      <c r="G1064">
        <v>35.425</v>
      </c>
      <c r="H1064" s="8" t="s">
        <v>1712</v>
      </c>
      <c r="I1064">
        <v>199.9</v>
      </c>
      <c r="K1064">
        <f t="shared" si="48"/>
        <v>35.4</v>
      </c>
      <c r="L1064">
        <f t="shared" si="49"/>
        <v>0.3598</v>
      </c>
      <c r="M1064">
        <f t="shared" si="50"/>
        <v>0</v>
      </c>
    </row>
    <row r="1065" spans="1:13">
      <c r="A1065">
        <v>35.492</v>
      </c>
      <c r="B1065">
        <v>198.4</v>
      </c>
      <c r="C1065">
        <v>34.155</v>
      </c>
      <c r="D1065">
        <v>238.4</v>
      </c>
      <c r="G1065">
        <v>35.459</v>
      </c>
      <c r="H1065" s="8" t="s">
        <v>1713</v>
      </c>
      <c r="I1065">
        <v>200</v>
      </c>
      <c r="K1065">
        <f t="shared" si="48"/>
        <v>35.45</v>
      </c>
      <c r="L1065">
        <f t="shared" si="49"/>
        <v>0.3407</v>
      </c>
      <c r="M1065">
        <f t="shared" si="50"/>
        <v>0</v>
      </c>
    </row>
    <row r="1066" spans="1:13">
      <c r="A1066">
        <v>35.526</v>
      </c>
      <c r="B1066">
        <v>197.3</v>
      </c>
      <c r="C1066">
        <v>34.189</v>
      </c>
      <c r="D1066">
        <v>238.4</v>
      </c>
      <c r="G1066">
        <v>35.492</v>
      </c>
      <c r="H1066" s="8" t="s">
        <v>1714</v>
      </c>
      <c r="I1066">
        <v>198.4</v>
      </c>
      <c r="K1066">
        <f t="shared" si="48"/>
        <v>35.45</v>
      </c>
      <c r="L1066">
        <f t="shared" si="49"/>
        <v>0.3739</v>
      </c>
      <c r="M1066">
        <f t="shared" si="50"/>
        <v>0</v>
      </c>
    </row>
    <row r="1067" spans="1:13">
      <c r="A1067">
        <v>35.559</v>
      </c>
      <c r="B1067">
        <v>196</v>
      </c>
      <c r="C1067">
        <v>34.222</v>
      </c>
      <c r="D1067">
        <v>238.4</v>
      </c>
      <c r="G1067">
        <v>35.526</v>
      </c>
      <c r="H1067" s="8" t="s">
        <v>1715</v>
      </c>
      <c r="I1067">
        <v>197.3</v>
      </c>
      <c r="K1067">
        <f t="shared" si="48"/>
        <v>35.5</v>
      </c>
      <c r="L1067">
        <f t="shared" si="49"/>
        <v>0.3727</v>
      </c>
      <c r="M1067">
        <f t="shared" si="50"/>
        <v>0</v>
      </c>
    </row>
    <row r="1068" spans="1:13">
      <c r="A1068">
        <v>35.593</v>
      </c>
      <c r="B1068">
        <v>195.1</v>
      </c>
      <c r="C1068">
        <v>34.256</v>
      </c>
      <c r="D1068">
        <v>238.4</v>
      </c>
      <c r="G1068">
        <v>35.559</v>
      </c>
      <c r="H1068" s="8" t="s">
        <v>1716</v>
      </c>
      <c r="I1068">
        <v>196</v>
      </c>
      <c r="K1068">
        <f t="shared" si="48"/>
        <v>35.55</v>
      </c>
      <c r="L1068">
        <f t="shared" si="49"/>
        <v>0.3794</v>
      </c>
      <c r="M1068">
        <f t="shared" si="50"/>
        <v>0</v>
      </c>
    </row>
    <row r="1069" spans="1:13">
      <c r="A1069">
        <v>35.626</v>
      </c>
      <c r="B1069">
        <v>194.3</v>
      </c>
      <c r="C1069">
        <v>34.289</v>
      </c>
      <c r="D1069">
        <v>238.4</v>
      </c>
      <c r="G1069">
        <v>35.593</v>
      </c>
      <c r="H1069" s="8" t="s">
        <v>1717</v>
      </c>
      <c r="I1069">
        <v>195.1</v>
      </c>
      <c r="K1069">
        <f t="shared" si="48"/>
        <v>35.55</v>
      </c>
      <c r="L1069">
        <f t="shared" si="49"/>
        <v>0.3829</v>
      </c>
      <c r="M1069">
        <f t="shared" si="50"/>
        <v>0</v>
      </c>
    </row>
    <row r="1070" spans="1:13">
      <c r="A1070">
        <v>35.659</v>
      </c>
      <c r="B1070">
        <v>238.4</v>
      </c>
      <c r="C1070">
        <v>34.323</v>
      </c>
      <c r="D1070">
        <v>238.4</v>
      </c>
      <c r="G1070">
        <v>35.626</v>
      </c>
      <c r="H1070" s="8" t="s">
        <v>1653</v>
      </c>
      <c r="I1070">
        <v>194.3</v>
      </c>
      <c r="K1070">
        <f t="shared" si="48"/>
        <v>35.6</v>
      </c>
      <c r="L1070">
        <f t="shared" si="49"/>
        <v>0.3805</v>
      </c>
      <c r="M1070">
        <f t="shared" si="50"/>
        <v>0</v>
      </c>
    </row>
    <row r="1071" spans="1:13">
      <c r="A1071">
        <v>35.693</v>
      </c>
      <c r="B1071">
        <v>238.4</v>
      </c>
      <c r="C1071">
        <v>34.356</v>
      </c>
      <c r="D1071">
        <v>238.4</v>
      </c>
      <c r="G1071">
        <v>35.659</v>
      </c>
      <c r="H1071" s="8" t="s">
        <v>1718</v>
      </c>
      <c r="I1071">
        <v>238.4</v>
      </c>
      <c r="K1071">
        <f t="shared" si="48"/>
        <v>35.65</v>
      </c>
      <c r="L1071">
        <f t="shared" si="49"/>
        <v>0.381</v>
      </c>
      <c r="M1071">
        <f t="shared" si="50"/>
        <v>5</v>
      </c>
    </row>
    <row r="1072" spans="1:13">
      <c r="A1072">
        <v>35.726</v>
      </c>
      <c r="B1072">
        <v>238.4</v>
      </c>
      <c r="C1072">
        <v>34.389</v>
      </c>
      <c r="D1072">
        <v>238.4</v>
      </c>
      <c r="G1072">
        <v>35.693</v>
      </c>
      <c r="H1072" s="8" t="s">
        <v>1719</v>
      </c>
      <c r="I1072">
        <v>238.4</v>
      </c>
      <c r="K1072">
        <f t="shared" si="48"/>
        <v>35.65</v>
      </c>
      <c r="L1072">
        <f t="shared" si="49"/>
        <v>0.3846</v>
      </c>
      <c r="M1072">
        <f t="shared" si="50"/>
        <v>5</v>
      </c>
    </row>
    <row r="1073" spans="1:13">
      <c r="A1073">
        <v>35.76</v>
      </c>
      <c r="B1073">
        <v>238.4</v>
      </c>
      <c r="C1073">
        <v>34.423</v>
      </c>
      <c r="D1073">
        <v>238.4</v>
      </c>
      <c r="G1073">
        <v>35.726</v>
      </c>
      <c r="H1073" s="8" t="s">
        <v>1720</v>
      </c>
      <c r="I1073">
        <v>238.4</v>
      </c>
      <c r="K1073">
        <f t="shared" si="48"/>
        <v>35.7</v>
      </c>
      <c r="L1073">
        <f t="shared" si="49"/>
        <v>0.3859</v>
      </c>
      <c r="M1073">
        <f t="shared" si="50"/>
        <v>5</v>
      </c>
    </row>
    <row r="1074" spans="1:13">
      <c r="A1074">
        <v>35.793</v>
      </c>
      <c r="B1074">
        <v>238.4</v>
      </c>
      <c r="C1074">
        <v>34.456</v>
      </c>
      <c r="D1074">
        <v>238.4</v>
      </c>
      <c r="G1074">
        <v>35.76</v>
      </c>
      <c r="H1074" s="8" t="s">
        <v>1721</v>
      </c>
      <c r="I1074">
        <v>238.4</v>
      </c>
      <c r="K1074">
        <f t="shared" si="48"/>
        <v>35.75</v>
      </c>
      <c r="L1074">
        <f t="shared" si="49"/>
        <v>0.356</v>
      </c>
      <c r="M1074">
        <f t="shared" si="50"/>
        <v>5</v>
      </c>
    </row>
    <row r="1075" spans="1:13">
      <c r="A1075">
        <v>35.826</v>
      </c>
      <c r="B1075">
        <v>238.4</v>
      </c>
      <c r="C1075">
        <v>34.49</v>
      </c>
      <c r="D1075">
        <v>238.4</v>
      </c>
      <c r="G1075">
        <v>35.793</v>
      </c>
      <c r="H1075" s="8" t="s">
        <v>1722</v>
      </c>
      <c r="I1075">
        <v>238.4</v>
      </c>
      <c r="K1075">
        <f t="shared" si="48"/>
        <v>35.75</v>
      </c>
      <c r="L1075">
        <f t="shared" si="49"/>
        <v>0.3968</v>
      </c>
      <c r="M1075">
        <f t="shared" si="50"/>
        <v>5</v>
      </c>
    </row>
    <row r="1076" spans="1:13">
      <c r="A1076">
        <v>35.86</v>
      </c>
      <c r="B1076">
        <v>238.4</v>
      </c>
      <c r="C1076">
        <v>34.523</v>
      </c>
      <c r="D1076">
        <v>238.4</v>
      </c>
      <c r="G1076">
        <v>35.826</v>
      </c>
      <c r="H1076" s="8" t="s">
        <v>1588</v>
      </c>
      <c r="I1076">
        <v>238.4</v>
      </c>
      <c r="K1076">
        <f t="shared" si="48"/>
        <v>35.8</v>
      </c>
      <c r="L1076">
        <f t="shared" si="49"/>
        <v>0.3551</v>
      </c>
      <c r="M1076">
        <f t="shared" si="50"/>
        <v>5</v>
      </c>
    </row>
    <row r="1077" spans="1:13">
      <c r="A1077">
        <v>35.893</v>
      </c>
      <c r="B1077">
        <v>238.4</v>
      </c>
      <c r="C1077">
        <v>34.557</v>
      </c>
      <c r="D1077">
        <v>238.4</v>
      </c>
      <c r="G1077">
        <v>35.86</v>
      </c>
      <c r="H1077" s="8" t="s">
        <v>1723</v>
      </c>
      <c r="I1077">
        <v>238.4</v>
      </c>
      <c r="K1077">
        <f t="shared" si="48"/>
        <v>35.85</v>
      </c>
      <c r="L1077">
        <f t="shared" si="49"/>
        <v>0.3795</v>
      </c>
      <c r="M1077">
        <f t="shared" si="50"/>
        <v>5</v>
      </c>
    </row>
    <row r="1078" spans="1:13">
      <c r="A1078">
        <v>35.927</v>
      </c>
      <c r="B1078">
        <v>238.4</v>
      </c>
      <c r="C1078">
        <v>34.59</v>
      </c>
      <c r="D1078">
        <v>238.4</v>
      </c>
      <c r="G1078">
        <v>35.893</v>
      </c>
      <c r="H1078" s="8" t="s">
        <v>1569</v>
      </c>
      <c r="I1078">
        <v>238.4</v>
      </c>
      <c r="K1078">
        <f t="shared" si="48"/>
        <v>35.85</v>
      </c>
      <c r="L1078">
        <f t="shared" si="49"/>
        <v>0.4861</v>
      </c>
      <c r="M1078">
        <f t="shared" si="50"/>
        <v>5</v>
      </c>
    </row>
    <row r="1079" spans="1:13">
      <c r="A1079">
        <v>35.96</v>
      </c>
      <c r="B1079">
        <v>238.4</v>
      </c>
      <c r="C1079">
        <v>34.623</v>
      </c>
      <c r="D1079">
        <v>238.4</v>
      </c>
      <c r="G1079">
        <v>35.927</v>
      </c>
      <c r="H1079" s="8" t="s">
        <v>1724</v>
      </c>
      <c r="I1079">
        <v>238.4</v>
      </c>
      <c r="K1079">
        <f t="shared" si="48"/>
        <v>35.9</v>
      </c>
      <c r="L1079">
        <f t="shared" si="49"/>
        <v>0.4769</v>
      </c>
      <c r="M1079">
        <f t="shared" si="50"/>
        <v>5</v>
      </c>
    </row>
    <row r="1080" spans="1:13">
      <c r="A1080">
        <v>35.994</v>
      </c>
      <c r="B1080">
        <v>238.4</v>
      </c>
      <c r="C1080">
        <v>34.657</v>
      </c>
      <c r="D1080">
        <v>238.4</v>
      </c>
      <c r="G1080">
        <v>35.96</v>
      </c>
      <c r="H1080" s="8" t="s">
        <v>1725</v>
      </c>
      <c r="I1080">
        <v>238.4</v>
      </c>
      <c r="K1080">
        <f t="shared" si="48"/>
        <v>35.95</v>
      </c>
      <c r="L1080">
        <f t="shared" si="49"/>
        <v>0.4947</v>
      </c>
      <c r="M1080">
        <f t="shared" si="50"/>
        <v>5</v>
      </c>
    </row>
    <row r="1081" spans="1:13">
      <c r="A1081">
        <v>36.027</v>
      </c>
      <c r="B1081">
        <v>238.4</v>
      </c>
      <c r="C1081">
        <v>34.69</v>
      </c>
      <c r="D1081">
        <v>238.4</v>
      </c>
      <c r="G1081">
        <v>35.994</v>
      </c>
      <c r="H1081" s="8" t="s">
        <v>1726</v>
      </c>
      <c r="I1081">
        <v>238.4</v>
      </c>
      <c r="K1081">
        <f t="shared" si="48"/>
        <v>35.95</v>
      </c>
      <c r="L1081">
        <f t="shared" si="49"/>
        <v>0.4948</v>
      </c>
      <c r="M1081">
        <f t="shared" si="50"/>
        <v>5</v>
      </c>
    </row>
    <row r="1082" spans="1:13">
      <c r="A1082">
        <v>36.06</v>
      </c>
      <c r="B1082">
        <v>238.4</v>
      </c>
      <c r="C1082">
        <v>34.724</v>
      </c>
      <c r="D1082">
        <v>238.4</v>
      </c>
      <c r="G1082">
        <v>36.027</v>
      </c>
      <c r="H1082" s="8" t="s">
        <v>1665</v>
      </c>
      <c r="I1082">
        <v>238.4</v>
      </c>
      <c r="K1082">
        <f t="shared" si="48"/>
        <v>36</v>
      </c>
      <c r="L1082">
        <f t="shared" si="49"/>
        <v>0.4991</v>
      </c>
      <c r="M1082">
        <f t="shared" si="50"/>
        <v>5</v>
      </c>
    </row>
    <row r="1083" spans="1:13">
      <c r="A1083">
        <v>36.094</v>
      </c>
      <c r="B1083">
        <v>238.4</v>
      </c>
      <c r="C1083">
        <v>34.757</v>
      </c>
      <c r="D1083">
        <v>238.4</v>
      </c>
      <c r="G1083">
        <v>36.06</v>
      </c>
      <c r="H1083" s="8" t="s">
        <v>1549</v>
      </c>
      <c r="I1083">
        <v>238.4</v>
      </c>
      <c r="K1083">
        <f t="shared" si="48"/>
        <v>36.05</v>
      </c>
      <c r="L1083">
        <f t="shared" si="49"/>
        <v>0.4971</v>
      </c>
      <c r="M1083">
        <f t="shared" si="50"/>
        <v>5</v>
      </c>
    </row>
    <row r="1084" spans="1:13">
      <c r="A1084">
        <v>36.127</v>
      </c>
      <c r="B1084">
        <v>238.4</v>
      </c>
      <c r="C1084">
        <v>34.79</v>
      </c>
      <c r="D1084">
        <v>238.4</v>
      </c>
      <c r="G1084">
        <v>36.094</v>
      </c>
      <c r="H1084" s="8" t="s">
        <v>1727</v>
      </c>
      <c r="I1084">
        <v>238.4</v>
      </c>
      <c r="K1084">
        <f t="shared" si="48"/>
        <v>36.05</v>
      </c>
      <c r="L1084">
        <f t="shared" si="49"/>
        <v>0.4942</v>
      </c>
      <c r="M1084">
        <f t="shared" si="50"/>
        <v>5</v>
      </c>
    </row>
    <row r="1085" spans="1:13">
      <c r="A1085">
        <v>36.161</v>
      </c>
      <c r="B1085">
        <v>238.4</v>
      </c>
      <c r="C1085">
        <v>34.824</v>
      </c>
      <c r="D1085">
        <v>238.4</v>
      </c>
      <c r="G1085">
        <v>36.127</v>
      </c>
      <c r="H1085" s="8" t="s">
        <v>1728</v>
      </c>
      <c r="I1085">
        <v>238.4</v>
      </c>
      <c r="K1085">
        <f t="shared" si="48"/>
        <v>36.1</v>
      </c>
      <c r="L1085">
        <f t="shared" si="49"/>
        <v>0.4916</v>
      </c>
      <c r="M1085">
        <f t="shared" si="50"/>
        <v>5</v>
      </c>
    </row>
    <row r="1086" spans="1:13">
      <c r="A1086">
        <v>36.194</v>
      </c>
      <c r="B1086">
        <v>238.4</v>
      </c>
      <c r="C1086">
        <v>34.857</v>
      </c>
      <c r="D1086">
        <v>220.9</v>
      </c>
      <c r="G1086">
        <v>36.161</v>
      </c>
      <c r="H1086" s="8" t="s">
        <v>1346</v>
      </c>
      <c r="I1086">
        <v>238.4</v>
      </c>
      <c r="K1086">
        <f t="shared" si="48"/>
        <v>36.15</v>
      </c>
      <c r="L1086">
        <f t="shared" si="49"/>
        <v>0.4956</v>
      </c>
      <c r="M1086">
        <f t="shared" si="50"/>
        <v>5</v>
      </c>
    </row>
    <row r="1087" spans="1:13">
      <c r="A1087">
        <v>36.228</v>
      </c>
      <c r="B1087">
        <v>238.4</v>
      </c>
      <c r="C1087">
        <v>34.891</v>
      </c>
      <c r="D1087">
        <v>220.4</v>
      </c>
      <c r="G1087">
        <v>36.194</v>
      </c>
      <c r="H1087" s="8" t="s">
        <v>1726</v>
      </c>
      <c r="I1087">
        <v>238.4</v>
      </c>
      <c r="K1087">
        <f t="shared" si="48"/>
        <v>36.15</v>
      </c>
      <c r="L1087">
        <f t="shared" si="49"/>
        <v>0.4948</v>
      </c>
      <c r="M1087">
        <f t="shared" si="50"/>
        <v>5</v>
      </c>
    </row>
    <row r="1088" spans="1:13">
      <c r="A1088">
        <v>36.261</v>
      </c>
      <c r="B1088">
        <v>238.4</v>
      </c>
      <c r="C1088">
        <v>34.924</v>
      </c>
      <c r="D1088">
        <v>219.3</v>
      </c>
      <c r="G1088">
        <v>36.228</v>
      </c>
      <c r="H1088" s="8" t="s">
        <v>1374</v>
      </c>
      <c r="I1088">
        <v>238.4</v>
      </c>
      <c r="K1088">
        <f t="shared" si="48"/>
        <v>36.2</v>
      </c>
      <c r="L1088">
        <f t="shared" si="49"/>
        <v>0.4832</v>
      </c>
      <c r="M1088">
        <f t="shared" si="50"/>
        <v>5</v>
      </c>
    </row>
    <row r="1089" spans="1:13">
      <c r="A1089">
        <v>36.294</v>
      </c>
      <c r="B1089">
        <v>238.4</v>
      </c>
      <c r="C1089">
        <v>34.958</v>
      </c>
      <c r="D1089">
        <v>217.5</v>
      </c>
      <c r="G1089">
        <v>36.261</v>
      </c>
      <c r="H1089" s="8" t="s">
        <v>1633</v>
      </c>
      <c r="I1089">
        <v>238.4</v>
      </c>
      <c r="K1089">
        <f t="shared" si="48"/>
        <v>36.25</v>
      </c>
      <c r="L1089">
        <f t="shared" si="49"/>
        <v>0.4807</v>
      </c>
      <c r="M1089">
        <f t="shared" si="50"/>
        <v>5</v>
      </c>
    </row>
    <row r="1090" spans="1:13">
      <c r="A1090">
        <v>36.328</v>
      </c>
      <c r="B1090">
        <v>238.4</v>
      </c>
      <c r="C1090">
        <v>34.991</v>
      </c>
      <c r="D1090">
        <v>216.4</v>
      </c>
      <c r="G1090">
        <v>36.294</v>
      </c>
      <c r="H1090" s="8" t="s">
        <v>1729</v>
      </c>
      <c r="I1090">
        <v>238.4</v>
      </c>
      <c r="K1090">
        <f t="shared" si="48"/>
        <v>36.25</v>
      </c>
      <c r="L1090">
        <f t="shared" si="49"/>
        <v>0.481</v>
      </c>
      <c r="M1090">
        <f t="shared" si="50"/>
        <v>5</v>
      </c>
    </row>
    <row r="1091" spans="1:13">
      <c r="A1091">
        <v>36.361</v>
      </c>
      <c r="B1091">
        <v>238.4</v>
      </c>
      <c r="C1091">
        <v>35.024</v>
      </c>
      <c r="D1091">
        <v>214.9</v>
      </c>
      <c r="G1091">
        <v>36.328</v>
      </c>
      <c r="H1091" s="8" t="s">
        <v>1534</v>
      </c>
      <c r="I1091">
        <v>238.4</v>
      </c>
      <c r="K1091">
        <f t="shared" si="48"/>
        <v>36.3</v>
      </c>
      <c r="L1091">
        <f t="shared" si="49"/>
        <v>0.4781</v>
      </c>
      <c r="M1091">
        <f t="shared" si="50"/>
        <v>5</v>
      </c>
    </row>
    <row r="1092" spans="1:13">
      <c r="A1092">
        <v>36.395</v>
      </c>
      <c r="B1092">
        <v>238.4</v>
      </c>
      <c r="C1092">
        <v>35.058</v>
      </c>
      <c r="D1092">
        <v>213.4</v>
      </c>
      <c r="G1092">
        <v>36.361</v>
      </c>
      <c r="H1092" s="8" t="s">
        <v>1730</v>
      </c>
      <c r="I1092">
        <v>238.4</v>
      </c>
      <c r="K1092">
        <f t="shared" ref="K1092:K1155" si="51">FLOOR(G1092,0.05)</f>
        <v>36.35</v>
      </c>
      <c r="L1092">
        <f t="shared" si="49"/>
        <v>0.4801</v>
      </c>
      <c r="M1092">
        <f t="shared" si="50"/>
        <v>5</v>
      </c>
    </row>
    <row r="1093" spans="1:13">
      <c r="A1093">
        <v>36.428</v>
      </c>
      <c r="B1093">
        <v>238.4</v>
      </c>
      <c r="C1093">
        <v>35.091</v>
      </c>
      <c r="D1093">
        <v>212.5</v>
      </c>
      <c r="G1093">
        <v>36.395</v>
      </c>
      <c r="H1093" s="8" t="s">
        <v>1731</v>
      </c>
      <c r="I1093">
        <v>238.4</v>
      </c>
      <c r="K1093">
        <f t="shared" si="51"/>
        <v>36.35</v>
      </c>
      <c r="L1093">
        <f t="shared" ref="L1093:L1156" si="52">H1093*100</f>
        <v>0.4778</v>
      </c>
      <c r="M1093">
        <f t="shared" ref="M1093:M1156" si="53">IF(I1093&lt;230,0,5)</f>
        <v>5</v>
      </c>
    </row>
    <row r="1094" spans="1:13">
      <c r="A1094">
        <v>36.461</v>
      </c>
      <c r="B1094">
        <v>238.4</v>
      </c>
      <c r="C1094">
        <v>35.125</v>
      </c>
      <c r="D1094">
        <v>211.4</v>
      </c>
      <c r="G1094">
        <v>36.428</v>
      </c>
      <c r="H1094" s="8" t="s">
        <v>1732</v>
      </c>
      <c r="I1094">
        <v>238.4</v>
      </c>
      <c r="K1094">
        <f t="shared" si="51"/>
        <v>36.4</v>
      </c>
      <c r="L1094">
        <f t="shared" si="52"/>
        <v>0.4803</v>
      </c>
      <c r="M1094">
        <f t="shared" si="53"/>
        <v>5</v>
      </c>
    </row>
    <row r="1095" spans="1:13">
      <c r="A1095">
        <v>36.495</v>
      </c>
      <c r="B1095">
        <v>215.7</v>
      </c>
      <c r="C1095">
        <v>35.158</v>
      </c>
      <c r="D1095">
        <v>209.7</v>
      </c>
      <c r="G1095">
        <v>36.461</v>
      </c>
      <c r="H1095" s="8" t="s">
        <v>768</v>
      </c>
      <c r="I1095">
        <v>238.4</v>
      </c>
      <c r="K1095">
        <f t="shared" si="51"/>
        <v>36.45</v>
      </c>
      <c r="L1095">
        <f t="shared" si="52"/>
        <v>0.4852</v>
      </c>
      <c r="M1095">
        <f t="shared" si="53"/>
        <v>5</v>
      </c>
    </row>
    <row r="1096" spans="1:13">
      <c r="A1096">
        <v>36.528</v>
      </c>
      <c r="B1096">
        <v>219.7</v>
      </c>
      <c r="C1096">
        <v>35.192</v>
      </c>
      <c r="D1096">
        <v>208.5</v>
      </c>
      <c r="G1096">
        <v>36.495</v>
      </c>
      <c r="H1096" s="8" t="s">
        <v>1649</v>
      </c>
      <c r="I1096">
        <v>215.7</v>
      </c>
      <c r="K1096">
        <f t="shared" si="51"/>
        <v>36.45</v>
      </c>
      <c r="L1096">
        <f t="shared" si="52"/>
        <v>0.4792</v>
      </c>
      <c r="M1096">
        <f t="shared" si="53"/>
        <v>0</v>
      </c>
    </row>
    <row r="1097" spans="1:13">
      <c r="A1097">
        <v>36.562</v>
      </c>
      <c r="B1097">
        <v>218.1</v>
      </c>
      <c r="C1097">
        <v>35.225</v>
      </c>
      <c r="D1097">
        <v>207.8</v>
      </c>
      <c r="G1097">
        <v>36.528</v>
      </c>
      <c r="H1097" s="8" t="s">
        <v>1732</v>
      </c>
      <c r="I1097">
        <v>219.7</v>
      </c>
      <c r="K1097">
        <f t="shared" si="51"/>
        <v>36.5</v>
      </c>
      <c r="L1097">
        <f t="shared" si="52"/>
        <v>0.4803</v>
      </c>
      <c r="M1097">
        <f t="shared" si="53"/>
        <v>0</v>
      </c>
    </row>
    <row r="1098" spans="1:13">
      <c r="A1098">
        <v>36.595</v>
      </c>
      <c r="B1098">
        <v>216.5</v>
      </c>
      <c r="C1098">
        <v>35.258</v>
      </c>
      <c r="D1098">
        <v>205.5</v>
      </c>
      <c r="G1098">
        <v>36.562</v>
      </c>
      <c r="H1098" s="8" t="s">
        <v>1733</v>
      </c>
      <c r="I1098">
        <v>218.1</v>
      </c>
      <c r="K1098">
        <f t="shared" si="51"/>
        <v>36.55</v>
      </c>
      <c r="L1098">
        <f t="shared" si="52"/>
        <v>0.502</v>
      </c>
      <c r="M1098">
        <f t="shared" si="53"/>
        <v>0</v>
      </c>
    </row>
    <row r="1099" spans="1:13">
      <c r="A1099">
        <v>36.629</v>
      </c>
      <c r="B1099">
        <v>214.5</v>
      </c>
      <c r="C1099">
        <v>35.292</v>
      </c>
      <c r="D1099">
        <v>204.6</v>
      </c>
      <c r="G1099">
        <v>36.595</v>
      </c>
      <c r="H1099" s="8" t="s">
        <v>1734</v>
      </c>
      <c r="I1099">
        <v>216.5</v>
      </c>
      <c r="K1099">
        <f t="shared" si="51"/>
        <v>36.55</v>
      </c>
      <c r="L1099">
        <f t="shared" si="52"/>
        <v>0.4915</v>
      </c>
      <c r="M1099">
        <f t="shared" si="53"/>
        <v>0</v>
      </c>
    </row>
    <row r="1100" spans="1:13">
      <c r="A1100">
        <v>36.662</v>
      </c>
      <c r="B1100">
        <v>213.4</v>
      </c>
      <c r="C1100">
        <v>35.325</v>
      </c>
      <c r="D1100">
        <v>203.3</v>
      </c>
      <c r="G1100">
        <v>36.629</v>
      </c>
      <c r="H1100" s="8" t="s">
        <v>1731</v>
      </c>
      <c r="I1100">
        <v>214.5</v>
      </c>
      <c r="K1100">
        <f t="shared" si="51"/>
        <v>36.6</v>
      </c>
      <c r="L1100">
        <f t="shared" si="52"/>
        <v>0.4778</v>
      </c>
      <c r="M1100">
        <f t="shared" si="53"/>
        <v>0</v>
      </c>
    </row>
    <row r="1101" spans="1:13">
      <c r="A1101">
        <v>36.695</v>
      </c>
      <c r="B1101">
        <v>212.1</v>
      </c>
      <c r="C1101">
        <v>35.359</v>
      </c>
      <c r="D1101">
        <v>202.9</v>
      </c>
      <c r="G1101">
        <v>36.662</v>
      </c>
      <c r="H1101" s="8" t="s">
        <v>1190</v>
      </c>
      <c r="I1101">
        <v>213.4</v>
      </c>
      <c r="K1101">
        <f t="shared" si="51"/>
        <v>36.65</v>
      </c>
      <c r="L1101">
        <f t="shared" si="52"/>
        <v>0.4864</v>
      </c>
      <c r="M1101">
        <f t="shared" si="53"/>
        <v>0</v>
      </c>
    </row>
    <row r="1102" spans="1:13">
      <c r="A1102">
        <v>36.729</v>
      </c>
      <c r="B1102">
        <v>211.2</v>
      </c>
      <c r="C1102">
        <v>35.392</v>
      </c>
      <c r="D1102">
        <v>200.6</v>
      </c>
      <c r="G1102">
        <v>36.695</v>
      </c>
      <c r="H1102" s="8" t="s">
        <v>1735</v>
      </c>
      <c r="I1102">
        <v>212.1</v>
      </c>
      <c r="K1102">
        <f t="shared" si="51"/>
        <v>36.65</v>
      </c>
      <c r="L1102">
        <f t="shared" si="52"/>
        <v>0.4819</v>
      </c>
      <c r="M1102">
        <f t="shared" si="53"/>
        <v>0</v>
      </c>
    </row>
    <row r="1103" spans="1:13">
      <c r="A1103">
        <v>36.762</v>
      </c>
      <c r="B1103">
        <v>209.3</v>
      </c>
      <c r="C1103">
        <v>35.425</v>
      </c>
      <c r="D1103">
        <v>199.9</v>
      </c>
      <c r="G1103">
        <v>36.729</v>
      </c>
      <c r="H1103" s="8" t="s">
        <v>1736</v>
      </c>
      <c r="I1103">
        <v>211.2</v>
      </c>
      <c r="K1103">
        <f t="shared" si="51"/>
        <v>36.7</v>
      </c>
      <c r="L1103">
        <f t="shared" si="52"/>
        <v>0.4642</v>
      </c>
      <c r="M1103">
        <f t="shared" si="53"/>
        <v>0</v>
      </c>
    </row>
    <row r="1104" spans="1:13">
      <c r="A1104">
        <v>36.796</v>
      </c>
      <c r="B1104">
        <v>208.3</v>
      </c>
      <c r="C1104">
        <v>35.459</v>
      </c>
      <c r="D1104">
        <v>200</v>
      </c>
      <c r="G1104">
        <v>36.762</v>
      </c>
      <c r="H1104" s="8" t="s">
        <v>1737</v>
      </c>
      <c r="I1104">
        <v>209.3</v>
      </c>
      <c r="K1104">
        <f t="shared" si="51"/>
        <v>36.75</v>
      </c>
      <c r="L1104">
        <f t="shared" si="52"/>
        <v>0.4872</v>
      </c>
      <c r="M1104">
        <f t="shared" si="53"/>
        <v>0</v>
      </c>
    </row>
    <row r="1105" spans="1:13">
      <c r="A1105">
        <v>36.829</v>
      </c>
      <c r="B1105">
        <v>208.2</v>
      </c>
      <c r="C1105">
        <v>35.492</v>
      </c>
      <c r="D1105">
        <v>198.4</v>
      </c>
      <c r="G1105">
        <v>36.796</v>
      </c>
      <c r="H1105" s="8" t="s">
        <v>1583</v>
      </c>
      <c r="I1105">
        <v>208.3</v>
      </c>
      <c r="K1105">
        <f t="shared" si="51"/>
        <v>36.75</v>
      </c>
      <c r="L1105">
        <f t="shared" si="52"/>
        <v>0.4866</v>
      </c>
      <c r="M1105">
        <f t="shared" si="53"/>
        <v>0</v>
      </c>
    </row>
    <row r="1106" spans="1:13">
      <c r="A1106">
        <v>36.863</v>
      </c>
      <c r="B1106">
        <v>206.5</v>
      </c>
      <c r="C1106">
        <v>35.526</v>
      </c>
      <c r="D1106">
        <v>197.3</v>
      </c>
      <c r="G1106">
        <v>36.829</v>
      </c>
      <c r="H1106" s="8" t="s">
        <v>1429</v>
      </c>
      <c r="I1106">
        <v>208.2</v>
      </c>
      <c r="K1106">
        <f t="shared" si="51"/>
        <v>36.8</v>
      </c>
      <c r="L1106">
        <f t="shared" si="52"/>
        <v>0.4886</v>
      </c>
      <c r="M1106">
        <f t="shared" si="53"/>
        <v>0</v>
      </c>
    </row>
    <row r="1107" spans="1:13">
      <c r="A1107">
        <v>36.896</v>
      </c>
      <c r="B1107">
        <v>204.6</v>
      </c>
      <c r="C1107">
        <v>35.559</v>
      </c>
      <c r="D1107">
        <v>196</v>
      </c>
      <c r="G1107">
        <v>36.863</v>
      </c>
      <c r="H1107" s="8" t="s">
        <v>1738</v>
      </c>
      <c r="I1107">
        <v>206.5</v>
      </c>
      <c r="K1107">
        <f t="shared" si="51"/>
        <v>36.85</v>
      </c>
      <c r="L1107">
        <f t="shared" si="52"/>
        <v>0.4626</v>
      </c>
      <c r="M1107">
        <f t="shared" si="53"/>
        <v>0</v>
      </c>
    </row>
    <row r="1108" spans="1:13">
      <c r="A1108">
        <v>36.929</v>
      </c>
      <c r="B1108">
        <v>203.7</v>
      </c>
      <c r="C1108">
        <v>35.593</v>
      </c>
      <c r="D1108">
        <v>195.1</v>
      </c>
      <c r="G1108">
        <v>36.896</v>
      </c>
      <c r="H1108" s="8" t="s">
        <v>1739</v>
      </c>
      <c r="I1108">
        <v>204.6</v>
      </c>
      <c r="K1108">
        <f t="shared" si="51"/>
        <v>36.85</v>
      </c>
      <c r="L1108">
        <f t="shared" si="52"/>
        <v>0.4671</v>
      </c>
      <c r="M1108">
        <f t="shared" si="53"/>
        <v>0</v>
      </c>
    </row>
    <row r="1109" spans="1:13">
      <c r="A1109">
        <v>36.963</v>
      </c>
      <c r="B1109">
        <v>203.5</v>
      </c>
      <c r="C1109">
        <v>35.626</v>
      </c>
      <c r="D1109">
        <v>194.3</v>
      </c>
      <c r="G1109">
        <v>36.929</v>
      </c>
      <c r="H1109" s="8" t="s">
        <v>1740</v>
      </c>
      <c r="I1109">
        <v>203.7</v>
      </c>
      <c r="K1109">
        <f t="shared" si="51"/>
        <v>36.9</v>
      </c>
      <c r="L1109">
        <f t="shared" si="52"/>
        <v>0.4614</v>
      </c>
      <c r="M1109">
        <f t="shared" si="53"/>
        <v>0</v>
      </c>
    </row>
    <row r="1110" spans="1:13">
      <c r="A1110">
        <v>36.996</v>
      </c>
      <c r="B1110">
        <v>201.6</v>
      </c>
      <c r="C1110">
        <v>35.659</v>
      </c>
      <c r="D1110">
        <v>238.4</v>
      </c>
      <c r="G1110">
        <v>36.963</v>
      </c>
      <c r="H1110" s="8" t="s">
        <v>1741</v>
      </c>
      <c r="I1110">
        <v>203.5</v>
      </c>
      <c r="K1110">
        <f t="shared" si="51"/>
        <v>36.95</v>
      </c>
      <c r="L1110">
        <f t="shared" si="52"/>
        <v>0.4645</v>
      </c>
      <c r="M1110">
        <f t="shared" si="53"/>
        <v>0</v>
      </c>
    </row>
    <row r="1111" spans="1:13">
      <c r="A1111">
        <v>37.03</v>
      </c>
      <c r="B1111">
        <v>201</v>
      </c>
      <c r="C1111">
        <v>35.693</v>
      </c>
      <c r="D1111">
        <v>238.4</v>
      </c>
      <c r="G1111">
        <v>36.996</v>
      </c>
      <c r="H1111" s="8" t="s">
        <v>1742</v>
      </c>
      <c r="I1111">
        <v>201.6</v>
      </c>
      <c r="K1111">
        <f t="shared" si="51"/>
        <v>36.95</v>
      </c>
      <c r="L1111">
        <f t="shared" si="52"/>
        <v>0.4755</v>
      </c>
      <c r="M1111">
        <f t="shared" si="53"/>
        <v>0</v>
      </c>
    </row>
    <row r="1112" spans="1:13">
      <c r="A1112">
        <v>37.063</v>
      </c>
      <c r="B1112">
        <v>199</v>
      </c>
      <c r="C1112">
        <v>35.726</v>
      </c>
      <c r="D1112">
        <v>238.4</v>
      </c>
      <c r="G1112">
        <v>37.03</v>
      </c>
      <c r="H1112" s="8" t="s">
        <v>1743</v>
      </c>
      <c r="I1112">
        <v>201</v>
      </c>
      <c r="K1112">
        <f t="shared" si="51"/>
        <v>37</v>
      </c>
      <c r="L1112">
        <f t="shared" si="52"/>
        <v>0.4699</v>
      </c>
      <c r="M1112">
        <f t="shared" si="53"/>
        <v>0</v>
      </c>
    </row>
    <row r="1113" spans="1:13">
      <c r="A1113">
        <v>37.096</v>
      </c>
      <c r="B1113">
        <v>198.5</v>
      </c>
      <c r="C1113">
        <v>35.76</v>
      </c>
      <c r="D1113">
        <v>238.4</v>
      </c>
      <c r="G1113">
        <v>37.063</v>
      </c>
      <c r="H1113" s="8" t="s">
        <v>1744</v>
      </c>
      <c r="I1113">
        <v>199</v>
      </c>
      <c r="K1113">
        <f t="shared" si="51"/>
        <v>37.05</v>
      </c>
      <c r="L1113">
        <f t="shared" si="52"/>
        <v>0.4655</v>
      </c>
      <c r="M1113">
        <f t="shared" si="53"/>
        <v>0</v>
      </c>
    </row>
    <row r="1114" spans="1:13">
      <c r="A1114">
        <v>37.13</v>
      </c>
      <c r="B1114">
        <v>196.9</v>
      </c>
      <c r="C1114">
        <v>35.793</v>
      </c>
      <c r="D1114">
        <v>238.4</v>
      </c>
      <c r="G1114">
        <v>37.096</v>
      </c>
      <c r="H1114" s="8" t="s">
        <v>1745</v>
      </c>
      <c r="I1114">
        <v>198.5</v>
      </c>
      <c r="K1114">
        <f t="shared" si="51"/>
        <v>37.05</v>
      </c>
      <c r="L1114">
        <f t="shared" si="52"/>
        <v>0.4863</v>
      </c>
      <c r="M1114">
        <f t="shared" si="53"/>
        <v>0</v>
      </c>
    </row>
    <row r="1115" spans="1:13">
      <c r="A1115">
        <v>37.163</v>
      </c>
      <c r="B1115">
        <v>196.2</v>
      </c>
      <c r="C1115">
        <v>35.826</v>
      </c>
      <c r="D1115">
        <v>238.4</v>
      </c>
      <c r="G1115">
        <v>37.13</v>
      </c>
      <c r="H1115" s="8" t="s">
        <v>1746</v>
      </c>
      <c r="I1115">
        <v>196.9</v>
      </c>
      <c r="K1115">
        <f t="shared" si="51"/>
        <v>37.1</v>
      </c>
      <c r="L1115">
        <f t="shared" si="52"/>
        <v>0.4884</v>
      </c>
      <c r="M1115">
        <f t="shared" si="53"/>
        <v>0</v>
      </c>
    </row>
    <row r="1116" spans="1:13">
      <c r="A1116">
        <v>37.197</v>
      </c>
      <c r="B1116">
        <v>194.7</v>
      </c>
      <c r="C1116">
        <v>35.86</v>
      </c>
      <c r="D1116">
        <v>238.4</v>
      </c>
      <c r="G1116">
        <v>37.163</v>
      </c>
      <c r="H1116" s="8" t="s">
        <v>1747</v>
      </c>
      <c r="I1116">
        <v>196.2</v>
      </c>
      <c r="K1116">
        <f t="shared" si="51"/>
        <v>37.15</v>
      </c>
      <c r="L1116">
        <f t="shared" si="52"/>
        <v>0.4828</v>
      </c>
      <c r="M1116">
        <f t="shared" si="53"/>
        <v>0</v>
      </c>
    </row>
    <row r="1117" spans="1:13">
      <c r="A1117">
        <v>37.23</v>
      </c>
      <c r="B1117">
        <v>194.4</v>
      </c>
      <c r="C1117">
        <v>35.893</v>
      </c>
      <c r="D1117">
        <v>238.4</v>
      </c>
      <c r="G1117">
        <v>37.197</v>
      </c>
      <c r="H1117" s="8" t="s">
        <v>1748</v>
      </c>
      <c r="I1117">
        <v>194.7</v>
      </c>
      <c r="K1117">
        <f t="shared" si="51"/>
        <v>37.15</v>
      </c>
      <c r="L1117">
        <f t="shared" si="52"/>
        <v>0.4836</v>
      </c>
      <c r="M1117">
        <f t="shared" si="53"/>
        <v>0</v>
      </c>
    </row>
    <row r="1118" spans="1:13">
      <c r="A1118">
        <v>37.264</v>
      </c>
      <c r="B1118">
        <v>193.2</v>
      </c>
      <c r="C1118">
        <v>35.927</v>
      </c>
      <c r="D1118">
        <v>238.4</v>
      </c>
      <c r="G1118">
        <v>37.23</v>
      </c>
      <c r="H1118" s="8" t="s">
        <v>1749</v>
      </c>
      <c r="I1118">
        <v>194.4</v>
      </c>
      <c r="K1118">
        <f t="shared" si="51"/>
        <v>37.2</v>
      </c>
      <c r="L1118">
        <f t="shared" si="52"/>
        <v>0.4889</v>
      </c>
      <c r="M1118">
        <f t="shared" si="53"/>
        <v>0</v>
      </c>
    </row>
    <row r="1119" spans="1:13">
      <c r="A1119">
        <v>37.297</v>
      </c>
      <c r="B1119">
        <v>192.9</v>
      </c>
      <c r="C1119">
        <v>35.96</v>
      </c>
      <c r="D1119">
        <v>238.4</v>
      </c>
      <c r="G1119">
        <v>37.264</v>
      </c>
      <c r="H1119" s="8" t="s">
        <v>1739</v>
      </c>
      <c r="I1119">
        <v>193.2</v>
      </c>
      <c r="K1119">
        <f t="shared" si="51"/>
        <v>37.25</v>
      </c>
      <c r="L1119">
        <f t="shared" si="52"/>
        <v>0.4671</v>
      </c>
      <c r="M1119">
        <f t="shared" si="53"/>
        <v>0</v>
      </c>
    </row>
    <row r="1120" spans="1:13">
      <c r="A1120">
        <v>37.33</v>
      </c>
      <c r="B1120">
        <v>191.3</v>
      </c>
      <c r="C1120">
        <v>35.994</v>
      </c>
      <c r="D1120">
        <v>238.4</v>
      </c>
      <c r="G1120">
        <v>37.297</v>
      </c>
      <c r="H1120" s="8" t="s">
        <v>1750</v>
      </c>
      <c r="I1120">
        <v>192.9</v>
      </c>
      <c r="K1120">
        <f t="shared" si="51"/>
        <v>37.25</v>
      </c>
      <c r="L1120">
        <f t="shared" si="52"/>
        <v>0.4796</v>
      </c>
      <c r="M1120">
        <f t="shared" si="53"/>
        <v>0</v>
      </c>
    </row>
    <row r="1121" spans="1:13">
      <c r="A1121">
        <v>37.364</v>
      </c>
      <c r="B1121">
        <v>191.1</v>
      </c>
      <c r="C1121">
        <v>36.027</v>
      </c>
      <c r="D1121">
        <v>238.4</v>
      </c>
      <c r="G1121">
        <v>37.33</v>
      </c>
      <c r="H1121" s="8" t="s">
        <v>1751</v>
      </c>
      <c r="I1121">
        <v>191.3</v>
      </c>
      <c r="K1121">
        <f t="shared" si="51"/>
        <v>37.3</v>
      </c>
      <c r="L1121">
        <f t="shared" si="52"/>
        <v>0.48</v>
      </c>
      <c r="M1121">
        <f t="shared" si="53"/>
        <v>0</v>
      </c>
    </row>
    <row r="1122" spans="1:13">
      <c r="A1122">
        <v>37.397</v>
      </c>
      <c r="B1122">
        <v>190.1</v>
      </c>
      <c r="C1122">
        <v>36.06</v>
      </c>
      <c r="D1122">
        <v>238.4</v>
      </c>
      <c r="G1122">
        <v>37.364</v>
      </c>
      <c r="H1122" s="8" t="s">
        <v>1752</v>
      </c>
      <c r="I1122">
        <v>191.1</v>
      </c>
      <c r="K1122">
        <f t="shared" si="51"/>
        <v>37.35</v>
      </c>
      <c r="L1122">
        <f t="shared" si="52"/>
        <v>0.4822</v>
      </c>
      <c r="M1122">
        <f t="shared" si="53"/>
        <v>0</v>
      </c>
    </row>
    <row r="1123" spans="1:13">
      <c r="A1123">
        <v>37.431</v>
      </c>
      <c r="B1123">
        <v>189.5</v>
      </c>
      <c r="C1123">
        <v>36.094</v>
      </c>
      <c r="D1123">
        <v>238.4</v>
      </c>
      <c r="G1123">
        <v>37.397</v>
      </c>
      <c r="H1123" s="8" t="s">
        <v>1753</v>
      </c>
      <c r="I1123">
        <v>190.1</v>
      </c>
      <c r="K1123">
        <f t="shared" si="51"/>
        <v>37.35</v>
      </c>
      <c r="L1123">
        <f t="shared" si="52"/>
        <v>0.4854</v>
      </c>
      <c r="M1123">
        <f t="shared" si="53"/>
        <v>0</v>
      </c>
    </row>
    <row r="1124" spans="1:13">
      <c r="A1124">
        <v>37.464</v>
      </c>
      <c r="B1124">
        <v>188.6</v>
      </c>
      <c r="C1124">
        <v>36.127</v>
      </c>
      <c r="D1124">
        <v>238.4</v>
      </c>
      <c r="G1124">
        <v>37.431</v>
      </c>
      <c r="H1124" s="8" t="s">
        <v>744</v>
      </c>
      <c r="I1124">
        <v>189.5</v>
      </c>
      <c r="K1124">
        <f t="shared" si="51"/>
        <v>37.4</v>
      </c>
      <c r="L1124">
        <f t="shared" si="52"/>
        <v>0.4993</v>
      </c>
      <c r="M1124">
        <f t="shared" si="53"/>
        <v>0</v>
      </c>
    </row>
    <row r="1125" spans="1:13">
      <c r="A1125">
        <v>37.498</v>
      </c>
      <c r="B1125">
        <v>188</v>
      </c>
      <c r="C1125">
        <v>36.161</v>
      </c>
      <c r="D1125">
        <v>238.4</v>
      </c>
      <c r="G1125">
        <v>37.464</v>
      </c>
      <c r="H1125" s="8" t="s">
        <v>1645</v>
      </c>
      <c r="I1125">
        <v>188.6</v>
      </c>
      <c r="K1125">
        <f t="shared" si="51"/>
        <v>37.45</v>
      </c>
      <c r="L1125">
        <f t="shared" si="52"/>
        <v>0.4833</v>
      </c>
      <c r="M1125">
        <f t="shared" si="53"/>
        <v>0</v>
      </c>
    </row>
    <row r="1126" spans="1:13">
      <c r="A1126">
        <v>37.531</v>
      </c>
      <c r="B1126">
        <v>186.4</v>
      </c>
      <c r="C1126">
        <v>36.194</v>
      </c>
      <c r="D1126">
        <v>238.4</v>
      </c>
      <c r="G1126">
        <v>37.498</v>
      </c>
      <c r="H1126" s="8" t="s">
        <v>1754</v>
      </c>
      <c r="I1126">
        <v>188</v>
      </c>
      <c r="K1126">
        <f t="shared" si="51"/>
        <v>37.45</v>
      </c>
      <c r="L1126">
        <f t="shared" si="52"/>
        <v>0.4808</v>
      </c>
      <c r="M1126">
        <f t="shared" si="53"/>
        <v>0</v>
      </c>
    </row>
    <row r="1127" spans="1:13">
      <c r="A1127">
        <v>37.564</v>
      </c>
      <c r="B1127">
        <v>185.8</v>
      </c>
      <c r="C1127">
        <v>36.228</v>
      </c>
      <c r="D1127">
        <v>238.4</v>
      </c>
      <c r="G1127">
        <v>37.531</v>
      </c>
      <c r="H1127" s="8" t="s">
        <v>1755</v>
      </c>
      <c r="I1127">
        <v>186.4</v>
      </c>
      <c r="K1127">
        <f t="shared" si="51"/>
        <v>37.5</v>
      </c>
      <c r="L1127">
        <f t="shared" si="52"/>
        <v>0.4812</v>
      </c>
      <c r="M1127">
        <f t="shared" si="53"/>
        <v>0</v>
      </c>
    </row>
    <row r="1128" spans="1:13">
      <c r="A1128">
        <v>37.598</v>
      </c>
      <c r="B1128">
        <v>184.7</v>
      </c>
      <c r="C1128">
        <v>36.261</v>
      </c>
      <c r="D1128">
        <v>238.4</v>
      </c>
      <c r="G1128">
        <v>37.564</v>
      </c>
      <c r="H1128" s="8" t="s">
        <v>1730</v>
      </c>
      <c r="I1128">
        <v>185.8</v>
      </c>
      <c r="K1128">
        <f t="shared" si="51"/>
        <v>37.55</v>
      </c>
      <c r="L1128">
        <f t="shared" si="52"/>
        <v>0.4801</v>
      </c>
      <c r="M1128">
        <f t="shared" si="53"/>
        <v>0</v>
      </c>
    </row>
    <row r="1129" spans="1:13">
      <c r="A1129">
        <v>37.631</v>
      </c>
      <c r="B1129">
        <v>184.1</v>
      </c>
      <c r="C1129">
        <v>36.294</v>
      </c>
      <c r="D1129">
        <v>238.4</v>
      </c>
      <c r="G1129">
        <v>37.598</v>
      </c>
      <c r="H1129" s="8" t="s">
        <v>1756</v>
      </c>
      <c r="I1129">
        <v>184.7</v>
      </c>
      <c r="K1129">
        <f t="shared" si="51"/>
        <v>37.55</v>
      </c>
      <c r="L1129">
        <f t="shared" si="52"/>
        <v>0.4805</v>
      </c>
      <c r="M1129">
        <f t="shared" si="53"/>
        <v>0</v>
      </c>
    </row>
    <row r="1130" spans="1:13">
      <c r="A1130">
        <v>37.665</v>
      </c>
      <c r="B1130">
        <v>183.6</v>
      </c>
      <c r="C1130">
        <v>36.328</v>
      </c>
      <c r="D1130">
        <v>238.4</v>
      </c>
      <c r="G1130">
        <v>37.631</v>
      </c>
      <c r="H1130" s="8" t="s">
        <v>1757</v>
      </c>
      <c r="I1130">
        <v>184.1</v>
      </c>
      <c r="K1130">
        <f t="shared" si="51"/>
        <v>37.6</v>
      </c>
      <c r="L1130">
        <f t="shared" si="52"/>
        <v>0.4813</v>
      </c>
      <c r="M1130">
        <f t="shared" si="53"/>
        <v>0</v>
      </c>
    </row>
    <row r="1131" spans="1:13">
      <c r="A1131">
        <v>37.698</v>
      </c>
      <c r="B1131">
        <v>183.1</v>
      </c>
      <c r="C1131">
        <v>36.361</v>
      </c>
      <c r="D1131">
        <v>238.4</v>
      </c>
      <c r="G1131">
        <v>37.665</v>
      </c>
      <c r="H1131" s="8" t="s">
        <v>1756</v>
      </c>
      <c r="I1131">
        <v>183.6</v>
      </c>
      <c r="K1131">
        <f t="shared" si="51"/>
        <v>37.65</v>
      </c>
      <c r="L1131">
        <f t="shared" si="52"/>
        <v>0.4805</v>
      </c>
      <c r="M1131">
        <f t="shared" si="53"/>
        <v>0</v>
      </c>
    </row>
    <row r="1132" spans="1:13">
      <c r="A1132">
        <v>37.731</v>
      </c>
      <c r="B1132">
        <v>180.9</v>
      </c>
      <c r="C1132">
        <v>36.395</v>
      </c>
      <c r="D1132">
        <v>238.4</v>
      </c>
      <c r="G1132">
        <v>37.698</v>
      </c>
      <c r="H1132" s="8" t="s">
        <v>1758</v>
      </c>
      <c r="I1132">
        <v>183.1</v>
      </c>
      <c r="K1132">
        <f t="shared" si="51"/>
        <v>37.65</v>
      </c>
      <c r="L1132">
        <f t="shared" si="52"/>
        <v>0.4774</v>
      </c>
      <c r="M1132">
        <f t="shared" si="53"/>
        <v>0</v>
      </c>
    </row>
    <row r="1133" spans="1:13">
      <c r="A1133">
        <v>37.765</v>
      </c>
      <c r="B1133">
        <v>179.8</v>
      </c>
      <c r="C1133">
        <v>36.428</v>
      </c>
      <c r="D1133">
        <v>238.4</v>
      </c>
      <c r="G1133">
        <v>37.731</v>
      </c>
      <c r="H1133" s="8" t="s">
        <v>1759</v>
      </c>
      <c r="I1133">
        <v>180.9</v>
      </c>
      <c r="K1133">
        <f t="shared" si="51"/>
        <v>37.7</v>
      </c>
      <c r="L1133">
        <f t="shared" si="52"/>
        <v>0.4762</v>
      </c>
      <c r="M1133">
        <f t="shared" si="53"/>
        <v>0</v>
      </c>
    </row>
    <row r="1134" spans="1:13">
      <c r="A1134">
        <v>37.798</v>
      </c>
      <c r="B1134">
        <v>178.8</v>
      </c>
      <c r="C1134">
        <v>36.461</v>
      </c>
      <c r="D1134">
        <v>238.4</v>
      </c>
      <c r="G1134">
        <v>37.765</v>
      </c>
      <c r="H1134" s="8" t="s">
        <v>1760</v>
      </c>
      <c r="I1134">
        <v>179.8</v>
      </c>
      <c r="K1134">
        <f t="shared" si="51"/>
        <v>37.75</v>
      </c>
      <c r="L1134">
        <f t="shared" si="52"/>
        <v>0.4786</v>
      </c>
      <c r="M1134">
        <f t="shared" si="53"/>
        <v>0</v>
      </c>
    </row>
    <row r="1135" spans="1:13">
      <c r="A1135">
        <v>37.832</v>
      </c>
      <c r="B1135">
        <v>178</v>
      </c>
      <c r="C1135">
        <v>36.495</v>
      </c>
      <c r="D1135">
        <v>215.7</v>
      </c>
      <c r="G1135">
        <v>37.798</v>
      </c>
      <c r="H1135" s="8" t="s">
        <v>1761</v>
      </c>
      <c r="I1135">
        <v>178.8</v>
      </c>
      <c r="K1135">
        <f t="shared" si="51"/>
        <v>37.75</v>
      </c>
      <c r="L1135">
        <f t="shared" si="52"/>
        <v>0.5013</v>
      </c>
      <c r="M1135">
        <f t="shared" si="53"/>
        <v>0</v>
      </c>
    </row>
    <row r="1136" spans="1:13">
      <c r="A1136">
        <v>37.865</v>
      </c>
      <c r="B1136">
        <v>177.8</v>
      </c>
      <c r="C1136">
        <v>36.528</v>
      </c>
      <c r="D1136">
        <v>219.7</v>
      </c>
      <c r="G1136">
        <v>37.832</v>
      </c>
      <c r="H1136" s="8" t="s">
        <v>1447</v>
      </c>
      <c r="I1136">
        <v>178</v>
      </c>
      <c r="K1136">
        <f t="shared" si="51"/>
        <v>37.8</v>
      </c>
      <c r="L1136">
        <f t="shared" si="52"/>
        <v>0.4907</v>
      </c>
      <c r="M1136">
        <f t="shared" si="53"/>
        <v>0</v>
      </c>
    </row>
    <row r="1137" spans="1:13">
      <c r="A1137">
        <v>37.899</v>
      </c>
      <c r="B1137">
        <v>176.3</v>
      </c>
      <c r="C1137">
        <v>36.562</v>
      </c>
      <c r="D1137">
        <v>218.1</v>
      </c>
      <c r="G1137">
        <v>37.865</v>
      </c>
      <c r="H1137" s="8" t="s">
        <v>1762</v>
      </c>
      <c r="I1137">
        <v>177.8</v>
      </c>
      <c r="K1137">
        <f t="shared" si="51"/>
        <v>37.85</v>
      </c>
      <c r="L1137">
        <f t="shared" si="52"/>
        <v>0.4961</v>
      </c>
      <c r="M1137">
        <f t="shared" si="53"/>
        <v>0</v>
      </c>
    </row>
    <row r="1138" spans="1:13">
      <c r="A1138">
        <v>37.932</v>
      </c>
      <c r="B1138">
        <v>174.5</v>
      </c>
      <c r="C1138">
        <v>36.595</v>
      </c>
      <c r="D1138">
        <v>216.5</v>
      </c>
      <c r="G1138">
        <v>37.899</v>
      </c>
      <c r="H1138" s="8" t="s">
        <v>1763</v>
      </c>
      <c r="I1138">
        <v>176.3</v>
      </c>
      <c r="K1138">
        <f t="shared" si="51"/>
        <v>37.85</v>
      </c>
      <c r="L1138">
        <f t="shared" si="52"/>
        <v>0.4984</v>
      </c>
      <c r="M1138">
        <f t="shared" si="53"/>
        <v>0</v>
      </c>
    </row>
    <row r="1139" spans="1:13">
      <c r="A1139">
        <v>37.965</v>
      </c>
      <c r="B1139">
        <v>174.2</v>
      </c>
      <c r="C1139">
        <v>36.629</v>
      </c>
      <c r="D1139">
        <v>214.5</v>
      </c>
      <c r="G1139">
        <v>37.932</v>
      </c>
      <c r="H1139" s="8" t="s">
        <v>1764</v>
      </c>
      <c r="I1139">
        <v>174.5</v>
      </c>
      <c r="K1139">
        <f t="shared" si="51"/>
        <v>37.9</v>
      </c>
      <c r="L1139">
        <f t="shared" si="52"/>
        <v>0.4919</v>
      </c>
      <c r="M1139">
        <f t="shared" si="53"/>
        <v>0</v>
      </c>
    </row>
    <row r="1140" spans="1:13">
      <c r="A1140">
        <v>37.999</v>
      </c>
      <c r="B1140">
        <v>173.9</v>
      </c>
      <c r="C1140">
        <v>36.662</v>
      </c>
      <c r="D1140">
        <v>213.4</v>
      </c>
      <c r="G1140">
        <v>37.965</v>
      </c>
      <c r="H1140" s="8" t="s">
        <v>1765</v>
      </c>
      <c r="I1140">
        <v>174.2</v>
      </c>
      <c r="K1140">
        <f t="shared" si="51"/>
        <v>37.95</v>
      </c>
      <c r="L1140">
        <f t="shared" si="52"/>
        <v>0.4965</v>
      </c>
      <c r="M1140">
        <f t="shared" si="53"/>
        <v>0</v>
      </c>
    </row>
    <row r="1141" spans="1:13">
      <c r="A1141">
        <v>38.032</v>
      </c>
      <c r="B1141">
        <v>172.6</v>
      </c>
      <c r="C1141">
        <v>36.695</v>
      </c>
      <c r="D1141">
        <v>212.1</v>
      </c>
      <c r="G1141">
        <v>37.999</v>
      </c>
      <c r="H1141" s="8" t="s">
        <v>1766</v>
      </c>
      <c r="I1141">
        <v>173.9</v>
      </c>
      <c r="K1141">
        <f t="shared" si="51"/>
        <v>37.95</v>
      </c>
      <c r="L1141">
        <f t="shared" si="52"/>
        <v>0.4794</v>
      </c>
      <c r="M1141">
        <f t="shared" si="53"/>
        <v>0</v>
      </c>
    </row>
    <row r="1142" spans="1:13">
      <c r="A1142">
        <v>38.066</v>
      </c>
      <c r="B1142">
        <v>172.4</v>
      </c>
      <c r="C1142">
        <v>36.729</v>
      </c>
      <c r="D1142">
        <v>211.2</v>
      </c>
      <c r="G1142">
        <v>38.032</v>
      </c>
      <c r="H1142" s="8" t="s">
        <v>1767</v>
      </c>
      <c r="I1142">
        <v>172.6</v>
      </c>
      <c r="K1142">
        <f t="shared" si="51"/>
        <v>38</v>
      </c>
      <c r="L1142">
        <f t="shared" si="52"/>
        <v>0.384</v>
      </c>
      <c r="M1142">
        <f t="shared" si="53"/>
        <v>0</v>
      </c>
    </row>
    <row r="1143" spans="1:13">
      <c r="A1143">
        <v>38.099</v>
      </c>
      <c r="B1143">
        <v>171</v>
      </c>
      <c r="C1143">
        <v>36.762</v>
      </c>
      <c r="D1143">
        <v>209.3</v>
      </c>
      <c r="G1143">
        <v>38.066</v>
      </c>
      <c r="H1143" s="8" t="s">
        <v>1768</v>
      </c>
      <c r="I1143">
        <v>172.4</v>
      </c>
      <c r="K1143">
        <f t="shared" si="51"/>
        <v>38.05</v>
      </c>
      <c r="L1143">
        <f t="shared" si="52"/>
        <v>0.3885</v>
      </c>
      <c r="M1143">
        <f t="shared" si="53"/>
        <v>0</v>
      </c>
    </row>
    <row r="1144" spans="1:13">
      <c r="A1144">
        <v>38.132</v>
      </c>
      <c r="B1144">
        <v>170.7</v>
      </c>
      <c r="C1144">
        <v>36.796</v>
      </c>
      <c r="D1144">
        <v>208.3</v>
      </c>
      <c r="G1144">
        <v>38.099</v>
      </c>
      <c r="H1144" s="8" t="s">
        <v>1190</v>
      </c>
      <c r="I1144">
        <v>171</v>
      </c>
      <c r="K1144">
        <f t="shared" si="51"/>
        <v>38.05</v>
      </c>
      <c r="L1144">
        <f t="shared" si="52"/>
        <v>0.4864</v>
      </c>
      <c r="M1144">
        <f t="shared" si="53"/>
        <v>0</v>
      </c>
    </row>
    <row r="1145" spans="1:13">
      <c r="A1145">
        <v>38.166</v>
      </c>
      <c r="B1145">
        <v>169.5</v>
      </c>
      <c r="C1145">
        <v>36.829</v>
      </c>
      <c r="D1145">
        <v>208.2</v>
      </c>
      <c r="G1145">
        <v>38.132</v>
      </c>
      <c r="H1145" s="8" t="s">
        <v>1769</v>
      </c>
      <c r="I1145">
        <v>170.7</v>
      </c>
      <c r="K1145">
        <f t="shared" si="51"/>
        <v>38.1</v>
      </c>
      <c r="L1145">
        <f t="shared" si="52"/>
        <v>0.4776</v>
      </c>
      <c r="M1145">
        <f t="shared" si="53"/>
        <v>0</v>
      </c>
    </row>
    <row r="1146" spans="1:13">
      <c r="A1146">
        <v>38.199</v>
      </c>
      <c r="B1146">
        <v>168.2</v>
      </c>
      <c r="C1146">
        <v>36.863</v>
      </c>
      <c r="D1146">
        <v>206.5</v>
      </c>
      <c r="G1146">
        <v>38.166</v>
      </c>
      <c r="H1146" s="8" t="s">
        <v>1770</v>
      </c>
      <c r="I1146">
        <v>169.5</v>
      </c>
      <c r="K1146">
        <f t="shared" si="51"/>
        <v>38.15</v>
      </c>
      <c r="L1146">
        <f t="shared" si="52"/>
        <v>0.4611</v>
      </c>
      <c r="M1146">
        <f t="shared" si="53"/>
        <v>0</v>
      </c>
    </row>
    <row r="1147" spans="1:13">
      <c r="A1147">
        <v>38.233</v>
      </c>
      <c r="B1147">
        <v>167.7</v>
      </c>
      <c r="C1147">
        <v>36.896</v>
      </c>
      <c r="D1147">
        <v>204.6</v>
      </c>
      <c r="G1147">
        <v>38.199</v>
      </c>
      <c r="H1147" s="8" t="s">
        <v>1771</v>
      </c>
      <c r="I1147">
        <v>168.2</v>
      </c>
      <c r="K1147">
        <f t="shared" si="51"/>
        <v>38.15</v>
      </c>
      <c r="L1147">
        <f t="shared" si="52"/>
        <v>0.4223</v>
      </c>
      <c r="M1147">
        <f t="shared" si="53"/>
        <v>0</v>
      </c>
    </row>
    <row r="1148" spans="1:13">
      <c r="A1148">
        <v>38.266</v>
      </c>
      <c r="B1148">
        <v>166.5</v>
      </c>
      <c r="C1148">
        <v>36.929</v>
      </c>
      <c r="D1148">
        <v>203.7</v>
      </c>
      <c r="G1148">
        <v>38.233</v>
      </c>
      <c r="H1148" s="8" t="s">
        <v>1772</v>
      </c>
      <c r="I1148">
        <v>167.7</v>
      </c>
      <c r="K1148">
        <f t="shared" si="51"/>
        <v>38.2</v>
      </c>
      <c r="L1148">
        <f t="shared" si="52"/>
        <v>0.4338</v>
      </c>
      <c r="M1148">
        <f t="shared" si="53"/>
        <v>0</v>
      </c>
    </row>
    <row r="1149" spans="1:13">
      <c r="A1149">
        <v>38.3</v>
      </c>
      <c r="B1149">
        <v>166</v>
      </c>
      <c r="C1149">
        <v>36.963</v>
      </c>
      <c r="D1149">
        <v>203.5</v>
      </c>
      <c r="G1149">
        <v>38.266</v>
      </c>
      <c r="H1149" s="8" t="s">
        <v>1773</v>
      </c>
      <c r="I1149">
        <v>166.5</v>
      </c>
      <c r="K1149">
        <f t="shared" si="51"/>
        <v>38.25</v>
      </c>
      <c r="L1149">
        <f t="shared" si="52"/>
        <v>0.4294</v>
      </c>
      <c r="M1149">
        <f t="shared" si="53"/>
        <v>0</v>
      </c>
    </row>
    <row r="1150" spans="1:13">
      <c r="A1150">
        <v>38.333</v>
      </c>
      <c r="B1150">
        <v>164.6</v>
      </c>
      <c r="C1150">
        <v>36.996</v>
      </c>
      <c r="D1150">
        <v>201.6</v>
      </c>
      <c r="G1150">
        <v>38.3</v>
      </c>
      <c r="H1150" s="8" t="s">
        <v>1774</v>
      </c>
      <c r="I1150">
        <v>166</v>
      </c>
      <c r="K1150">
        <f t="shared" si="51"/>
        <v>38.3</v>
      </c>
      <c r="L1150">
        <f t="shared" si="52"/>
        <v>0.4317</v>
      </c>
      <c r="M1150">
        <f t="shared" si="53"/>
        <v>0</v>
      </c>
    </row>
    <row r="1151" spans="1:13">
      <c r="A1151">
        <v>38.366</v>
      </c>
      <c r="B1151">
        <v>163.2</v>
      </c>
      <c r="C1151">
        <v>37.03</v>
      </c>
      <c r="D1151">
        <v>201</v>
      </c>
      <c r="G1151">
        <v>38.333</v>
      </c>
      <c r="H1151" s="8" t="s">
        <v>1611</v>
      </c>
      <c r="I1151">
        <v>164.6</v>
      </c>
      <c r="K1151">
        <f t="shared" si="51"/>
        <v>38.3</v>
      </c>
      <c r="L1151">
        <f t="shared" si="52"/>
        <v>0.4843</v>
      </c>
      <c r="M1151">
        <f t="shared" si="53"/>
        <v>0</v>
      </c>
    </row>
    <row r="1152" spans="1:13">
      <c r="A1152">
        <v>38.4</v>
      </c>
      <c r="B1152">
        <v>162.9</v>
      </c>
      <c r="C1152">
        <v>37.063</v>
      </c>
      <c r="D1152">
        <v>199</v>
      </c>
      <c r="G1152">
        <v>38.366</v>
      </c>
      <c r="H1152" s="8" t="s">
        <v>1775</v>
      </c>
      <c r="I1152">
        <v>163.2</v>
      </c>
      <c r="K1152">
        <f t="shared" si="51"/>
        <v>38.35</v>
      </c>
      <c r="L1152">
        <f t="shared" si="52"/>
        <v>0.4752</v>
      </c>
      <c r="M1152">
        <f t="shared" si="53"/>
        <v>0</v>
      </c>
    </row>
    <row r="1153" spans="1:13">
      <c r="A1153">
        <v>38.433</v>
      </c>
      <c r="B1153">
        <v>161.3</v>
      </c>
      <c r="C1153">
        <v>37.096</v>
      </c>
      <c r="D1153">
        <v>198.5</v>
      </c>
      <c r="G1153">
        <v>38.4</v>
      </c>
      <c r="H1153" s="8" t="s">
        <v>1776</v>
      </c>
      <c r="I1153">
        <v>162.9</v>
      </c>
      <c r="K1153">
        <f t="shared" si="51"/>
        <v>38.4</v>
      </c>
      <c r="L1153">
        <f t="shared" si="52"/>
        <v>0.4677</v>
      </c>
      <c r="M1153">
        <f t="shared" si="53"/>
        <v>0</v>
      </c>
    </row>
    <row r="1154" spans="1:13">
      <c r="A1154">
        <v>38.467</v>
      </c>
      <c r="B1154">
        <v>160.4</v>
      </c>
      <c r="C1154">
        <v>37.13</v>
      </c>
      <c r="D1154">
        <v>196.9</v>
      </c>
      <c r="G1154">
        <v>38.433</v>
      </c>
      <c r="H1154" s="8" t="s">
        <v>1694</v>
      </c>
      <c r="I1154">
        <v>161.3</v>
      </c>
      <c r="K1154">
        <f t="shared" si="51"/>
        <v>38.4</v>
      </c>
      <c r="L1154">
        <f t="shared" si="52"/>
        <v>0.4837</v>
      </c>
      <c r="M1154">
        <f t="shared" si="53"/>
        <v>0</v>
      </c>
    </row>
    <row r="1155" spans="1:13">
      <c r="A1155">
        <v>38.5</v>
      </c>
      <c r="B1155">
        <v>159</v>
      </c>
      <c r="C1155">
        <v>37.163</v>
      </c>
      <c r="D1155">
        <v>196.2</v>
      </c>
      <c r="G1155">
        <v>38.467</v>
      </c>
      <c r="H1155" s="8" t="s">
        <v>1777</v>
      </c>
      <c r="I1155">
        <v>160.4</v>
      </c>
      <c r="K1155">
        <f t="shared" si="51"/>
        <v>38.45</v>
      </c>
      <c r="L1155">
        <f t="shared" si="52"/>
        <v>0.4835</v>
      </c>
      <c r="M1155">
        <f t="shared" si="53"/>
        <v>0</v>
      </c>
    </row>
    <row r="1156" spans="1:13">
      <c r="A1156">
        <v>38.534</v>
      </c>
      <c r="B1156">
        <v>158.6</v>
      </c>
      <c r="C1156">
        <v>37.197</v>
      </c>
      <c r="D1156">
        <v>194.7</v>
      </c>
      <c r="G1156">
        <v>38.5</v>
      </c>
      <c r="H1156" s="8" t="s">
        <v>1778</v>
      </c>
      <c r="I1156">
        <v>159</v>
      </c>
      <c r="K1156">
        <f t="shared" ref="K1156:K1219" si="54">FLOOR(G1156,0.05)</f>
        <v>38.5</v>
      </c>
      <c r="L1156">
        <f t="shared" si="52"/>
        <v>0.4806</v>
      </c>
      <c r="M1156">
        <f t="shared" si="53"/>
        <v>0</v>
      </c>
    </row>
    <row r="1157" spans="1:13">
      <c r="A1157">
        <v>38.567</v>
      </c>
      <c r="B1157">
        <v>156.4</v>
      </c>
      <c r="C1157">
        <v>37.23</v>
      </c>
      <c r="D1157">
        <v>194.4</v>
      </c>
      <c r="G1157">
        <v>38.534</v>
      </c>
      <c r="H1157" s="8" t="s">
        <v>1597</v>
      </c>
      <c r="I1157">
        <v>158.6</v>
      </c>
      <c r="K1157">
        <f t="shared" si="54"/>
        <v>38.5</v>
      </c>
      <c r="L1157">
        <f t="shared" ref="L1157:L1220" si="55">H1157*100</f>
        <v>0.4825</v>
      </c>
      <c r="M1157">
        <f t="shared" ref="M1157:M1220" si="56">IF(I1157&lt;230,0,5)</f>
        <v>0</v>
      </c>
    </row>
    <row r="1158" spans="1:13">
      <c r="A1158">
        <v>38.6</v>
      </c>
      <c r="B1158">
        <v>155.5</v>
      </c>
      <c r="C1158">
        <v>37.264</v>
      </c>
      <c r="D1158">
        <v>193.2</v>
      </c>
      <c r="G1158">
        <v>38.567</v>
      </c>
      <c r="H1158" s="8" t="s">
        <v>1779</v>
      </c>
      <c r="I1158">
        <v>156.4</v>
      </c>
      <c r="K1158">
        <f t="shared" si="54"/>
        <v>38.55</v>
      </c>
      <c r="L1158">
        <f t="shared" si="55"/>
        <v>0.4664</v>
      </c>
      <c r="M1158">
        <f t="shared" si="56"/>
        <v>0</v>
      </c>
    </row>
    <row r="1159" spans="1:13">
      <c r="A1159">
        <v>38.634</v>
      </c>
      <c r="B1159">
        <v>154.4</v>
      </c>
      <c r="C1159">
        <v>37.297</v>
      </c>
      <c r="D1159">
        <v>192.9</v>
      </c>
      <c r="G1159">
        <v>38.6</v>
      </c>
      <c r="H1159" s="8" t="s">
        <v>1780</v>
      </c>
      <c r="I1159">
        <v>155.5</v>
      </c>
      <c r="K1159">
        <f t="shared" si="54"/>
        <v>38.6</v>
      </c>
      <c r="L1159">
        <f t="shared" si="55"/>
        <v>0.4955</v>
      </c>
      <c r="M1159">
        <f t="shared" si="56"/>
        <v>0</v>
      </c>
    </row>
    <row r="1160" spans="1:13">
      <c r="A1160">
        <v>38.667</v>
      </c>
      <c r="B1160">
        <v>153.6</v>
      </c>
      <c r="C1160">
        <v>37.33</v>
      </c>
      <c r="D1160">
        <v>191.3</v>
      </c>
      <c r="G1160">
        <v>38.634</v>
      </c>
      <c r="H1160" s="8" t="s">
        <v>1726</v>
      </c>
      <c r="I1160">
        <v>154.4</v>
      </c>
      <c r="K1160">
        <f t="shared" si="54"/>
        <v>38.6</v>
      </c>
      <c r="L1160">
        <f t="shared" si="55"/>
        <v>0.4948</v>
      </c>
      <c r="M1160">
        <f t="shared" si="56"/>
        <v>0</v>
      </c>
    </row>
    <row r="1161" spans="1:13">
      <c r="A1161">
        <v>38.701</v>
      </c>
      <c r="B1161">
        <v>151.8</v>
      </c>
      <c r="C1161">
        <v>37.364</v>
      </c>
      <c r="D1161">
        <v>191.1</v>
      </c>
      <c r="G1161">
        <v>38.667</v>
      </c>
      <c r="H1161" s="8" t="s">
        <v>1345</v>
      </c>
      <c r="I1161">
        <v>153.6</v>
      </c>
      <c r="K1161">
        <f t="shared" si="54"/>
        <v>38.65</v>
      </c>
      <c r="L1161">
        <f t="shared" si="55"/>
        <v>0.4809</v>
      </c>
      <c r="M1161">
        <f t="shared" si="56"/>
        <v>0</v>
      </c>
    </row>
    <row r="1162" spans="1:13">
      <c r="A1162">
        <v>38.734</v>
      </c>
      <c r="B1162">
        <v>151.7</v>
      </c>
      <c r="C1162">
        <v>37.397</v>
      </c>
      <c r="D1162">
        <v>190.1</v>
      </c>
      <c r="G1162">
        <v>38.701</v>
      </c>
      <c r="H1162" s="8" t="s">
        <v>1324</v>
      </c>
      <c r="I1162">
        <v>151.8</v>
      </c>
      <c r="K1162">
        <f t="shared" si="54"/>
        <v>38.7</v>
      </c>
      <c r="L1162">
        <f t="shared" si="55"/>
        <v>0.4917</v>
      </c>
      <c r="M1162">
        <f t="shared" si="56"/>
        <v>0</v>
      </c>
    </row>
    <row r="1163" spans="1:13">
      <c r="A1163">
        <v>38.767</v>
      </c>
      <c r="B1163">
        <v>150</v>
      </c>
      <c r="C1163">
        <v>37.431</v>
      </c>
      <c r="D1163">
        <v>189.5</v>
      </c>
      <c r="G1163">
        <v>38.734</v>
      </c>
      <c r="H1163" s="8" t="s">
        <v>1522</v>
      </c>
      <c r="I1163">
        <v>151.7</v>
      </c>
      <c r="K1163">
        <f t="shared" si="54"/>
        <v>38.7</v>
      </c>
      <c r="L1163">
        <f t="shared" si="55"/>
        <v>0.4897</v>
      </c>
      <c r="M1163">
        <f t="shared" si="56"/>
        <v>0</v>
      </c>
    </row>
    <row r="1164" spans="1:13">
      <c r="A1164">
        <v>38.801</v>
      </c>
      <c r="B1164">
        <v>149.6</v>
      </c>
      <c r="C1164">
        <v>37.464</v>
      </c>
      <c r="D1164">
        <v>188.6</v>
      </c>
      <c r="G1164">
        <v>38.767</v>
      </c>
      <c r="H1164" s="8" t="s">
        <v>1781</v>
      </c>
      <c r="I1164">
        <v>150</v>
      </c>
      <c r="K1164">
        <f t="shared" si="54"/>
        <v>38.75</v>
      </c>
      <c r="L1164">
        <f t="shared" si="55"/>
        <v>0.484</v>
      </c>
      <c r="M1164">
        <f t="shared" si="56"/>
        <v>0</v>
      </c>
    </row>
    <row r="1165" spans="1:13">
      <c r="A1165">
        <v>38.834</v>
      </c>
      <c r="B1165">
        <v>148.2</v>
      </c>
      <c r="C1165">
        <v>37.498</v>
      </c>
      <c r="D1165">
        <v>188</v>
      </c>
      <c r="G1165">
        <v>38.801</v>
      </c>
      <c r="H1165" s="8" t="s">
        <v>1782</v>
      </c>
      <c r="I1165">
        <v>149.6</v>
      </c>
      <c r="K1165">
        <f t="shared" si="54"/>
        <v>38.8</v>
      </c>
      <c r="L1165">
        <f t="shared" si="55"/>
        <v>0.4717</v>
      </c>
      <c r="M1165">
        <f t="shared" si="56"/>
        <v>0</v>
      </c>
    </row>
    <row r="1166" spans="1:13">
      <c r="A1166">
        <v>38.868</v>
      </c>
      <c r="B1166">
        <v>146.2</v>
      </c>
      <c r="C1166">
        <v>37.531</v>
      </c>
      <c r="D1166">
        <v>186.4</v>
      </c>
      <c r="G1166">
        <v>38.834</v>
      </c>
      <c r="H1166" s="8" t="s">
        <v>1783</v>
      </c>
      <c r="I1166">
        <v>148.2</v>
      </c>
      <c r="K1166">
        <f t="shared" si="54"/>
        <v>38.8</v>
      </c>
      <c r="L1166">
        <f t="shared" si="55"/>
        <v>0.4759</v>
      </c>
      <c r="M1166">
        <f t="shared" si="56"/>
        <v>0</v>
      </c>
    </row>
    <row r="1167" spans="1:13">
      <c r="A1167">
        <v>38.901</v>
      </c>
      <c r="B1167">
        <v>145.5</v>
      </c>
      <c r="C1167">
        <v>37.564</v>
      </c>
      <c r="D1167">
        <v>185.8</v>
      </c>
      <c r="G1167">
        <v>38.868</v>
      </c>
      <c r="H1167" s="8" t="s">
        <v>1784</v>
      </c>
      <c r="I1167">
        <v>146.2</v>
      </c>
      <c r="K1167">
        <f t="shared" si="54"/>
        <v>38.85</v>
      </c>
      <c r="L1167">
        <f t="shared" si="55"/>
        <v>0.4795</v>
      </c>
      <c r="M1167">
        <f t="shared" si="56"/>
        <v>0</v>
      </c>
    </row>
    <row r="1168" spans="1:13">
      <c r="A1168">
        <v>38.935</v>
      </c>
      <c r="B1168">
        <v>143.7</v>
      </c>
      <c r="C1168">
        <v>37.598</v>
      </c>
      <c r="D1168">
        <v>184.7</v>
      </c>
      <c r="G1168">
        <v>38.901</v>
      </c>
      <c r="H1168" s="8" t="s">
        <v>1751</v>
      </c>
      <c r="I1168">
        <v>145.5</v>
      </c>
      <c r="K1168">
        <f t="shared" si="54"/>
        <v>38.9</v>
      </c>
      <c r="L1168">
        <f t="shared" si="55"/>
        <v>0.48</v>
      </c>
      <c r="M1168">
        <f t="shared" si="56"/>
        <v>0</v>
      </c>
    </row>
    <row r="1169" spans="1:13">
      <c r="A1169">
        <v>38.968</v>
      </c>
      <c r="B1169">
        <v>143.4</v>
      </c>
      <c r="C1169">
        <v>37.631</v>
      </c>
      <c r="D1169">
        <v>184.1</v>
      </c>
      <c r="G1169">
        <v>38.935</v>
      </c>
      <c r="H1169" s="8" t="s">
        <v>1520</v>
      </c>
      <c r="I1169">
        <v>143.7</v>
      </c>
      <c r="K1169">
        <f t="shared" si="54"/>
        <v>38.9</v>
      </c>
      <c r="L1169">
        <f t="shared" si="55"/>
        <v>0.482</v>
      </c>
      <c r="M1169">
        <f t="shared" si="56"/>
        <v>0</v>
      </c>
    </row>
    <row r="1170" spans="1:13">
      <c r="A1170">
        <v>39.001</v>
      </c>
      <c r="B1170">
        <v>142.7</v>
      </c>
      <c r="C1170">
        <v>37.665</v>
      </c>
      <c r="D1170">
        <v>183.6</v>
      </c>
      <c r="G1170">
        <v>38.968</v>
      </c>
      <c r="H1170" s="8" t="s">
        <v>1729</v>
      </c>
      <c r="I1170">
        <v>143.4</v>
      </c>
      <c r="K1170">
        <f t="shared" si="54"/>
        <v>38.95</v>
      </c>
      <c r="L1170">
        <f t="shared" si="55"/>
        <v>0.481</v>
      </c>
      <c r="M1170">
        <f t="shared" si="56"/>
        <v>0</v>
      </c>
    </row>
    <row r="1171" spans="1:13">
      <c r="A1171">
        <v>39.035</v>
      </c>
      <c r="B1171">
        <v>141.3</v>
      </c>
      <c r="C1171">
        <v>37.698</v>
      </c>
      <c r="D1171">
        <v>183.1</v>
      </c>
      <c r="G1171">
        <v>39.001</v>
      </c>
      <c r="H1171" s="8" t="s">
        <v>1785</v>
      </c>
      <c r="I1171">
        <v>142.7</v>
      </c>
      <c r="K1171">
        <f t="shared" si="54"/>
        <v>39</v>
      </c>
      <c r="L1171">
        <f t="shared" si="55"/>
        <v>0.479</v>
      </c>
      <c r="M1171">
        <f t="shared" si="56"/>
        <v>0</v>
      </c>
    </row>
    <row r="1172" spans="1:13">
      <c r="A1172">
        <v>39.068</v>
      </c>
      <c r="B1172">
        <v>138.8</v>
      </c>
      <c r="C1172">
        <v>37.731</v>
      </c>
      <c r="D1172">
        <v>180.9</v>
      </c>
      <c r="G1172">
        <v>39.035</v>
      </c>
      <c r="H1172" s="8" t="s">
        <v>1754</v>
      </c>
      <c r="I1172">
        <v>141.3</v>
      </c>
      <c r="K1172">
        <f t="shared" si="54"/>
        <v>39</v>
      </c>
      <c r="L1172">
        <f t="shared" si="55"/>
        <v>0.4808</v>
      </c>
      <c r="M1172">
        <f t="shared" si="56"/>
        <v>0</v>
      </c>
    </row>
    <row r="1173" spans="1:13">
      <c r="A1173">
        <v>39.102</v>
      </c>
      <c r="B1173">
        <v>137</v>
      </c>
      <c r="C1173">
        <v>37.765</v>
      </c>
      <c r="D1173">
        <v>179.8</v>
      </c>
      <c r="G1173">
        <v>39.068</v>
      </c>
      <c r="H1173" s="8" t="s">
        <v>1786</v>
      </c>
      <c r="I1173">
        <v>138.8</v>
      </c>
      <c r="K1173">
        <f t="shared" si="54"/>
        <v>39.05</v>
      </c>
      <c r="L1173">
        <f t="shared" si="55"/>
        <v>0.4799</v>
      </c>
      <c r="M1173">
        <f t="shared" si="56"/>
        <v>0</v>
      </c>
    </row>
    <row r="1174" spans="1:13">
      <c r="A1174">
        <v>39.135</v>
      </c>
      <c r="B1174">
        <v>136.4</v>
      </c>
      <c r="C1174">
        <v>37.798</v>
      </c>
      <c r="D1174">
        <v>178.8</v>
      </c>
      <c r="G1174">
        <v>39.102</v>
      </c>
      <c r="H1174" s="8" t="s">
        <v>1787</v>
      </c>
      <c r="I1174">
        <v>137</v>
      </c>
      <c r="K1174">
        <f t="shared" si="54"/>
        <v>39.1</v>
      </c>
      <c r="L1174">
        <f t="shared" si="55"/>
        <v>0.4839</v>
      </c>
      <c r="M1174">
        <f t="shared" si="56"/>
        <v>0</v>
      </c>
    </row>
    <row r="1175" spans="1:13">
      <c r="A1175">
        <v>39.169</v>
      </c>
      <c r="B1175">
        <v>134.5</v>
      </c>
      <c r="C1175">
        <v>37.832</v>
      </c>
      <c r="D1175">
        <v>178</v>
      </c>
      <c r="G1175">
        <v>39.135</v>
      </c>
      <c r="H1175" s="8" t="s">
        <v>1788</v>
      </c>
      <c r="I1175">
        <v>136.4</v>
      </c>
      <c r="K1175">
        <f t="shared" si="54"/>
        <v>39.1</v>
      </c>
      <c r="L1175">
        <f t="shared" si="55"/>
        <v>0.5024</v>
      </c>
      <c r="M1175">
        <f t="shared" si="56"/>
        <v>0</v>
      </c>
    </row>
    <row r="1176" spans="1:13">
      <c r="A1176">
        <v>39.202</v>
      </c>
      <c r="B1176">
        <v>133.9</v>
      </c>
      <c r="C1176">
        <v>37.865</v>
      </c>
      <c r="D1176">
        <v>177.8</v>
      </c>
      <c r="G1176">
        <v>39.169</v>
      </c>
      <c r="H1176" s="8" t="s">
        <v>1170</v>
      </c>
      <c r="I1176">
        <v>134.5</v>
      </c>
      <c r="K1176">
        <f t="shared" si="54"/>
        <v>39.15</v>
      </c>
      <c r="L1176">
        <f t="shared" si="55"/>
        <v>0.5033</v>
      </c>
      <c r="M1176">
        <f t="shared" si="56"/>
        <v>0</v>
      </c>
    </row>
    <row r="1177" spans="1:13">
      <c r="A1177">
        <v>39.235</v>
      </c>
      <c r="B1177">
        <v>132.6</v>
      </c>
      <c r="C1177">
        <v>37.899</v>
      </c>
      <c r="D1177">
        <v>176.3</v>
      </c>
      <c r="G1177">
        <v>39.202</v>
      </c>
      <c r="H1177" s="8" t="s">
        <v>1567</v>
      </c>
      <c r="I1177">
        <v>133.9</v>
      </c>
      <c r="K1177">
        <f t="shared" si="54"/>
        <v>39.2</v>
      </c>
      <c r="L1177">
        <f t="shared" si="55"/>
        <v>0.4935</v>
      </c>
      <c r="M1177">
        <f t="shared" si="56"/>
        <v>0</v>
      </c>
    </row>
    <row r="1178" spans="1:13">
      <c r="A1178">
        <v>39.269</v>
      </c>
      <c r="B1178">
        <v>130.9</v>
      </c>
      <c r="C1178">
        <v>37.932</v>
      </c>
      <c r="D1178">
        <v>174.5</v>
      </c>
      <c r="G1178">
        <v>39.235</v>
      </c>
      <c r="H1178" s="8" t="s">
        <v>1347</v>
      </c>
      <c r="I1178">
        <v>132.6</v>
      </c>
      <c r="K1178">
        <f t="shared" si="54"/>
        <v>39.2</v>
      </c>
      <c r="L1178">
        <f t="shared" si="55"/>
        <v>0.4875</v>
      </c>
      <c r="M1178">
        <f t="shared" si="56"/>
        <v>0</v>
      </c>
    </row>
    <row r="1179" spans="1:13">
      <c r="A1179">
        <v>39.302</v>
      </c>
      <c r="B1179">
        <v>130.1</v>
      </c>
      <c r="C1179">
        <v>37.965</v>
      </c>
      <c r="D1179">
        <v>174.2</v>
      </c>
      <c r="G1179">
        <v>39.269</v>
      </c>
      <c r="H1179" s="8" t="s">
        <v>1503</v>
      </c>
      <c r="I1179">
        <v>130.9</v>
      </c>
      <c r="K1179">
        <f t="shared" si="54"/>
        <v>39.25</v>
      </c>
      <c r="L1179">
        <f t="shared" si="55"/>
        <v>0.4895</v>
      </c>
      <c r="M1179">
        <f t="shared" si="56"/>
        <v>0</v>
      </c>
    </row>
    <row r="1180" spans="1:13">
      <c r="A1180">
        <v>39.336</v>
      </c>
      <c r="B1180">
        <v>128.8</v>
      </c>
      <c r="C1180">
        <v>37.999</v>
      </c>
      <c r="D1180">
        <v>173.9</v>
      </c>
      <c r="G1180">
        <v>39.302</v>
      </c>
      <c r="H1180" s="8" t="s">
        <v>1667</v>
      </c>
      <c r="I1180">
        <v>130.1</v>
      </c>
      <c r="K1180">
        <f t="shared" si="54"/>
        <v>39.3</v>
      </c>
      <c r="L1180">
        <f t="shared" si="55"/>
        <v>0.4949</v>
      </c>
      <c r="M1180">
        <f t="shared" si="56"/>
        <v>0</v>
      </c>
    </row>
    <row r="1181" spans="1:13">
      <c r="A1181">
        <v>39.369</v>
      </c>
      <c r="B1181">
        <v>127.1</v>
      </c>
      <c r="C1181">
        <v>38.032</v>
      </c>
      <c r="D1181">
        <v>172.6</v>
      </c>
      <c r="G1181">
        <v>39.336</v>
      </c>
      <c r="H1181" s="8" t="s">
        <v>1535</v>
      </c>
      <c r="I1181">
        <v>128.8</v>
      </c>
      <c r="K1181">
        <f t="shared" si="54"/>
        <v>39.3</v>
      </c>
      <c r="L1181">
        <f t="shared" si="55"/>
        <v>0.4871</v>
      </c>
      <c r="M1181">
        <f t="shared" si="56"/>
        <v>0</v>
      </c>
    </row>
    <row r="1182" spans="1:13">
      <c r="A1182">
        <v>39.402</v>
      </c>
      <c r="B1182">
        <v>126.3</v>
      </c>
      <c r="C1182">
        <v>38.066</v>
      </c>
      <c r="D1182">
        <v>172.4</v>
      </c>
      <c r="G1182">
        <v>39.369</v>
      </c>
      <c r="H1182" s="8" t="s">
        <v>1789</v>
      </c>
      <c r="I1182">
        <v>127.1</v>
      </c>
      <c r="K1182">
        <f t="shared" si="54"/>
        <v>39.35</v>
      </c>
      <c r="L1182">
        <f t="shared" si="55"/>
        <v>0.4859</v>
      </c>
      <c r="M1182">
        <f t="shared" si="56"/>
        <v>0</v>
      </c>
    </row>
    <row r="1183" spans="1:13">
      <c r="A1183">
        <v>39.436</v>
      </c>
      <c r="B1183">
        <v>124</v>
      </c>
      <c r="C1183">
        <v>38.099</v>
      </c>
      <c r="D1183">
        <v>171</v>
      </c>
      <c r="G1183">
        <v>39.402</v>
      </c>
      <c r="H1183" s="8" t="s">
        <v>1486</v>
      </c>
      <c r="I1183">
        <v>126.3</v>
      </c>
      <c r="K1183">
        <f t="shared" si="54"/>
        <v>39.4</v>
      </c>
      <c r="L1183">
        <f t="shared" si="55"/>
        <v>0.4869</v>
      </c>
      <c r="M1183">
        <f t="shared" si="56"/>
        <v>0</v>
      </c>
    </row>
    <row r="1184" spans="1:13">
      <c r="A1184">
        <v>39.469</v>
      </c>
      <c r="B1184">
        <v>121.3</v>
      </c>
      <c r="C1184">
        <v>38.132</v>
      </c>
      <c r="D1184">
        <v>170.7</v>
      </c>
      <c r="G1184">
        <v>39.436</v>
      </c>
      <c r="H1184" s="8" t="s">
        <v>1613</v>
      </c>
      <c r="I1184">
        <v>124</v>
      </c>
      <c r="K1184">
        <f t="shared" si="54"/>
        <v>39.4</v>
      </c>
      <c r="L1184">
        <f t="shared" si="55"/>
        <v>0.4775</v>
      </c>
      <c r="M1184">
        <f t="shared" si="56"/>
        <v>0</v>
      </c>
    </row>
    <row r="1185" spans="1:13">
      <c r="A1185">
        <v>39.503</v>
      </c>
      <c r="B1185">
        <v>120.4</v>
      </c>
      <c r="C1185">
        <v>38.166</v>
      </c>
      <c r="D1185">
        <v>169.5</v>
      </c>
      <c r="G1185">
        <v>39.469</v>
      </c>
      <c r="H1185" s="8" t="s">
        <v>1766</v>
      </c>
      <c r="I1185">
        <v>121.3</v>
      </c>
      <c r="K1185">
        <f t="shared" si="54"/>
        <v>39.45</v>
      </c>
      <c r="L1185">
        <f t="shared" si="55"/>
        <v>0.4794</v>
      </c>
      <c r="M1185">
        <f t="shared" si="56"/>
        <v>0</v>
      </c>
    </row>
    <row r="1186" spans="1:13">
      <c r="A1186">
        <v>39.536</v>
      </c>
      <c r="B1186">
        <v>119.6</v>
      </c>
      <c r="C1186">
        <v>38.199</v>
      </c>
      <c r="D1186">
        <v>168.2</v>
      </c>
      <c r="G1186">
        <v>39.503</v>
      </c>
      <c r="H1186" s="8" t="s">
        <v>1649</v>
      </c>
      <c r="I1186">
        <v>120.4</v>
      </c>
      <c r="K1186">
        <f t="shared" si="54"/>
        <v>39.5</v>
      </c>
      <c r="L1186">
        <f t="shared" si="55"/>
        <v>0.4792</v>
      </c>
      <c r="M1186">
        <f t="shared" si="56"/>
        <v>0</v>
      </c>
    </row>
    <row r="1187" spans="1:13">
      <c r="A1187">
        <v>39.57</v>
      </c>
      <c r="B1187">
        <v>118</v>
      </c>
      <c r="C1187">
        <v>38.233</v>
      </c>
      <c r="D1187">
        <v>167.7</v>
      </c>
      <c r="G1187">
        <v>39.536</v>
      </c>
      <c r="H1187" s="8" t="s">
        <v>1790</v>
      </c>
      <c r="I1187">
        <v>119.6</v>
      </c>
      <c r="K1187">
        <f t="shared" si="54"/>
        <v>39.5</v>
      </c>
      <c r="L1187">
        <f t="shared" si="55"/>
        <v>0.4748</v>
      </c>
      <c r="M1187">
        <f t="shared" si="56"/>
        <v>0</v>
      </c>
    </row>
    <row r="1188" spans="1:13">
      <c r="A1188">
        <v>39.603</v>
      </c>
      <c r="B1188">
        <v>115.2</v>
      </c>
      <c r="C1188">
        <v>38.266</v>
      </c>
      <c r="D1188">
        <v>166.5</v>
      </c>
      <c r="G1188">
        <v>39.57</v>
      </c>
      <c r="H1188" s="8" t="s">
        <v>1791</v>
      </c>
      <c r="I1188">
        <v>118</v>
      </c>
      <c r="K1188">
        <f t="shared" si="54"/>
        <v>39.55</v>
      </c>
      <c r="L1188">
        <f t="shared" si="55"/>
        <v>0.4824</v>
      </c>
      <c r="M1188">
        <f t="shared" si="56"/>
        <v>0</v>
      </c>
    </row>
    <row r="1189" spans="1:13">
      <c r="A1189">
        <v>39.636</v>
      </c>
      <c r="B1189">
        <v>113.8</v>
      </c>
      <c r="C1189">
        <v>38.3</v>
      </c>
      <c r="D1189">
        <v>166</v>
      </c>
      <c r="G1189">
        <v>39.603</v>
      </c>
      <c r="H1189" s="8" t="s">
        <v>1345</v>
      </c>
      <c r="I1189">
        <v>115.2</v>
      </c>
      <c r="K1189">
        <f t="shared" si="54"/>
        <v>39.6</v>
      </c>
      <c r="L1189">
        <f t="shared" si="55"/>
        <v>0.4809</v>
      </c>
      <c r="M1189">
        <f t="shared" si="56"/>
        <v>0</v>
      </c>
    </row>
    <row r="1190" spans="1:13">
      <c r="A1190">
        <v>39.67</v>
      </c>
      <c r="B1190">
        <v>111.9</v>
      </c>
      <c r="C1190">
        <v>38.333</v>
      </c>
      <c r="D1190">
        <v>164.6</v>
      </c>
      <c r="G1190">
        <v>39.636</v>
      </c>
      <c r="H1190" s="8" t="s">
        <v>1792</v>
      </c>
      <c r="I1190">
        <v>113.8</v>
      </c>
      <c r="K1190">
        <f t="shared" si="54"/>
        <v>39.6</v>
      </c>
      <c r="L1190">
        <f t="shared" si="55"/>
        <v>0.4732</v>
      </c>
      <c r="M1190">
        <f t="shared" si="56"/>
        <v>0</v>
      </c>
    </row>
    <row r="1191" spans="1:13">
      <c r="A1191">
        <v>39.703</v>
      </c>
      <c r="B1191">
        <v>111.4</v>
      </c>
      <c r="C1191">
        <v>38.366</v>
      </c>
      <c r="D1191">
        <v>163.2</v>
      </c>
      <c r="G1191">
        <v>39.67</v>
      </c>
      <c r="H1191" s="8" t="s">
        <v>1745</v>
      </c>
      <c r="I1191">
        <v>111.9</v>
      </c>
      <c r="K1191">
        <f t="shared" si="54"/>
        <v>39.65</v>
      </c>
      <c r="L1191">
        <f t="shared" si="55"/>
        <v>0.4863</v>
      </c>
      <c r="M1191">
        <f t="shared" si="56"/>
        <v>0</v>
      </c>
    </row>
    <row r="1192" spans="1:13">
      <c r="A1192">
        <v>39.737</v>
      </c>
      <c r="B1192">
        <v>109.4</v>
      </c>
      <c r="C1192">
        <v>38.4</v>
      </c>
      <c r="D1192">
        <v>162.9</v>
      </c>
      <c r="G1192">
        <v>39.703</v>
      </c>
      <c r="H1192" s="8" t="s">
        <v>1793</v>
      </c>
      <c r="I1192">
        <v>111.4</v>
      </c>
      <c r="K1192">
        <f t="shared" si="54"/>
        <v>39.7</v>
      </c>
      <c r="L1192">
        <f t="shared" si="55"/>
        <v>0.4865</v>
      </c>
      <c r="M1192">
        <f t="shared" si="56"/>
        <v>0</v>
      </c>
    </row>
    <row r="1193" spans="1:13">
      <c r="A1193">
        <v>39.77</v>
      </c>
      <c r="B1193">
        <v>107.5</v>
      </c>
      <c r="C1193">
        <v>38.433</v>
      </c>
      <c r="D1193">
        <v>161.3</v>
      </c>
      <c r="G1193">
        <v>39.737</v>
      </c>
      <c r="H1193" s="8" t="s">
        <v>1347</v>
      </c>
      <c r="I1193">
        <v>109.4</v>
      </c>
      <c r="K1193">
        <f t="shared" si="54"/>
        <v>39.7</v>
      </c>
      <c r="L1193">
        <f t="shared" si="55"/>
        <v>0.4875</v>
      </c>
      <c r="M1193">
        <f t="shared" si="56"/>
        <v>0</v>
      </c>
    </row>
    <row r="1194" spans="1:13">
      <c r="A1194">
        <v>39.803</v>
      </c>
      <c r="B1194">
        <v>105.2</v>
      </c>
      <c r="C1194">
        <v>38.467</v>
      </c>
      <c r="D1194">
        <v>160.4</v>
      </c>
      <c r="G1194">
        <v>39.77</v>
      </c>
      <c r="H1194" s="8" t="s">
        <v>1732</v>
      </c>
      <c r="I1194">
        <v>107.5</v>
      </c>
      <c r="K1194">
        <f t="shared" si="54"/>
        <v>39.75</v>
      </c>
      <c r="L1194">
        <f t="shared" si="55"/>
        <v>0.4803</v>
      </c>
      <c r="M1194">
        <f t="shared" si="56"/>
        <v>0</v>
      </c>
    </row>
    <row r="1195" spans="1:13">
      <c r="A1195">
        <v>39.837</v>
      </c>
      <c r="B1195">
        <v>103.3</v>
      </c>
      <c r="C1195">
        <v>38.5</v>
      </c>
      <c r="D1195">
        <v>159</v>
      </c>
      <c r="G1195">
        <v>39.803</v>
      </c>
      <c r="H1195" s="8" t="s">
        <v>1794</v>
      </c>
      <c r="I1195">
        <v>105.2</v>
      </c>
      <c r="K1195">
        <f t="shared" si="54"/>
        <v>39.8</v>
      </c>
      <c r="L1195">
        <f t="shared" si="55"/>
        <v>0.4842</v>
      </c>
      <c r="M1195">
        <f t="shared" si="56"/>
        <v>0</v>
      </c>
    </row>
    <row r="1196" spans="1:13">
      <c r="A1196">
        <v>39.87</v>
      </c>
      <c r="B1196">
        <v>101.4</v>
      </c>
      <c r="C1196">
        <v>38.534</v>
      </c>
      <c r="D1196">
        <v>158.6</v>
      </c>
      <c r="G1196">
        <v>39.837</v>
      </c>
      <c r="H1196" s="8" t="s">
        <v>1795</v>
      </c>
      <c r="I1196">
        <v>103.3</v>
      </c>
      <c r="K1196">
        <f t="shared" si="54"/>
        <v>39.8</v>
      </c>
      <c r="L1196">
        <f t="shared" si="55"/>
        <v>0.4857</v>
      </c>
      <c r="M1196">
        <f t="shared" si="56"/>
        <v>0</v>
      </c>
    </row>
    <row r="1197" spans="1:13">
      <c r="A1197">
        <v>39.904</v>
      </c>
      <c r="B1197">
        <v>100.3</v>
      </c>
      <c r="C1197">
        <v>38.567</v>
      </c>
      <c r="D1197">
        <v>156.4</v>
      </c>
      <c r="G1197">
        <v>39.87</v>
      </c>
      <c r="H1197" s="8" t="s">
        <v>1578</v>
      </c>
      <c r="I1197">
        <v>101.4</v>
      </c>
      <c r="K1197">
        <f t="shared" si="54"/>
        <v>39.85</v>
      </c>
      <c r="L1197">
        <f t="shared" si="55"/>
        <v>0.5</v>
      </c>
      <c r="M1197">
        <f t="shared" si="56"/>
        <v>0</v>
      </c>
    </row>
    <row r="1198" spans="1:13">
      <c r="A1198">
        <v>39.937</v>
      </c>
      <c r="B1198">
        <v>99</v>
      </c>
      <c r="C1198">
        <v>38.6</v>
      </c>
      <c r="D1198">
        <v>155.5</v>
      </c>
      <c r="G1198">
        <v>39.904</v>
      </c>
      <c r="H1198" s="8" t="s">
        <v>1600</v>
      </c>
      <c r="I1198">
        <v>100.3</v>
      </c>
      <c r="K1198">
        <f t="shared" si="54"/>
        <v>39.9</v>
      </c>
      <c r="L1198">
        <f t="shared" si="55"/>
        <v>0.5002</v>
      </c>
      <c r="M1198">
        <f t="shared" si="56"/>
        <v>0</v>
      </c>
    </row>
    <row r="1199" spans="1:13">
      <c r="A1199">
        <v>39.971</v>
      </c>
      <c r="B1199">
        <v>97</v>
      </c>
      <c r="C1199">
        <v>38.634</v>
      </c>
      <c r="D1199">
        <v>154.4</v>
      </c>
      <c r="G1199">
        <v>39.937</v>
      </c>
      <c r="H1199" s="8" t="s">
        <v>1578</v>
      </c>
      <c r="I1199">
        <v>99</v>
      </c>
      <c r="K1199">
        <f t="shared" si="54"/>
        <v>39.9</v>
      </c>
      <c r="L1199">
        <f t="shared" si="55"/>
        <v>0.5</v>
      </c>
      <c r="M1199">
        <f t="shared" si="56"/>
        <v>0</v>
      </c>
    </row>
    <row r="1200" spans="1:13">
      <c r="A1200">
        <v>40.004</v>
      </c>
      <c r="B1200">
        <v>94.5</v>
      </c>
      <c r="C1200">
        <v>38.667</v>
      </c>
      <c r="D1200">
        <v>153.6</v>
      </c>
      <c r="G1200">
        <v>39.971</v>
      </c>
      <c r="H1200" s="8" t="s">
        <v>1633</v>
      </c>
      <c r="I1200">
        <v>97</v>
      </c>
      <c r="K1200">
        <f t="shared" si="54"/>
        <v>39.95</v>
      </c>
      <c r="L1200">
        <f t="shared" si="55"/>
        <v>0.4807</v>
      </c>
      <c r="M1200">
        <f t="shared" si="56"/>
        <v>0</v>
      </c>
    </row>
    <row r="1201" spans="1:13">
      <c r="A1201">
        <v>40.037</v>
      </c>
      <c r="B1201">
        <v>92.9</v>
      </c>
      <c r="C1201">
        <v>38.701</v>
      </c>
      <c r="D1201">
        <v>151.8</v>
      </c>
      <c r="G1201">
        <v>40.004</v>
      </c>
      <c r="H1201" s="8" t="s">
        <v>1794</v>
      </c>
      <c r="I1201">
        <v>94.5</v>
      </c>
      <c r="K1201">
        <f t="shared" si="54"/>
        <v>40</v>
      </c>
      <c r="L1201">
        <f t="shared" si="55"/>
        <v>0.4842</v>
      </c>
      <c r="M1201">
        <f t="shared" si="56"/>
        <v>0</v>
      </c>
    </row>
    <row r="1202" spans="1:13">
      <c r="A1202">
        <v>40.071</v>
      </c>
      <c r="B1202">
        <v>91.6</v>
      </c>
      <c r="C1202">
        <v>38.734</v>
      </c>
      <c r="D1202">
        <v>151.7</v>
      </c>
      <c r="G1202">
        <v>40.037</v>
      </c>
      <c r="H1202" s="8" t="s">
        <v>1161</v>
      </c>
      <c r="I1202">
        <v>92.9</v>
      </c>
      <c r="K1202">
        <f t="shared" si="54"/>
        <v>40</v>
      </c>
      <c r="L1202">
        <f t="shared" si="55"/>
        <v>0.4921</v>
      </c>
      <c r="M1202">
        <f t="shared" si="56"/>
        <v>0</v>
      </c>
    </row>
    <row r="1203" spans="1:13">
      <c r="A1203">
        <v>40.104</v>
      </c>
      <c r="B1203">
        <v>87.7</v>
      </c>
      <c r="C1203">
        <v>38.767</v>
      </c>
      <c r="D1203">
        <v>150</v>
      </c>
      <c r="G1203">
        <v>40.071</v>
      </c>
      <c r="H1203" s="8" t="s">
        <v>1796</v>
      </c>
      <c r="I1203">
        <v>91.6</v>
      </c>
      <c r="K1203">
        <f t="shared" si="54"/>
        <v>40.05</v>
      </c>
      <c r="L1203">
        <f t="shared" si="55"/>
        <v>0.4691</v>
      </c>
      <c r="M1203">
        <f t="shared" si="56"/>
        <v>0</v>
      </c>
    </row>
    <row r="1204" spans="1:13">
      <c r="A1204">
        <v>40.138</v>
      </c>
      <c r="B1204">
        <v>86.7</v>
      </c>
      <c r="C1204">
        <v>38.801</v>
      </c>
      <c r="D1204">
        <v>149.6</v>
      </c>
      <c r="G1204">
        <v>40.104</v>
      </c>
      <c r="H1204" s="8" t="s">
        <v>1797</v>
      </c>
      <c r="I1204">
        <v>87.7</v>
      </c>
      <c r="K1204">
        <f t="shared" si="54"/>
        <v>40.1</v>
      </c>
      <c r="L1204">
        <f t="shared" si="55"/>
        <v>0.4814</v>
      </c>
      <c r="M1204">
        <f t="shared" si="56"/>
        <v>0</v>
      </c>
    </row>
    <row r="1205" spans="1:13">
      <c r="A1205">
        <v>40.171</v>
      </c>
      <c r="B1205">
        <v>85.1</v>
      </c>
      <c r="C1205">
        <v>38.834</v>
      </c>
      <c r="D1205">
        <v>148.2</v>
      </c>
      <c r="G1205">
        <v>40.138</v>
      </c>
      <c r="H1205" s="8" t="s">
        <v>1374</v>
      </c>
      <c r="I1205">
        <v>86.7</v>
      </c>
      <c r="K1205">
        <f t="shared" si="54"/>
        <v>40.1</v>
      </c>
      <c r="L1205">
        <f t="shared" si="55"/>
        <v>0.4832</v>
      </c>
      <c r="M1205">
        <f t="shared" si="56"/>
        <v>0</v>
      </c>
    </row>
    <row r="1206" spans="1:13">
      <c r="A1206">
        <v>40.205</v>
      </c>
      <c r="B1206">
        <v>82.3</v>
      </c>
      <c r="C1206">
        <v>38.868</v>
      </c>
      <c r="D1206">
        <v>146.2</v>
      </c>
      <c r="G1206">
        <v>40.171</v>
      </c>
      <c r="H1206" s="8" t="s">
        <v>1798</v>
      </c>
      <c r="I1206">
        <v>85.1</v>
      </c>
      <c r="K1206">
        <f t="shared" si="54"/>
        <v>40.15</v>
      </c>
      <c r="L1206">
        <f t="shared" si="55"/>
        <v>0.4779</v>
      </c>
      <c r="M1206">
        <f t="shared" si="56"/>
        <v>0</v>
      </c>
    </row>
    <row r="1207" spans="1:13">
      <c r="A1207">
        <v>40.238</v>
      </c>
      <c r="B1207">
        <v>79.5</v>
      </c>
      <c r="C1207">
        <v>38.901</v>
      </c>
      <c r="D1207">
        <v>145.5</v>
      </c>
      <c r="G1207">
        <v>40.205</v>
      </c>
      <c r="H1207" s="8" t="s">
        <v>1161</v>
      </c>
      <c r="I1207">
        <v>82.3</v>
      </c>
      <c r="K1207">
        <f t="shared" si="54"/>
        <v>40.2</v>
      </c>
      <c r="L1207">
        <f t="shared" si="55"/>
        <v>0.4921</v>
      </c>
      <c r="M1207">
        <f t="shared" si="56"/>
        <v>0</v>
      </c>
    </row>
    <row r="1208" spans="1:13">
      <c r="A1208">
        <v>40.271</v>
      </c>
      <c r="B1208">
        <v>77.6</v>
      </c>
      <c r="C1208">
        <v>38.935</v>
      </c>
      <c r="D1208">
        <v>143.7</v>
      </c>
      <c r="G1208">
        <v>40.238</v>
      </c>
      <c r="H1208" s="8" t="s">
        <v>1693</v>
      </c>
      <c r="I1208">
        <v>79.5</v>
      </c>
      <c r="K1208">
        <f t="shared" si="54"/>
        <v>40.2</v>
      </c>
      <c r="L1208">
        <f t="shared" si="55"/>
        <v>0.4844</v>
      </c>
      <c r="M1208">
        <f t="shared" si="56"/>
        <v>0</v>
      </c>
    </row>
    <row r="1209" spans="1:13">
      <c r="A1209">
        <v>40.305</v>
      </c>
      <c r="B1209">
        <v>75.6</v>
      </c>
      <c r="C1209">
        <v>38.968</v>
      </c>
      <c r="D1209">
        <v>143.4</v>
      </c>
      <c r="G1209">
        <v>40.271</v>
      </c>
      <c r="H1209" s="8" t="s">
        <v>1799</v>
      </c>
      <c r="I1209">
        <v>77.6</v>
      </c>
      <c r="K1209">
        <f t="shared" si="54"/>
        <v>40.25</v>
      </c>
      <c r="L1209">
        <f t="shared" si="55"/>
        <v>0.4994</v>
      </c>
      <c r="M1209">
        <f t="shared" si="56"/>
        <v>0</v>
      </c>
    </row>
    <row r="1210" spans="1:13">
      <c r="A1210">
        <v>40.338</v>
      </c>
      <c r="B1210">
        <v>72.8</v>
      </c>
      <c r="C1210">
        <v>39.001</v>
      </c>
      <c r="D1210">
        <v>142.7</v>
      </c>
      <c r="G1210">
        <v>40.305</v>
      </c>
      <c r="H1210" s="8" t="s">
        <v>1800</v>
      </c>
      <c r="I1210">
        <v>75.6</v>
      </c>
      <c r="K1210">
        <f t="shared" si="54"/>
        <v>40.3</v>
      </c>
      <c r="L1210">
        <f t="shared" si="55"/>
        <v>0.4848</v>
      </c>
      <c r="M1210">
        <f t="shared" si="56"/>
        <v>0</v>
      </c>
    </row>
    <row r="1211" spans="1:13">
      <c r="A1211">
        <v>40.372</v>
      </c>
      <c r="B1211">
        <v>70.1</v>
      </c>
      <c r="C1211">
        <v>39.035</v>
      </c>
      <c r="D1211">
        <v>141.3</v>
      </c>
      <c r="G1211">
        <v>40.338</v>
      </c>
      <c r="H1211" s="8" t="s">
        <v>1801</v>
      </c>
      <c r="I1211">
        <v>72.8</v>
      </c>
      <c r="K1211">
        <f t="shared" si="54"/>
        <v>40.3</v>
      </c>
      <c r="L1211">
        <f t="shared" si="55"/>
        <v>0.4858</v>
      </c>
      <c r="M1211">
        <f t="shared" si="56"/>
        <v>0</v>
      </c>
    </row>
    <row r="1212" spans="1:13">
      <c r="A1212">
        <v>40.405</v>
      </c>
      <c r="B1212">
        <v>69.9</v>
      </c>
      <c r="C1212">
        <v>39.068</v>
      </c>
      <c r="D1212">
        <v>138.8</v>
      </c>
      <c r="G1212">
        <v>40.372</v>
      </c>
      <c r="H1212" s="8" t="s">
        <v>1802</v>
      </c>
      <c r="I1212">
        <v>70.1</v>
      </c>
      <c r="K1212">
        <f t="shared" si="54"/>
        <v>40.35</v>
      </c>
      <c r="L1212">
        <f t="shared" si="55"/>
        <v>0.4918</v>
      </c>
      <c r="M1212">
        <f t="shared" si="56"/>
        <v>0</v>
      </c>
    </row>
    <row r="1213" spans="1:13">
      <c r="A1213">
        <v>40.438</v>
      </c>
      <c r="B1213">
        <v>68.5</v>
      </c>
      <c r="C1213">
        <v>39.102</v>
      </c>
      <c r="D1213">
        <v>137</v>
      </c>
      <c r="G1213">
        <v>40.405</v>
      </c>
      <c r="H1213" s="8" t="s">
        <v>1745</v>
      </c>
      <c r="I1213">
        <v>69.9</v>
      </c>
      <c r="K1213">
        <f t="shared" si="54"/>
        <v>40.4</v>
      </c>
      <c r="L1213">
        <f t="shared" si="55"/>
        <v>0.4863</v>
      </c>
      <c r="M1213">
        <f t="shared" si="56"/>
        <v>0</v>
      </c>
    </row>
    <row r="1214" spans="1:13">
      <c r="A1214">
        <v>40.472</v>
      </c>
      <c r="B1214">
        <v>68.6</v>
      </c>
      <c r="C1214">
        <v>39.135</v>
      </c>
      <c r="D1214">
        <v>136.4</v>
      </c>
      <c r="G1214">
        <v>40.438</v>
      </c>
      <c r="H1214" s="8" t="s">
        <v>1325</v>
      </c>
      <c r="I1214">
        <v>68.5</v>
      </c>
      <c r="K1214">
        <f t="shared" si="54"/>
        <v>40.4</v>
      </c>
      <c r="L1214">
        <f t="shared" si="55"/>
        <v>0.4978</v>
      </c>
      <c r="M1214">
        <f t="shared" si="56"/>
        <v>0</v>
      </c>
    </row>
    <row r="1215" spans="1:13">
      <c r="A1215">
        <v>40.505</v>
      </c>
      <c r="B1215">
        <v>68.4</v>
      </c>
      <c r="C1215">
        <v>39.169</v>
      </c>
      <c r="D1215">
        <v>134.5</v>
      </c>
      <c r="G1215">
        <v>40.472</v>
      </c>
      <c r="H1215" s="8" t="s">
        <v>1323</v>
      </c>
      <c r="I1215">
        <v>68.6</v>
      </c>
      <c r="K1215">
        <f t="shared" si="54"/>
        <v>40.45</v>
      </c>
      <c r="L1215">
        <f t="shared" si="55"/>
        <v>0.4905</v>
      </c>
      <c r="M1215">
        <f t="shared" si="56"/>
        <v>0</v>
      </c>
    </row>
    <row r="1216" spans="1:13">
      <c r="A1216">
        <v>40.539</v>
      </c>
      <c r="B1216">
        <v>67.8</v>
      </c>
      <c r="C1216">
        <v>39.202</v>
      </c>
      <c r="D1216">
        <v>133.9</v>
      </c>
      <c r="G1216">
        <v>40.505</v>
      </c>
      <c r="H1216" s="8" t="s">
        <v>1803</v>
      </c>
      <c r="I1216">
        <v>68.4</v>
      </c>
      <c r="K1216">
        <f t="shared" si="54"/>
        <v>40.5</v>
      </c>
      <c r="L1216">
        <f t="shared" si="55"/>
        <v>0.4853</v>
      </c>
      <c r="M1216">
        <f t="shared" si="56"/>
        <v>0</v>
      </c>
    </row>
    <row r="1217" spans="1:13">
      <c r="A1217">
        <v>40.572</v>
      </c>
      <c r="B1217">
        <v>67.8</v>
      </c>
      <c r="C1217">
        <v>39.235</v>
      </c>
      <c r="D1217">
        <v>132.6</v>
      </c>
      <c r="G1217">
        <v>40.539</v>
      </c>
      <c r="H1217" s="8" t="s">
        <v>1804</v>
      </c>
      <c r="I1217">
        <v>67.8</v>
      </c>
      <c r="K1217">
        <f t="shared" si="54"/>
        <v>40.5</v>
      </c>
      <c r="L1217">
        <f t="shared" si="55"/>
        <v>0.4747</v>
      </c>
      <c r="M1217">
        <f t="shared" si="56"/>
        <v>0</v>
      </c>
    </row>
    <row r="1218" spans="1:13">
      <c r="A1218">
        <v>40.606</v>
      </c>
      <c r="B1218">
        <v>67.5</v>
      </c>
      <c r="C1218">
        <v>39.269</v>
      </c>
      <c r="D1218">
        <v>130.9</v>
      </c>
      <c r="G1218">
        <v>40.572</v>
      </c>
      <c r="H1218" s="8" t="s">
        <v>1695</v>
      </c>
      <c r="I1218">
        <v>67.8</v>
      </c>
      <c r="K1218">
        <f t="shared" si="54"/>
        <v>40.55</v>
      </c>
      <c r="L1218">
        <f t="shared" si="55"/>
        <v>0.5017</v>
      </c>
      <c r="M1218">
        <f t="shared" si="56"/>
        <v>0</v>
      </c>
    </row>
    <row r="1219" spans="1:13">
      <c r="A1219">
        <v>40.639</v>
      </c>
      <c r="B1219">
        <v>66.3</v>
      </c>
      <c r="C1219">
        <v>39.302</v>
      </c>
      <c r="D1219">
        <v>130.1</v>
      </c>
      <c r="G1219">
        <v>40.606</v>
      </c>
      <c r="H1219" s="8" t="s">
        <v>1730</v>
      </c>
      <c r="I1219">
        <v>67.5</v>
      </c>
      <c r="K1219">
        <f t="shared" si="54"/>
        <v>40.6</v>
      </c>
      <c r="L1219">
        <f t="shared" si="55"/>
        <v>0.4801</v>
      </c>
      <c r="M1219">
        <f t="shared" si="56"/>
        <v>0</v>
      </c>
    </row>
    <row r="1220" spans="1:13">
      <c r="A1220">
        <v>40.672</v>
      </c>
      <c r="B1220">
        <v>65.3</v>
      </c>
      <c r="C1220">
        <v>39.336</v>
      </c>
      <c r="D1220">
        <v>128.8</v>
      </c>
      <c r="G1220">
        <v>40.639</v>
      </c>
      <c r="H1220" s="8" t="s">
        <v>1802</v>
      </c>
      <c r="I1220">
        <v>66.3</v>
      </c>
      <c r="K1220">
        <f t="shared" ref="K1220:K1283" si="57">FLOOR(G1220,0.05)</f>
        <v>40.6</v>
      </c>
      <c r="L1220">
        <f t="shared" si="55"/>
        <v>0.4918</v>
      </c>
      <c r="M1220">
        <f t="shared" si="56"/>
        <v>0</v>
      </c>
    </row>
    <row r="1221" spans="1:13">
      <c r="A1221">
        <v>40.706</v>
      </c>
      <c r="B1221">
        <v>64.2</v>
      </c>
      <c r="C1221">
        <v>39.369</v>
      </c>
      <c r="D1221">
        <v>127.1</v>
      </c>
      <c r="G1221">
        <v>40.672</v>
      </c>
      <c r="H1221" s="8" t="s">
        <v>1805</v>
      </c>
      <c r="I1221">
        <v>65.3</v>
      </c>
      <c r="K1221">
        <f t="shared" si="57"/>
        <v>40.65</v>
      </c>
      <c r="L1221">
        <f t="shared" ref="L1221:L1284" si="58">H1221*100</f>
        <v>0.4913</v>
      </c>
      <c r="M1221">
        <f t="shared" ref="M1221:M1284" si="59">IF(I1221&lt;230,0,5)</f>
        <v>0</v>
      </c>
    </row>
    <row r="1222" spans="1:13">
      <c r="A1222">
        <v>40.739</v>
      </c>
      <c r="B1222">
        <v>63.3</v>
      </c>
      <c r="C1222">
        <v>39.402</v>
      </c>
      <c r="D1222">
        <v>126.3</v>
      </c>
      <c r="G1222">
        <v>40.706</v>
      </c>
      <c r="H1222" s="8" t="s">
        <v>1769</v>
      </c>
      <c r="I1222">
        <v>64.2</v>
      </c>
      <c r="K1222">
        <f t="shared" si="57"/>
        <v>40.7</v>
      </c>
      <c r="L1222">
        <f t="shared" si="58"/>
        <v>0.4776</v>
      </c>
      <c r="M1222">
        <f t="shared" si="59"/>
        <v>0</v>
      </c>
    </row>
    <row r="1223" spans="1:13">
      <c r="A1223">
        <v>40.773</v>
      </c>
      <c r="B1223">
        <v>62.4</v>
      </c>
      <c r="C1223">
        <v>39.436</v>
      </c>
      <c r="D1223">
        <v>124</v>
      </c>
      <c r="G1223">
        <v>40.739</v>
      </c>
      <c r="H1223" s="8" t="s">
        <v>1745</v>
      </c>
      <c r="I1223">
        <v>63.3</v>
      </c>
      <c r="K1223">
        <f t="shared" si="57"/>
        <v>40.7</v>
      </c>
      <c r="L1223">
        <f t="shared" si="58"/>
        <v>0.4863</v>
      </c>
      <c r="M1223">
        <f t="shared" si="59"/>
        <v>0</v>
      </c>
    </row>
    <row r="1224" spans="1:13">
      <c r="A1224">
        <v>40.806</v>
      </c>
      <c r="B1224">
        <v>61.5</v>
      </c>
      <c r="C1224">
        <v>39.469</v>
      </c>
      <c r="D1224">
        <v>121.3</v>
      </c>
      <c r="G1224">
        <v>40.773</v>
      </c>
      <c r="H1224" s="8" t="s">
        <v>1789</v>
      </c>
      <c r="I1224">
        <v>62.4</v>
      </c>
      <c r="K1224">
        <f t="shared" si="57"/>
        <v>40.75</v>
      </c>
      <c r="L1224">
        <f t="shared" si="58"/>
        <v>0.4859</v>
      </c>
      <c r="M1224">
        <f t="shared" si="59"/>
        <v>0</v>
      </c>
    </row>
    <row r="1225" spans="1:13">
      <c r="A1225">
        <v>40.84</v>
      </c>
      <c r="B1225">
        <v>61.3</v>
      </c>
      <c r="C1225">
        <v>39.503</v>
      </c>
      <c r="D1225">
        <v>120.4</v>
      </c>
      <c r="G1225">
        <v>40.806</v>
      </c>
      <c r="H1225" s="8" t="s">
        <v>1569</v>
      </c>
      <c r="I1225">
        <v>61.5</v>
      </c>
      <c r="K1225">
        <f t="shared" si="57"/>
        <v>40.8</v>
      </c>
      <c r="L1225">
        <f t="shared" si="58"/>
        <v>0.4861</v>
      </c>
      <c r="M1225">
        <f t="shared" si="59"/>
        <v>0</v>
      </c>
    </row>
    <row r="1226" spans="1:13">
      <c r="A1226">
        <v>40.873</v>
      </c>
      <c r="B1226">
        <v>60.8</v>
      </c>
      <c r="C1226">
        <v>39.536</v>
      </c>
      <c r="D1226">
        <v>119.6</v>
      </c>
      <c r="G1226">
        <v>40.84</v>
      </c>
      <c r="H1226" s="8" t="s">
        <v>1806</v>
      </c>
      <c r="I1226">
        <v>61.3</v>
      </c>
      <c r="K1226">
        <f t="shared" si="57"/>
        <v>40.8</v>
      </c>
      <c r="L1226">
        <f t="shared" si="58"/>
        <v>0.486</v>
      </c>
      <c r="M1226">
        <f t="shared" si="59"/>
        <v>0</v>
      </c>
    </row>
    <row r="1227" spans="1:13">
      <c r="A1227">
        <v>40.906</v>
      </c>
      <c r="B1227">
        <v>60.7</v>
      </c>
      <c r="C1227">
        <v>39.57</v>
      </c>
      <c r="D1227">
        <v>118</v>
      </c>
      <c r="G1227">
        <v>40.873</v>
      </c>
      <c r="H1227" s="8" t="s">
        <v>1807</v>
      </c>
      <c r="I1227">
        <v>60.8</v>
      </c>
      <c r="K1227">
        <f t="shared" si="57"/>
        <v>40.85</v>
      </c>
      <c r="L1227">
        <f t="shared" si="58"/>
        <v>0.4862</v>
      </c>
      <c r="M1227">
        <f t="shared" si="59"/>
        <v>0</v>
      </c>
    </row>
    <row r="1228" spans="1:13">
      <c r="A1228">
        <v>40.94</v>
      </c>
      <c r="B1228">
        <v>60.6</v>
      </c>
      <c r="C1228">
        <v>39.603</v>
      </c>
      <c r="D1228">
        <v>115.2</v>
      </c>
      <c r="G1228">
        <v>40.906</v>
      </c>
      <c r="H1228" s="8" t="s">
        <v>1583</v>
      </c>
      <c r="I1228">
        <v>60.7</v>
      </c>
      <c r="K1228">
        <f t="shared" si="57"/>
        <v>40.9</v>
      </c>
      <c r="L1228">
        <f t="shared" si="58"/>
        <v>0.4866</v>
      </c>
      <c r="M1228">
        <f t="shared" si="59"/>
        <v>0</v>
      </c>
    </row>
    <row r="1229" spans="1:13">
      <c r="A1229">
        <v>40.973</v>
      </c>
      <c r="B1229">
        <v>60.4</v>
      </c>
      <c r="C1229">
        <v>39.636</v>
      </c>
      <c r="D1229">
        <v>113.8</v>
      </c>
      <c r="G1229">
        <v>40.94</v>
      </c>
      <c r="H1229" s="8" t="s">
        <v>1808</v>
      </c>
      <c r="I1229">
        <v>60.6</v>
      </c>
      <c r="K1229">
        <f t="shared" si="57"/>
        <v>40.9</v>
      </c>
      <c r="L1229">
        <f t="shared" si="58"/>
        <v>0.4425</v>
      </c>
      <c r="M1229">
        <f t="shared" si="59"/>
        <v>0</v>
      </c>
    </row>
    <row r="1230" spans="1:13">
      <c r="A1230">
        <v>41.007</v>
      </c>
      <c r="B1230">
        <v>60.4</v>
      </c>
      <c r="C1230">
        <v>39.67</v>
      </c>
      <c r="D1230">
        <v>111.9</v>
      </c>
      <c r="G1230">
        <v>40.973</v>
      </c>
      <c r="H1230" s="8" t="s">
        <v>1809</v>
      </c>
      <c r="I1230">
        <v>60.4</v>
      </c>
      <c r="K1230">
        <f t="shared" si="57"/>
        <v>40.95</v>
      </c>
      <c r="L1230">
        <f t="shared" si="58"/>
        <v>0.4716</v>
      </c>
      <c r="M1230">
        <f t="shared" si="59"/>
        <v>0</v>
      </c>
    </row>
    <row r="1231" spans="1:13">
      <c r="A1231">
        <v>41.04</v>
      </c>
      <c r="B1231">
        <v>60.4</v>
      </c>
      <c r="C1231">
        <v>39.703</v>
      </c>
      <c r="D1231">
        <v>111.4</v>
      </c>
      <c r="G1231">
        <v>41.007</v>
      </c>
      <c r="H1231" s="8" t="s">
        <v>1569</v>
      </c>
      <c r="I1231">
        <v>60.4</v>
      </c>
      <c r="K1231">
        <f t="shared" si="57"/>
        <v>41</v>
      </c>
      <c r="L1231">
        <f t="shared" si="58"/>
        <v>0.4861</v>
      </c>
      <c r="M1231">
        <f t="shared" si="59"/>
        <v>0</v>
      </c>
    </row>
    <row r="1232" spans="1:13">
      <c r="A1232">
        <v>41.073</v>
      </c>
      <c r="B1232">
        <v>60.5</v>
      </c>
      <c r="C1232">
        <v>39.737</v>
      </c>
      <c r="D1232">
        <v>109.4</v>
      </c>
      <c r="G1232">
        <v>41.04</v>
      </c>
      <c r="H1232" s="8" t="s">
        <v>1503</v>
      </c>
      <c r="I1232">
        <v>60.4</v>
      </c>
      <c r="K1232">
        <f t="shared" si="57"/>
        <v>41</v>
      </c>
      <c r="L1232">
        <f t="shared" si="58"/>
        <v>0.4895</v>
      </c>
      <c r="M1232">
        <f t="shared" si="59"/>
        <v>0</v>
      </c>
    </row>
    <row r="1233" spans="1:13">
      <c r="A1233">
        <v>41.107</v>
      </c>
      <c r="B1233">
        <v>60.5</v>
      </c>
      <c r="C1233">
        <v>39.77</v>
      </c>
      <c r="D1233">
        <v>107.5</v>
      </c>
      <c r="G1233">
        <v>41.073</v>
      </c>
      <c r="H1233" s="8" t="s">
        <v>1190</v>
      </c>
      <c r="I1233">
        <v>60.5</v>
      </c>
      <c r="K1233">
        <f t="shared" si="57"/>
        <v>41.05</v>
      </c>
      <c r="L1233">
        <f t="shared" si="58"/>
        <v>0.4864</v>
      </c>
      <c r="M1233">
        <f t="shared" si="59"/>
        <v>0</v>
      </c>
    </row>
    <row r="1234" spans="1:13">
      <c r="A1234">
        <v>41.14</v>
      </c>
      <c r="B1234">
        <v>60.5</v>
      </c>
      <c r="C1234">
        <v>39.803</v>
      </c>
      <c r="D1234">
        <v>105.2</v>
      </c>
      <c r="G1234">
        <v>41.107</v>
      </c>
      <c r="H1234" s="8" t="s">
        <v>1810</v>
      </c>
      <c r="I1234">
        <v>60.5</v>
      </c>
      <c r="K1234">
        <f t="shared" si="57"/>
        <v>41.1</v>
      </c>
      <c r="L1234">
        <f t="shared" si="58"/>
        <v>0.5011</v>
      </c>
      <c r="M1234">
        <f t="shared" si="59"/>
        <v>0</v>
      </c>
    </row>
    <row r="1235" spans="1:13">
      <c r="A1235">
        <v>41.174</v>
      </c>
      <c r="B1235">
        <v>60.4</v>
      </c>
      <c r="C1235">
        <v>39.837</v>
      </c>
      <c r="D1235">
        <v>103.3</v>
      </c>
      <c r="G1235">
        <v>41.14</v>
      </c>
      <c r="H1235" s="8" t="s">
        <v>1811</v>
      </c>
      <c r="I1235">
        <v>60.5</v>
      </c>
      <c r="K1235">
        <f t="shared" si="57"/>
        <v>41.1</v>
      </c>
      <c r="L1235">
        <f t="shared" si="58"/>
        <v>0.494</v>
      </c>
      <c r="M1235">
        <f t="shared" si="59"/>
        <v>0</v>
      </c>
    </row>
    <row r="1236" spans="1:13">
      <c r="A1236">
        <v>41.207</v>
      </c>
      <c r="B1236">
        <v>60.4</v>
      </c>
      <c r="C1236">
        <v>39.87</v>
      </c>
      <c r="D1236">
        <v>101.4</v>
      </c>
      <c r="G1236">
        <v>41.174</v>
      </c>
      <c r="H1236" s="8" t="s">
        <v>1812</v>
      </c>
      <c r="I1236">
        <v>60.4</v>
      </c>
      <c r="K1236">
        <f t="shared" si="57"/>
        <v>41.15</v>
      </c>
      <c r="L1236">
        <f t="shared" si="58"/>
        <v>0.4668</v>
      </c>
      <c r="M1236">
        <f t="shared" si="59"/>
        <v>0</v>
      </c>
    </row>
    <row r="1237" spans="1:13">
      <c r="A1237">
        <v>41.241</v>
      </c>
      <c r="B1237">
        <v>60.3</v>
      </c>
      <c r="C1237">
        <v>39.904</v>
      </c>
      <c r="D1237">
        <v>100.3</v>
      </c>
      <c r="G1237">
        <v>41.207</v>
      </c>
      <c r="H1237" s="8" t="s">
        <v>1758</v>
      </c>
      <c r="I1237">
        <v>60.4</v>
      </c>
      <c r="K1237">
        <f t="shared" si="57"/>
        <v>41.2</v>
      </c>
      <c r="L1237">
        <f t="shared" si="58"/>
        <v>0.4774</v>
      </c>
      <c r="M1237">
        <f t="shared" si="59"/>
        <v>0</v>
      </c>
    </row>
    <row r="1238" spans="1:13">
      <c r="A1238">
        <v>41.274</v>
      </c>
      <c r="B1238">
        <v>60.4</v>
      </c>
      <c r="C1238">
        <v>39.937</v>
      </c>
      <c r="D1238">
        <v>99</v>
      </c>
      <c r="G1238">
        <v>41.241</v>
      </c>
      <c r="H1238" s="8" t="s">
        <v>1324</v>
      </c>
      <c r="I1238">
        <v>60.3</v>
      </c>
      <c r="K1238">
        <f t="shared" si="57"/>
        <v>41.2</v>
      </c>
      <c r="L1238">
        <f t="shared" si="58"/>
        <v>0.4917</v>
      </c>
      <c r="M1238">
        <f t="shared" si="59"/>
        <v>0</v>
      </c>
    </row>
    <row r="1239" spans="1:13">
      <c r="A1239">
        <v>41.307</v>
      </c>
      <c r="B1239">
        <v>60.4</v>
      </c>
      <c r="C1239">
        <v>39.971</v>
      </c>
      <c r="D1239">
        <v>97</v>
      </c>
      <c r="G1239">
        <v>41.274</v>
      </c>
      <c r="H1239" s="8" t="s">
        <v>1645</v>
      </c>
      <c r="I1239">
        <v>60.4</v>
      </c>
      <c r="K1239">
        <f t="shared" si="57"/>
        <v>41.25</v>
      </c>
      <c r="L1239">
        <f t="shared" si="58"/>
        <v>0.4833</v>
      </c>
      <c r="M1239">
        <f t="shared" si="59"/>
        <v>0</v>
      </c>
    </row>
    <row r="1240" spans="1:13">
      <c r="A1240">
        <v>41.341</v>
      </c>
      <c r="B1240">
        <v>60.2</v>
      </c>
      <c r="C1240">
        <v>40.004</v>
      </c>
      <c r="D1240">
        <v>94.5</v>
      </c>
      <c r="G1240">
        <v>41.307</v>
      </c>
      <c r="H1240" s="8" t="s">
        <v>1781</v>
      </c>
      <c r="I1240">
        <v>60.4</v>
      </c>
      <c r="K1240">
        <f t="shared" si="57"/>
        <v>41.3</v>
      </c>
      <c r="L1240">
        <f t="shared" si="58"/>
        <v>0.484</v>
      </c>
      <c r="M1240">
        <f t="shared" si="59"/>
        <v>0</v>
      </c>
    </row>
    <row r="1241" spans="1:13">
      <c r="A1241">
        <v>41.374</v>
      </c>
      <c r="B1241">
        <v>60.4</v>
      </c>
      <c r="C1241">
        <v>40.037</v>
      </c>
      <c r="D1241">
        <v>92.9</v>
      </c>
      <c r="G1241">
        <v>41.341</v>
      </c>
      <c r="H1241" s="8" t="s">
        <v>1694</v>
      </c>
      <c r="I1241">
        <v>60.2</v>
      </c>
      <c r="K1241">
        <f t="shared" si="57"/>
        <v>41.3</v>
      </c>
      <c r="L1241">
        <f t="shared" si="58"/>
        <v>0.4837</v>
      </c>
      <c r="M1241">
        <f t="shared" si="59"/>
        <v>0</v>
      </c>
    </row>
    <row r="1242" spans="1:13">
      <c r="A1242">
        <v>41.408</v>
      </c>
      <c r="B1242">
        <v>60.1</v>
      </c>
      <c r="C1242">
        <v>40.071</v>
      </c>
      <c r="D1242">
        <v>91.6</v>
      </c>
      <c r="G1242">
        <v>41.374</v>
      </c>
      <c r="H1242" s="8" t="s">
        <v>1580</v>
      </c>
      <c r="I1242">
        <v>60.4</v>
      </c>
      <c r="K1242">
        <f t="shared" si="57"/>
        <v>41.35</v>
      </c>
      <c r="L1242">
        <f t="shared" si="58"/>
        <v>0.4834</v>
      </c>
      <c r="M1242">
        <f t="shared" si="59"/>
        <v>0</v>
      </c>
    </row>
    <row r="1243" spans="1:13">
      <c r="A1243">
        <v>41.441</v>
      </c>
      <c r="B1243">
        <v>59.9</v>
      </c>
      <c r="C1243">
        <v>40.104</v>
      </c>
      <c r="D1243">
        <v>87.7</v>
      </c>
      <c r="G1243">
        <v>41.408</v>
      </c>
      <c r="H1243" s="8" t="s">
        <v>1813</v>
      </c>
      <c r="I1243">
        <v>60.1</v>
      </c>
      <c r="K1243">
        <f t="shared" si="57"/>
        <v>41.4</v>
      </c>
      <c r="L1243">
        <f t="shared" si="58"/>
        <v>0.4945</v>
      </c>
      <c r="M1243">
        <f t="shared" si="59"/>
        <v>0</v>
      </c>
    </row>
    <row r="1244" spans="1:13">
      <c r="A1244">
        <v>41.475</v>
      </c>
      <c r="B1244">
        <v>60</v>
      </c>
      <c r="C1244">
        <v>40.138</v>
      </c>
      <c r="D1244">
        <v>86.7</v>
      </c>
      <c r="G1244">
        <v>41.441</v>
      </c>
      <c r="H1244" s="8" t="s">
        <v>1567</v>
      </c>
      <c r="I1244">
        <v>59.9</v>
      </c>
      <c r="K1244">
        <f t="shared" si="57"/>
        <v>41.4</v>
      </c>
      <c r="L1244">
        <f t="shared" si="58"/>
        <v>0.4935</v>
      </c>
      <c r="M1244">
        <f t="shared" si="59"/>
        <v>0</v>
      </c>
    </row>
    <row r="1245" spans="1:13">
      <c r="A1245">
        <v>41.508</v>
      </c>
      <c r="B1245">
        <v>59.9</v>
      </c>
      <c r="C1245">
        <v>40.171</v>
      </c>
      <c r="D1245">
        <v>85.1</v>
      </c>
      <c r="G1245">
        <v>41.475</v>
      </c>
      <c r="H1245" s="8" t="s">
        <v>1093</v>
      </c>
      <c r="I1245">
        <v>60</v>
      </c>
      <c r="K1245">
        <f t="shared" si="57"/>
        <v>41.45</v>
      </c>
      <c r="L1245">
        <f t="shared" si="58"/>
        <v>0.4959</v>
      </c>
      <c r="M1245">
        <f t="shared" si="59"/>
        <v>0</v>
      </c>
    </row>
    <row r="1246" spans="1:13">
      <c r="A1246">
        <v>41.541</v>
      </c>
      <c r="B1246">
        <v>60</v>
      </c>
      <c r="C1246">
        <v>40.205</v>
      </c>
      <c r="D1246">
        <v>82.3</v>
      </c>
      <c r="G1246">
        <v>41.508</v>
      </c>
      <c r="H1246" s="8" t="s">
        <v>1506</v>
      </c>
      <c r="I1246">
        <v>59.9</v>
      </c>
      <c r="K1246">
        <f t="shared" si="57"/>
        <v>41.5</v>
      </c>
      <c r="L1246">
        <f t="shared" si="58"/>
        <v>0.4906</v>
      </c>
      <c r="M1246">
        <f t="shared" si="59"/>
        <v>0</v>
      </c>
    </row>
    <row r="1247" spans="1:13">
      <c r="A1247">
        <v>41.575</v>
      </c>
      <c r="B1247">
        <v>60</v>
      </c>
      <c r="C1247">
        <v>40.238</v>
      </c>
      <c r="D1247">
        <v>79.5</v>
      </c>
      <c r="G1247">
        <v>41.541</v>
      </c>
      <c r="H1247" s="8" t="s">
        <v>1814</v>
      </c>
      <c r="I1247">
        <v>60</v>
      </c>
      <c r="K1247">
        <f t="shared" si="57"/>
        <v>41.5</v>
      </c>
      <c r="L1247">
        <f t="shared" si="58"/>
        <v>0.4909</v>
      </c>
      <c r="M1247">
        <f t="shared" si="59"/>
        <v>0</v>
      </c>
    </row>
    <row r="1248" spans="1:13">
      <c r="A1248">
        <v>41.608</v>
      </c>
      <c r="B1248">
        <v>60.2</v>
      </c>
      <c r="C1248">
        <v>40.271</v>
      </c>
      <c r="D1248">
        <v>77.6</v>
      </c>
      <c r="G1248">
        <v>41.575</v>
      </c>
      <c r="H1248" s="8" t="s">
        <v>1323</v>
      </c>
      <c r="I1248">
        <v>60</v>
      </c>
      <c r="K1248">
        <f t="shared" si="57"/>
        <v>41.55</v>
      </c>
      <c r="L1248">
        <f t="shared" si="58"/>
        <v>0.4905</v>
      </c>
      <c r="M1248">
        <f t="shared" si="59"/>
        <v>0</v>
      </c>
    </row>
    <row r="1249" spans="1:13">
      <c r="A1249">
        <v>41.642</v>
      </c>
      <c r="B1249">
        <v>59.9</v>
      </c>
      <c r="C1249">
        <v>40.305</v>
      </c>
      <c r="D1249">
        <v>75.6</v>
      </c>
      <c r="G1249">
        <v>41.608</v>
      </c>
      <c r="H1249" s="8" t="s">
        <v>1578</v>
      </c>
      <c r="I1249">
        <v>60.2</v>
      </c>
      <c r="K1249">
        <f t="shared" si="57"/>
        <v>41.6</v>
      </c>
      <c r="L1249">
        <f t="shared" si="58"/>
        <v>0.5</v>
      </c>
      <c r="M1249">
        <f t="shared" si="59"/>
        <v>0</v>
      </c>
    </row>
    <row r="1250" spans="1:13">
      <c r="A1250">
        <v>41.675</v>
      </c>
      <c r="B1250">
        <v>59.9</v>
      </c>
      <c r="C1250">
        <v>40.338</v>
      </c>
      <c r="D1250">
        <v>72.8</v>
      </c>
      <c r="G1250">
        <v>41.642</v>
      </c>
      <c r="H1250" s="8" t="s">
        <v>797</v>
      </c>
      <c r="I1250">
        <v>59.9</v>
      </c>
      <c r="K1250">
        <f t="shared" si="57"/>
        <v>41.6</v>
      </c>
      <c r="L1250">
        <f t="shared" si="58"/>
        <v>0.487</v>
      </c>
      <c r="M1250">
        <f t="shared" si="59"/>
        <v>0</v>
      </c>
    </row>
    <row r="1251" spans="1:13">
      <c r="A1251">
        <v>41.708</v>
      </c>
      <c r="B1251">
        <v>60</v>
      </c>
      <c r="C1251">
        <v>40.372</v>
      </c>
      <c r="D1251">
        <v>70.1</v>
      </c>
      <c r="G1251">
        <v>41.675</v>
      </c>
      <c r="H1251" s="8" t="s">
        <v>1815</v>
      </c>
      <c r="I1251">
        <v>59.9</v>
      </c>
      <c r="K1251">
        <f t="shared" si="57"/>
        <v>41.65</v>
      </c>
      <c r="L1251">
        <f t="shared" si="58"/>
        <v>0.4969</v>
      </c>
      <c r="M1251">
        <f t="shared" si="59"/>
        <v>0</v>
      </c>
    </row>
    <row r="1252" spans="1:13">
      <c r="A1252">
        <v>41.742</v>
      </c>
      <c r="B1252">
        <v>60.2</v>
      </c>
      <c r="C1252">
        <v>40.405</v>
      </c>
      <c r="D1252">
        <v>69.9</v>
      </c>
      <c r="G1252">
        <v>41.708</v>
      </c>
      <c r="H1252" s="8" t="s">
        <v>1816</v>
      </c>
      <c r="I1252">
        <v>60</v>
      </c>
      <c r="K1252">
        <f t="shared" si="57"/>
        <v>41.7</v>
      </c>
      <c r="L1252">
        <f t="shared" si="58"/>
        <v>0.4962</v>
      </c>
      <c r="M1252">
        <f t="shared" si="59"/>
        <v>0</v>
      </c>
    </row>
    <row r="1253" spans="1:13">
      <c r="A1253">
        <v>41.775</v>
      </c>
      <c r="B1253">
        <v>60.1</v>
      </c>
      <c r="C1253">
        <v>40.438</v>
      </c>
      <c r="D1253">
        <v>68.5</v>
      </c>
      <c r="G1253">
        <v>41.742</v>
      </c>
      <c r="H1253" s="8" t="s">
        <v>1817</v>
      </c>
      <c r="I1253">
        <v>60.2</v>
      </c>
      <c r="K1253">
        <f t="shared" si="57"/>
        <v>41.7</v>
      </c>
      <c r="L1253">
        <f t="shared" si="58"/>
        <v>0.4885</v>
      </c>
      <c r="M1253">
        <f t="shared" si="59"/>
        <v>0</v>
      </c>
    </row>
    <row r="1254" spans="1:13">
      <c r="A1254">
        <v>41.809</v>
      </c>
      <c r="B1254">
        <v>59.8</v>
      </c>
      <c r="C1254">
        <v>40.472</v>
      </c>
      <c r="D1254">
        <v>68.6</v>
      </c>
      <c r="G1254">
        <v>41.775</v>
      </c>
      <c r="H1254" s="8" t="s">
        <v>1818</v>
      </c>
      <c r="I1254">
        <v>60.1</v>
      </c>
      <c r="K1254">
        <f t="shared" si="57"/>
        <v>41.75</v>
      </c>
      <c r="L1254">
        <f t="shared" si="58"/>
        <v>0.4976</v>
      </c>
      <c r="M1254">
        <f t="shared" si="59"/>
        <v>0</v>
      </c>
    </row>
    <row r="1255" spans="1:13">
      <c r="A1255">
        <v>41.842</v>
      </c>
      <c r="B1255">
        <v>59.8</v>
      </c>
      <c r="C1255">
        <v>40.505</v>
      </c>
      <c r="D1255">
        <v>68.4</v>
      </c>
      <c r="G1255">
        <v>41.809</v>
      </c>
      <c r="H1255" s="8" t="s">
        <v>1819</v>
      </c>
      <c r="I1255">
        <v>59.8</v>
      </c>
      <c r="K1255">
        <f t="shared" si="57"/>
        <v>41.8</v>
      </c>
      <c r="L1255">
        <f t="shared" si="58"/>
        <v>0.4999</v>
      </c>
      <c r="M1255">
        <f t="shared" si="59"/>
        <v>0</v>
      </c>
    </row>
    <row r="1256" spans="1:13">
      <c r="A1256">
        <v>41.876</v>
      </c>
      <c r="B1256">
        <v>60</v>
      </c>
      <c r="C1256">
        <v>40.539</v>
      </c>
      <c r="D1256">
        <v>67.8</v>
      </c>
      <c r="G1256">
        <v>41.842</v>
      </c>
      <c r="H1256" s="8" t="s">
        <v>1757</v>
      </c>
      <c r="I1256">
        <v>59.8</v>
      </c>
      <c r="K1256">
        <f t="shared" si="57"/>
        <v>41.8</v>
      </c>
      <c r="L1256">
        <f t="shared" si="58"/>
        <v>0.4813</v>
      </c>
      <c r="M1256">
        <f t="shared" si="59"/>
        <v>0</v>
      </c>
    </row>
    <row r="1257" spans="1:13">
      <c r="A1257">
        <v>41.909</v>
      </c>
      <c r="B1257">
        <v>59.9</v>
      </c>
      <c r="C1257">
        <v>40.572</v>
      </c>
      <c r="D1257">
        <v>67.8</v>
      </c>
      <c r="G1257">
        <v>41.876</v>
      </c>
      <c r="H1257" s="8" t="s">
        <v>1761</v>
      </c>
      <c r="I1257">
        <v>60</v>
      </c>
      <c r="K1257">
        <f t="shared" si="57"/>
        <v>41.85</v>
      </c>
      <c r="L1257">
        <f t="shared" si="58"/>
        <v>0.5013</v>
      </c>
      <c r="M1257">
        <f t="shared" si="59"/>
        <v>0</v>
      </c>
    </row>
    <row r="1258" spans="1:13">
      <c r="A1258">
        <v>41.942</v>
      </c>
      <c r="B1258">
        <v>59.8</v>
      </c>
      <c r="C1258">
        <v>40.606</v>
      </c>
      <c r="D1258">
        <v>67.5</v>
      </c>
      <c r="G1258">
        <v>41.909</v>
      </c>
      <c r="H1258" s="8" t="s">
        <v>1629</v>
      </c>
      <c r="I1258">
        <v>59.9</v>
      </c>
      <c r="K1258">
        <f t="shared" si="57"/>
        <v>41.9</v>
      </c>
      <c r="L1258">
        <f t="shared" si="58"/>
        <v>0.488</v>
      </c>
      <c r="M1258">
        <f t="shared" si="59"/>
        <v>0</v>
      </c>
    </row>
    <row r="1259" spans="1:13">
      <c r="A1259">
        <v>41.976</v>
      </c>
      <c r="B1259">
        <v>59.8</v>
      </c>
      <c r="C1259">
        <v>40.639</v>
      </c>
      <c r="D1259">
        <v>66.3</v>
      </c>
      <c r="G1259">
        <v>41.942</v>
      </c>
      <c r="H1259" s="8" t="s">
        <v>1290</v>
      </c>
      <c r="I1259">
        <v>59.8</v>
      </c>
      <c r="K1259">
        <f t="shared" si="57"/>
        <v>41.9</v>
      </c>
      <c r="L1259">
        <f t="shared" si="58"/>
        <v>0.4887</v>
      </c>
      <c r="M1259">
        <f t="shared" si="59"/>
        <v>0</v>
      </c>
    </row>
    <row r="1260" spans="1:13">
      <c r="A1260">
        <v>42.009</v>
      </c>
      <c r="B1260">
        <v>59.9</v>
      </c>
      <c r="C1260">
        <v>40.672</v>
      </c>
      <c r="D1260">
        <v>65.3</v>
      </c>
      <c r="G1260">
        <v>41.976</v>
      </c>
      <c r="H1260" s="8" t="s">
        <v>1583</v>
      </c>
      <c r="I1260">
        <v>59.8</v>
      </c>
      <c r="K1260">
        <f t="shared" si="57"/>
        <v>41.95</v>
      </c>
      <c r="L1260">
        <f t="shared" si="58"/>
        <v>0.4866</v>
      </c>
      <c r="M1260">
        <f t="shared" si="59"/>
        <v>0</v>
      </c>
    </row>
    <row r="1261" spans="1:13">
      <c r="A1261">
        <v>42.043</v>
      </c>
      <c r="B1261">
        <v>59.9</v>
      </c>
      <c r="C1261">
        <v>40.706</v>
      </c>
      <c r="D1261">
        <v>64.2</v>
      </c>
      <c r="G1261">
        <v>42.009</v>
      </c>
      <c r="H1261" s="8" t="s">
        <v>1679</v>
      </c>
      <c r="I1261">
        <v>59.9</v>
      </c>
      <c r="K1261">
        <f t="shared" si="57"/>
        <v>42</v>
      </c>
      <c r="L1261">
        <f t="shared" si="58"/>
        <v>0.4878</v>
      </c>
      <c r="M1261">
        <f t="shared" si="59"/>
        <v>0</v>
      </c>
    </row>
    <row r="1262" spans="1:13">
      <c r="A1262">
        <v>42.076</v>
      </c>
      <c r="B1262">
        <v>59.8</v>
      </c>
      <c r="C1262">
        <v>40.739</v>
      </c>
      <c r="D1262">
        <v>63.3</v>
      </c>
      <c r="G1262">
        <v>42.043</v>
      </c>
      <c r="H1262" s="8" t="s">
        <v>1820</v>
      </c>
      <c r="I1262">
        <v>59.9</v>
      </c>
      <c r="K1262">
        <f t="shared" si="57"/>
        <v>42</v>
      </c>
      <c r="L1262">
        <f t="shared" si="58"/>
        <v>0.4873</v>
      </c>
      <c r="M1262">
        <f t="shared" si="59"/>
        <v>0</v>
      </c>
    </row>
    <row r="1263" spans="1:13">
      <c r="A1263">
        <v>42.109</v>
      </c>
      <c r="B1263">
        <v>59.3</v>
      </c>
      <c r="C1263">
        <v>40.773</v>
      </c>
      <c r="D1263">
        <v>62.4</v>
      </c>
      <c r="G1263">
        <v>42.076</v>
      </c>
      <c r="H1263" s="8" t="s">
        <v>1821</v>
      </c>
      <c r="I1263">
        <v>59.8</v>
      </c>
      <c r="K1263">
        <f t="shared" si="57"/>
        <v>42.05</v>
      </c>
      <c r="L1263">
        <f t="shared" si="58"/>
        <v>0.475</v>
      </c>
      <c r="M1263">
        <f t="shared" si="59"/>
        <v>0</v>
      </c>
    </row>
    <row r="1264" spans="1:13">
      <c r="A1264">
        <v>42.143</v>
      </c>
      <c r="B1264">
        <v>58.8</v>
      </c>
      <c r="C1264">
        <v>40.806</v>
      </c>
      <c r="D1264">
        <v>61.5</v>
      </c>
      <c r="G1264">
        <v>42.109</v>
      </c>
      <c r="H1264" s="8" t="s">
        <v>1822</v>
      </c>
      <c r="I1264">
        <v>59.3</v>
      </c>
      <c r="K1264">
        <f t="shared" si="57"/>
        <v>42.1</v>
      </c>
      <c r="L1264">
        <f t="shared" si="58"/>
        <v>0.466</v>
      </c>
      <c r="M1264">
        <f t="shared" si="59"/>
        <v>0</v>
      </c>
    </row>
    <row r="1265" spans="1:13">
      <c r="A1265">
        <v>42.176</v>
      </c>
      <c r="B1265">
        <v>58.7</v>
      </c>
      <c r="C1265">
        <v>40.84</v>
      </c>
      <c r="D1265">
        <v>61.3</v>
      </c>
      <c r="G1265">
        <v>42.143</v>
      </c>
      <c r="H1265" s="8" t="s">
        <v>1374</v>
      </c>
      <c r="I1265">
        <v>58.8</v>
      </c>
      <c r="K1265">
        <f t="shared" si="57"/>
        <v>42.1</v>
      </c>
      <c r="L1265">
        <f t="shared" si="58"/>
        <v>0.4832</v>
      </c>
      <c r="M1265">
        <f t="shared" si="59"/>
        <v>0</v>
      </c>
    </row>
    <row r="1266" spans="1:13">
      <c r="A1266">
        <v>42.21</v>
      </c>
      <c r="B1266">
        <v>58.2</v>
      </c>
      <c r="C1266">
        <v>40.873</v>
      </c>
      <c r="D1266">
        <v>60.8</v>
      </c>
      <c r="G1266">
        <v>42.176</v>
      </c>
      <c r="H1266" s="8" t="s">
        <v>1823</v>
      </c>
      <c r="I1266">
        <v>58.7</v>
      </c>
      <c r="K1266">
        <f t="shared" si="57"/>
        <v>42.15</v>
      </c>
      <c r="L1266">
        <f t="shared" si="58"/>
        <v>0.4723</v>
      </c>
      <c r="M1266">
        <f t="shared" si="59"/>
        <v>0</v>
      </c>
    </row>
    <row r="1267" spans="1:13">
      <c r="A1267">
        <v>42.243</v>
      </c>
      <c r="B1267">
        <v>57.4</v>
      </c>
      <c r="C1267">
        <v>40.906</v>
      </c>
      <c r="D1267">
        <v>60.7</v>
      </c>
      <c r="G1267">
        <v>42.21</v>
      </c>
      <c r="H1267" s="8" t="s">
        <v>1758</v>
      </c>
      <c r="I1267">
        <v>58.2</v>
      </c>
      <c r="K1267">
        <f t="shared" si="57"/>
        <v>42.2</v>
      </c>
      <c r="L1267">
        <f t="shared" si="58"/>
        <v>0.4774</v>
      </c>
      <c r="M1267">
        <f t="shared" si="59"/>
        <v>0</v>
      </c>
    </row>
    <row r="1268" spans="1:13">
      <c r="A1268">
        <v>42.277</v>
      </c>
      <c r="B1268">
        <v>57.3</v>
      </c>
      <c r="C1268">
        <v>40.94</v>
      </c>
      <c r="D1268">
        <v>60.6</v>
      </c>
      <c r="G1268">
        <v>42.243</v>
      </c>
      <c r="H1268" s="8" t="s">
        <v>1824</v>
      </c>
      <c r="I1268">
        <v>57.4</v>
      </c>
      <c r="K1268">
        <f t="shared" si="57"/>
        <v>42.2</v>
      </c>
      <c r="L1268">
        <f t="shared" si="58"/>
        <v>0.4798</v>
      </c>
      <c r="M1268">
        <f t="shared" si="59"/>
        <v>0</v>
      </c>
    </row>
    <row r="1269" spans="1:13">
      <c r="A1269">
        <v>42.31</v>
      </c>
      <c r="B1269">
        <v>56.9</v>
      </c>
      <c r="C1269">
        <v>40.973</v>
      </c>
      <c r="D1269">
        <v>60.4</v>
      </c>
      <c r="G1269">
        <v>42.277</v>
      </c>
      <c r="H1269" s="8" t="s">
        <v>1757</v>
      </c>
      <c r="I1269">
        <v>57.3</v>
      </c>
      <c r="K1269">
        <f t="shared" si="57"/>
        <v>42.25</v>
      </c>
      <c r="L1269">
        <f t="shared" si="58"/>
        <v>0.4813</v>
      </c>
      <c r="M1269">
        <f t="shared" si="59"/>
        <v>0</v>
      </c>
    </row>
    <row r="1270" spans="1:13">
      <c r="A1270">
        <v>42.343</v>
      </c>
      <c r="B1270">
        <v>56</v>
      </c>
      <c r="C1270">
        <v>41.007</v>
      </c>
      <c r="D1270">
        <v>60.4</v>
      </c>
      <c r="G1270">
        <v>42.31</v>
      </c>
      <c r="H1270" s="8" t="s">
        <v>1806</v>
      </c>
      <c r="I1270">
        <v>56.9</v>
      </c>
      <c r="K1270">
        <f t="shared" si="57"/>
        <v>42.3</v>
      </c>
      <c r="L1270">
        <f t="shared" si="58"/>
        <v>0.486</v>
      </c>
      <c r="M1270">
        <f t="shared" si="59"/>
        <v>0</v>
      </c>
    </row>
    <row r="1271" spans="1:13">
      <c r="A1271">
        <v>42.377</v>
      </c>
      <c r="B1271">
        <v>54.8</v>
      </c>
      <c r="C1271">
        <v>41.04</v>
      </c>
      <c r="D1271">
        <v>60.4</v>
      </c>
      <c r="G1271">
        <v>42.343</v>
      </c>
      <c r="H1271" s="8" t="s">
        <v>1519</v>
      </c>
      <c r="I1271">
        <v>56</v>
      </c>
      <c r="K1271">
        <f t="shared" si="57"/>
        <v>42.3</v>
      </c>
      <c r="L1271">
        <f t="shared" si="58"/>
        <v>0.4826</v>
      </c>
      <c r="M1271">
        <f t="shared" si="59"/>
        <v>0</v>
      </c>
    </row>
    <row r="1272" spans="1:13">
      <c r="A1272">
        <v>42.41</v>
      </c>
      <c r="B1272">
        <v>53.9</v>
      </c>
      <c r="C1272">
        <v>41.073</v>
      </c>
      <c r="D1272">
        <v>60.5</v>
      </c>
      <c r="G1272">
        <v>42.377</v>
      </c>
      <c r="H1272" s="8" t="s">
        <v>1358</v>
      </c>
      <c r="I1272">
        <v>54.8</v>
      </c>
      <c r="K1272">
        <f t="shared" si="57"/>
        <v>42.35</v>
      </c>
      <c r="L1272">
        <f t="shared" si="58"/>
        <v>0.4804</v>
      </c>
      <c r="M1272">
        <f t="shared" si="59"/>
        <v>0</v>
      </c>
    </row>
    <row r="1273" spans="1:13">
      <c r="A1273">
        <v>42.444</v>
      </c>
      <c r="B1273">
        <v>52.8</v>
      </c>
      <c r="C1273">
        <v>41.107</v>
      </c>
      <c r="D1273">
        <v>60.5</v>
      </c>
      <c r="G1273">
        <v>42.41</v>
      </c>
      <c r="H1273" s="8" t="s">
        <v>1580</v>
      </c>
      <c r="I1273">
        <v>53.9</v>
      </c>
      <c r="K1273">
        <f t="shared" si="57"/>
        <v>42.4</v>
      </c>
      <c r="L1273">
        <f t="shared" si="58"/>
        <v>0.4834</v>
      </c>
      <c r="M1273">
        <f t="shared" si="59"/>
        <v>0</v>
      </c>
    </row>
    <row r="1274" spans="1:13">
      <c r="A1274">
        <v>42.477</v>
      </c>
      <c r="B1274">
        <v>51.5</v>
      </c>
      <c r="C1274">
        <v>41.14</v>
      </c>
      <c r="D1274">
        <v>60.5</v>
      </c>
      <c r="G1274">
        <v>42.444</v>
      </c>
      <c r="H1274" s="8" t="s">
        <v>1536</v>
      </c>
      <c r="I1274">
        <v>52.8</v>
      </c>
      <c r="K1274">
        <f t="shared" si="57"/>
        <v>42.4</v>
      </c>
      <c r="L1274">
        <f t="shared" si="58"/>
        <v>0.4838</v>
      </c>
      <c r="M1274">
        <f t="shared" si="59"/>
        <v>0</v>
      </c>
    </row>
    <row r="1275" spans="1:13">
      <c r="A1275">
        <v>42.511</v>
      </c>
      <c r="B1275">
        <v>50.4</v>
      </c>
      <c r="C1275">
        <v>41.174</v>
      </c>
      <c r="D1275">
        <v>60.4</v>
      </c>
      <c r="G1275">
        <v>42.477</v>
      </c>
      <c r="H1275" s="8" t="s">
        <v>1582</v>
      </c>
      <c r="I1275">
        <v>51.5</v>
      </c>
      <c r="K1275">
        <f t="shared" si="57"/>
        <v>42.45</v>
      </c>
      <c r="L1275">
        <f t="shared" si="58"/>
        <v>0.4821</v>
      </c>
      <c r="M1275">
        <f t="shared" si="59"/>
        <v>0</v>
      </c>
    </row>
    <row r="1276" spans="1:13">
      <c r="A1276">
        <v>42.544</v>
      </c>
      <c r="B1276">
        <v>49.2</v>
      </c>
      <c r="C1276">
        <v>41.207</v>
      </c>
      <c r="D1276">
        <v>60.4</v>
      </c>
      <c r="G1276">
        <v>42.511</v>
      </c>
      <c r="H1276" s="8" t="s">
        <v>1752</v>
      </c>
      <c r="I1276">
        <v>50.4</v>
      </c>
      <c r="K1276">
        <f t="shared" si="57"/>
        <v>42.5</v>
      </c>
      <c r="L1276">
        <f t="shared" si="58"/>
        <v>0.4822</v>
      </c>
      <c r="M1276">
        <f t="shared" si="59"/>
        <v>0</v>
      </c>
    </row>
    <row r="1277" spans="1:13">
      <c r="A1277">
        <v>42.577</v>
      </c>
      <c r="B1277">
        <v>48.1</v>
      </c>
      <c r="C1277">
        <v>41.241</v>
      </c>
      <c r="D1277">
        <v>60.3</v>
      </c>
      <c r="G1277">
        <v>42.544</v>
      </c>
      <c r="H1277" s="8" t="s">
        <v>1789</v>
      </c>
      <c r="I1277">
        <v>49.2</v>
      </c>
      <c r="K1277">
        <f t="shared" si="57"/>
        <v>42.5</v>
      </c>
      <c r="L1277">
        <f t="shared" si="58"/>
        <v>0.4859</v>
      </c>
      <c r="M1277">
        <f t="shared" si="59"/>
        <v>0</v>
      </c>
    </row>
    <row r="1278" spans="1:13">
      <c r="A1278">
        <v>42.611</v>
      </c>
      <c r="B1278">
        <v>47.2</v>
      </c>
      <c r="C1278">
        <v>41.274</v>
      </c>
      <c r="D1278">
        <v>60.4</v>
      </c>
      <c r="G1278">
        <v>42.577</v>
      </c>
      <c r="H1278" s="8" t="s">
        <v>1391</v>
      </c>
      <c r="I1278">
        <v>48.1</v>
      </c>
      <c r="K1278">
        <f t="shared" si="57"/>
        <v>42.55</v>
      </c>
      <c r="L1278">
        <f t="shared" si="58"/>
        <v>0.4883</v>
      </c>
      <c r="M1278">
        <f t="shared" si="59"/>
        <v>0</v>
      </c>
    </row>
    <row r="1279" spans="1:13">
      <c r="A1279">
        <v>42.644</v>
      </c>
      <c r="B1279">
        <v>45.8</v>
      </c>
      <c r="C1279">
        <v>41.307</v>
      </c>
      <c r="D1279">
        <v>60.4</v>
      </c>
      <c r="G1279">
        <v>42.611</v>
      </c>
      <c r="H1279" s="8" t="s">
        <v>33</v>
      </c>
      <c r="I1279">
        <v>47.2</v>
      </c>
      <c r="K1279">
        <f t="shared" si="57"/>
        <v>42.6</v>
      </c>
      <c r="L1279">
        <f t="shared" si="58"/>
        <v>0.5037</v>
      </c>
      <c r="M1279">
        <f t="shared" si="59"/>
        <v>0</v>
      </c>
    </row>
    <row r="1280" spans="1:13">
      <c r="A1280">
        <v>42.678</v>
      </c>
      <c r="B1280">
        <v>44.7</v>
      </c>
      <c r="C1280">
        <v>41.341</v>
      </c>
      <c r="D1280">
        <v>60.2</v>
      </c>
      <c r="G1280">
        <v>42.644</v>
      </c>
      <c r="H1280" s="8" t="s">
        <v>1734</v>
      </c>
      <c r="I1280">
        <v>45.8</v>
      </c>
      <c r="K1280">
        <f t="shared" si="57"/>
        <v>42.6</v>
      </c>
      <c r="L1280">
        <f t="shared" si="58"/>
        <v>0.4915</v>
      </c>
      <c r="M1280">
        <f t="shared" si="59"/>
        <v>0</v>
      </c>
    </row>
    <row r="1281" spans="1:13">
      <c r="A1281">
        <v>42.711</v>
      </c>
      <c r="B1281">
        <v>44.3</v>
      </c>
      <c r="C1281">
        <v>41.374</v>
      </c>
      <c r="D1281">
        <v>60.4</v>
      </c>
      <c r="G1281">
        <v>42.678</v>
      </c>
      <c r="H1281" s="8" t="s">
        <v>1392</v>
      </c>
      <c r="I1281">
        <v>44.7</v>
      </c>
      <c r="K1281">
        <f t="shared" si="57"/>
        <v>42.65</v>
      </c>
      <c r="L1281">
        <f t="shared" si="58"/>
        <v>0.4922</v>
      </c>
      <c r="M1281">
        <f t="shared" si="59"/>
        <v>0</v>
      </c>
    </row>
    <row r="1282" spans="1:13">
      <c r="A1282">
        <v>42.744</v>
      </c>
      <c r="B1282">
        <v>43</v>
      </c>
      <c r="C1282">
        <v>41.408</v>
      </c>
      <c r="D1282">
        <v>60.1</v>
      </c>
      <c r="G1282">
        <v>42.711</v>
      </c>
      <c r="H1282" s="8" t="s">
        <v>1501</v>
      </c>
      <c r="I1282">
        <v>44.3</v>
      </c>
      <c r="K1282">
        <f t="shared" si="57"/>
        <v>42.7</v>
      </c>
      <c r="L1282">
        <f t="shared" si="58"/>
        <v>0.4827</v>
      </c>
      <c r="M1282">
        <f t="shared" si="59"/>
        <v>0</v>
      </c>
    </row>
    <row r="1283" spans="1:13">
      <c r="A1283">
        <v>42.778</v>
      </c>
      <c r="B1283">
        <v>42.5</v>
      </c>
      <c r="C1283">
        <v>41.441</v>
      </c>
      <c r="D1283">
        <v>59.9</v>
      </c>
      <c r="G1283">
        <v>42.744</v>
      </c>
      <c r="H1283" s="8" t="s">
        <v>1825</v>
      </c>
      <c r="I1283">
        <v>43</v>
      </c>
      <c r="K1283">
        <f t="shared" si="57"/>
        <v>42.7</v>
      </c>
      <c r="L1283">
        <f t="shared" si="58"/>
        <v>0.4939</v>
      </c>
      <c r="M1283">
        <f t="shared" si="59"/>
        <v>0</v>
      </c>
    </row>
    <row r="1284" spans="1:13">
      <c r="A1284">
        <v>42.811</v>
      </c>
      <c r="B1284">
        <v>41.2</v>
      </c>
      <c r="C1284">
        <v>41.475</v>
      </c>
      <c r="D1284">
        <v>60</v>
      </c>
      <c r="G1284">
        <v>42.778</v>
      </c>
      <c r="H1284" s="8" t="s">
        <v>1826</v>
      </c>
      <c r="I1284">
        <v>42.5</v>
      </c>
      <c r="K1284">
        <f t="shared" ref="K1284:K1347" si="60">FLOOR(G1284,0.05)</f>
        <v>42.75</v>
      </c>
      <c r="L1284">
        <f t="shared" si="58"/>
        <v>0.4943</v>
      </c>
      <c r="M1284">
        <f t="shared" si="59"/>
        <v>0</v>
      </c>
    </row>
    <row r="1285" spans="1:13">
      <c r="A1285">
        <v>42.845</v>
      </c>
      <c r="B1285">
        <v>40.1</v>
      </c>
      <c r="C1285">
        <v>41.508</v>
      </c>
      <c r="D1285">
        <v>59.9</v>
      </c>
      <c r="G1285">
        <v>42.811</v>
      </c>
      <c r="H1285" s="8" t="s">
        <v>1827</v>
      </c>
      <c r="I1285">
        <v>41.2</v>
      </c>
      <c r="K1285">
        <f t="shared" si="60"/>
        <v>42.8</v>
      </c>
      <c r="L1285">
        <f t="shared" ref="L1285:L1312" si="61">H1285*100</f>
        <v>0.4983</v>
      </c>
      <c r="M1285">
        <f t="shared" ref="M1285:M1312" si="62">IF(I1285&lt;230,0,5)</f>
        <v>0</v>
      </c>
    </row>
    <row r="1286" spans="1:13">
      <c r="A1286">
        <v>42.878</v>
      </c>
      <c r="B1286">
        <v>39.1</v>
      </c>
      <c r="C1286">
        <v>41.541</v>
      </c>
      <c r="D1286">
        <v>60</v>
      </c>
      <c r="G1286">
        <v>42.845</v>
      </c>
      <c r="H1286" s="8" t="s">
        <v>1815</v>
      </c>
      <c r="I1286">
        <v>40.1</v>
      </c>
      <c r="K1286">
        <f t="shared" si="60"/>
        <v>42.8</v>
      </c>
      <c r="L1286">
        <f t="shared" si="61"/>
        <v>0.4969</v>
      </c>
      <c r="M1286">
        <f t="shared" si="62"/>
        <v>0</v>
      </c>
    </row>
    <row r="1287" spans="1:13">
      <c r="A1287">
        <v>42.912</v>
      </c>
      <c r="B1287">
        <v>38.3</v>
      </c>
      <c r="C1287">
        <v>41.575</v>
      </c>
      <c r="D1287">
        <v>60</v>
      </c>
      <c r="G1287">
        <v>42.878</v>
      </c>
      <c r="H1287" s="8" t="s">
        <v>1359</v>
      </c>
      <c r="I1287">
        <v>39.1</v>
      </c>
      <c r="K1287">
        <f t="shared" si="60"/>
        <v>42.85</v>
      </c>
      <c r="L1287">
        <f t="shared" si="61"/>
        <v>0.4989</v>
      </c>
      <c r="M1287">
        <f t="shared" si="62"/>
        <v>0</v>
      </c>
    </row>
    <row r="1288" spans="1:13">
      <c r="A1288">
        <v>42.945</v>
      </c>
      <c r="B1288">
        <v>37.9</v>
      </c>
      <c r="C1288">
        <v>41.608</v>
      </c>
      <c r="D1288">
        <v>60.2</v>
      </c>
      <c r="G1288">
        <v>42.912</v>
      </c>
      <c r="H1288" s="8" t="s">
        <v>1828</v>
      </c>
      <c r="I1288">
        <v>38.3</v>
      </c>
      <c r="K1288">
        <f t="shared" si="60"/>
        <v>42.9</v>
      </c>
      <c r="L1288">
        <f t="shared" si="61"/>
        <v>0.5005</v>
      </c>
      <c r="M1288">
        <f t="shared" si="62"/>
        <v>0</v>
      </c>
    </row>
    <row r="1289" spans="1:13">
      <c r="A1289">
        <v>42.978</v>
      </c>
      <c r="B1289">
        <v>36.7</v>
      </c>
      <c r="C1289">
        <v>41.642</v>
      </c>
      <c r="D1289">
        <v>59.9</v>
      </c>
      <c r="G1289">
        <v>42.945</v>
      </c>
      <c r="H1289" s="8" t="s">
        <v>1726</v>
      </c>
      <c r="I1289">
        <v>37.9</v>
      </c>
      <c r="K1289">
        <f t="shared" si="60"/>
        <v>42.9</v>
      </c>
      <c r="L1289">
        <f t="shared" si="61"/>
        <v>0.4948</v>
      </c>
      <c r="M1289">
        <f t="shared" si="62"/>
        <v>0</v>
      </c>
    </row>
    <row r="1290" spans="1:13">
      <c r="A1290">
        <v>43.012</v>
      </c>
      <c r="B1290">
        <v>36</v>
      </c>
      <c r="C1290">
        <v>41.675</v>
      </c>
      <c r="D1290">
        <v>59.9</v>
      </c>
      <c r="G1290">
        <v>42.978</v>
      </c>
      <c r="H1290" s="8" t="s">
        <v>1802</v>
      </c>
      <c r="I1290">
        <v>36.7</v>
      </c>
      <c r="K1290">
        <f t="shared" si="60"/>
        <v>42.95</v>
      </c>
      <c r="L1290">
        <f t="shared" si="61"/>
        <v>0.4918</v>
      </c>
      <c r="M1290">
        <f t="shared" si="62"/>
        <v>0</v>
      </c>
    </row>
    <row r="1291" spans="1:13">
      <c r="A1291">
        <v>43.045</v>
      </c>
      <c r="B1291">
        <v>35</v>
      </c>
      <c r="C1291">
        <v>41.708</v>
      </c>
      <c r="D1291">
        <v>60</v>
      </c>
      <c r="G1291">
        <v>43.012</v>
      </c>
      <c r="H1291" s="8" t="s">
        <v>1829</v>
      </c>
      <c r="I1291">
        <v>36</v>
      </c>
      <c r="K1291">
        <f t="shared" si="60"/>
        <v>43</v>
      </c>
      <c r="L1291">
        <f t="shared" si="61"/>
        <v>0.5036</v>
      </c>
      <c r="M1291">
        <f t="shared" si="62"/>
        <v>0</v>
      </c>
    </row>
    <row r="1292" spans="1:13">
      <c r="A1292">
        <v>43.079</v>
      </c>
      <c r="B1292">
        <v>33.9</v>
      </c>
      <c r="C1292">
        <v>41.742</v>
      </c>
      <c r="D1292">
        <v>60.2</v>
      </c>
      <c r="G1292">
        <v>43.045</v>
      </c>
      <c r="H1292" s="8" t="s">
        <v>1447</v>
      </c>
      <c r="I1292">
        <v>35</v>
      </c>
      <c r="K1292">
        <f t="shared" si="60"/>
        <v>43</v>
      </c>
      <c r="L1292">
        <f t="shared" si="61"/>
        <v>0.4907</v>
      </c>
      <c r="M1292">
        <f t="shared" si="62"/>
        <v>0</v>
      </c>
    </row>
    <row r="1293" spans="1:13">
      <c r="A1293">
        <v>43.112</v>
      </c>
      <c r="B1293">
        <v>33.4</v>
      </c>
      <c r="C1293">
        <v>41.775</v>
      </c>
      <c r="D1293">
        <v>60.1</v>
      </c>
      <c r="G1293">
        <v>43.079</v>
      </c>
      <c r="H1293" s="8" t="s">
        <v>1811</v>
      </c>
      <c r="I1293">
        <v>33.9</v>
      </c>
      <c r="K1293">
        <f t="shared" si="60"/>
        <v>43.05</v>
      </c>
      <c r="L1293">
        <f t="shared" si="61"/>
        <v>0.494</v>
      </c>
      <c r="M1293">
        <f t="shared" si="62"/>
        <v>0</v>
      </c>
    </row>
    <row r="1294" spans="1:13">
      <c r="A1294">
        <v>43.146</v>
      </c>
      <c r="B1294">
        <v>32.3</v>
      </c>
      <c r="C1294">
        <v>41.809</v>
      </c>
      <c r="D1294">
        <v>59.8</v>
      </c>
      <c r="G1294">
        <v>43.112</v>
      </c>
      <c r="H1294" s="8" t="s">
        <v>1824</v>
      </c>
      <c r="I1294">
        <v>33.4</v>
      </c>
      <c r="K1294">
        <f t="shared" si="60"/>
        <v>43.1</v>
      </c>
      <c r="L1294">
        <f t="shared" si="61"/>
        <v>0.4798</v>
      </c>
      <c r="M1294">
        <f t="shared" si="62"/>
        <v>0</v>
      </c>
    </row>
    <row r="1295" spans="1:13">
      <c r="A1295">
        <v>43.179</v>
      </c>
      <c r="B1295">
        <v>31.6</v>
      </c>
      <c r="C1295">
        <v>41.842</v>
      </c>
      <c r="D1295">
        <v>59.8</v>
      </c>
      <c r="G1295">
        <v>43.146</v>
      </c>
      <c r="H1295" s="8" t="s">
        <v>1830</v>
      </c>
      <c r="I1295">
        <v>32.3</v>
      </c>
      <c r="K1295">
        <f t="shared" si="60"/>
        <v>43.1</v>
      </c>
      <c r="L1295">
        <f t="shared" si="61"/>
        <v>0.4777</v>
      </c>
      <c r="M1295">
        <f t="shared" si="62"/>
        <v>0</v>
      </c>
    </row>
    <row r="1296" spans="1:13">
      <c r="A1296">
        <v>43.212</v>
      </c>
      <c r="B1296">
        <v>31</v>
      </c>
      <c r="C1296">
        <v>41.876</v>
      </c>
      <c r="D1296">
        <v>60</v>
      </c>
      <c r="G1296">
        <v>43.179</v>
      </c>
      <c r="H1296" s="8" t="s">
        <v>1697</v>
      </c>
      <c r="I1296">
        <v>31.6</v>
      </c>
      <c r="K1296">
        <f t="shared" si="60"/>
        <v>43.15</v>
      </c>
      <c r="L1296">
        <f t="shared" si="61"/>
        <v>0.4896</v>
      </c>
      <c r="M1296">
        <f t="shared" si="62"/>
        <v>0</v>
      </c>
    </row>
    <row r="1297" spans="1:13">
      <c r="A1297">
        <v>43.246</v>
      </c>
      <c r="B1297">
        <v>30.1</v>
      </c>
      <c r="C1297">
        <v>41.909</v>
      </c>
      <c r="D1297">
        <v>59.9</v>
      </c>
      <c r="G1297">
        <v>43.212</v>
      </c>
      <c r="H1297" s="8" t="s">
        <v>1429</v>
      </c>
      <c r="I1297">
        <v>31</v>
      </c>
      <c r="K1297">
        <f t="shared" si="60"/>
        <v>43.2</v>
      </c>
      <c r="L1297">
        <f t="shared" si="61"/>
        <v>0.4886</v>
      </c>
      <c r="M1297">
        <f t="shared" si="62"/>
        <v>0</v>
      </c>
    </row>
    <row r="1298" spans="1:13">
      <c r="A1298">
        <v>43.279</v>
      </c>
      <c r="B1298">
        <v>29.6</v>
      </c>
      <c r="C1298">
        <v>41.942</v>
      </c>
      <c r="D1298">
        <v>59.8</v>
      </c>
      <c r="G1298">
        <v>43.246</v>
      </c>
      <c r="H1298" s="8" t="s">
        <v>1831</v>
      </c>
      <c r="I1298">
        <v>30.1</v>
      </c>
      <c r="K1298">
        <f t="shared" si="60"/>
        <v>43.2</v>
      </c>
      <c r="L1298">
        <f t="shared" si="61"/>
        <v>0.4894</v>
      </c>
      <c r="M1298">
        <f t="shared" si="62"/>
        <v>0</v>
      </c>
    </row>
    <row r="1299" spans="1:13">
      <c r="A1299">
        <v>43.313</v>
      </c>
      <c r="B1299">
        <v>28.8</v>
      </c>
      <c r="C1299">
        <v>41.976</v>
      </c>
      <c r="D1299">
        <v>59.8</v>
      </c>
      <c r="G1299">
        <v>43.279</v>
      </c>
      <c r="H1299" s="8" t="s">
        <v>1832</v>
      </c>
      <c r="I1299">
        <v>29.6</v>
      </c>
      <c r="K1299">
        <f t="shared" si="60"/>
        <v>43.25</v>
      </c>
      <c r="L1299">
        <f t="shared" si="61"/>
        <v>0.4893</v>
      </c>
      <c r="M1299">
        <f t="shared" si="62"/>
        <v>0</v>
      </c>
    </row>
    <row r="1300" spans="1:13">
      <c r="A1300">
        <v>43.346</v>
      </c>
      <c r="B1300">
        <v>28.9</v>
      </c>
      <c r="C1300">
        <v>42.009</v>
      </c>
      <c r="D1300">
        <v>59.9</v>
      </c>
      <c r="G1300">
        <v>43.313</v>
      </c>
      <c r="H1300" s="8" t="s">
        <v>1680</v>
      </c>
      <c r="I1300">
        <v>28.8</v>
      </c>
      <c r="K1300">
        <f t="shared" si="60"/>
        <v>43.3</v>
      </c>
      <c r="L1300">
        <f t="shared" si="61"/>
        <v>0.4876</v>
      </c>
      <c r="M1300">
        <f t="shared" si="62"/>
        <v>0</v>
      </c>
    </row>
    <row r="1301" spans="1:13">
      <c r="A1301">
        <v>43.379</v>
      </c>
      <c r="B1301">
        <v>28.4</v>
      </c>
      <c r="C1301">
        <v>42.043</v>
      </c>
      <c r="D1301">
        <v>59.9</v>
      </c>
      <c r="G1301">
        <v>43.346</v>
      </c>
      <c r="H1301" s="8" t="s">
        <v>1347</v>
      </c>
      <c r="I1301">
        <v>28.9</v>
      </c>
      <c r="K1301">
        <f t="shared" si="60"/>
        <v>43.3</v>
      </c>
      <c r="L1301">
        <f t="shared" si="61"/>
        <v>0.4875</v>
      </c>
      <c r="M1301">
        <f t="shared" si="62"/>
        <v>0</v>
      </c>
    </row>
    <row r="1302" spans="1:13">
      <c r="A1302">
        <v>43.413</v>
      </c>
      <c r="B1302">
        <v>28.4</v>
      </c>
      <c r="C1302">
        <v>42.076</v>
      </c>
      <c r="D1302">
        <v>59.8</v>
      </c>
      <c r="G1302">
        <v>43.379</v>
      </c>
      <c r="H1302" s="8" t="s">
        <v>1745</v>
      </c>
      <c r="I1302">
        <v>28.4</v>
      </c>
      <c r="K1302">
        <f t="shared" si="60"/>
        <v>43.35</v>
      </c>
      <c r="L1302">
        <f t="shared" si="61"/>
        <v>0.4863</v>
      </c>
      <c r="M1302">
        <f t="shared" si="62"/>
        <v>0</v>
      </c>
    </row>
    <row r="1303" spans="1:13">
      <c r="A1303">
        <v>43.446</v>
      </c>
      <c r="B1303">
        <v>27.8</v>
      </c>
      <c r="C1303">
        <v>42.109</v>
      </c>
      <c r="D1303">
        <v>59.3</v>
      </c>
      <c r="G1303">
        <v>43.413</v>
      </c>
      <c r="H1303" s="8" t="s">
        <v>1793</v>
      </c>
      <c r="I1303">
        <v>28.4</v>
      </c>
      <c r="K1303">
        <f t="shared" si="60"/>
        <v>43.4</v>
      </c>
      <c r="L1303">
        <f t="shared" si="61"/>
        <v>0.4865</v>
      </c>
      <c r="M1303">
        <f t="shared" si="62"/>
        <v>0</v>
      </c>
    </row>
    <row r="1304" spans="1:13">
      <c r="A1304">
        <v>43.48</v>
      </c>
      <c r="B1304">
        <v>27.1</v>
      </c>
      <c r="C1304">
        <v>42.143</v>
      </c>
      <c r="D1304">
        <v>58.8</v>
      </c>
      <c r="G1304">
        <v>43.446</v>
      </c>
      <c r="H1304" s="8" t="s">
        <v>1807</v>
      </c>
      <c r="I1304">
        <v>27.8</v>
      </c>
      <c r="K1304">
        <f t="shared" si="60"/>
        <v>43.4</v>
      </c>
      <c r="L1304">
        <f t="shared" si="61"/>
        <v>0.4862</v>
      </c>
      <c r="M1304">
        <f t="shared" si="62"/>
        <v>0</v>
      </c>
    </row>
    <row r="1305" spans="1:13">
      <c r="A1305">
        <v>43.513</v>
      </c>
      <c r="B1305">
        <v>27.1</v>
      </c>
      <c r="C1305">
        <v>42.176</v>
      </c>
      <c r="D1305">
        <v>58.7</v>
      </c>
      <c r="G1305">
        <v>43.48</v>
      </c>
      <c r="H1305" s="8" t="s">
        <v>1583</v>
      </c>
      <c r="I1305">
        <v>27.1</v>
      </c>
      <c r="K1305">
        <f t="shared" si="60"/>
        <v>43.45</v>
      </c>
      <c r="L1305">
        <f t="shared" si="61"/>
        <v>0.4866</v>
      </c>
      <c r="M1305">
        <f t="shared" si="62"/>
        <v>0</v>
      </c>
    </row>
    <row r="1306" spans="1:13">
      <c r="A1306">
        <v>43.547</v>
      </c>
      <c r="B1306">
        <v>27.2</v>
      </c>
      <c r="C1306">
        <v>42.21</v>
      </c>
      <c r="D1306">
        <v>58.2</v>
      </c>
      <c r="G1306">
        <v>43.513</v>
      </c>
      <c r="H1306" s="8" t="s">
        <v>1486</v>
      </c>
      <c r="I1306">
        <v>27.1</v>
      </c>
      <c r="K1306">
        <f t="shared" si="60"/>
        <v>43.5</v>
      </c>
      <c r="L1306">
        <f t="shared" si="61"/>
        <v>0.4869</v>
      </c>
      <c r="M1306">
        <f t="shared" si="62"/>
        <v>0</v>
      </c>
    </row>
    <row r="1307" spans="1:13">
      <c r="A1307">
        <v>43.58</v>
      </c>
      <c r="B1307">
        <v>26.7</v>
      </c>
      <c r="C1307">
        <v>42.243</v>
      </c>
      <c r="D1307">
        <v>57.4</v>
      </c>
      <c r="G1307">
        <v>43.547</v>
      </c>
      <c r="H1307" s="8" t="s">
        <v>1806</v>
      </c>
      <c r="I1307">
        <v>27.2</v>
      </c>
      <c r="K1307">
        <f t="shared" si="60"/>
        <v>43.5</v>
      </c>
      <c r="L1307">
        <f t="shared" si="61"/>
        <v>0.486</v>
      </c>
      <c r="M1307">
        <f t="shared" si="62"/>
        <v>0</v>
      </c>
    </row>
    <row r="1308" spans="1:13">
      <c r="A1308">
        <v>43.613</v>
      </c>
      <c r="B1308">
        <v>26.1</v>
      </c>
      <c r="C1308">
        <v>42.277</v>
      </c>
      <c r="D1308">
        <v>57.3</v>
      </c>
      <c r="G1308">
        <v>43.58</v>
      </c>
      <c r="H1308" s="8" t="s">
        <v>1583</v>
      </c>
      <c r="I1308">
        <v>26.7</v>
      </c>
      <c r="K1308">
        <f t="shared" si="60"/>
        <v>43.55</v>
      </c>
      <c r="L1308">
        <f t="shared" si="61"/>
        <v>0.4866</v>
      </c>
      <c r="M1308">
        <f t="shared" si="62"/>
        <v>0</v>
      </c>
    </row>
    <row r="1309" spans="1:13">
      <c r="A1309">
        <v>43.647</v>
      </c>
      <c r="B1309">
        <v>26.2</v>
      </c>
      <c r="C1309">
        <v>42.31</v>
      </c>
      <c r="D1309">
        <v>56.9</v>
      </c>
      <c r="G1309">
        <v>43.613</v>
      </c>
      <c r="H1309" s="8" t="s">
        <v>1832</v>
      </c>
      <c r="I1309">
        <v>26.1</v>
      </c>
      <c r="K1309">
        <f t="shared" si="60"/>
        <v>43.6</v>
      </c>
      <c r="L1309">
        <f t="shared" si="61"/>
        <v>0.4893</v>
      </c>
      <c r="M1309">
        <f t="shared" si="62"/>
        <v>0</v>
      </c>
    </row>
    <row r="1310" spans="1:13">
      <c r="A1310">
        <v>43.68</v>
      </c>
      <c r="B1310">
        <v>26.4</v>
      </c>
      <c r="C1310">
        <v>42.343</v>
      </c>
      <c r="D1310">
        <v>56</v>
      </c>
      <c r="G1310">
        <v>43.647</v>
      </c>
      <c r="H1310" s="8" t="s">
        <v>1503</v>
      </c>
      <c r="I1310">
        <v>26.2</v>
      </c>
      <c r="K1310">
        <f t="shared" si="60"/>
        <v>43.6</v>
      </c>
      <c r="L1310">
        <f t="shared" si="61"/>
        <v>0.4895</v>
      </c>
      <c r="M1310">
        <f t="shared" si="62"/>
        <v>0</v>
      </c>
    </row>
    <row r="1311" spans="1:13">
      <c r="A1311">
        <v>43.714</v>
      </c>
      <c r="B1311">
        <v>25.7</v>
      </c>
      <c r="C1311">
        <v>42.377</v>
      </c>
      <c r="D1311">
        <v>54.8</v>
      </c>
      <c r="G1311">
        <v>43.68</v>
      </c>
      <c r="H1311" s="8" t="s">
        <v>1376</v>
      </c>
      <c r="I1311">
        <v>26.4</v>
      </c>
      <c r="K1311">
        <f t="shared" si="60"/>
        <v>43.65</v>
      </c>
      <c r="L1311">
        <f t="shared" si="61"/>
        <v>0.4879</v>
      </c>
      <c r="M1311">
        <f t="shared" si="62"/>
        <v>0</v>
      </c>
    </row>
    <row r="1312" spans="1:13">
      <c r="C1312">
        <v>42.41</v>
      </c>
      <c r="D1312">
        <v>53.9</v>
      </c>
      <c r="G1312">
        <v>43.714</v>
      </c>
      <c r="H1312" s="8" t="s">
        <v>1826</v>
      </c>
      <c r="I1312">
        <v>25.7</v>
      </c>
      <c r="K1312">
        <f t="shared" si="60"/>
        <v>43.7</v>
      </c>
      <c r="L1312">
        <f t="shared" si="61"/>
        <v>0.4943</v>
      </c>
      <c r="M1312">
        <f t="shared" si="62"/>
        <v>0</v>
      </c>
    </row>
    <row r="1313" spans="3:4">
      <c r="C1313">
        <v>42.444</v>
      </c>
      <c r="D1313">
        <v>52.8</v>
      </c>
    </row>
    <row r="1314" spans="3:4">
      <c r="C1314">
        <v>42.477</v>
      </c>
      <c r="D1314">
        <v>51.5</v>
      </c>
    </row>
    <row r="1315" spans="3:4">
      <c r="C1315">
        <v>42.511</v>
      </c>
      <c r="D1315">
        <v>50.4</v>
      </c>
    </row>
    <row r="1316" spans="3:4">
      <c r="C1316">
        <v>42.544</v>
      </c>
      <c r="D1316">
        <v>49.2</v>
      </c>
    </row>
    <row r="1317" spans="3:4">
      <c r="C1317">
        <v>42.577</v>
      </c>
      <c r="D1317">
        <v>48.1</v>
      </c>
    </row>
    <row r="1318" spans="3:4">
      <c r="C1318">
        <v>42.611</v>
      </c>
      <c r="D1318">
        <v>47.2</v>
      </c>
    </row>
    <row r="1319" spans="3:4">
      <c r="C1319">
        <v>42.644</v>
      </c>
      <c r="D1319">
        <v>45.8</v>
      </c>
    </row>
    <row r="1320" spans="3:4">
      <c r="C1320">
        <v>42.678</v>
      </c>
      <c r="D1320">
        <v>44.7</v>
      </c>
    </row>
    <row r="1321" spans="3:4">
      <c r="C1321">
        <v>42.711</v>
      </c>
      <c r="D1321">
        <v>44.3</v>
      </c>
    </row>
    <row r="1322" spans="3:4">
      <c r="C1322">
        <v>42.744</v>
      </c>
      <c r="D1322">
        <v>43</v>
      </c>
    </row>
    <row r="1323" spans="3:4">
      <c r="C1323">
        <v>42.778</v>
      </c>
      <c r="D1323">
        <v>42.5</v>
      </c>
    </row>
    <row r="1324" spans="3:4">
      <c r="C1324">
        <v>42.811</v>
      </c>
      <c r="D1324">
        <v>41.2</v>
      </c>
    </row>
    <row r="1325" spans="3:4">
      <c r="C1325">
        <v>42.845</v>
      </c>
      <c r="D1325">
        <v>40.1</v>
      </c>
    </row>
    <row r="1326" spans="3:4">
      <c r="C1326">
        <v>42.878</v>
      </c>
      <c r="D1326">
        <v>39.1</v>
      </c>
    </row>
    <row r="1327" spans="3:4">
      <c r="C1327">
        <v>42.912</v>
      </c>
      <c r="D1327">
        <v>38.3</v>
      </c>
    </row>
    <row r="1328" spans="3:4">
      <c r="C1328">
        <v>42.945</v>
      </c>
      <c r="D1328">
        <v>37.9</v>
      </c>
    </row>
    <row r="1329" spans="3:4">
      <c r="C1329">
        <v>42.978</v>
      </c>
      <c r="D1329">
        <v>36.7</v>
      </c>
    </row>
    <row r="1330" spans="3:4">
      <c r="C1330">
        <v>43.012</v>
      </c>
      <c r="D1330">
        <v>36</v>
      </c>
    </row>
    <row r="1331" spans="3:4">
      <c r="C1331">
        <v>43.045</v>
      </c>
      <c r="D1331">
        <v>35</v>
      </c>
    </row>
    <row r="1332" spans="3:4">
      <c r="C1332">
        <v>43.079</v>
      </c>
      <c r="D1332">
        <v>33.9</v>
      </c>
    </row>
    <row r="1333" spans="3:4">
      <c r="C1333">
        <v>43.112</v>
      </c>
      <c r="D1333">
        <v>33.4</v>
      </c>
    </row>
    <row r="1334" spans="3:4">
      <c r="C1334">
        <v>43.146</v>
      </c>
      <c r="D1334">
        <v>32.3</v>
      </c>
    </row>
    <row r="1335" spans="3:4">
      <c r="C1335">
        <v>43.179</v>
      </c>
      <c r="D1335">
        <v>31.6</v>
      </c>
    </row>
    <row r="1336" spans="3:4">
      <c r="C1336">
        <v>43.212</v>
      </c>
      <c r="D1336">
        <v>31</v>
      </c>
    </row>
    <row r="1337" spans="3:4">
      <c r="C1337">
        <v>43.246</v>
      </c>
      <c r="D1337">
        <v>30.1</v>
      </c>
    </row>
    <row r="1338" spans="3:4">
      <c r="C1338">
        <v>43.279</v>
      </c>
      <c r="D1338">
        <v>29.6</v>
      </c>
    </row>
    <row r="1339" spans="3:4">
      <c r="C1339">
        <v>43.313</v>
      </c>
      <c r="D1339">
        <v>28.8</v>
      </c>
    </row>
    <row r="1340" spans="3:4">
      <c r="C1340">
        <v>43.346</v>
      </c>
      <c r="D1340">
        <v>28.9</v>
      </c>
    </row>
    <row r="1341" spans="3:4">
      <c r="C1341">
        <v>43.379</v>
      </c>
      <c r="D1341">
        <v>28.4</v>
      </c>
    </row>
    <row r="1342" spans="3:4">
      <c r="C1342">
        <v>43.413</v>
      </c>
      <c r="D1342">
        <v>28.4</v>
      </c>
    </row>
    <row r="1343" spans="3:4">
      <c r="C1343">
        <v>43.446</v>
      </c>
      <c r="D1343">
        <v>27.8</v>
      </c>
    </row>
    <row r="1344" spans="3:4">
      <c r="C1344">
        <v>43.48</v>
      </c>
      <c r="D1344">
        <v>27.1</v>
      </c>
    </row>
    <row r="1345" spans="3:4">
      <c r="C1345">
        <v>43.513</v>
      </c>
      <c r="D1345">
        <v>27.1</v>
      </c>
    </row>
    <row r="1346" spans="3:4">
      <c r="C1346">
        <v>43.547</v>
      </c>
      <c r="D1346">
        <v>27.2</v>
      </c>
    </row>
    <row r="1347" spans="3:4">
      <c r="C1347">
        <v>43.58</v>
      </c>
      <c r="D1347">
        <v>26.7</v>
      </c>
    </row>
    <row r="1348" spans="3:4">
      <c r="C1348">
        <v>43.613</v>
      </c>
      <c r="D1348">
        <v>26.1</v>
      </c>
    </row>
    <row r="1349" spans="3:4">
      <c r="C1349">
        <v>43.647</v>
      </c>
      <c r="D1349">
        <v>26.2</v>
      </c>
    </row>
    <row r="1350" spans="3:4">
      <c r="C1350">
        <v>43.68</v>
      </c>
      <c r="D1350">
        <v>26.4</v>
      </c>
    </row>
    <row r="1351" spans="3:4">
      <c r="C1351">
        <v>43.714</v>
      </c>
      <c r="D1351">
        <v>25.7</v>
      </c>
    </row>
  </sheetData>
  <mergeCells count="2">
    <mergeCell ref="G1:I1"/>
    <mergeCell ref="K1:M1"/>
  </mergeCells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67"/>
  <sheetViews>
    <sheetView zoomScale="145" zoomScaleNormal="145" topLeftCell="L9" workbookViewId="0">
      <selection activeCell="K4" sqref="K4:K1144"/>
    </sheetView>
  </sheetViews>
  <sheetFormatPr defaultColWidth="8.88888888888889" defaultRowHeight="14.4"/>
  <cols>
    <col min="1" max="2" width="7.66666666666667" customWidth="1"/>
    <col min="3" max="3" width="16.6111111111111" customWidth="1"/>
    <col min="4" max="4" width="10.7777777777778" customWidth="1"/>
    <col min="5" max="5" width="13.8148148148148" customWidth="1"/>
    <col min="6" max="6" width="7.66666666666667" customWidth="1"/>
    <col min="7" max="7" width="9.66666666666667" customWidth="1"/>
    <col min="8" max="8" width="9.75" customWidth="1"/>
    <col min="9" max="9" width="3.88888888888889" customWidth="1"/>
    <col min="10" max="10" width="7.66666666666667" customWidth="1"/>
    <col min="11" max="11" width="9.66666666666667" customWidth="1"/>
    <col min="12" max="12" width="8.77777777777778" customWidth="1"/>
  </cols>
  <sheetData>
    <row r="1" spans="1:12">
      <c r="B1" t="s">
        <v>0</v>
      </c>
      <c r="C1" t="s">
        <v>1</v>
      </c>
      <c r="F1" s="1" t="s">
        <v>8</v>
      </c>
      <c r="G1" s="1"/>
      <c r="H1" s="1"/>
      <c r="J1" s="1" t="s">
        <v>729</v>
      </c>
      <c r="K1" s="1"/>
      <c r="L1" s="1"/>
    </row>
    <row r="2" spans="1:12">
      <c r="A2" t="s">
        <v>5</v>
      </c>
      <c r="B2" t="s">
        <v>6</v>
      </c>
      <c r="C2" t="s">
        <v>7</v>
      </c>
      <c r="G2" t="s">
        <v>0</v>
      </c>
      <c r="H2" t="s">
        <v>1</v>
      </c>
      <c r="K2" t="s">
        <v>730</v>
      </c>
      <c r="L2" t="s">
        <v>731</v>
      </c>
    </row>
    <row r="3" spans="1:12">
      <c r="A3">
        <v>0</v>
      </c>
      <c r="B3">
        <v>-193.5</v>
      </c>
      <c r="C3" s="2">
        <v>37.5</v>
      </c>
      <c r="D3" s="2"/>
      <c r="E3" s="2"/>
      <c r="F3" t="s">
        <v>5</v>
      </c>
      <c r="G3" t="s">
        <v>6</v>
      </c>
      <c r="H3" t="s">
        <v>7</v>
      </c>
      <c r="K3" t="s">
        <v>6</v>
      </c>
      <c r="L3" t="s">
        <v>7</v>
      </c>
    </row>
    <row r="4" spans="1:12">
      <c r="A4">
        <v>0.033</v>
      </c>
      <c r="B4">
        <v>-193.6</v>
      </c>
      <c r="C4" s="2">
        <v>37.2</v>
      </c>
      <c r="D4" s="2"/>
      <c r="E4" s="2"/>
      <c r="F4">
        <v>0</v>
      </c>
      <c r="G4">
        <v>-193.5</v>
      </c>
      <c r="H4" s="2">
        <v>37.5</v>
      </c>
      <c r="J4">
        <f t="shared" ref="J4:J67" si="0">FLOOR(F4,0.05)</f>
        <v>0</v>
      </c>
      <c r="K4">
        <f>G4+194</f>
        <v>0.5</v>
      </c>
      <c r="L4">
        <f t="shared" ref="L4:L67" si="1">IF(H4&lt;230,0,5)</f>
        <v>0</v>
      </c>
    </row>
    <row r="5" spans="1:12">
      <c r="A5">
        <v>0.067</v>
      </c>
      <c r="B5">
        <v>-193.6</v>
      </c>
      <c r="C5" s="2">
        <v>37.3</v>
      </c>
      <c r="D5" s="2"/>
      <c r="E5" s="2"/>
      <c r="F5">
        <v>0.033</v>
      </c>
      <c r="G5">
        <v>-193.6</v>
      </c>
      <c r="H5" s="2">
        <v>37.2</v>
      </c>
      <c r="J5">
        <f t="shared" si="0"/>
        <v>0</v>
      </c>
      <c r="K5">
        <f t="shared" ref="K5:K68" si="2">G5+194</f>
        <v>0.400000000000006</v>
      </c>
      <c r="L5">
        <f t="shared" si="1"/>
        <v>0</v>
      </c>
    </row>
    <row r="6" spans="1:12">
      <c r="A6">
        <v>0.1</v>
      </c>
      <c r="B6">
        <v>-193.6</v>
      </c>
      <c r="C6" s="2">
        <v>37.4</v>
      </c>
      <c r="D6" s="2"/>
      <c r="E6" s="2"/>
      <c r="F6">
        <v>0.067</v>
      </c>
      <c r="G6">
        <v>-193.6</v>
      </c>
      <c r="H6" s="2">
        <v>37.3</v>
      </c>
      <c r="J6">
        <f t="shared" si="0"/>
        <v>0.05</v>
      </c>
      <c r="K6">
        <f t="shared" si="2"/>
        <v>0.400000000000006</v>
      </c>
      <c r="L6">
        <f t="shared" si="1"/>
        <v>0</v>
      </c>
    </row>
    <row r="7" spans="1:12">
      <c r="A7">
        <v>0.134</v>
      </c>
      <c r="B7">
        <v>-193.6</v>
      </c>
      <c r="C7" s="2">
        <v>38</v>
      </c>
      <c r="D7" s="2"/>
      <c r="E7" s="2"/>
      <c r="F7">
        <v>0.1</v>
      </c>
      <c r="G7">
        <v>-193.6</v>
      </c>
      <c r="H7" s="2">
        <v>37.4</v>
      </c>
      <c r="J7">
        <f t="shared" si="0"/>
        <v>0.1</v>
      </c>
      <c r="K7">
        <f t="shared" si="2"/>
        <v>0.400000000000006</v>
      </c>
      <c r="L7">
        <f t="shared" si="1"/>
        <v>0</v>
      </c>
    </row>
    <row r="8" spans="1:12">
      <c r="A8">
        <v>0.167</v>
      </c>
      <c r="B8">
        <v>-193.6</v>
      </c>
      <c r="C8" s="2">
        <v>37.6</v>
      </c>
      <c r="D8" s="2"/>
      <c r="E8" s="2"/>
      <c r="F8">
        <v>0.134</v>
      </c>
      <c r="G8">
        <v>-193.6</v>
      </c>
      <c r="H8" s="2">
        <v>38</v>
      </c>
      <c r="J8">
        <f t="shared" si="0"/>
        <v>0.1</v>
      </c>
      <c r="K8">
        <f t="shared" si="2"/>
        <v>0.400000000000006</v>
      </c>
      <c r="L8">
        <f t="shared" si="1"/>
        <v>0</v>
      </c>
    </row>
    <row r="9" spans="1:12">
      <c r="A9">
        <v>0.201</v>
      </c>
      <c r="B9">
        <v>-193.6</v>
      </c>
      <c r="C9" s="2">
        <v>37.6</v>
      </c>
      <c r="D9" s="2"/>
      <c r="E9" s="2"/>
      <c r="F9">
        <v>0.167</v>
      </c>
      <c r="G9">
        <v>-193.6</v>
      </c>
      <c r="H9" s="2">
        <v>37.6</v>
      </c>
      <c r="J9">
        <f t="shared" si="0"/>
        <v>0.15</v>
      </c>
      <c r="K9">
        <f t="shared" si="2"/>
        <v>0.400000000000006</v>
      </c>
      <c r="L9">
        <f t="shared" si="1"/>
        <v>0</v>
      </c>
    </row>
    <row r="10" spans="1:12">
      <c r="A10">
        <v>0.234</v>
      </c>
      <c r="B10">
        <v>-193.6</v>
      </c>
      <c r="C10" s="2">
        <v>37.1</v>
      </c>
      <c r="D10" s="2"/>
      <c r="E10" s="2"/>
      <c r="F10">
        <v>0.201</v>
      </c>
      <c r="G10">
        <v>-193.6</v>
      </c>
      <c r="H10" s="2">
        <v>37.6</v>
      </c>
      <c r="J10">
        <f t="shared" si="0"/>
        <v>0.2</v>
      </c>
      <c r="K10">
        <f t="shared" si="2"/>
        <v>0.400000000000006</v>
      </c>
      <c r="L10">
        <f t="shared" si="1"/>
        <v>0</v>
      </c>
    </row>
    <row r="11" spans="1:12">
      <c r="A11">
        <v>0.267</v>
      </c>
      <c r="B11">
        <v>-193.6</v>
      </c>
      <c r="C11" s="2">
        <v>36.6</v>
      </c>
      <c r="D11" s="2"/>
      <c r="E11" s="2"/>
      <c r="F11">
        <v>0.234</v>
      </c>
      <c r="G11">
        <v>-193.6</v>
      </c>
      <c r="H11" s="2">
        <v>37.1</v>
      </c>
      <c r="J11">
        <f t="shared" si="0"/>
        <v>0.2</v>
      </c>
      <c r="K11">
        <f t="shared" si="2"/>
        <v>0.400000000000006</v>
      </c>
      <c r="L11">
        <f t="shared" si="1"/>
        <v>0</v>
      </c>
    </row>
    <row r="12" spans="1:12">
      <c r="A12">
        <v>0.301</v>
      </c>
      <c r="B12">
        <v>-193.6</v>
      </c>
      <c r="C12" s="2">
        <v>37.5</v>
      </c>
      <c r="D12" s="2"/>
      <c r="E12" s="2"/>
      <c r="F12">
        <v>0.267</v>
      </c>
      <c r="G12">
        <v>-193.6</v>
      </c>
      <c r="H12" s="2">
        <v>36.6</v>
      </c>
      <c r="J12">
        <f t="shared" si="0"/>
        <v>0.25</v>
      </c>
      <c r="K12">
        <f t="shared" si="2"/>
        <v>0.400000000000006</v>
      </c>
      <c r="L12">
        <f t="shared" si="1"/>
        <v>0</v>
      </c>
    </row>
    <row r="13" spans="1:12">
      <c r="A13">
        <v>0.334</v>
      </c>
      <c r="B13">
        <v>-193.5</v>
      </c>
      <c r="C13" s="2">
        <v>37.5</v>
      </c>
      <c r="D13" s="2"/>
      <c r="E13" s="2"/>
      <c r="F13">
        <v>0.301</v>
      </c>
      <c r="G13">
        <v>-193.6</v>
      </c>
      <c r="H13" s="2">
        <v>37.5</v>
      </c>
      <c r="J13">
        <f t="shared" si="0"/>
        <v>0.3</v>
      </c>
      <c r="K13">
        <f t="shared" si="2"/>
        <v>0.400000000000006</v>
      </c>
      <c r="L13">
        <f t="shared" si="1"/>
        <v>0</v>
      </c>
    </row>
    <row r="14" spans="1:12">
      <c r="A14">
        <v>0.368</v>
      </c>
      <c r="B14">
        <v>-193.5</v>
      </c>
      <c r="C14" s="2">
        <v>36.6</v>
      </c>
      <c r="D14" s="2"/>
      <c r="E14" s="2"/>
      <c r="F14">
        <v>0.334</v>
      </c>
      <c r="G14">
        <v>-193.5</v>
      </c>
      <c r="H14" s="2">
        <v>37.5</v>
      </c>
      <c r="J14">
        <f t="shared" si="0"/>
        <v>0.3</v>
      </c>
      <c r="K14">
        <f t="shared" si="2"/>
        <v>0.5</v>
      </c>
      <c r="L14">
        <f t="shared" si="1"/>
        <v>0</v>
      </c>
    </row>
    <row r="15" spans="1:12">
      <c r="A15">
        <v>0.401</v>
      </c>
      <c r="B15">
        <v>-193.6</v>
      </c>
      <c r="C15" s="2">
        <v>37.4</v>
      </c>
      <c r="D15" s="2"/>
      <c r="E15" s="2"/>
      <c r="F15">
        <v>0.368</v>
      </c>
      <c r="G15">
        <v>-193.5</v>
      </c>
      <c r="H15" s="2">
        <v>36.6</v>
      </c>
      <c r="J15">
        <f t="shared" si="0"/>
        <v>0.35</v>
      </c>
      <c r="K15">
        <f t="shared" si="2"/>
        <v>0.5</v>
      </c>
      <c r="L15">
        <f t="shared" si="1"/>
        <v>0</v>
      </c>
    </row>
    <row r="16" spans="1:12">
      <c r="A16">
        <v>0.434</v>
      </c>
      <c r="B16">
        <v>-193.6</v>
      </c>
      <c r="C16" s="2">
        <v>37.1</v>
      </c>
      <c r="D16" s="2"/>
      <c r="E16" s="2"/>
      <c r="F16">
        <v>0.401</v>
      </c>
      <c r="G16">
        <v>-193.6</v>
      </c>
      <c r="H16" s="2">
        <v>37.4</v>
      </c>
      <c r="J16">
        <f t="shared" si="0"/>
        <v>0.4</v>
      </c>
      <c r="K16">
        <f t="shared" si="2"/>
        <v>0.400000000000006</v>
      </c>
      <c r="L16">
        <f t="shared" si="1"/>
        <v>0</v>
      </c>
    </row>
    <row r="17" spans="1:12">
      <c r="A17">
        <v>0.468</v>
      </c>
      <c r="B17">
        <v>-193.6</v>
      </c>
      <c r="C17" s="2">
        <v>37.6</v>
      </c>
      <c r="D17" s="2"/>
      <c r="E17" s="2"/>
      <c r="F17">
        <v>0.434</v>
      </c>
      <c r="G17">
        <v>-193.6</v>
      </c>
      <c r="H17" s="2">
        <v>37.1</v>
      </c>
      <c r="J17">
        <f t="shared" si="0"/>
        <v>0.4</v>
      </c>
      <c r="K17">
        <f t="shared" si="2"/>
        <v>0.400000000000006</v>
      </c>
      <c r="L17">
        <f t="shared" si="1"/>
        <v>0</v>
      </c>
    </row>
    <row r="18" spans="1:12">
      <c r="A18">
        <v>0.501</v>
      </c>
      <c r="B18">
        <v>-193.5</v>
      </c>
      <c r="C18" s="2">
        <v>37.5</v>
      </c>
      <c r="D18" s="2"/>
      <c r="E18" s="2"/>
      <c r="F18">
        <v>0.468</v>
      </c>
      <c r="G18">
        <v>-193.6</v>
      </c>
      <c r="H18" s="2">
        <v>37.6</v>
      </c>
      <c r="J18">
        <f t="shared" si="0"/>
        <v>0.45</v>
      </c>
      <c r="K18">
        <f t="shared" si="2"/>
        <v>0.400000000000006</v>
      </c>
      <c r="L18">
        <f t="shared" si="1"/>
        <v>0</v>
      </c>
    </row>
    <row r="19" spans="1:12">
      <c r="A19">
        <v>0.535</v>
      </c>
      <c r="B19">
        <v>-193.5</v>
      </c>
      <c r="C19" s="2">
        <v>37.5</v>
      </c>
      <c r="D19" s="2"/>
      <c r="E19" s="2"/>
      <c r="F19">
        <v>0.501</v>
      </c>
      <c r="G19">
        <v>-193.5</v>
      </c>
      <c r="H19" s="2">
        <v>37.5</v>
      </c>
      <c r="J19">
        <f t="shared" si="0"/>
        <v>0.5</v>
      </c>
      <c r="K19">
        <f t="shared" si="2"/>
        <v>0.5</v>
      </c>
      <c r="L19">
        <f t="shared" si="1"/>
        <v>0</v>
      </c>
    </row>
    <row r="20" spans="1:12">
      <c r="A20">
        <v>0.568</v>
      </c>
      <c r="B20">
        <v>-193.4</v>
      </c>
      <c r="C20" s="2">
        <v>37.8</v>
      </c>
      <c r="D20" s="2"/>
      <c r="E20" s="2"/>
      <c r="F20">
        <v>0.535</v>
      </c>
      <c r="G20">
        <v>-193.5</v>
      </c>
      <c r="H20" s="2">
        <v>37.5</v>
      </c>
      <c r="J20">
        <f t="shared" si="0"/>
        <v>0.5</v>
      </c>
      <c r="K20">
        <f t="shared" si="2"/>
        <v>0.5</v>
      </c>
      <c r="L20">
        <f t="shared" si="1"/>
        <v>0</v>
      </c>
    </row>
    <row r="21" spans="1:12">
      <c r="A21">
        <v>0.602</v>
      </c>
      <c r="B21">
        <v>-193.5</v>
      </c>
      <c r="C21" s="2">
        <v>37.4</v>
      </c>
      <c r="D21" s="2"/>
      <c r="E21" s="2"/>
      <c r="F21">
        <v>0.568</v>
      </c>
      <c r="G21">
        <v>-193.4</v>
      </c>
      <c r="H21" s="2">
        <v>37.8</v>
      </c>
      <c r="J21">
        <f t="shared" si="0"/>
        <v>0.55</v>
      </c>
      <c r="K21">
        <f t="shared" si="2"/>
        <v>0.599999999999994</v>
      </c>
      <c r="L21">
        <f t="shared" si="1"/>
        <v>0</v>
      </c>
    </row>
    <row r="22" spans="1:12">
      <c r="A22">
        <v>0.635</v>
      </c>
      <c r="B22">
        <v>-193.4</v>
      </c>
      <c r="C22" s="2">
        <v>37.5</v>
      </c>
      <c r="D22" s="2"/>
      <c r="E22" s="2"/>
      <c r="F22">
        <v>0.602</v>
      </c>
      <c r="G22">
        <v>-193.5</v>
      </c>
      <c r="H22" s="2">
        <v>37.4</v>
      </c>
      <c r="J22">
        <f t="shared" si="0"/>
        <v>0.6</v>
      </c>
      <c r="K22">
        <f t="shared" si="2"/>
        <v>0.5</v>
      </c>
      <c r="L22">
        <f t="shared" si="1"/>
        <v>0</v>
      </c>
    </row>
    <row r="23" spans="1:12">
      <c r="A23">
        <v>0.668</v>
      </c>
      <c r="B23">
        <v>-193.4</v>
      </c>
      <c r="C23" s="2">
        <v>37.6</v>
      </c>
      <c r="D23" s="2"/>
      <c r="E23" s="2"/>
      <c r="F23">
        <v>0.635</v>
      </c>
      <c r="G23">
        <v>-193.4</v>
      </c>
      <c r="H23" s="2">
        <v>37.5</v>
      </c>
      <c r="J23">
        <f t="shared" si="0"/>
        <v>0.6</v>
      </c>
      <c r="K23">
        <f t="shared" si="2"/>
        <v>0.599999999999994</v>
      </c>
      <c r="L23">
        <f t="shared" si="1"/>
        <v>0</v>
      </c>
    </row>
    <row r="24" spans="1:12">
      <c r="A24">
        <v>0.702</v>
      </c>
      <c r="B24">
        <v>-193.4</v>
      </c>
      <c r="C24" s="2">
        <v>37.4</v>
      </c>
      <c r="D24" s="2"/>
      <c r="E24" s="2"/>
      <c r="F24">
        <v>0.668</v>
      </c>
      <c r="G24">
        <v>-193.4</v>
      </c>
      <c r="H24" s="2">
        <v>37.6</v>
      </c>
      <c r="J24">
        <f t="shared" si="0"/>
        <v>0.65</v>
      </c>
      <c r="K24">
        <f t="shared" si="2"/>
        <v>0.599999999999994</v>
      </c>
      <c r="L24">
        <f t="shared" si="1"/>
        <v>0</v>
      </c>
    </row>
    <row r="25" spans="1:12">
      <c r="A25">
        <v>0.735</v>
      </c>
      <c r="B25">
        <v>-193.3</v>
      </c>
      <c r="C25">
        <v>36.8</v>
      </c>
      <c r="F25">
        <v>0.702</v>
      </c>
      <c r="G25">
        <v>-193.4</v>
      </c>
      <c r="H25" s="2">
        <v>37.4</v>
      </c>
      <c r="J25">
        <f t="shared" si="0"/>
        <v>0.7</v>
      </c>
      <c r="K25">
        <f t="shared" si="2"/>
        <v>0.599999999999994</v>
      </c>
      <c r="L25">
        <f t="shared" si="1"/>
        <v>0</v>
      </c>
    </row>
    <row r="26" spans="1:12">
      <c r="A26">
        <v>0.769</v>
      </c>
      <c r="B26">
        <v>-193.3</v>
      </c>
      <c r="C26">
        <v>37</v>
      </c>
      <c r="F26">
        <v>0.735</v>
      </c>
      <c r="G26">
        <v>-193.3</v>
      </c>
      <c r="H26">
        <v>36.8</v>
      </c>
      <c r="J26">
        <f t="shared" si="0"/>
        <v>0.7</v>
      </c>
      <c r="K26">
        <f t="shared" si="2"/>
        <v>0.699999999999989</v>
      </c>
      <c r="L26">
        <f t="shared" si="1"/>
        <v>0</v>
      </c>
    </row>
    <row r="27" spans="1:12">
      <c r="A27">
        <v>0.802</v>
      </c>
      <c r="B27">
        <v>-193.3</v>
      </c>
      <c r="C27">
        <v>37.6</v>
      </c>
      <c r="F27">
        <v>0.769</v>
      </c>
      <c r="G27">
        <v>-193.3</v>
      </c>
      <c r="H27">
        <v>37</v>
      </c>
      <c r="J27">
        <f t="shared" si="0"/>
        <v>0.75</v>
      </c>
      <c r="K27">
        <f t="shared" si="2"/>
        <v>0.699999999999989</v>
      </c>
      <c r="L27">
        <f t="shared" si="1"/>
        <v>0</v>
      </c>
    </row>
    <row r="28" spans="1:12">
      <c r="A28">
        <v>0.836</v>
      </c>
      <c r="B28">
        <v>-193.3</v>
      </c>
      <c r="C28">
        <v>37.3</v>
      </c>
      <c r="F28">
        <v>0.802</v>
      </c>
      <c r="G28">
        <v>-193.3</v>
      </c>
      <c r="H28">
        <v>37.6</v>
      </c>
      <c r="J28">
        <f t="shared" si="0"/>
        <v>0.8</v>
      </c>
      <c r="K28">
        <f t="shared" si="2"/>
        <v>0.699999999999989</v>
      </c>
      <c r="L28">
        <f t="shared" si="1"/>
        <v>0</v>
      </c>
    </row>
    <row r="29" spans="1:12">
      <c r="A29">
        <v>0.869</v>
      </c>
      <c r="B29">
        <v>-193.2</v>
      </c>
      <c r="C29">
        <v>37.1</v>
      </c>
      <c r="F29">
        <v>0.836</v>
      </c>
      <c r="G29">
        <v>-193.3</v>
      </c>
      <c r="H29">
        <v>37.3</v>
      </c>
      <c r="J29">
        <f t="shared" si="0"/>
        <v>0.8</v>
      </c>
      <c r="K29">
        <f t="shared" si="2"/>
        <v>0.699999999999989</v>
      </c>
      <c r="L29">
        <f t="shared" si="1"/>
        <v>0</v>
      </c>
    </row>
    <row r="30" spans="1:12">
      <c r="A30">
        <v>0.902</v>
      </c>
      <c r="B30">
        <v>-193.4</v>
      </c>
      <c r="C30">
        <v>37</v>
      </c>
      <c r="F30">
        <v>0.869</v>
      </c>
      <c r="G30">
        <v>-193.2</v>
      </c>
      <c r="H30">
        <v>37.1</v>
      </c>
      <c r="J30">
        <f t="shared" si="0"/>
        <v>0.85</v>
      </c>
      <c r="K30">
        <f t="shared" si="2"/>
        <v>0.800000000000011</v>
      </c>
      <c r="L30">
        <f t="shared" si="1"/>
        <v>0</v>
      </c>
    </row>
    <row r="31" spans="1:12">
      <c r="A31">
        <v>0.936</v>
      </c>
      <c r="B31">
        <v>-193.2</v>
      </c>
      <c r="C31">
        <v>37.1</v>
      </c>
      <c r="F31">
        <v>0.902</v>
      </c>
      <c r="G31">
        <v>-193.4</v>
      </c>
      <c r="H31">
        <v>37</v>
      </c>
      <c r="J31">
        <f t="shared" si="0"/>
        <v>0.9</v>
      </c>
      <c r="K31">
        <f t="shared" si="2"/>
        <v>0.599999999999994</v>
      </c>
      <c r="L31">
        <f t="shared" si="1"/>
        <v>0</v>
      </c>
    </row>
    <row r="32" spans="1:12">
      <c r="A32">
        <v>0.969</v>
      </c>
      <c r="B32">
        <v>-193.2</v>
      </c>
      <c r="C32">
        <v>37.5</v>
      </c>
      <c r="F32">
        <v>0.936</v>
      </c>
      <c r="G32">
        <v>-193.2</v>
      </c>
      <c r="H32">
        <v>37.1</v>
      </c>
      <c r="J32">
        <f t="shared" si="0"/>
        <v>0.9</v>
      </c>
      <c r="K32">
        <f t="shared" si="2"/>
        <v>0.800000000000011</v>
      </c>
      <c r="L32">
        <f t="shared" si="1"/>
        <v>0</v>
      </c>
    </row>
    <row r="33" spans="1:12">
      <c r="A33">
        <v>1.003</v>
      </c>
      <c r="B33">
        <v>-193.3</v>
      </c>
      <c r="C33">
        <v>37.3</v>
      </c>
      <c r="F33">
        <v>0.969</v>
      </c>
      <c r="G33">
        <v>-193.2</v>
      </c>
      <c r="H33">
        <v>37.5</v>
      </c>
      <c r="J33">
        <f t="shared" si="0"/>
        <v>0.95</v>
      </c>
      <c r="K33">
        <f t="shared" si="2"/>
        <v>0.800000000000011</v>
      </c>
      <c r="L33">
        <f t="shared" si="1"/>
        <v>0</v>
      </c>
    </row>
    <row r="34" spans="1:12">
      <c r="A34">
        <v>1.036</v>
      </c>
      <c r="B34">
        <v>-193.3</v>
      </c>
      <c r="C34">
        <v>37.3</v>
      </c>
      <c r="F34">
        <v>1.003</v>
      </c>
      <c r="G34">
        <v>-193.3</v>
      </c>
      <c r="H34">
        <v>37.3</v>
      </c>
      <c r="J34">
        <f t="shared" si="0"/>
        <v>1</v>
      </c>
      <c r="K34">
        <f t="shared" si="2"/>
        <v>0.699999999999989</v>
      </c>
      <c r="L34">
        <f t="shared" si="1"/>
        <v>0</v>
      </c>
    </row>
    <row r="35" spans="1:12">
      <c r="A35">
        <v>1.069</v>
      </c>
      <c r="B35">
        <v>-193.4</v>
      </c>
      <c r="C35">
        <v>37</v>
      </c>
      <c r="F35">
        <v>1.036</v>
      </c>
      <c r="G35">
        <v>-193.3</v>
      </c>
      <c r="H35">
        <v>37.3</v>
      </c>
      <c r="J35">
        <f t="shared" si="0"/>
        <v>1</v>
      </c>
      <c r="K35">
        <f t="shared" si="2"/>
        <v>0.699999999999989</v>
      </c>
      <c r="L35">
        <f t="shared" si="1"/>
        <v>0</v>
      </c>
    </row>
    <row r="36" spans="1:12">
      <c r="A36">
        <v>1.103</v>
      </c>
      <c r="B36">
        <v>-193.3</v>
      </c>
      <c r="C36">
        <v>37</v>
      </c>
      <c r="F36">
        <v>1.069</v>
      </c>
      <c r="G36">
        <v>-193.4</v>
      </c>
      <c r="H36">
        <v>37</v>
      </c>
      <c r="J36">
        <f t="shared" si="0"/>
        <v>1.05</v>
      </c>
      <c r="K36">
        <f t="shared" si="2"/>
        <v>0.599999999999994</v>
      </c>
      <c r="L36">
        <f t="shared" si="1"/>
        <v>0</v>
      </c>
    </row>
    <row r="37" spans="1:12">
      <c r="A37">
        <v>1.136</v>
      </c>
      <c r="B37">
        <v>-193.3</v>
      </c>
      <c r="C37">
        <v>37.3</v>
      </c>
      <c r="F37">
        <v>1.103</v>
      </c>
      <c r="G37">
        <v>-193.3</v>
      </c>
      <c r="H37">
        <v>37</v>
      </c>
      <c r="J37">
        <f t="shared" si="0"/>
        <v>1.1</v>
      </c>
      <c r="K37">
        <f t="shared" si="2"/>
        <v>0.699999999999989</v>
      </c>
      <c r="L37">
        <f t="shared" si="1"/>
        <v>0</v>
      </c>
    </row>
    <row r="38" spans="1:12">
      <c r="A38">
        <v>1.17</v>
      </c>
      <c r="B38">
        <v>-193.3</v>
      </c>
      <c r="C38">
        <v>37</v>
      </c>
      <c r="F38">
        <v>1.136</v>
      </c>
      <c r="G38">
        <v>-193.3</v>
      </c>
      <c r="H38">
        <v>37.3</v>
      </c>
      <c r="J38">
        <f t="shared" si="0"/>
        <v>1.1</v>
      </c>
      <c r="K38">
        <f t="shared" si="2"/>
        <v>0.699999999999989</v>
      </c>
      <c r="L38">
        <f t="shared" si="1"/>
        <v>0</v>
      </c>
    </row>
    <row r="39" spans="1:12">
      <c r="A39">
        <v>1.203</v>
      </c>
      <c r="B39">
        <v>-193.3</v>
      </c>
      <c r="C39">
        <v>37</v>
      </c>
      <c r="F39">
        <v>1.17</v>
      </c>
      <c r="G39">
        <v>-193.3</v>
      </c>
      <c r="H39">
        <v>37</v>
      </c>
      <c r="J39">
        <f t="shared" si="0"/>
        <v>1.15</v>
      </c>
      <c r="K39">
        <f t="shared" si="2"/>
        <v>0.699999999999989</v>
      </c>
      <c r="L39">
        <f t="shared" si="1"/>
        <v>0</v>
      </c>
    </row>
    <row r="40" spans="1:12">
      <c r="A40">
        <v>1.237</v>
      </c>
      <c r="B40">
        <v>-193.3</v>
      </c>
      <c r="C40">
        <v>36.5</v>
      </c>
      <c r="F40">
        <v>1.203</v>
      </c>
      <c r="G40">
        <v>-193.3</v>
      </c>
      <c r="H40">
        <v>37</v>
      </c>
      <c r="J40">
        <f t="shared" si="0"/>
        <v>1.2</v>
      </c>
      <c r="K40">
        <f t="shared" si="2"/>
        <v>0.699999999999989</v>
      </c>
      <c r="L40">
        <f t="shared" si="1"/>
        <v>0</v>
      </c>
    </row>
    <row r="41" spans="1:12">
      <c r="A41">
        <v>1.27</v>
      </c>
      <c r="B41">
        <v>-193.3</v>
      </c>
      <c r="C41">
        <v>36.9</v>
      </c>
      <c r="F41">
        <v>1.237</v>
      </c>
      <c r="G41">
        <v>-193.3</v>
      </c>
      <c r="H41">
        <v>36.5</v>
      </c>
      <c r="J41">
        <f t="shared" si="0"/>
        <v>1.2</v>
      </c>
      <c r="K41">
        <f t="shared" si="2"/>
        <v>0.699999999999989</v>
      </c>
      <c r="L41">
        <f t="shared" si="1"/>
        <v>0</v>
      </c>
    </row>
    <row r="42" spans="1:12">
      <c r="A42">
        <v>1.303</v>
      </c>
      <c r="B42">
        <v>-193.4</v>
      </c>
      <c r="C42">
        <v>37.2</v>
      </c>
      <c r="F42">
        <v>1.27</v>
      </c>
      <c r="G42">
        <v>-193.3</v>
      </c>
      <c r="H42">
        <v>36.9</v>
      </c>
      <c r="J42">
        <f t="shared" si="0"/>
        <v>1.25</v>
      </c>
      <c r="K42">
        <f t="shared" si="2"/>
        <v>0.699999999999989</v>
      </c>
      <c r="L42">
        <f t="shared" si="1"/>
        <v>0</v>
      </c>
    </row>
    <row r="43" spans="1:12">
      <c r="A43">
        <v>1.337</v>
      </c>
      <c r="B43">
        <v>-193.4</v>
      </c>
      <c r="C43">
        <v>37.7</v>
      </c>
      <c r="F43">
        <v>1.303</v>
      </c>
      <c r="G43">
        <v>-193.4</v>
      </c>
      <c r="H43">
        <v>37.2</v>
      </c>
      <c r="J43">
        <f t="shared" si="0"/>
        <v>1.3</v>
      </c>
      <c r="K43">
        <f t="shared" si="2"/>
        <v>0.599999999999994</v>
      </c>
      <c r="L43">
        <f t="shared" si="1"/>
        <v>0</v>
      </c>
    </row>
    <row r="44" spans="1:12">
      <c r="A44">
        <v>1.37</v>
      </c>
      <c r="B44">
        <v>-193.4</v>
      </c>
      <c r="C44">
        <v>37.6</v>
      </c>
      <c r="F44">
        <v>1.337</v>
      </c>
      <c r="G44">
        <v>-193.4</v>
      </c>
      <c r="H44">
        <v>37.7</v>
      </c>
      <c r="J44">
        <f t="shared" si="0"/>
        <v>1.3</v>
      </c>
      <c r="K44">
        <f t="shared" si="2"/>
        <v>0.599999999999994</v>
      </c>
      <c r="L44">
        <f t="shared" si="1"/>
        <v>0</v>
      </c>
    </row>
    <row r="45" spans="1:12">
      <c r="A45">
        <v>1.404</v>
      </c>
      <c r="B45">
        <v>-193.4</v>
      </c>
      <c r="C45">
        <v>37.1</v>
      </c>
      <c r="F45">
        <v>1.37</v>
      </c>
      <c r="G45">
        <v>-193.4</v>
      </c>
      <c r="H45">
        <v>37.6</v>
      </c>
      <c r="J45">
        <f t="shared" si="0"/>
        <v>1.35</v>
      </c>
      <c r="K45">
        <f t="shared" si="2"/>
        <v>0.599999999999994</v>
      </c>
      <c r="L45">
        <f t="shared" si="1"/>
        <v>0</v>
      </c>
    </row>
    <row r="46" spans="1:12">
      <c r="A46">
        <v>1.437</v>
      </c>
      <c r="B46">
        <v>-193.4</v>
      </c>
      <c r="C46">
        <v>37.4</v>
      </c>
      <c r="F46">
        <v>1.404</v>
      </c>
      <c r="G46">
        <v>-193.4</v>
      </c>
      <c r="H46">
        <v>37.1</v>
      </c>
      <c r="J46">
        <f t="shared" si="0"/>
        <v>1.4</v>
      </c>
      <c r="K46">
        <f t="shared" si="2"/>
        <v>0.599999999999994</v>
      </c>
      <c r="L46">
        <f t="shared" si="1"/>
        <v>0</v>
      </c>
    </row>
    <row r="47" spans="1:12">
      <c r="A47">
        <v>1.471</v>
      </c>
      <c r="B47">
        <v>-193.4</v>
      </c>
      <c r="C47">
        <v>36.8</v>
      </c>
      <c r="F47">
        <v>1.437</v>
      </c>
      <c r="G47">
        <v>-193.4</v>
      </c>
      <c r="H47">
        <v>37.4</v>
      </c>
      <c r="J47">
        <f t="shared" si="0"/>
        <v>1.4</v>
      </c>
      <c r="K47">
        <f t="shared" si="2"/>
        <v>0.599999999999994</v>
      </c>
      <c r="L47">
        <f t="shared" si="1"/>
        <v>0</v>
      </c>
    </row>
    <row r="48" spans="1:12">
      <c r="A48">
        <v>1.504</v>
      </c>
      <c r="B48">
        <v>-193.5</v>
      </c>
      <c r="C48">
        <v>36.9</v>
      </c>
      <c r="F48">
        <v>1.471</v>
      </c>
      <c r="G48">
        <v>-193.4</v>
      </c>
      <c r="H48">
        <v>36.8</v>
      </c>
      <c r="J48">
        <f t="shared" si="0"/>
        <v>1.45</v>
      </c>
      <c r="K48">
        <f t="shared" si="2"/>
        <v>0.599999999999994</v>
      </c>
      <c r="L48">
        <f t="shared" si="1"/>
        <v>0</v>
      </c>
    </row>
    <row r="49" spans="1:12">
      <c r="A49">
        <v>1.537</v>
      </c>
      <c r="B49">
        <v>-193.4</v>
      </c>
      <c r="C49">
        <v>37.6</v>
      </c>
      <c r="F49">
        <v>1.504</v>
      </c>
      <c r="G49">
        <v>-193.5</v>
      </c>
      <c r="H49">
        <v>36.9</v>
      </c>
      <c r="J49">
        <f t="shared" si="0"/>
        <v>1.5</v>
      </c>
      <c r="K49">
        <f t="shared" si="2"/>
        <v>0.5</v>
      </c>
      <c r="L49">
        <f t="shared" si="1"/>
        <v>0</v>
      </c>
    </row>
    <row r="50" spans="1:12">
      <c r="A50">
        <v>1.571</v>
      </c>
      <c r="B50">
        <v>-193.5</v>
      </c>
      <c r="C50">
        <v>37.2</v>
      </c>
      <c r="F50">
        <v>1.537</v>
      </c>
      <c r="G50">
        <v>-193.4</v>
      </c>
      <c r="H50">
        <v>37.6</v>
      </c>
      <c r="J50">
        <f t="shared" si="0"/>
        <v>1.5</v>
      </c>
      <c r="K50">
        <f t="shared" si="2"/>
        <v>0.599999999999994</v>
      </c>
      <c r="L50">
        <f t="shared" si="1"/>
        <v>0</v>
      </c>
    </row>
    <row r="51" spans="1:12">
      <c r="A51">
        <v>1.604</v>
      </c>
      <c r="B51">
        <v>-193.5</v>
      </c>
      <c r="C51">
        <v>37</v>
      </c>
      <c r="F51">
        <v>1.571</v>
      </c>
      <c r="G51">
        <v>-193.5</v>
      </c>
      <c r="H51">
        <v>37.2</v>
      </c>
      <c r="J51">
        <f t="shared" si="0"/>
        <v>1.55</v>
      </c>
      <c r="K51">
        <f t="shared" si="2"/>
        <v>0.5</v>
      </c>
      <c r="L51">
        <f t="shared" si="1"/>
        <v>0</v>
      </c>
    </row>
    <row r="52" spans="1:12">
      <c r="A52">
        <v>1.638</v>
      </c>
      <c r="B52">
        <v>-193.6</v>
      </c>
      <c r="C52">
        <v>37.6</v>
      </c>
      <c r="F52">
        <v>1.604</v>
      </c>
      <c r="G52">
        <v>-193.5</v>
      </c>
      <c r="H52">
        <v>37</v>
      </c>
      <c r="J52">
        <f t="shared" si="0"/>
        <v>1.6</v>
      </c>
      <c r="K52">
        <f t="shared" si="2"/>
        <v>0.5</v>
      </c>
      <c r="L52">
        <f t="shared" si="1"/>
        <v>0</v>
      </c>
    </row>
    <row r="53" spans="1:12">
      <c r="A53">
        <v>1.671</v>
      </c>
      <c r="B53">
        <v>-193.5</v>
      </c>
      <c r="C53">
        <v>36.7</v>
      </c>
      <c r="F53">
        <v>1.638</v>
      </c>
      <c r="G53">
        <v>-193.6</v>
      </c>
      <c r="H53">
        <v>37.6</v>
      </c>
      <c r="J53">
        <f t="shared" si="0"/>
        <v>1.6</v>
      </c>
      <c r="K53">
        <f t="shared" si="2"/>
        <v>0.400000000000006</v>
      </c>
      <c r="L53">
        <f t="shared" si="1"/>
        <v>0</v>
      </c>
    </row>
    <row r="54" spans="1:12">
      <c r="A54">
        <v>1.705</v>
      </c>
      <c r="B54">
        <v>-193.6</v>
      </c>
      <c r="C54">
        <v>36.6</v>
      </c>
      <c r="F54">
        <v>1.671</v>
      </c>
      <c r="G54">
        <v>-193.5</v>
      </c>
      <c r="H54">
        <v>36.7</v>
      </c>
      <c r="J54">
        <f t="shared" si="0"/>
        <v>1.65</v>
      </c>
      <c r="K54">
        <f t="shared" si="2"/>
        <v>0.5</v>
      </c>
      <c r="L54">
        <f t="shared" si="1"/>
        <v>0</v>
      </c>
    </row>
    <row r="55" spans="1:12">
      <c r="A55">
        <v>1.738</v>
      </c>
      <c r="B55">
        <v>-193.6</v>
      </c>
      <c r="C55">
        <v>37.6</v>
      </c>
      <c r="F55">
        <v>1.705</v>
      </c>
      <c r="G55">
        <v>-193.6</v>
      </c>
      <c r="H55">
        <v>36.6</v>
      </c>
      <c r="J55">
        <f t="shared" si="0"/>
        <v>1.7</v>
      </c>
      <c r="K55">
        <f t="shared" si="2"/>
        <v>0.400000000000006</v>
      </c>
      <c r="L55">
        <f t="shared" si="1"/>
        <v>0</v>
      </c>
    </row>
    <row r="56" spans="1:12">
      <c r="A56">
        <v>1.771</v>
      </c>
      <c r="B56">
        <v>-193.6</v>
      </c>
      <c r="C56">
        <v>37.1</v>
      </c>
      <c r="F56">
        <v>1.738</v>
      </c>
      <c r="G56">
        <v>-193.6</v>
      </c>
      <c r="H56">
        <v>37.6</v>
      </c>
      <c r="J56">
        <f t="shared" si="0"/>
        <v>1.7</v>
      </c>
      <c r="K56">
        <f t="shared" si="2"/>
        <v>0.400000000000006</v>
      </c>
      <c r="L56">
        <f t="shared" si="1"/>
        <v>0</v>
      </c>
    </row>
    <row r="57" spans="1:12">
      <c r="A57">
        <v>1.805</v>
      </c>
      <c r="B57">
        <v>-193.6</v>
      </c>
      <c r="C57">
        <v>37.4</v>
      </c>
      <c r="F57">
        <v>1.771</v>
      </c>
      <c r="G57">
        <v>-193.6</v>
      </c>
      <c r="H57">
        <v>37.1</v>
      </c>
      <c r="J57">
        <f t="shared" si="0"/>
        <v>1.75</v>
      </c>
      <c r="K57">
        <f t="shared" si="2"/>
        <v>0.400000000000006</v>
      </c>
      <c r="L57">
        <f t="shared" si="1"/>
        <v>0</v>
      </c>
    </row>
    <row r="58" spans="1:12">
      <c r="A58">
        <v>1.838</v>
      </c>
      <c r="B58">
        <v>-193.6</v>
      </c>
      <c r="C58">
        <v>37.6</v>
      </c>
      <c r="F58">
        <v>1.805</v>
      </c>
      <c r="G58">
        <v>-193.6</v>
      </c>
      <c r="H58">
        <v>37.4</v>
      </c>
      <c r="J58">
        <f t="shared" si="0"/>
        <v>1.8</v>
      </c>
      <c r="K58">
        <f t="shared" si="2"/>
        <v>0.400000000000006</v>
      </c>
      <c r="L58">
        <f t="shared" si="1"/>
        <v>0</v>
      </c>
    </row>
    <row r="59" spans="1:12">
      <c r="A59">
        <v>1.872</v>
      </c>
      <c r="B59">
        <v>-193.6</v>
      </c>
      <c r="C59" s="2">
        <v>37.6</v>
      </c>
      <c r="D59" s="2"/>
      <c r="E59" s="2"/>
      <c r="F59">
        <v>1.838</v>
      </c>
      <c r="G59">
        <v>-193.6</v>
      </c>
      <c r="H59">
        <v>37.6</v>
      </c>
      <c r="J59">
        <f t="shared" si="0"/>
        <v>1.8</v>
      </c>
      <c r="K59">
        <f t="shared" si="2"/>
        <v>0.400000000000006</v>
      </c>
      <c r="L59">
        <f t="shared" si="1"/>
        <v>0</v>
      </c>
    </row>
    <row r="60" spans="1:12">
      <c r="A60">
        <v>1.905</v>
      </c>
      <c r="B60">
        <v>-193.6</v>
      </c>
      <c r="C60" s="2">
        <v>37</v>
      </c>
      <c r="D60" s="2"/>
      <c r="E60" s="2"/>
      <c r="F60">
        <v>1.872</v>
      </c>
      <c r="G60">
        <v>-193.6</v>
      </c>
      <c r="H60" s="2">
        <v>37.6</v>
      </c>
      <c r="J60">
        <f t="shared" si="0"/>
        <v>1.85</v>
      </c>
      <c r="K60">
        <f t="shared" si="2"/>
        <v>0.400000000000006</v>
      </c>
      <c r="L60">
        <f t="shared" si="1"/>
        <v>0</v>
      </c>
    </row>
    <row r="61" spans="1:12">
      <c r="A61">
        <v>1.938</v>
      </c>
      <c r="B61">
        <v>-193.7</v>
      </c>
      <c r="C61" s="2">
        <v>37</v>
      </c>
      <c r="D61" s="2"/>
      <c r="E61" s="2"/>
      <c r="F61">
        <v>1.905</v>
      </c>
      <c r="G61">
        <v>-193.6</v>
      </c>
      <c r="H61" s="2">
        <v>37</v>
      </c>
      <c r="J61">
        <f t="shared" si="0"/>
        <v>1.9</v>
      </c>
      <c r="K61">
        <f t="shared" si="2"/>
        <v>0.400000000000006</v>
      </c>
      <c r="L61">
        <f t="shared" si="1"/>
        <v>0</v>
      </c>
    </row>
    <row r="62" spans="1:12">
      <c r="A62">
        <v>1.972</v>
      </c>
      <c r="B62">
        <v>-193.6</v>
      </c>
      <c r="C62" s="2">
        <v>37.4</v>
      </c>
      <c r="D62" s="2"/>
      <c r="E62" s="2"/>
      <c r="F62">
        <v>1.938</v>
      </c>
      <c r="G62">
        <v>-193.7</v>
      </c>
      <c r="H62" s="2">
        <v>37</v>
      </c>
      <c r="J62">
        <f t="shared" si="0"/>
        <v>1.9</v>
      </c>
      <c r="K62">
        <f t="shared" si="2"/>
        <v>0.300000000000011</v>
      </c>
      <c r="L62">
        <f t="shared" si="1"/>
        <v>0</v>
      </c>
    </row>
    <row r="63" spans="1:12">
      <c r="A63">
        <v>2.005</v>
      </c>
      <c r="B63">
        <v>-193.8</v>
      </c>
      <c r="C63" s="2">
        <v>37.1</v>
      </c>
      <c r="D63" s="2"/>
      <c r="E63" s="2"/>
      <c r="F63">
        <v>1.972</v>
      </c>
      <c r="G63">
        <v>-193.6</v>
      </c>
      <c r="H63" s="2">
        <v>37.4</v>
      </c>
      <c r="J63">
        <f t="shared" si="0"/>
        <v>1.95</v>
      </c>
      <c r="K63">
        <f t="shared" si="2"/>
        <v>0.400000000000006</v>
      </c>
      <c r="L63">
        <f t="shared" si="1"/>
        <v>0</v>
      </c>
    </row>
    <row r="64" spans="1:12">
      <c r="A64">
        <v>2.039</v>
      </c>
      <c r="B64">
        <v>-193.7</v>
      </c>
      <c r="C64" s="2">
        <v>36.8</v>
      </c>
      <c r="D64" s="2"/>
      <c r="E64" s="2"/>
      <c r="F64">
        <v>2.005</v>
      </c>
      <c r="G64">
        <v>-193.8</v>
      </c>
      <c r="H64" s="2">
        <v>37.1</v>
      </c>
      <c r="J64">
        <f t="shared" si="0"/>
        <v>2</v>
      </c>
      <c r="K64">
        <f t="shared" si="2"/>
        <v>0.199999999999989</v>
      </c>
      <c r="L64">
        <f t="shared" si="1"/>
        <v>0</v>
      </c>
    </row>
    <row r="65" spans="1:12">
      <c r="A65">
        <v>2.072</v>
      </c>
      <c r="B65">
        <v>-193.6</v>
      </c>
      <c r="C65" s="2">
        <v>37.4</v>
      </c>
      <c r="D65" s="2"/>
      <c r="E65" s="2"/>
      <c r="F65">
        <v>2.039</v>
      </c>
      <c r="G65">
        <v>-193.7</v>
      </c>
      <c r="H65" s="2">
        <v>36.8</v>
      </c>
      <c r="J65">
        <f t="shared" si="0"/>
        <v>2</v>
      </c>
      <c r="K65">
        <f t="shared" si="2"/>
        <v>0.300000000000011</v>
      </c>
      <c r="L65">
        <f t="shared" si="1"/>
        <v>0</v>
      </c>
    </row>
    <row r="66" spans="1:12">
      <c r="A66">
        <v>2.106</v>
      </c>
      <c r="B66">
        <v>-193.6</v>
      </c>
      <c r="C66" s="2">
        <v>37</v>
      </c>
      <c r="D66" s="2"/>
      <c r="E66" s="2"/>
      <c r="F66">
        <v>2.072</v>
      </c>
      <c r="G66">
        <v>-193.6</v>
      </c>
      <c r="H66" s="2">
        <v>37.4</v>
      </c>
      <c r="J66">
        <f t="shared" si="0"/>
        <v>2.05</v>
      </c>
      <c r="K66">
        <f t="shared" si="2"/>
        <v>0.400000000000006</v>
      </c>
      <c r="L66">
        <f t="shared" si="1"/>
        <v>0</v>
      </c>
    </row>
    <row r="67" spans="1:12">
      <c r="A67">
        <v>2.139</v>
      </c>
      <c r="B67">
        <v>-193.6</v>
      </c>
      <c r="C67" s="2">
        <v>37.5</v>
      </c>
      <c r="D67" s="2"/>
      <c r="E67" s="2"/>
      <c r="F67">
        <v>2.106</v>
      </c>
      <c r="G67">
        <v>-193.6</v>
      </c>
      <c r="H67" s="2">
        <v>37</v>
      </c>
      <c r="J67">
        <f t="shared" si="0"/>
        <v>2.1</v>
      </c>
      <c r="K67">
        <f t="shared" si="2"/>
        <v>0.400000000000006</v>
      </c>
      <c r="L67">
        <f t="shared" si="1"/>
        <v>0</v>
      </c>
    </row>
    <row r="68" spans="1:12">
      <c r="A68">
        <v>2.172</v>
      </c>
      <c r="B68">
        <v>-193.6</v>
      </c>
      <c r="C68" s="2">
        <v>37.3</v>
      </c>
      <c r="D68" s="2"/>
      <c r="E68" s="2"/>
      <c r="F68">
        <v>2.139</v>
      </c>
      <c r="G68">
        <v>-193.6</v>
      </c>
      <c r="H68" s="2">
        <v>37.5</v>
      </c>
      <c r="J68">
        <f t="shared" ref="J68:J131" si="3">FLOOR(F68,0.05)</f>
        <v>2.1</v>
      </c>
      <c r="K68">
        <f t="shared" si="2"/>
        <v>0.400000000000006</v>
      </c>
      <c r="L68">
        <f t="shared" ref="L68:L131" si="4">IF(H68&lt;230,0,5)</f>
        <v>0</v>
      </c>
    </row>
    <row r="69" spans="1:12">
      <c r="A69">
        <v>2.206</v>
      </c>
      <c r="B69">
        <v>-193.6</v>
      </c>
      <c r="C69" s="2">
        <v>37.4</v>
      </c>
      <c r="D69" s="2"/>
      <c r="E69" s="2"/>
      <c r="F69">
        <v>2.172</v>
      </c>
      <c r="G69">
        <v>-193.6</v>
      </c>
      <c r="H69" s="2">
        <v>37.3</v>
      </c>
      <c r="J69">
        <f t="shared" si="3"/>
        <v>2.15</v>
      </c>
      <c r="K69">
        <f t="shared" ref="K69:K132" si="5">G69+194</f>
        <v>0.400000000000006</v>
      </c>
      <c r="L69">
        <f t="shared" si="4"/>
        <v>0</v>
      </c>
    </row>
    <row r="70" spans="1:12">
      <c r="A70">
        <v>2.239</v>
      </c>
      <c r="B70">
        <v>-193.6</v>
      </c>
      <c r="C70" s="2">
        <v>37.4</v>
      </c>
      <c r="D70" s="2"/>
      <c r="E70" s="2"/>
      <c r="F70">
        <v>2.206</v>
      </c>
      <c r="G70">
        <v>-193.6</v>
      </c>
      <c r="H70" s="2">
        <v>37.4</v>
      </c>
      <c r="J70">
        <f t="shared" si="3"/>
        <v>2.2</v>
      </c>
      <c r="K70">
        <f t="shared" si="5"/>
        <v>0.400000000000006</v>
      </c>
      <c r="L70">
        <f t="shared" si="4"/>
        <v>0</v>
      </c>
    </row>
    <row r="71" spans="1:12">
      <c r="A71">
        <v>2.273</v>
      </c>
      <c r="B71">
        <v>-193.6</v>
      </c>
      <c r="C71" s="2">
        <v>37.4</v>
      </c>
      <c r="D71" s="2"/>
      <c r="E71" s="2"/>
      <c r="F71">
        <v>2.239</v>
      </c>
      <c r="G71">
        <v>-193.6</v>
      </c>
      <c r="H71" s="2">
        <v>37.4</v>
      </c>
      <c r="J71">
        <f t="shared" si="3"/>
        <v>2.2</v>
      </c>
      <c r="K71">
        <f t="shared" si="5"/>
        <v>0.400000000000006</v>
      </c>
      <c r="L71">
        <f t="shared" si="4"/>
        <v>0</v>
      </c>
    </row>
    <row r="72" spans="1:12">
      <c r="A72">
        <v>2.306</v>
      </c>
      <c r="B72">
        <v>-193.6</v>
      </c>
      <c r="C72" s="2">
        <v>37.2</v>
      </c>
      <c r="D72" s="2"/>
      <c r="E72" s="2"/>
      <c r="F72">
        <v>2.273</v>
      </c>
      <c r="G72">
        <v>-193.6</v>
      </c>
      <c r="H72" s="2">
        <v>37.4</v>
      </c>
      <c r="J72">
        <f t="shared" si="3"/>
        <v>2.25</v>
      </c>
      <c r="K72">
        <f t="shared" si="5"/>
        <v>0.400000000000006</v>
      </c>
      <c r="L72">
        <f t="shared" si="4"/>
        <v>0</v>
      </c>
    </row>
    <row r="73" spans="1:12">
      <c r="A73">
        <v>2.34</v>
      </c>
      <c r="B73">
        <v>-193.6</v>
      </c>
      <c r="C73" s="2">
        <v>37.1</v>
      </c>
      <c r="D73" s="2"/>
      <c r="E73" s="2"/>
      <c r="F73">
        <v>2.306</v>
      </c>
      <c r="G73">
        <v>-193.6</v>
      </c>
      <c r="H73" s="2">
        <v>37.2</v>
      </c>
      <c r="J73">
        <f t="shared" si="3"/>
        <v>2.3</v>
      </c>
      <c r="K73">
        <f t="shared" si="5"/>
        <v>0.400000000000006</v>
      </c>
      <c r="L73">
        <f t="shared" si="4"/>
        <v>0</v>
      </c>
    </row>
    <row r="74" spans="1:12">
      <c r="A74">
        <v>2.373</v>
      </c>
      <c r="B74">
        <v>-193.6</v>
      </c>
      <c r="C74" s="2">
        <v>36.8</v>
      </c>
      <c r="D74" s="2"/>
      <c r="E74" s="2"/>
      <c r="F74">
        <v>2.34</v>
      </c>
      <c r="G74">
        <v>-193.6</v>
      </c>
      <c r="H74" s="2">
        <v>37.1</v>
      </c>
      <c r="J74">
        <f t="shared" si="3"/>
        <v>2.3</v>
      </c>
      <c r="K74">
        <f t="shared" si="5"/>
        <v>0.400000000000006</v>
      </c>
      <c r="L74">
        <f t="shared" si="4"/>
        <v>0</v>
      </c>
    </row>
    <row r="75" spans="1:12">
      <c r="A75">
        <v>2.406</v>
      </c>
      <c r="B75">
        <v>-193.5</v>
      </c>
      <c r="C75" s="2">
        <v>37.2</v>
      </c>
      <c r="D75" s="2"/>
      <c r="E75" s="2"/>
      <c r="F75">
        <v>2.373</v>
      </c>
      <c r="G75">
        <v>-193.6</v>
      </c>
      <c r="H75" s="2">
        <v>36.8</v>
      </c>
      <c r="J75">
        <f t="shared" si="3"/>
        <v>2.35</v>
      </c>
      <c r="K75">
        <f t="shared" si="5"/>
        <v>0.400000000000006</v>
      </c>
      <c r="L75">
        <f t="shared" si="4"/>
        <v>0</v>
      </c>
    </row>
    <row r="76" spans="1:12">
      <c r="A76">
        <v>2.44</v>
      </c>
      <c r="B76">
        <v>-193.5</v>
      </c>
      <c r="C76" s="2">
        <v>37.2</v>
      </c>
      <c r="D76" s="2"/>
      <c r="E76" s="2"/>
      <c r="F76">
        <v>2.406</v>
      </c>
      <c r="G76">
        <v>-193.5</v>
      </c>
      <c r="H76" s="2">
        <v>37.2</v>
      </c>
      <c r="J76">
        <f t="shared" si="3"/>
        <v>2.4</v>
      </c>
      <c r="K76">
        <f t="shared" si="5"/>
        <v>0.5</v>
      </c>
      <c r="L76">
        <f t="shared" si="4"/>
        <v>0</v>
      </c>
    </row>
    <row r="77" spans="1:12">
      <c r="A77">
        <v>2.473</v>
      </c>
      <c r="B77">
        <v>-193.5</v>
      </c>
      <c r="C77" s="2">
        <v>37.8</v>
      </c>
      <c r="D77" s="2"/>
      <c r="E77" s="2"/>
      <c r="F77">
        <v>2.44</v>
      </c>
      <c r="G77">
        <v>-193.5</v>
      </c>
      <c r="H77" s="2">
        <v>37.2</v>
      </c>
      <c r="J77">
        <f t="shared" si="3"/>
        <v>2.4</v>
      </c>
      <c r="K77">
        <f t="shared" si="5"/>
        <v>0.5</v>
      </c>
      <c r="L77">
        <f t="shared" si="4"/>
        <v>0</v>
      </c>
    </row>
    <row r="78" spans="1:12">
      <c r="A78">
        <v>2.507</v>
      </c>
      <c r="B78">
        <v>-193.5</v>
      </c>
      <c r="C78" s="2">
        <v>36.9</v>
      </c>
      <c r="D78" s="2"/>
      <c r="E78" s="2"/>
      <c r="F78">
        <v>2.473</v>
      </c>
      <c r="G78">
        <v>-193.5</v>
      </c>
      <c r="H78" s="2">
        <v>37.8</v>
      </c>
      <c r="J78">
        <f t="shared" si="3"/>
        <v>2.45</v>
      </c>
      <c r="K78">
        <f t="shared" si="5"/>
        <v>0.5</v>
      </c>
      <c r="L78">
        <f t="shared" si="4"/>
        <v>0</v>
      </c>
    </row>
    <row r="79" spans="1:12">
      <c r="A79">
        <v>2.54</v>
      </c>
      <c r="B79">
        <v>-193.4</v>
      </c>
      <c r="C79" s="2">
        <v>37.4</v>
      </c>
      <c r="D79" s="2"/>
      <c r="E79" s="2"/>
      <c r="F79">
        <v>2.507</v>
      </c>
      <c r="G79">
        <v>-193.5</v>
      </c>
      <c r="H79" s="2">
        <v>36.9</v>
      </c>
      <c r="J79">
        <f t="shared" si="3"/>
        <v>2.5</v>
      </c>
      <c r="K79">
        <f t="shared" si="5"/>
        <v>0.5</v>
      </c>
      <c r="L79">
        <f t="shared" si="4"/>
        <v>0</v>
      </c>
    </row>
    <row r="80" spans="1:12">
      <c r="A80">
        <v>2.573</v>
      </c>
      <c r="B80">
        <v>-193.5</v>
      </c>
      <c r="C80" s="2">
        <v>37</v>
      </c>
      <c r="D80" s="2"/>
      <c r="E80" s="2"/>
      <c r="F80">
        <v>2.54</v>
      </c>
      <c r="G80">
        <v>-193.4</v>
      </c>
      <c r="H80" s="2">
        <v>37.4</v>
      </c>
      <c r="J80">
        <f t="shared" si="3"/>
        <v>2.5</v>
      </c>
      <c r="K80">
        <f t="shared" si="5"/>
        <v>0.599999999999994</v>
      </c>
      <c r="L80">
        <f t="shared" si="4"/>
        <v>0</v>
      </c>
    </row>
    <row r="81" spans="1:12">
      <c r="A81">
        <v>2.607</v>
      </c>
      <c r="B81">
        <v>-193.4</v>
      </c>
      <c r="C81" s="2">
        <v>37.3</v>
      </c>
      <c r="D81" s="2"/>
      <c r="E81" s="2"/>
      <c r="F81">
        <v>2.573</v>
      </c>
      <c r="G81">
        <v>-193.5</v>
      </c>
      <c r="H81" s="2">
        <v>37</v>
      </c>
      <c r="J81">
        <f t="shared" si="3"/>
        <v>2.55</v>
      </c>
      <c r="K81">
        <f t="shared" si="5"/>
        <v>0.5</v>
      </c>
      <c r="L81">
        <f t="shared" si="4"/>
        <v>0</v>
      </c>
    </row>
    <row r="82" spans="1:12">
      <c r="A82">
        <v>2.64</v>
      </c>
      <c r="B82">
        <v>-193.4</v>
      </c>
      <c r="C82" s="2">
        <v>36.6</v>
      </c>
      <c r="D82" s="2"/>
      <c r="E82" s="2"/>
      <c r="F82">
        <v>2.607</v>
      </c>
      <c r="G82">
        <v>-193.4</v>
      </c>
      <c r="H82" s="2">
        <v>37.3</v>
      </c>
      <c r="J82">
        <f t="shared" si="3"/>
        <v>2.6</v>
      </c>
      <c r="K82">
        <f t="shared" si="5"/>
        <v>0.599999999999994</v>
      </c>
      <c r="L82">
        <f t="shared" si="4"/>
        <v>0</v>
      </c>
    </row>
    <row r="83" spans="1:12">
      <c r="A83">
        <v>2.674</v>
      </c>
      <c r="B83">
        <v>-193.5</v>
      </c>
      <c r="C83" s="2">
        <v>36.7</v>
      </c>
      <c r="D83" s="2"/>
      <c r="E83" s="2"/>
      <c r="F83">
        <v>2.64</v>
      </c>
      <c r="G83">
        <v>-193.4</v>
      </c>
      <c r="H83" s="2">
        <v>36.6</v>
      </c>
      <c r="J83">
        <f t="shared" si="3"/>
        <v>2.6</v>
      </c>
      <c r="K83">
        <f t="shared" si="5"/>
        <v>0.599999999999994</v>
      </c>
      <c r="L83">
        <f t="shared" si="4"/>
        <v>0</v>
      </c>
    </row>
    <row r="84" spans="1:12">
      <c r="A84">
        <v>2.707</v>
      </c>
      <c r="B84">
        <v>-193.4</v>
      </c>
      <c r="C84" s="2">
        <v>37.6</v>
      </c>
      <c r="D84" s="2"/>
      <c r="E84" s="2"/>
      <c r="F84">
        <v>2.674</v>
      </c>
      <c r="G84">
        <v>-193.5</v>
      </c>
      <c r="H84" s="2">
        <v>36.7</v>
      </c>
      <c r="J84">
        <f t="shared" si="3"/>
        <v>2.65</v>
      </c>
      <c r="K84">
        <f t="shared" si="5"/>
        <v>0.5</v>
      </c>
      <c r="L84">
        <f t="shared" si="4"/>
        <v>0</v>
      </c>
    </row>
    <row r="85" spans="1:12">
      <c r="A85">
        <v>2.741</v>
      </c>
      <c r="B85">
        <v>-193.4</v>
      </c>
      <c r="C85" s="2">
        <v>37.2</v>
      </c>
      <c r="D85" s="2"/>
      <c r="E85" s="2"/>
      <c r="F85">
        <v>2.707</v>
      </c>
      <c r="G85">
        <v>-193.4</v>
      </c>
      <c r="H85" s="2">
        <v>37.6</v>
      </c>
      <c r="J85">
        <f t="shared" si="3"/>
        <v>2.7</v>
      </c>
      <c r="K85">
        <f t="shared" si="5"/>
        <v>0.599999999999994</v>
      </c>
      <c r="L85">
        <f t="shared" si="4"/>
        <v>0</v>
      </c>
    </row>
    <row r="86" spans="1:12">
      <c r="A86">
        <v>2.774</v>
      </c>
      <c r="B86">
        <v>-193.4</v>
      </c>
      <c r="C86" s="2">
        <v>37.4</v>
      </c>
      <c r="D86" s="2"/>
      <c r="E86" s="2"/>
      <c r="F86">
        <v>2.741</v>
      </c>
      <c r="G86">
        <v>-193.4</v>
      </c>
      <c r="H86" s="2">
        <v>37.2</v>
      </c>
      <c r="J86">
        <f t="shared" si="3"/>
        <v>2.7</v>
      </c>
      <c r="K86">
        <f t="shared" si="5"/>
        <v>0.599999999999994</v>
      </c>
      <c r="L86">
        <f t="shared" si="4"/>
        <v>0</v>
      </c>
    </row>
    <row r="87" spans="1:12">
      <c r="A87">
        <v>2.807</v>
      </c>
      <c r="B87">
        <v>-193.3</v>
      </c>
      <c r="C87" s="2">
        <v>37.3</v>
      </c>
      <c r="D87" s="2"/>
      <c r="E87" s="2"/>
      <c r="F87">
        <v>2.774</v>
      </c>
      <c r="G87">
        <v>-193.4</v>
      </c>
      <c r="H87" s="2">
        <v>37.4</v>
      </c>
      <c r="J87">
        <f t="shared" si="3"/>
        <v>2.75</v>
      </c>
      <c r="K87">
        <f t="shared" si="5"/>
        <v>0.599999999999994</v>
      </c>
      <c r="L87">
        <f t="shared" si="4"/>
        <v>0</v>
      </c>
    </row>
    <row r="88" spans="1:12">
      <c r="A88">
        <v>2.841</v>
      </c>
      <c r="B88">
        <v>-193.4</v>
      </c>
      <c r="C88" s="2">
        <v>36.8</v>
      </c>
      <c r="D88" s="2"/>
      <c r="E88" s="2"/>
      <c r="F88">
        <v>2.807</v>
      </c>
      <c r="G88">
        <v>-193.3</v>
      </c>
      <c r="H88" s="2">
        <v>37.3</v>
      </c>
      <c r="J88">
        <f t="shared" si="3"/>
        <v>2.8</v>
      </c>
      <c r="K88">
        <f t="shared" si="5"/>
        <v>0.699999999999989</v>
      </c>
      <c r="L88">
        <f t="shared" si="4"/>
        <v>0</v>
      </c>
    </row>
    <row r="89" spans="1:12">
      <c r="A89">
        <v>2.874</v>
      </c>
      <c r="B89">
        <v>-193.3</v>
      </c>
      <c r="C89">
        <v>37.1</v>
      </c>
      <c r="F89">
        <v>2.841</v>
      </c>
      <c r="G89">
        <v>-193.4</v>
      </c>
      <c r="H89" s="2">
        <v>36.8</v>
      </c>
      <c r="J89">
        <f t="shared" si="3"/>
        <v>2.8</v>
      </c>
      <c r="K89">
        <f t="shared" si="5"/>
        <v>0.599999999999994</v>
      </c>
      <c r="L89">
        <f t="shared" si="4"/>
        <v>0</v>
      </c>
    </row>
    <row r="90" spans="1:12">
      <c r="A90">
        <v>2.908</v>
      </c>
      <c r="B90">
        <v>-193.3</v>
      </c>
      <c r="C90">
        <v>37.6</v>
      </c>
      <c r="F90">
        <v>2.874</v>
      </c>
      <c r="G90">
        <v>-193.3</v>
      </c>
      <c r="H90">
        <v>37.1</v>
      </c>
      <c r="J90">
        <f t="shared" si="3"/>
        <v>2.85</v>
      </c>
      <c r="K90">
        <f t="shared" si="5"/>
        <v>0.699999999999989</v>
      </c>
      <c r="L90">
        <f t="shared" si="4"/>
        <v>0</v>
      </c>
    </row>
    <row r="91" spans="1:12">
      <c r="A91">
        <v>2.941</v>
      </c>
      <c r="B91">
        <v>-193.2</v>
      </c>
      <c r="C91">
        <v>36.8</v>
      </c>
      <c r="F91">
        <v>2.908</v>
      </c>
      <c r="G91">
        <v>-193.3</v>
      </c>
      <c r="H91">
        <v>37.6</v>
      </c>
      <c r="J91">
        <f t="shared" si="3"/>
        <v>2.9</v>
      </c>
      <c r="K91">
        <f t="shared" si="5"/>
        <v>0.699999999999989</v>
      </c>
      <c r="L91">
        <f t="shared" si="4"/>
        <v>0</v>
      </c>
    </row>
    <row r="92" spans="1:12">
      <c r="A92">
        <v>2.975</v>
      </c>
      <c r="B92">
        <v>-193.2</v>
      </c>
      <c r="C92">
        <v>37.4</v>
      </c>
      <c r="F92">
        <v>2.941</v>
      </c>
      <c r="G92">
        <v>-193.2</v>
      </c>
      <c r="H92">
        <v>36.8</v>
      </c>
      <c r="J92">
        <f t="shared" si="3"/>
        <v>2.9</v>
      </c>
      <c r="K92">
        <f t="shared" si="5"/>
        <v>0.800000000000011</v>
      </c>
      <c r="L92">
        <f t="shared" si="4"/>
        <v>0</v>
      </c>
    </row>
    <row r="93" spans="1:12">
      <c r="A93">
        <v>3.008</v>
      </c>
      <c r="B93">
        <v>-193.2</v>
      </c>
      <c r="C93">
        <v>37</v>
      </c>
      <c r="F93">
        <v>2.975</v>
      </c>
      <c r="G93">
        <v>-193.2</v>
      </c>
      <c r="H93">
        <v>37.4</v>
      </c>
      <c r="J93">
        <f t="shared" si="3"/>
        <v>2.95</v>
      </c>
      <c r="K93">
        <f t="shared" si="5"/>
        <v>0.800000000000011</v>
      </c>
      <c r="L93">
        <f t="shared" si="4"/>
        <v>0</v>
      </c>
    </row>
    <row r="94" spans="1:12">
      <c r="A94">
        <v>3.041</v>
      </c>
      <c r="B94">
        <v>-193.3</v>
      </c>
      <c r="C94">
        <v>37.1</v>
      </c>
      <c r="F94">
        <v>3.008</v>
      </c>
      <c r="G94">
        <v>-193.2</v>
      </c>
      <c r="H94">
        <v>37</v>
      </c>
      <c r="J94">
        <f t="shared" si="3"/>
        <v>3</v>
      </c>
      <c r="K94">
        <f t="shared" si="5"/>
        <v>0.800000000000011</v>
      </c>
      <c r="L94">
        <f t="shared" si="4"/>
        <v>0</v>
      </c>
    </row>
    <row r="95" spans="1:12">
      <c r="A95">
        <v>3.075</v>
      </c>
      <c r="B95">
        <v>-193.4</v>
      </c>
      <c r="C95">
        <v>37.4</v>
      </c>
      <c r="F95">
        <v>3.041</v>
      </c>
      <c r="G95">
        <v>-193.3</v>
      </c>
      <c r="H95">
        <v>37.1</v>
      </c>
      <c r="J95">
        <f t="shared" si="3"/>
        <v>3</v>
      </c>
      <c r="K95">
        <f t="shared" si="5"/>
        <v>0.699999999999989</v>
      </c>
      <c r="L95">
        <f t="shared" si="4"/>
        <v>0</v>
      </c>
    </row>
    <row r="96" spans="1:12">
      <c r="A96">
        <v>3.108</v>
      </c>
      <c r="B96">
        <v>-193.3</v>
      </c>
      <c r="C96">
        <v>37.2</v>
      </c>
      <c r="F96">
        <v>3.075</v>
      </c>
      <c r="G96">
        <v>-193.4</v>
      </c>
      <c r="H96">
        <v>37.4</v>
      </c>
      <c r="J96">
        <f t="shared" si="3"/>
        <v>3.05</v>
      </c>
      <c r="K96">
        <f t="shared" si="5"/>
        <v>0.599999999999994</v>
      </c>
      <c r="L96">
        <f t="shared" si="4"/>
        <v>0</v>
      </c>
    </row>
    <row r="97" spans="1:12">
      <c r="A97">
        <v>3.142</v>
      </c>
      <c r="B97">
        <v>-193.3</v>
      </c>
      <c r="C97">
        <v>37.8</v>
      </c>
      <c r="F97">
        <v>3.108</v>
      </c>
      <c r="G97">
        <v>-193.3</v>
      </c>
      <c r="H97">
        <v>37.2</v>
      </c>
      <c r="J97">
        <f t="shared" si="3"/>
        <v>3.1</v>
      </c>
      <c r="K97">
        <f t="shared" si="5"/>
        <v>0.699999999999989</v>
      </c>
      <c r="L97">
        <f t="shared" si="4"/>
        <v>0</v>
      </c>
    </row>
    <row r="98" spans="1:12">
      <c r="A98">
        <v>3.175</v>
      </c>
      <c r="B98">
        <v>-193.4</v>
      </c>
      <c r="C98">
        <v>37.4</v>
      </c>
      <c r="F98">
        <v>3.142</v>
      </c>
      <c r="G98">
        <v>-193.3</v>
      </c>
      <c r="H98">
        <v>37.8</v>
      </c>
      <c r="J98">
        <f t="shared" si="3"/>
        <v>3.1</v>
      </c>
      <c r="K98">
        <f t="shared" si="5"/>
        <v>0.699999999999989</v>
      </c>
      <c r="L98">
        <f t="shared" si="4"/>
        <v>0</v>
      </c>
    </row>
    <row r="99" spans="1:12">
      <c r="A99">
        <v>3.208</v>
      </c>
      <c r="B99">
        <v>-193.3</v>
      </c>
      <c r="C99">
        <v>37.4</v>
      </c>
      <c r="F99">
        <v>3.175</v>
      </c>
      <c r="G99">
        <v>-193.4</v>
      </c>
      <c r="H99">
        <v>37.4</v>
      </c>
      <c r="J99">
        <f t="shared" si="3"/>
        <v>3.15</v>
      </c>
      <c r="K99">
        <f t="shared" si="5"/>
        <v>0.599999999999994</v>
      </c>
      <c r="L99">
        <f t="shared" si="4"/>
        <v>0</v>
      </c>
    </row>
    <row r="100" spans="1:12">
      <c r="A100">
        <v>3.242</v>
      </c>
      <c r="B100">
        <v>-193.4</v>
      </c>
      <c r="C100">
        <v>37.6</v>
      </c>
      <c r="F100">
        <v>3.208</v>
      </c>
      <c r="G100">
        <v>-193.3</v>
      </c>
      <c r="H100">
        <v>37.4</v>
      </c>
      <c r="J100">
        <f t="shared" si="3"/>
        <v>3.2</v>
      </c>
      <c r="K100">
        <f t="shared" si="5"/>
        <v>0.699999999999989</v>
      </c>
      <c r="L100">
        <f t="shared" si="4"/>
        <v>0</v>
      </c>
    </row>
    <row r="101" spans="1:12">
      <c r="A101">
        <v>3.275</v>
      </c>
      <c r="B101">
        <v>-193.3</v>
      </c>
      <c r="C101">
        <v>37.2</v>
      </c>
      <c r="F101">
        <v>3.242</v>
      </c>
      <c r="G101">
        <v>-193.4</v>
      </c>
      <c r="H101">
        <v>37.6</v>
      </c>
      <c r="J101">
        <f t="shared" si="3"/>
        <v>3.2</v>
      </c>
      <c r="K101">
        <f t="shared" si="5"/>
        <v>0.599999999999994</v>
      </c>
      <c r="L101">
        <f t="shared" si="4"/>
        <v>0</v>
      </c>
    </row>
    <row r="102" spans="1:12">
      <c r="A102">
        <v>3.309</v>
      </c>
      <c r="B102">
        <v>-193.3</v>
      </c>
      <c r="C102">
        <v>37.1</v>
      </c>
      <c r="F102">
        <v>3.275</v>
      </c>
      <c r="G102">
        <v>-193.3</v>
      </c>
      <c r="H102">
        <v>37.2</v>
      </c>
      <c r="J102">
        <f t="shared" si="3"/>
        <v>3.25</v>
      </c>
      <c r="K102">
        <f t="shared" si="5"/>
        <v>0.699999999999989</v>
      </c>
      <c r="L102">
        <f t="shared" si="4"/>
        <v>0</v>
      </c>
    </row>
    <row r="103" spans="1:12">
      <c r="A103">
        <v>3.342</v>
      </c>
      <c r="B103">
        <v>-193.3</v>
      </c>
      <c r="C103">
        <v>37.1</v>
      </c>
      <c r="F103">
        <v>3.309</v>
      </c>
      <c r="G103">
        <v>-193.3</v>
      </c>
      <c r="H103">
        <v>37.1</v>
      </c>
      <c r="J103">
        <f t="shared" si="3"/>
        <v>3.3</v>
      </c>
      <c r="K103">
        <f t="shared" si="5"/>
        <v>0.699999999999989</v>
      </c>
      <c r="L103">
        <f t="shared" si="4"/>
        <v>0</v>
      </c>
    </row>
    <row r="104" spans="1:12">
      <c r="A104">
        <v>3.376</v>
      </c>
      <c r="B104">
        <v>-193.4</v>
      </c>
      <c r="C104">
        <v>37.6</v>
      </c>
      <c r="F104">
        <v>3.342</v>
      </c>
      <c r="G104">
        <v>-193.3</v>
      </c>
      <c r="H104">
        <v>37.1</v>
      </c>
      <c r="J104">
        <f t="shared" si="3"/>
        <v>3.3</v>
      </c>
      <c r="K104">
        <f t="shared" si="5"/>
        <v>0.699999999999989</v>
      </c>
      <c r="L104">
        <f t="shared" si="4"/>
        <v>0</v>
      </c>
    </row>
    <row r="105" spans="1:12">
      <c r="A105">
        <v>3.409</v>
      </c>
      <c r="B105">
        <v>-193.4</v>
      </c>
      <c r="C105">
        <v>37.2</v>
      </c>
      <c r="F105">
        <v>3.376</v>
      </c>
      <c r="G105">
        <v>-193.4</v>
      </c>
      <c r="H105">
        <v>37.6</v>
      </c>
      <c r="J105">
        <f t="shared" si="3"/>
        <v>3.35</v>
      </c>
      <c r="K105">
        <f t="shared" si="5"/>
        <v>0.599999999999994</v>
      </c>
      <c r="L105">
        <f t="shared" si="4"/>
        <v>0</v>
      </c>
    </row>
    <row r="106" spans="1:12">
      <c r="A106">
        <v>3.442</v>
      </c>
      <c r="B106">
        <v>-193.4</v>
      </c>
      <c r="C106">
        <v>37.5</v>
      </c>
      <c r="F106">
        <v>3.409</v>
      </c>
      <c r="G106">
        <v>-193.4</v>
      </c>
      <c r="H106">
        <v>37.2</v>
      </c>
      <c r="J106">
        <f t="shared" si="3"/>
        <v>3.4</v>
      </c>
      <c r="K106">
        <f t="shared" si="5"/>
        <v>0.599999999999994</v>
      </c>
      <c r="L106">
        <f t="shared" si="4"/>
        <v>0</v>
      </c>
    </row>
    <row r="107" spans="1:12">
      <c r="A107">
        <v>3.476</v>
      </c>
      <c r="B107">
        <v>-193.5</v>
      </c>
      <c r="C107">
        <v>37.5</v>
      </c>
      <c r="F107">
        <v>3.442</v>
      </c>
      <c r="G107">
        <v>-193.4</v>
      </c>
      <c r="H107">
        <v>37.5</v>
      </c>
      <c r="J107">
        <f t="shared" si="3"/>
        <v>3.4</v>
      </c>
      <c r="K107">
        <f t="shared" si="5"/>
        <v>0.599999999999994</v>
      </c>
      <c r="L107">
        <f t="shared" si="4"/>
        <v>0</v>
      </c>
    </row>
    <row r="108" spans="1:12">
      <c r="A108">
        <v>3.509</v>
      </c>
      <c r="B108">
        <v>-193.5</v>
      </c>
      <c r="C108">
        <v>37.4</v>
      </c>
      <c r="F108">
        <v>3.476</v>
      </c>
      <c r="G108">
        <v>-193.5</v>
      </c>
      <c r="H108">
        <v>37.5</v>
      </c>
      <c r="J108">
        <f t="shared" si="3"/>
        <v>3.45</v>
      </c>
      <c r="K108">
        <f t="shared" si="5"/>
        <v>0.5</v>
      </c>
      <c r="L108">
        <f t="shared" si="4"/>
        <v>0</v>
      </c>
    </row>
    <row r="109" spans="1:12">
      <c r="A109">
        <v>3.543</v>
      </c>
      <c r="B109">
        <v>-193.5</v>
      </c>
      <c r="C109">
        <v>37.1</v>
      </c>
      <c r="F109">
        <v>3.509</v>
      </c>
      <c r="G109">
        <v>-193.5</v>
      </c>
      <c r="H109">
        <v>37.4</v>
      </c>
      <c r="J109">
        <f t="shared" si="3"/>
        <v>3.5</v>
      </c>
      <c r="K109">
        <f t="shared" si="5"/>
        <v>0.5</v>
      </c>
      <c r="L109">
        <f t="shared" si="4"/>
        <v>0</v>
      </c>
    </row>
    <row r="110" spans="1:12">
      <c r="A110">
        <v>3.576</v>
      </c>
      <c r="B110">
        <v>-193.5</v>
      </c>
      <c r="C110">
        <v>37.3</v>
      </c>
      <c r="F110">
        <v>3.543</v>
      </c>
      <c r="G110">
        <v>-193.5</v>
      </c>
      <c r="H110">
        <v>37.1</v>
      </c>
      <c r="J110">
        <f t="shared" si="3"/>
        <v>3.5</v>
      </c>
      <c r="K110">
        <f t="shared" si="5"/>
        <v>0.5</v>
      </c>
      <c r="L110">
        <f t="shared" si="4"/>
        <v>0</v>
      </c>
    </row>
    <row r="111" spans="1:12">
      <c r="A111">
        <v>3.61</v>
      </c>
      <c r="B111">
        <v>-193.5</v>
      </c>
      <c r="C111">
        <v>37.4</v>
      </c>
      <c r="F111">
        <v>3.576</v>
      </c>
      <c r="G111">
        <v>-193.5</v>
      </c>
      <c r="H111">
        <v>37.3</v>
      </c>
      <c r="J111">
        <f t="shared" si="3"/>
        <v>3.55</v>
      </c>
      <c r="K111">
        <f t="shared" si="5"/>
        <v>0.5</v>
      </c>
      <c r="L111">
        <f t="shared" si="4"/>
        <v>0</v>
      </c>
    </row>
    <row r="112" spans="1:12">
      <c r="A112">
        <v>3.643</v>
      </c>
      <c r="B112">
        <v>-193.4</v>
      </c>
      <c r="C112">
        <v>36.9</v>
      </c>
      <c r="F112">
        <v>3.61</v>
      </c>
      <c r="G112">
        <v>-193.5</v>
      </c>
      <c r="H112">
        <v>37.4</v>
      </c>
      <c r="J112">
        <f t="shared" si="3"/>
        <v>3.6</v>
      </c>
      <c r="K112">
        <f t="shared" si="5"/>
        <v>0.5</v>
      </c>
      <c r="L112">
        <f t="shared" si="4"/>
        <v>0</v>
      </c>
    </row>
    <row r="113" spans="1:12">
      <c r="A113">
        <v>3.676</v>
      </c>
      <c r="B113">
        <v>-193.5</v>
      </c>
      <c r="C113">
        <v>36.9</v>
      </c>
      <c r="F113">
        <v>3.643</v>
      </c>
      <c r="G113">
        <v>-193.4</v>
      </c>
      <c r="H113">
        <v>36.9</v>
      </c>
      <c r="J113">
        <f t="shared" si="3"/>
        <v>3.6</v>
      </c>
      <c r="K113">
        <f t="shared" si="5"/>
        <v>0.599999999999994</v>
      </c>
      <c r="L113">
        <f t="shared" si="4"/>
        <v>0</v>
      </c>
    </row>
    <row r="114" spans="1:12">
      <c r="A114">
        <v>3.71</v>
      </c>
      <c r="B114">
        <v>-193.6</v>
      </c>
      <c r="C114">
        <v>36.8</v>
      </c>
      <c r="F114">
        <v>3.676</v>
      </c>
      <c r="G114">
        <v>-193.5</v>
      </c>
      <c r="H114">
        <v>36.9</v>
      </c>
      <c r="J114">
        <f t="shared" si="3"/>
        <v>3.65</v>
      </c>
      <c r="K114">
        <f t="shared" si="5"/>
        <v>0.5</v>
      </c>
      <c r="L114">
        <f t="shared" si="4"/>
        <v>0</v>
      </c>
    </row>
    <row r="115" spans="1:12">
      <c r="A115">
        <v>3.743</v>
      </c>
      <c r="B115">
        <v>-193.6</v>
      </c>
      <c r="C115">
        <v>37</v>
      </c>
      <c r="F115">
        <v>3.71</v>
      </c>
      <c r="G115">
        <v>-193.6</v>
      </c>
      <c r="H115">
        <v>36.8</v>
      </c>
      <c r="J115">
        <f t="shared" si="3"/>
        <v>3.7</v>
      </c>
      <c r="K115">
        <f t="shared" si="5"/>
        <v>0.400000000000006</v>
      </c>
      <c r="L115">
        <f t="shared" si="4"/>
        <v>0</v>
      </c>
    </row>
    <row r="116" spans="1:12">
      <c r="A116">
        <v>3.777</v>
      </c>
      <c r="B116">
        <v>-193.6</v>
      </c>
      <c r="C116">
        <v>36.9</v>
      </c>
      <c r="F116">
        <v>3.743</v>
      </c>
      <c r="G116">
        <v>-193.6</v>
      </c>
      <c r="H116">
        <v>37</v>
      </c>
      <c r="J116">
        <f t="shared" si="3"/>
        <v>3.7</v>
      </c>
      <c r="K116">
        <f t="shared" si="5"/>
        <v>0.400000000000006</v>
      </c>
      <c r="L116">
        <f t="shared" si="4"/>
        <v>0</v>
      </c>
    </row>
    <row r="117" spans="1:12">
      <c r="A117">
        <v>3.81</v>
      </c>
      <c r="B117">
        <v>-193.6</v>
      </c>
      <c r="C117">
        <v>37.3</v>
      </c>
      <c r="F117">
        <v>3.777</v>
      </c>
      <c r="G117">
        <v>-193.6</v>
      </c>
      <c r="H117">
        <v>36.9</v>
      </c>
      <c r="J117">
        <f t="shared" si="3"/>
        <v>3.75</v>
      </c>
      <c r="K117">
        <f t="shared" si="5"/>
        <v>0.400000000000006</v>
      </c>
      <c r="L117">
        <f t="shared" si="4"/>
        <v>0</v>
      </c>
    </row>
    <row r="118" spans="1:12">
      <c r="A118">
        <v>3.844</v>
      </c>
      <c r="B118">
        <v>-193.6</v>
      </c>
      <c r="C118">
        <v>37.1</v>
      </c>
      <c r="F118">
        <v>3.81</v>
      </c>
      <c r="G118">
        <v>-193.6</v>
      </c>
      <c r="H118">
        <v>37.3</v>
      </c>
      <c r="J118">
        <f t="shared" si="3"/>
        <v>3.8</v>
      </c>
      <c r="K118">
        <f t="shared" si="5"/>
        <v>0.400000000000006</v>
      </c>
      <c r="L118">
        <f t="shared" si="4"/>
        <v>0</v>
      </c>
    </row>
    <row r="119" spans="1:12">
      <c r="A119">
        <v>3.877</v>
      </c>
      <c r="B119">
        <v>-193.6</v>
      </c>
      <c r="C119">
        <v>36.8</v>
      </c>
      <c r="F119">
        <v>3.844</v>
      </c>
      <c r="G119">
        <v>-193.6</v>
      </c>
      <c r="H119">
        <v>37.1</v>
      </c>
      <c r="J119">
        <f t="shared" si="3"/>
        <v>3.8</v>
      </c>
      <c r="K119">
        <f t="shared" si="5"/>
        <v>0.400000000000006</v>
      </c>
      <c r="L119">
        <f t="shared" si="4"/>
        <v>0</v>
      </c>
    </row>
    <row r="120" spans="1:12">
      <c r="A120">
        <v>3.91</v>
      </c>
      <c r="B120">
        <v>-193.6</v>
      </c>
      <c r="C120">
        <v>37.2</v>
      </c>
      <c r="F120">
        <v>3.877</v>
      </c>
      <c r="G120">
        <v>-193.6</v>
      </c>
      <c r="H120">
        <v>36.8</v>
      </c>
      <c r="J120">
        <f t="shared" si="3"/>
        <v>3.85</v>
      </c>
      <c r="K120">
        <f t="shared" si="5"/>
        <v>0.400000000000006</v>
      </c>
      <c r="L120">
        <f t="shared" si="4"/>
        <v>0</v>
      </c>
    </row>
    <row r="121" spans="1:12">
      <c r="A121">
        <v>3.944</v>
      </c>
      <c r="B121">
        <v>-193.6</v>
      </c>
      <c r="C121">
        <v>37.5</v>
      </c>
      <c r="F121">
        <v>3.91</v>
      </c>
      <c r="G121">
        <v>-193.6</v>
      </c>
      <c r="H121">
        <v>37.2</v>
      </c>
      <c r="J121">
        <f t="shared" si="3"/>
        <v>3.9</v>
      </c>
      <c r="K121">
        <f t="shared" si="5"/>
        <v>0.400000000000006</v>
      </c>
      <c r="L121">
        <f t="shared" si="4"/>
        <v>0</v>
      </c>
    </row>
    <row r="122" spans="1:12">
      <c r="A122">
        <v>3.977</v>
      </c>
      <c r="B122">
        <v>-193.6</v>
      </c>
      <c r="C122">
        <v>37</v>
      </c>
      <c r="F122">
        <v>3.944</v>
      </c>
      <c r="G122">
        <v>-193.6</v>
      </c>
      <c r="H122">
        <v>37.5</v>
      </c>
      <c r="J122">
        <f t="shared" si="3"/>
        <v>3.9</v>
      </c>
      <c r="K122">
        <f t="shared" si="5"/>
        <v>0.400000000000006</v>
      </c>
      <c r="L122">
        <f t="shared" si="4"/>
        <v>0</v>
      </c>
    </row>
    <row r="123" spans="1:12">
      <c r="A123">
        <v>4.011</v>
      </c>
      <c r="B123">
        <v>-193.6</v>
      </c>
      <c r="C123">
        <v>37.3</v>
      </c>
      <c r="F123">
        <v>3.977</v>
      </c>
      <c r="G123">
        <v>-193.6</v>
      </c>
      <c r="H123">
        <v>37</v>
      </c>
      <c r="J123">
        <f t="shared" si="3"/>
        <v>3.95</v>
      </c>
      <c r="K123">
        <f t="shared" si="5"/>
        <v>0.400000000000006</v>
      </c>
      <c r="L123">
        <f t="shared" si="4"/>
        <v>0</v>
      </c>
    </row>
    <row r="124" spans="1:12">
      <c r="A124">
        <v>4.044</v>
      </c>
      <c r="B124">
        <v>-193.6</v>
      </c>
      <c r="C124" s="2">
        <v>37.1</v>
      </c>
      <c r="D124" s="2"/>
      <c r="E124" s="2"/>
      <c r="F124">
        <v>4.011</v>
      </c>
      <c r="G124">
        <v>-193.6</v>
      </c>
      <c r="H124">
        <v>37.3</v>
      </c>
      <c r="J124">
        <f t="shared" si="3"/>
        <v>4</v>
      </c>
      <c r="K124">
        <f t="shared" si="5"/>
        <v>0.400000000000006</v>
      </c>
      <c r="L124">
        <f t="shared" si="4"/>
        <v>0</v>
      </c>
    </row>
    <row r="125" spans="1:12">
      <c r="A125">
        <v>4.077</v>
      </c>
      <c r="B125">
        <v>-193.5</v>
      </c>
      <c r="C125" s="2">
        <v>37.5</v>
      </c>
      <c r="D125" s="2"/>
      <c r="E125" s="2"/>
      <c r="F125">
        <v>4.044</v>
      </c>
      <c r="G125">
        <v>-193.6</v>
      </c>
      <c r="H125" s="2">
        <v>37.1</v>
      </c>
      <c r="J125">
        <f t="shared" si="3"/>
        <v>4</v>
      </c>
      <c r="K125">
        <f t="shared" si="5"/>
        <v>0.400000000000006</v>
      </c>
      <c r="L125">
        <f t="shared" si="4"/>
        <v>0</v>
      </c>
    </row>
    <row r="126" spans="1:12">
      <c r="A126">
        <v>4.111</v>
      </c>
      <c r="B126">
        <v>-193.6</v>
      </c>
      <c r="C126" s="2">
        <v>37</v>
      </c>
      <c r="D126" s="2"/>
      <c r="E126" s="2"/>
      <c r="F126">
        <v>4.077</v>
      </c>
      <c r="G126">
        <v>-193.5</v>
      </c>
      <c r="H126" s="2">
        <v>37.5</v>
      </c>
      <c r="J126">
        <f t="shared" si="3"/>
        <v>4.05</v>
      </c>
      <c r="K126">
        <f t="shared" si="5"/>
        <v>0.5</v>
      </c>
      <c r="L126">
        <f t="shared" si="4"/>
        <v>0</v>
      </c>
    </row>
    <row r="127" spans="1:12">
      <c r="A127">
        <v>4.144</v>
      </c>
      <c r="B127">
        <v>-193.6</v>
      </c>
      <c r="C127" s="2">
        <v>37.6</v>
      </c>
      <c r="D127" s="2"/>
      <c r="E127" s="2"/>
      <c r="F127">
        <v>4.111</v>
      </c>
      <c r="G127">
        <v>-193.6</v>
      </c>
      <c r="H127" s="2">
        <v>37</v>
      </c>
      <c r="J127">
        <f t="shared" si="3"/>
        <v>4.1</v>
      </c>
      <c r="K127">
        <f t="shared" si="5"/>
        <v>0.400000000000006</v>
      </c>
      <c r="L127">
        <f t="shared" si="4"/>
        <v>0</v>
      </c>
    </row>
    <row r="128" spans="1:12">
      <c r="A128">
        <v>4.178</v>
      </c>
      <c r="B128">
        <v>-193.6</v>
      </c>
      <c r="C128" s="2">
        <v>36.7</v>
      </c>
      <c r="D128" s="2"/>
      <c r="E128" s="2"/>
      <c r="F128">
        <v>4.144</v>
      </c>
      <c r="G128">
        <v>-193.6</v>
      </c>
      <c r="H128" s="2">
        <v>37.6</v>
      </c>
      <c r="J128">
        <f t="shared" si="3"/>
        <v>4.1</v>
      </c>
      <c r="K128">
        <f t="shared" si="5"/>
        <v>0.400000000000006</v>
      </c>
      <c r="L128">
        <f t="shared" si="4"/>
        <v>0</v>
      </c>
    </row>
    <row r="129" spans="1:12">
      <c r="A129">
        <v>4.211</v>
      </c>
      <c r="B129">
        <v>-193.6</v>
      </c>
      <c r="C129" s="2">
        <v>36.7</v>
      </c>
      <c r="D129" s="2"/>
      <c r="E129" s="2"/>
      <c r="F129">
        <v>4.178</v>
      </c>
      <c r="G129">
        <v>-193.6</v>
      </c>
      <c r="H129" s="2">
        <v>36.7</v>
      </c>
      <c r="J129">
        <f t="shared" si="3"/>
        <v>4.15</v>
      </c>
      <c r="K129">
        <f t="shared" si="5"/>
        <v>0.400000000000006</v>
      </c>
      <c r="L129">
        <f t="shared" si="4"/>
        <v>0</v>
      </c>
    </row>
    <row r="130" spans="1:12">
      <c r="A130">
        <v>4.245</v>
      </c>
      <c r="B130">
        <v>-193.6</v>
      </c>
      <c r="C130" s="2">
        <v>37.2</v>
      </c>
      <c r="D130" s="2"/>
      <c r="E130" s="2"/>
      <c r="F130">
        <v>4.211</v>
      </c>
      <c r="G130">
        <v>-193.6</v>
      </c>
      <c r="H130" s="2">
        <v>36.7</v>
      </c>
      <c r="J130">
        <f t="shared" si="3"/>
        <v>4.2</v>
      </c>
      <c r="K130">
        <f t="shared" si="5"/>
        <v>0.400000000000006</v>
      </c>
      <c r="L130">
        <f t="shared" si="4"/>
        <v>0</v>
      </c>
    </row>
    <row r="131" spans="1:12">
      <c r="A131">
        <v>4.278</v>
      </c>
      <c r="B131">
        <v>-193.6</v>
      </c>
      <c r="C131" s="2">
        <v>37.2</v>
      </c>
      <c r="D131" s="2"/>
      <c r="E131" s="2"/>
      <c r="F131">
        <v>4.245</v>
      </c>
      <c r="G131">
        <v>-193.6</v>
      </c>
      <c r="H131" s="2">
        <v>37.2</v>
      </c>
      <c r="J131">
        <f t="shared" si="3"/>
        <v>4.2</v>
      </c>
      <c r="K131">
        <f t="shared" si="5"/>
        <v>0.400000000000006</v>
      </c>
      <c r="L131">
        <f t="shared" si="4"/>
        <v>0</v>
      </c>
    </row>
    <row r="132" spans="1:12">
      <c r="A132">
        <v>4.311</v>
      </c>
      <c r="B132">
        <v>-193.5</v>
      </c>
      <c r="C132" s="2">
        <v>37.1</v>
      </c>
      <c r="D132" s="2"/>
      <c r="E132" s="2"/>
      <c r="F132">
        <v>4.278</v>
      </c>
      <c r="G132">
        <v>-193.6</v>
      </c>
      <c r="H132" s="2">
        <v>37.2</v>
      </c>
      <c r="J132">
        <f t="shared" ref="J132:J195" si="6">FLOOR(F132,0.05)</f>
        <v>4.25</v>
      </c>
      <c r="K132">
        <f t="shared" si="5"/>
        <v>0.400000000000006</v>
      </c>
      <c r="L132">
        <f t="shared" ref="L132:L195" si="7">IF(H132&lt;230,0,5)</f>
        <v>0</v>
      </c>
    </row>
    <row r="133" spans="1:12">
      <c r="A133">
        <v>4.345</v>
      </c>
      <c r="B133">
        <v>-193.5</v>
      </c>
      <c r="C133" s="2">
        <v>37.8</v>
      </c>
      <c r="D133" s="2"/>
      <c r="E133" s="2"/>
      <c r="F133">
        <v>4.311</v>
      </c>
      <c r="G133">
        <v>-193.5</v>
      </c>
      <c r="H133" s="2">
        <v>37.1</v>
      </c>
      <c r="J133">
        <f t="shared" si="6"/>
        <v>4.3</v>
      </c>
      <c r="K133">
        <f t="shared" ref="K133:K196" si="8">G133+194</f>
        <v>0.5</v>
      </c>
      <c r="L133">
        <f t="shared" si="7"/>
        <v>0</v>
      </c>
    </row>
    <row r="134" spans="1:12">
      <c r="A134">
        <v>4.378</v>
      </c>
      <c r="B134">
        <v>-193.6</v>
      </c>
      <c r="C134" s="2">
        <v>37.4</v>
      </c>
      <c r="D134" s="2"/>
      <c r="E134" s="2"/>
      <c r="F134">
        <v>4.345</v>
      </c>
      <c r="G134">
        <v>-193.5</v>
      </c>
      <c r="H134" s="2">
        <v>37.8</v>
      </c>
      <c r="J134">
        <f t="shared" si="6"/>
        <v>4.3</v>
      </c>
      <c r="K134">
        <f t="shared" si="8"/>
        <v>0.5</v>
      </c>
      <c r="L134">
        <f t="shared" si="7"/>
        <v>0</v>
      </c>
    </row>
    <row r="135" spans="1:12">
      <c r="A135">
        <v>4.412</v>
      </c>
      <c r="B135">
        <v>-193.5</v>
      </c>
      <c r="C135" s="2">
        <v>37.2</v>
      </c>
      <c r="D135" s="2"/>
      <c r="E135" s="2"/>
      <c r="F135">
        <v>4.378</v>
      </c>
      <c r="G135">
        <v>-193.6</v>
      </c>
      <c r="H135" s="2">
        <v>37.4</v>
      </c>
      <c r="J135">
        <f t="shared" si="6"/>
        <v>4.35</v>
      </c>
      <c r="K135">
        <f t="shared" si="8"/>
        <v>0.400000000000006</v>
      </c>
      <c r="L135">
        <f t="shared" si="7"/>
        <v>0</v>
      </c>
    </row>
    <row r="136" spans="1:12">
      <c r="A136">
        <v>4.445</v>
      </c>
      <c r="B136">
        <v>-193.6</v>
      </c>
      <c r="C136" s="2">
        <v>37.5</v>
      </c>
      <c r="D136" s="2"/>
      <c r="E136" s="2"/>
      <c r="F136">
        <v>4.412</v>
      </c>
      <c r="G136">
        <v>-193.5</v>
      </c>
      <c r="H136" s="2">
        <v>37.2</v>
      </c>
      <c r="J136">
        <f t="shared" si="6"/>
        <v>4.4</v>
      </c>
      <c r="K136">
        <f t="shared" si="8"/>
        <v>0.5</v>
      </c>
      <c r="L136">
        <f t="shared" si="7"/>
        <v>0</v>
      </c>
    </row>
    <row r="137" spans="1:12">
      <c r="A137">
        <v>4.479</v>
      </c>
      <c r="B137">
        <v>-193.5</v>
      </c>
      <c r="C137" s="2">
        <v>37.8</v>
      </c>
      <c r="D137" s="2"/>
      <c r="E137" s="2"/>
      <c r="F137">
        <v>4.445</v>
      </c>
      <c r="G137">
        <v>-193.6</v>
      </c>
      <c r="H137" s="2">
        <v>37.5</v>
      </c>
      <c r="J137">
        <f t="shared" si="6"/>
        <v>4.4</v>
      </c>
      <c r="K137">
        <f t="shared" si="8"/>
        <v>0.400000000000006</v>
      </c>
      <c r="L137">
        <f t="shared" si="7"/>
        <v>0</v>
      </c>
    </row>
    <row r="138" spans="1:12">
      <c r="A138">
        <v>4.512</v>
      </c>
      <c r="B138">
        <v>-193.5</v>
      </c>
      <c r="C138" s="2">
        <v>37.4</v>
      </c>
      <c r="D138" s="2"/>
      <c r="E138" s="2"/>
      <c r="F138">
        <v>4.479</v>
      </c>
      <c r="G138">
        <v>-193.5</v>
      </c>
      <c r="H138" s="2">
        <v>37.8</v>
      </c>
      <c r="J138">
        <f t="shared" si="6"/>
        <v>4.45</v>
      </c>
      <c r="K138">
        <f t="shared" si="8"/>
        <v>0.5</v>
      </c>
      <c r="L138">
        <f t="shared" si="7"/>
        <v>0</v>
      </c>
    </row>
    <row r="139" spans="1:12">
      <c r="A139">
        <v>4.545</v>
      </c>
      <c r="B139">
        <v>-193.5</v>
      </c>
      <c r="C139" s="2">
        <v>37.3</v>
      </c>
      <c r="D139" s="2"/>
      <c r="E139" s="2"/>
      <c r="F139">
        <v>4.512</v>
      </c>
      <c r="G139">
        <v>-193.5</v>
      </c>
      <c r="H139" s="2">
        <v>37.4</v>
      </c>
      <c r="J139">
        <f t="shared" si="6"/>
        <v>4.5</v>
      </c>
      <c r="K139">
        <f t="shared" si="8"/>
        <v>0.5</v>
      </c>
      <c r="L139">
        <f t="shared" si="7"/>
        <v>0</v>
      </c>
    </row>
    <row r="140" spans="1:12">
      <c r="A140">
        <v>4.579</v>
      </c>
      <c r="B140">
        <v>-193.5</v>
      </c>
      <c r="C140" s="2">
        <v>37.5</v>
      </c>
      <c r="D140" s="2"/>
      <c r="E140" s="2"/>
      <c r="F140">
        <v>4.545</v>
      </c>
      <c r="G140">
        <v>-193.5</v>
      </c>
      <c r="H140" s="2">
        <v>37.3</v>
      </c>
      <c r="J140">
        <f t="shared" si="6"/>
        <v>4.5</v>
      </c>
      <c r="K140">
        <f t="shared" si="8"/>
        <v>0.5</v>
      </c>
      <c r="L140">
        <f t="shared" si="7"/>
        <v>0</v>
      </c>
    </row>
    <row r="141" spans="1:12">
      <c r="A141">
        <v>4.612</v>
      </c>
      <c r="B141">
        <v>-193.5</v>
      </c>
      <c r="C141" s="2">
        <v>37</v>
      </c>
      <c r="D141" s="2"/>
      <c r="E141" s="2"/>
      <c r="F141">
        <v>4.579</v>
      </c>
      <c r="G141">
        <v>-193.5</v>
      </c>
      <c r="H141" s="2">
        <v>37.5</v>
      </c>
      <c r="J141">
        <f t="shared" si="6"/>
        <v>4.55</v>
      </c>
      <c r="K141">
        <f t="shared" si="8"/>
        <v>0.5</v>
      </c>
      <c r="L141">
        <f t="shared" si="7"/>
        <v>0</v>
      </c>
    </row>
    <row r="142" spans="1:12">
      <c r="A142">
        <v>4.646</v>
      </c>
      <c r="B142">
        <v>-193.5</v>
      </c>
      <c r="C142" s="2">
        <v>37.5</v>
      </c>
      <c r="D142" s="2"/>
      <c r="E142" s="2"/>
      <c r="F142">
        <v>4.612</v>
      </c>
      <c r="G142">
        <v>-193.5</v>
      </c>
      <c r="H142" s="2">
        <v>37</v>
      </c>
      <c r="J142">
        <f t="shared" si="6"/>
        <v>4.6</v>
      </c>
      <c r="K142">
        <f t="shared" si="8"/>
        <v>0.5</v>
      </c>
      <c r="L142">
        <f t="shared" si="7"/>
        <v>0</v>
      </c>
    </row>
    <row r="143" spans="1:12">
      <c r="A143">
        <v>4.679</v>
      </c>
      <c r="B143">
        <v>-193.4</v>
      </c>
      <c r="C143" s="2">
        <v>197.3</v>
      </c>
      <c r="D143" s="2"/>
      <c r="E143" s="2"/>
      <c r="F143">
        <v>4.646</v>
      </c>
      <c r="G143">
        <v>-193.5</v>
      </c>
      <c r="H143" s="2">
        <v>37.5</v>
      </c>
      <c r="J143">
        <f t="shared" si="6"/>
        <v>4.6</v>
      </c>
      <c r="K143">
        <f t="shared" si="8"/>
        <v>0.5</v>
      </c>
      <c r="L143">
        <f t="shared" si="7"/>
        <v>0</v>
      </c>
    </row>
    <row r="144" spans="1:12">
      <c r="A144">
        <v>4.712</v>
      </c>
      <c r="B144">
        <v>-193.4</v>
      </c>
      <c r="C144" s="2">
        <v>238.2</v>
      </c>
      <c r="D144" s="2"/>
      <c r="E144" s="2"/>
      <c r="F144">
        <v>4.679</v>
      </c>
      <c r="G144">
        <v>-193.4</v>
      </c>
      <c r="H144" s="2">
        <v>197.3</v>
      </c>
      <c r="J144">
        <f t="shared" si="6"/>
        <v>4.65</v>
      </c>
      <c r="K144">
        <f t="shared" si="8"/>
        <v>0.599999999999994</v>
      </c>
      <c r="L144">
        <f t="shared" si="7"/>
        <v>0</v>
      </c>
    </row>
    <row r="145" spans="1:12">
      <c r="A145">
        <v>4.746</v>
      </c>
      <c r="B145">
        <v>-193.3</v>
      </c>
      <c r="C145" s="2">
        <v>238.2</v>
      </c>
      <c r="D145" s="2"/>
      <c r="E145" s="2"/>
      <c r="F145">
        <v>4.712</v>
      </c>
      <c r="G145">
        <v>-193.4</v>
      </c>
      <c r="H145" s="2">
        <v>238.2</v>
      </c>
      <c r="J145">
        <f t="shared" si="6"/>
        <v>4.7</v>
      </c>
      <c r="K145">
        <f t="shared" si="8"/>
        <v>0.599999999999994</v>
      </c>
      <c r="L145">
        <f t="shared" si="7"/>
        <v>5</v>
      </c>
    </row>
    <row r="146" spans="1:12">
      <c r="A146">
        <v>4.779</v>
      </c>
      <c r="B146">
        <v>-193.3</v>
      </c>
      <c r="C146" s="2">
        <v>238.2</v>
      </c>
      <c r="D146" s="2"/>
      <c r="E146" s="2"/>
      <c r="F146">
        <v>4.746</v>
      </c>
      <c r="G146">
        <v>-193.3</v>
      </c>
      <c r="H146" s="2">
        <v>238.2</v>
      </c>
      <c r="J146">
        <f t="shared" si="6"/>
        <v>4.7</v>
      </c>
      <c r="K146">
        <f t="shared" si="8"/>
        <v>0.699999999999989</v>
      </c>
      <c r="L146">
        <f t="shared" si="7"/>
        <v>5</v>
      </c>
    </row>
    <row r="147" spans="1:12">
      <c r="A147">
        <v>4.813</v>
      </c>
      <c r="B147">
        <v>-193.4</v>
      </c>
      <c r="C147" s="2">
        <v>238.2</v>
      </c>
      <c r="D147" s="2"/>
      <c r="E147" s="2"/>
      <c r="F147">
        <v>4.779</v>
      </c>
      <c r="G147">
        <v>-193.3</v>
      </c>
      <c r="H147" s="2">
        <v>238.2</v>
      </c>
      <c r="J147">
        <f t="shared" si="6"/>
        <v>4.75</v>
      </c>
      <c r="K147">
        <f t="shared" si="8"/>
        <v>0.699999999999989</v>
      </c>
      <c r="L147">
        <f t="shared" si="7"/>
        <v>5</v>
      </c>
    </row>
    <row r="148" spans="1:12">
      <c r="A148">
        <v>4.846</v>
      </c>
      <c r="B148">
        <v>-193.2</v>
      </c>
      <c r="C148" s="2">
        <v>238.2</v>
      </c>
      <c r="D148" s="2"/>
      <c r="E148" s="2"/>
      <c r="F148">
        <v>4.813</v>
      </c>
      <c r="G148">
        <v>-193.4</v>
      </c>
      <c r="H148" s="2">
        <v>238.2</v>
      </c>
      <c r="J148">
        <f t="shared" si="6"/>
        <v>4.8</v>
      </c>
      <c r="K148">
        <f t="shared" si="8"/>
        <v>0.599999999999994</v>
      </c>
      <c r="L148">
        <f t="shared" si="7"/>
        <v>5</v>
      </c>
    </row>
    <row r="149" spans="1:12">
      <c r="A149">
        <v>4.88</v>
      </c>
      <c r="B149">
        <v>-193.3</v>
      </c>
      <c r="C149" s="2">
        <v>238.2</v>
      </c>
      <c r="D149" s="2"/>
      <c r="E149" s="2"/>
      <c r="F149">
        <v>4.846</v>
      </c>
      <c r="G149">
        <v>-193.2</v>
      </c>
      <c r="H149" s="2">
        <v>238.2</v>
      </c>
      <c r="J149">
        <f t="shared" si="6"/>
        <v>4.8</v>
      </c>
      <c r="K149">
        <f t="shared" si="8"/>
        <v>0.800000000000011</v>
      </c>
      <c r="L149">
        <f t="shared" si="7"/>
        <v>5</v>
      </c>
    </row>
    <row r="150" spans="1:12">
      <c r="A150">
        <v>4.913</v>
      </c>
      <c r="B150">
        <v>-193.3</v>
      </c>
      <c r="C150" s="2">
        <v>238.2</v>
      </c>
      <c r="D150" s="2"/>
      <c r="E150" s="2"/>
      <c r="F150">
        <v>4.88</v>
      </c>
      <c r="G150">
        <v>-193.3</v>
      </c>
      <c r="H150" s="2">
        <v>238.2</v>
      </c>
      <c r="J150">
        <f t="shared" si="6"/>
        <v>4.85</v>
      </c>
      <c r="K150">
        <f t="shared" si="8"/>
        <v>0.699999999999989</v>
      </c>
      <c r="L150">
        <f t="shared" si="7"/>
        <v>5</v>
      </c>
    </row>
    <row r="151" spans="1:12">
      <c r="A151">
        <v>4.946</v>
      </c>
      <c r="B151">
        <v>-193.3</v>
      </c>
      <c r="C151" s="2">
        <v>238.2</v>
      </c>
      <c r="D151" s="2"/>
      <c r="E151" s="2"/>
      <c r="F151">
        <v>4.913</v>
      </c>
      <c r="G151">
        <v>-193.3</v>
      </c>
      <c r="H151" s="2">
        <v>238.2</v>
      </c>
      <c r="J151">
        <f t="shared" si="6"/>
        <v>4.9</v>
      </c>
      <c r="K151">
        <f t="shared" si="8"/>
        <v>0.699999999999989</v>
      </c>
      <c r="L151">
        <f t="shared" si="7"/>
        <v>5</v>
      </c>
    </row>
    <row r="152" spans="1:12">
      <c r="A152">
        <v>4.98</v>
      </c>
      <c r="B152">
        <v>-193.4</v>
      </c>
      <c r="C152" s="2">
        <v>238.2</v>
      </c>
      <c r="D152" s="2"/>
      <c r="E152" s="2"/>
      <c r="F152">
        <v>4.946</v>
      </c>
      <c r="G152">
        <v>-193.3</v>
      </c>
      <c r="H152" s="2">
        <v>238.2</v>
      </c>
      <c r="J152">
        <f t="shared" si="6"/>
        <v>4.9</v>
      </c>
      <c r="K152">
        <f t="shared" si="8"/>
        <v>0.699999999999989</v>
      </c>
      <c r="L152">
        <f t="shared" si="7"/>
        <v>5</v>
      </c>
    </row>
    <row r="153" spans="1:12">
      <c r="A153">
        <v>5.013</v>
      </c>
      <c r="B153">
        <v>-193.3</v>
      </c>
      <c r="C153">
        <v>238.4</v>
      </c>
      <c r="F153">
        <v>4.98</v>
      </c>
      <c r="G153">
        <v>-193.4</v>
      </c>
      <c r="H153" s="2">
        <v>238.2</v>
      </c>
      <c r="J153">
        <f t="shared" si="6"/>
        <v>4.95</v>
      </c>
      <c r="K153">
        <f t="shared" si="8"/>
        <v>0.599999999999994</v>
      </c>
      <c r="L153">
        <f t="shared" si="7"/>
        <v>5</v>
      </c>
    </row>
    <row r="154" spans="1:12">
      <c r="A154">
        <v>5.047</v>
      </c>
      <c r="B154">
        <v>-193.4</v>
      </c>
      <c r="C154">
        <v>238.4</v>
      </c>
      <c r="F154">
        <v>5.013</v>
      </c>
      <c r="G154">
        <v>-193.3</v>
      </c>
      <c r="H154">
        <v>238.4</v>
      </c>
      <c r="J154">
        <f t="shared" si="6"/>
        <v>5</v>
      </c>
      <c r="K154">
        <f t="shared" si="8"/>
        <v>0.699999999999989</v>
      </c>
      <c r="L154">
        <f t="shared" si="7"/>
        <v>5</v>
      </c>
    </row>
    <row r="155" spans="1:12">
      <c r="A155">
        <v>5.08</v>
      </c>
      <c r="B155">
        <v>-193.4</v>
      </c>
      <c r="C155">
        <v>238.4</v>
      </c>
      <c r="F155">
        <v>5.047</v>
      </c>
      <c r="G155">
        <v>-193.4</v>
      </c>
      <c r="H155">
        <v>238.4</v>
      </c>
      <c r="J155">
        <f t="shared" si="6"/>
        <v>5</v>
      </c>
      <c r="K155">
        <f t="shared" si="8"/>
        <v>0.599999999999994</v>
      </c>
      <c r="L155">
        <f t="shared" si="7"/>
        <v>5</v>
      </c>
    </row>
    <row r="156" spans="1:12">
      <c r="A156">
        <v>5.114</v>
      </c>
      <c r="B156">
        <v>-193.5</v>
      </c>
      <c r="C156">
        <v>238.4</v>
      </c>
      <c r="F156">
        <v>5.08</v>
      </c>
      <c r="G156">
        <v>-193.4</v>
      </c>
      <c r="H156">
        <v>238.4</v>
      </c>
      <c r="J156">
        <f t="shared" si="6"/>
        <v>5.05</v>
      </c>
      <c r="K156">
        <f t="shared" si="8"/>
        <v>0.599999999999994</v>
      </c>
      <c r="L156">
        <f t="shared" si="7"/>
        <v>5</v>
      </c>
    </row>
    <row r="157" spans="1:12">
      <c r="A157">
        <v>5.147</v>
      </c>
      <c r="B157">
        <v>-193.4</v>
      </c>
      <c r="C157">
        <v>238.4</v>
      </c>
      <c r="F157">
        <v>5.114</v>
      </c>
      <c r="G157">
        <v>-193.5</v>
      </c>
      <c r="H157">
        <v>238.4</v>
      </c>
      <c r="J157">
        <f t="shared" si="6"/>
        <v>5.1</v>
      </c>
      <c r="K157">
        <f t="shared" si="8"/>
        <v>0.5</v>
      </c>
      <c r="L157">
        <f t="shared" si="7"/>
        <v>5</v>
      </c>
    </row>
    <row r="158" spans="1:12">
      <c r="A158">
        <v>5.18</v>
      </c>
      <c r="B158">
        <v>-193.5</v>
      </c>
      <c r="C158">
        <v>238.4</v>
      </c>
      <c r="F158">
        <v>5.147</v>
      </c>
      <c r="G158">
        <v>-193.4</v>
      </c>
      <c r="H158">
        <v>238.4</v>
      </c>
      <c r="J158">
        <f t="shared" si="6"/>
        <v>5.1</v>
      </c>
      <c r="K158">
        <f t="shared" si="8"/>
        <v>0.599999999999994</v>
      </c>
      <c r="L158">
        <f t="shared" si="7"/>
        <v>5</v>
      </c>
    </row>
    <row r="159" spans="1:12">
      <c r="A159">
        <v>5.214</v>
      </c>
      <c r="B159">
        <v>-193.6</v>
      </c>
      <c r="C159">
        <v>238.4</v>
      </c>
      <c r="F159">
        <v>5.18</v>
      </c>
      <c r="G159">
        <v>-193.5</v>
      </c>
      <c r="H159">
        <v>238.4</v>
      </c>
      <c r="J159">
        <f t="shared" si="6"/>
        <v>5.15</v>
      </c>
      <c r="K159">
        <f t="shared" si="8"/>
        <v>0.5</v>
      </c>
      <c r="L159">
        <f t="shared" si="7"/>
        <v>5</v>
      </c>
    </row>
    <row r="160" spans="1:12">
      <c r="A160">
        <v>5.247</v>
      </c>
      <c r="B160">
        <v>-193.6</v>
      </c>
      <c r="C160">
        <v>238.4</v>
      </c>
      <c r="F160">
        <v>5.214</v>
      </c>
      <c r="G160">
        <v>-193.6</v>
      </c>
      <c r="H160">
        <v>238.4</v>
      </c>
      <c r="J160">
        <f t="shared" si="6"/>
        <v>5.2</v>
      </c>
      <c r="K160">
        <f t="shared" si="8"/>
        <v>0.400000000000006</v>
      </c>
      <c r="L160">
        <f t="shared" si="7"/>
        <v>5</v>
      </c>
    </row>
    <row r="161" spans="1:12">
      <c r="A161">
        <v>5.281</v>
      </c>
      <c r="B161">
        <v>-193.5</v>
      </c>
      <c r="C161">
        <v>238.4</v>
      </c>
      <c r="F161">
        <v>5.247</v>
      </c>
      <c r="G161">
        <v>-193.6</v>
      </c>
      <c r="H161">
        <v>238.4</v>
      </c>
      <c r="J161">
        <f t="shared" si="6"/>
        <v>5.2</v>
      </c>
      <c r="K161">
        <f t="shared" si="8"/>
        <v>0.400000000000006</v>
      </c>
      <c r="L161">
        <f t="shared" si="7"/>
        <v>5</v>
      </c>
    </row>
    <row r="162" spans="1:12">
      <c r="A162">
        <v>5.314</v>
      </c>
      <c r="B162">
        <v>-193.7</v>
      </c>
      <c r="C162">
        <v>238.4</v>
      </c>
      <c r="F162">
        <v>5.281</v>
      </c>
      <c r="G162">
        <v>-193.5</v>
      </c>
      <c r="H162">
        <v>238.4</v>
      </c>
      <c r="J162">
        <f t="shared" si="6"/>
        <v>5.25</v>
      </c>
      <c r="K162">
        <f t="shared" si="8"/>
        <v>0.5</v>
      </c>
      <c r="L162">
        <f t="shared" si="7"/>
        <v>5</v>
      </c>
    </row>
    <row r="163" spans="1:12">
      <c r="A163">
        <v>5.347</v>
      </c>
      <c r="B163">
        <v>-193.6</v>
      </c>
      <c r="C163">
        <v>238.4</v>
      </c>
      <c r="F163">
        <v>5.314</v>
      </c>
      <c r="G163">
        <v>-193.7</v>
      </c>
      <c r="H163">
        <v>238.4</v>
      </c>
      <c r="J163">
        <f t="shared" si="6"/>
        <v>5.3</v>
      </c>
      <c r="K163">
        <f t="shared" si="8"/>
        <v>0.300000000000011</v>
      </c>
      <c r="L163">
        <f t="shared" si="7"/>
        <v>5</v>
      </c>
    </row>
    <row r="164" spans="1:12">
      <c r="A164">
        <v>5.381</v>
      </c>
      <c r="B164">
        <v>-193.6</v>
      </c>
      <c r="C164">
        <v>238.4</v>
      </c>
      <c r="F164">
        <v>5.347</v>
      </c>
      <c r="G164">
        <v>-193.6</v>
      </c>
      <c r="H164">
        <v>238.4</v>
      </c>
      <c r="J164">
        <f t="shared" si="6"/>
        <v>5.3</v>
      </c>
      <c r="K164">
        <f t="shared" si="8"/>
        <v>0.400000000000006</v>
      </c>
      <c r="L164">
        <f t="shared" si="7"/>
        <v>5</v>
      </c>
    </row>
    <row r="165" spans="1:12">
      <c r="A165">
        <v>5.414</v>
      </c>
      <c r="B165">
        <v>-193.5</v>
      </c>
      <c r="C165">
        <v>107.7</v>
      </c>
      <c r="F165">
        <v>5.381</v>
      </c>
      <c r="G165">
        <v>-193.6</v>
      </c>
      <c r="H165">
        <v>238.4</v>
      </c>
      <c r="J165">
        <f t="shared" si="6"/>
        <v>5.35</v>
      </c>
      <c r="K165">
        <f t="shared" si="8"/>
        <v>0.400000000000006</v>
      </c>
      <c r="L165">
        <f t="shared" si="7"/>
        <v>5</v>
      </c>
    </row>
    <row r="166" spans="1:12">
      <c r="A166">
        <v>5.448</v>
      </c>
      <c r="B166">
        <v>-193.5</v>
      </c>
      <c r="C166">
        <v>60.5</v>
      </c>
      <c r="F166">
        <v>5.414</v>
      </c>
      <c r="G166">
        <v>-193.5</v>
      </c>
      <c r="H166">
        <v>107.7</v>
      </c>
      <c r="J166">
        <f t="shared" si="6"/>
        <v>5.4</v>
      </c>
      <c r="K166">
        <f t="shared" si="8"/>
        <v>0.5</v>
      </c>
      <c r="L166">
        <f t="shared" si="7"/>
        <v>0</v>
      </c>
    </row>
    <row r="167" spans="1:12">
      <c r="A167">
        <v>5.481</v>
      </c>
      <c r="B167">
        <v>-193.6</v>
      </c>
      <c r="C167">
        <v>60.7</v>
      </c>
      <c r="F167">
        <v>5.448</v>
      </c>
      <c r="G167">
        <v>-193.5</v>
      </c>
      <c r="H167">
        <v>60.5</v>
      </c>
      <c r="J167">
        <f t="shared" si="6"/>
        <v>5.4</v>
      </c>
      <c r="K167">
        <f t="shared" si="8"/>
        <v>0.5</v>
      </c>
      <c r="L167">
        <f t="shared" si="7"/>
        <v>0</v>
      </c>
    </row>
    <row r="168" spans="1:12">
      <c r="A168">
        <v>5.515</v>
      </c>
      <c r="B168">
        <v>-193.6</v>
      </c>
      <c r="C168">
        <v>60.3</v>
      </c>
      <c r="F168">
        <v>5.481</v>
      </c>
      <c r="G168">
        <v>-193.6</v>
      </c>
      <c r="H168">
        <v>60.7</v>
      </c>
      <c r="J168">
        <f t="shared" si="6"/>
        <v>5.45</v>
      </c>
      <c r="K168">
        <f t="shared" si="8"/>
        <v>0.400000000000006</v>
      </c>
      <c r="L168">
        <f t="shared" si="7"/>
        <v>0</v>
      </c>
    </row>
    <row r="169" spans="1:12">
      <c r="A169">
        <v>5.548</v>
      </c>
      <c r="B169">
        <v>-193.6</v>
      </c>
      <c r="C169">
        <v>60.4</v>
      </c>
      <c r="F169">
        <v>5.515</v>
      </c>
      <c r="G169">
        <v>-193.6</v>
      </c>
      <c r="H169">
        <v>60.3</v>
      </c>
      <c r="J169">
        <f t="shared" si="6"/>
        <v>5.5</v>
      </c>
      <c r="K169">
        <f t="shared" si="8"/>
        <v>0.400000000000006</v>
      </c>
      <c r="L169">
        <f t="shared" si="7"/>
        <v>0</v>
      </c>
    </row>
    <row r="170" spans="1:12">
      <c r="A170">
        <v>5.581</v>
      </c>
      <c r="B170">
        <v>-193.6</v>
      </c>
      <c r="C170">
        <v>60.5</v>
      </c>
      <c r="F170">
        <v>5.548</v>
      </c>
      <c r="G170">
        <v>-193.6</v>
      </c>
      <c r="H170">
        <v>60.4</v>
      </c>
      <c r="J170">
        <f t="shared" si="6"/>
        <v>5.5</v>
      </c>
      <c r="K170">
        <f t="shared" si="8"/>
        <v>0.400000000000006</v>
      </c>
      <c r="L170">
        <f t="shared" si="7"/>
        <v>0</v>
      </c>
    </row>
    <row r="171" spans="1:12">
      <c r="A171">
        <v>5.615</v>
      </c>
      <c r="B171">
        <v>-193.6</v>
      </c>
      <c r="C171">
        <v>60.4</v>
      </c>
      <c r="F171">
        <v>5.581</v>
      </c>
      <c r="G171">
        <v>-193.6</v>
      </c>
      <c r="H171">
        <v>60.5</v>
      </c>
      <c r="J171">
        <f t="shared" si="6"/>
        <v>5.55</v>
      </c>
      <c r="K171">
        <f t="shared" si="8"/>
        <v>0.400000000000006</v>
      </c>
      <c r="L171">
        <f t="shared" si="7"/>
        <v>0</v>
      </c>
    </row>
    <row r="172" spans="1:12">
      <c r="A172">
        <v>5.648</v>
      </c>
      <c r="B172">
        <v>-193.6</v>
      </c>
      <c r="C172">
        <v>60.4</v>
      </c>
      <c r="F172">
        <v>5.615</v>
      </c>
      <c r="G172">
        <v>-193.6</v>
      </c>
      <c r="H172">
        <v>60.4</v>
      </c>
      <c r="J172">
        <f t="shared" si="6"/>
        <v>5.6</v>
      </c>
      <c r="K172">
        <f t="shared" si="8"/>
        <v>0.400000000000006</v>
      </c>
      <c r="L172">
        <f t="shared" si="7"/>
        <v>0</v>
      </c>
    </row>
    <row r="173" spans="1:12">
      <c r="A173">
        <v>5.682</v>
      </c>
      <c r="B173">
        <v>-193.7</v>
      </c>
      <c r="C173">
        <v>60.3</v>
      </c>
      <c r="F173">
        <v>5.648</v>
      </c>
      <c r="G173">
        <v>-193.6</v>
      </c>
      <c r="H173">
        <v>60.4</v>
      </c>
      <c r="J173">
        <f t="shared" si="6"/>
        <v>5.6</v>
      </c>
      <c r="K173">
        <f t="shared" si="8"/>
        <v>0.400000000000006</v>
      </c>
      <c r="L173">
        <f t="shared" si="7"/>
        <v>0</v>
      </c>
    </row>
    <row r="174" spans="1:12">
      <c r="A174">
        <v>5.715</v>
      </c>
      <c r="B174">
        <v>-193.6</v>
      </c>
      <c r="C174">
        <v>60.1</v>
      </c>
      <c r="F174">
        <v>5.682</v>
      </c>
      <c r="G174">
        <v>-193.7</v>
      </c>
      <c r="H174">
        <v>60.3</v>
      </c>
      <c r="J174">
        <f t="shared" si="6"/>
        <v>5.65</v>
      </c>
      <c r="K174">
        <f t="shared" si="8"/>
        <v>0.300000000000011</v>
      </c>
      <c r="L174">
        <f t="shared" si="7"/>
        <v>0</v>
      </c>
    </row>
    <row r="175" spans="1:12">
      <c r="A175">
        <v>5.749</v>
      </c>
      <c r="B175">
        <v>-193.6</v>
      </c>
      <c r="C175">
        <v>60.2</v>
      </c>
      <c r="F175">
        <v>5.715</v>
      </c>
      <c r="G175">
        <v>-193.6</v>
      </c>
      <c r="H175">
        <v>60.1</v>
      </c>
      <c r="J175">
        <f t="shared" si="6"/>
        <v>5.7</v>
      </c>
      <c r="K175">
        <f t="shared" si="8"/>
        <v>0.400000000000006</v>
      </c>
      <c r="L175">
        <f t="shared" si="7"/>
        <v>0</v>
      </c>
    </row>
    <row r="176" spans="1:12">
      <c r="A176">
        <v>5.782</v>
      </c>
      <c r="B176">
        <v>-193.7</v>
      </c>
      <c r="C176">
        <v>60.3</v>
      </c>
      <c r="F176">
        <v>5.749</v>
      </c>
      <c r="G176">
        <v>-193.6</v>
      </c>
      <c r="H176">
        <v>60.2</v>
      </c>
      <c r="J176">
        <f t="shared" si="6"/>
        <v>5.7</v>
      </c>
      <c r="K176">
        <f t="shared" si="8"/>
        <v>0.400000000000006</v>
      </c>
      <c r="L176">
        <f t="shared" si="7"/>
        <v>0</v>
      </c>
    </row>
    <row r="177" spans="1:12">
      <c r="A177">
        <v>5.815</v>
      </c>
      <c r="B177">
        <v>-193.7</v>
      </c>
      <c r="C177">
        <v>60.1</v>
      </c>
      <c r="F177">
        <v>5.782</v>
      </c>
      <c r="G177">
        <v>-193.7</v>
      </c>
      <c r="H177">
        <v>60.3</v>
      </c>
      <c r="J177">
        <f t="shared" si="6"/>
        <v>5.75</v>
      </c>
      <c r="K177">
        <f t="shared" si="8"/>
        <v>0.300000000000011</v>
      </c>
      <c r="L177">
        <f t="shared" si="7"/>
        <v>0</v>
      </c>
    </row>
    <row r="178" spans="1:12">
      <c r="A178">
        <v>5.849</v>
      </c>
      <c r="B178">
        <v>-193.7</v>
      </c>
      <c r="C178">
        <v>60.2</v>
      </c>
      <c r="F178">
        <v>5.815</v>
      </c>
      <c r="G178">
        <v>-193.7</v>
      </c>
      <c r="H178">
        <v>60.1</v>
      </c>
      <c r="J178">
        <f t="shared" si="6"/>
        <v>5.8</v>
      </c>
      <c r="K178">
        <f t="shared" si="8"/>
        <v>0.300000000000011</v>
      </c>
      <c r="L178">
        <f t="shared" si="7"/>
        <v>0</v>
      </c>
    </row>
    <row r="179" spans="1:12">
      <c r="A179">
        <v>5.882</v>
      </c>
      <c r="B179">
        <v>-193.7</v>
      </c>
      <c r="C179">
        <v>60.2</v>
      </c>
      <c r="F179">
        <v>5.849</v>
      </c>
      <c r="G179">
        <v>-193.7</v>
      </c>
      <c r="H179">
        <v>60.2</v>
      </c>
      <c r="J179">
        <f t="shared" si="6"/>
        <v>5.8</v>
      </c>
      <c r="K179">
        <f t="shared" si="8"/>
        <v>0.300000000000011</v>
      </c>
      <c r="L179">
        <f t="shared" si="7"/>
        <v>0</v>
      </c>
    </row>
    <row r="180" spans="1:12">
      <c r="A180">
        <v>5.916</v>
      </c>
      <c r="B180">
        <v>-193.6</v>
      </c>
      <c r="C180">
        <v>60.1</v>
      </c>
      <c r="F180">
        <v>5.882</v>
      </c>
      <c r="G180">
        <v>-193.7</v>
      </c>
      <c r="H180">
        <v>60.2</v>
      </c>
      <c r="J180">
        <f t="shared" si="6"/>
        <v>5.85</v>
      </c>
      <c r="K180">
        <f t="shared" si="8"/>
        <v>0.300000000000011</v>
      </c>
      <c r="L180">
        <f t="shared" si="7"/>
        <v>0</v>
      </c>
    </row>
    <row r="181" spans="1:12">
      <c r="A181">
        <v>5.949</v>
      </c>
      <c r="B181">
        <v>-193.6</v>
      </c>
      <c r="C181">
        <v>59.9</v>
      </c>
      <c r="F181">
        <v>5.916</v>
      </c>
      <c r="G181">
        <v>-193.6</v>
      </c>
      <c r="H181">
        <v>60.1</v>
      </c>
      <c r="J181">
        <f t="shared" si="6"/>
        <v>5.9</v>
      </c>
      <c r="K181">
        <f t="shared" si="8"/>
        <v>0.400000000000006</v>
      </c>
      <c r="L181">
        <f t="shared" si="7"/>
        <v>0</v>
      </c>
    </row>
    <row r="182" spans="1:12">
      <c r="A182">
        <v>5.982</v>
      </c>
      <c r="B182">
        <v>-193.6</v>
      </c>
      <c r="C182">
        <v>59.2</v>
      </c>
      <c r="F182">
        <v>5.949</v>
      </c>
      <c r="G182">
        <v>-193.6</v>
      </c>
      <c r="H182">
        <v>59.9</v>
      </c>
      <c r="J182">
        <f t="shared" si="6"/>
        <v>5.9</v>
      </c>
      <c r="K182">
        <f t="shared" si="8"/>
        <v>0.400000000000006</v>
      </c>
      <c r="L182">
        <f t="shared" si="7"/>
        <v>0</v>
      </c>
    </row>
    <row r="183" spans="1:12">
      <c r="A183">
        <v>6.016</v>
      </c>
      <c r="B183">
        <v>-193.5</v>
      </c>
      <c r="C183">
        <v>58.2</v>
      </c>
      <c r="F183">
        <v>5.982</v>
      </c>
      <c r="G183">
        <v>-193.6</v>
      </c>
      <c r="H183">
        <v>59.2</v>
      </c>
      <c r="J183">
        <f t="shared" si="6"/>
        <v>5.95</v>
      </c>
      <c r="K183">
        <f t="shared" si="8"/>
        <v>0.400000000000006</v>
      </c>
      <c r="L183">
        <f t="shared" si="7"/>
        <v>0</v>
      </c>
    </row>
    <row r="184" spans="1:12">
      <c r="A184">
        <v>6.049</v>
      </c>
      <c r="B184">
        <v>-193.5</v>
      </c>
      <c r="C184">
        <v>57.5</v>
      </c>
      <c r="F184">
        <v>6.016</v>
      </c>
      <c r="G184">
        <v>-193.5</v>
      </c>
      <c r="H184">
        <v>58.2</v>
      </c>
      <c r="J184">
        <f t="shared" si="6"/>
        <v>6</v>
      </c>
      <c r="K184">
        <f t="shared" si="8"/>
        <v>0.5</v>
      </c>
      <c r="L184">
        <f t="shared" si="7"/>
        <v>0</v>
      </c>
    </row>
    <row r="185" spans="1:12">
      <c r="A185">
        <v>6.083</v>
      </c>
      <c r="B185">
        <v>-193.5</v>
      </c>
      <c r="C185">
        <v>56.8</v>
      </c>
      <c r="F185">
        <v>6.049</v>
      </c>
      <c r="G185">
        <v>-193.5</v>
      </c>
      <c r="H185">
        <v>57.5</v>
      </c>
      <c r="J185">
        <f t="shared" si="6"/>
        <v>6</v>
      </c>
      <c r="K185">
        <f t="shared" si="8"/>
        <v>0.5</v>
      </c>
      <c r="L185">
        <f t="shared" si="7"/>
        <v>0</v>
      </c>
    </row>
    <row r="186" spans="1:12">
      <c r="A186">
        <v>6.116</v>
      </c>
      <c r="B186">
        <v>-193.4</v>
      </c>
      <c r="C186">
        <v>238.2</v>
      </c>
      <c r="F186">
        <v>6.083</v>
      </c>
      <c r="G186">
        <v>-193.5</v>
      </c>
      <c r="H186">
        <v>56.8</v>
      </c>
      <c r="J186">
        <f t="shared" si="6"/>
        <v>6.05</v>
      </c>
      <c r="K186">
        <f t="shared" si="8"/>
        <v>0.5</v>
      </c>
      <c r="L186">
        <f t="shared" si="7"/>
        <v>0</v>
      </c>
    </row>
    <row r="187" spans="1:12">
      <c r="A187">
        <v>6.15</v>
      </c>
      <c r="B187">
        <v>-193.3</v>
      </c>
      <c r="C187">
        <v>238.3</v>
      </c>
      <c r="F187">
        <v>6.116</v>
      </c>
      <c r="G187">
        <v>-193.4</v>
      </c>
      <c r="H187">
        <v>238.2</v>
      </c>
      <c r="J187">
        <f t="shared" si="6"/>
        <v>6.1</v>
      </c>
      <c r="K187">
        <f t="shared" si="8"/>
        <v>0.599999999999994</v>
      </c>
      <c r="L187">
        <f t="shared" si="7"/>
        <v>5</v>
      </c>
    </row>
    <row r="188" spans="1:12">
      <c r="A188">
        <v>6.183</v>
      </c>
      <c r="B188">
        <v>-193.3</v>
      </c>
      <c r="C188">
        <v>238.2</v>
      </c>
      <c r="F188">
        <v>6.15</v>
      </c>
      <c r="G188">
        <v>-193.3</v>
      </c>
      <c r="H188">
        <v>238.3</v>
      </c>
      <c r="J188">
        <f t="shared" si="6"/>
        <v>6.15</v>
      </c>
      <c r="K188">
        <f t="shared" si="8"/>
        <v>0.699999999999989</v>
      </c>
      <c r="L188">
        <f t="shared" si="7"/>
        <v>5</v>
      </c>
    </row>
    <row r="189" spans="1:12">
      <c r="A189">
        <v>6.216</v>
      </c>
      <c r="B189">
        <v>-193.3</v>
      </c>
      <c r="C189" s="2">
        <v>238.2</v>
      </c>
      <c r="D189" s="2"/>
      <c r="E189" s="2"/>
      <c r="F189">
        <v>6.183</v>
      </c>
      <c r="G189">
        <v>-193.3</v>
      </c>
      <c r="H189">
        <v>238.2</v>
      </c>
      <c r="J189">
        <f t="shared" si="6"/>
        <v>6.15</v>
      </c>
      <c r="K189">
        <f t="shared" si="8"/>
        <v>0.699999999999989</v>
      </c>
      <c r="L189">
        <f t="shared" si="7"/>
        <v>5</v>
      </c>
    </row>
    <row r="190" spans="1:12">
      <c r="A190">
        <v>6.25</v>
      </c>
      <c r="B190">
        <v>-193.3</v>
      </c>
      <c r="C190" s="2">
        <v>238.2</v>
      </c>
      <c r="D190" s="2"/>
      <c r="E190" s="2"/>
      <c r="F190">
        <v>6.216</v>
      </c>
      <c r="G190">
        <v>-193.3</v>
      </c>
      <c r="H190" s="2">
        <v>238.2</v>
      </c>
      <c r="J190">
        <f t="shared" si="6"/>
        <v>6.2</v>
      </c>
      <c r="K190">
        <f t="shared" si="8"/>
        <v>0.699999999999989</v>
      </c>
      <c r="L190">
        <f t="shared" si="7"/>
        <v>5</v>
      </c>
    </row>
    <row r="191" spans="1:12">
      <c r="A191">
        <v>6.283</v>
      </c>
      <c r="B191">
        <v>-193.2</v>
      </c>
      <c r="C191" s="2">
        <v>238.2</v>
      </c>
      <c r="D191" s="2"/>
      <c r="E191" s="2"/>
      <c r="F191">
        <v>6.25</v>
      </c>
      <c r="G191">
        <v>-193.3</v>
      </c>
      <c r="H191" s="2">
        <v>238.2</v>
      </c>
      <c r="J191">
        <f t="shared" si="6"/>
        <v>6.25</v>
      </c>
      <c r="K191">
        <f t="shared" si="8"/>
        <v>0.699999999999989</v>
      </c>
      <c r="L191">
        <f t="shared" si="7"/>
        <v>5</v>
      </c>
    </row>
    <row r="192" spans="1:12">
      <c r="A192">
        <v>6.317</v>
      </c>
      <c r="B192">
        <v>-193.1</v>
      </c>
      <c r="C192" s="2">
        <v>238.2</v>
      </c>
      <c r="D192" s="2"/>
      <c r="E192" s="2"/>
      <c r="F192">
        <v>6.283</v>
      </c>
      <c r="G192">
        <v>-193.2</v>
      </c>
      <c r="H192" s="2">
        <v>238.2</v>
      </c>
      <c r="J192">
        <f t="shared" si="6"/>
        <v>6.25</v>
      </c>
      <c r="K192">
        <f t="shared" si="8"/>
        <v>0.800000000000011</v>
      </c>
      <c r="L192">
        <f t="shared" si="7"/>
        <v>5</v>
      </c>
    </row>
    <row r="193" spans="1:12">
      <c r="A193">
        <v>6.35</v>
      </c>
      <c r="B193">
        <v>-193.2</v>
      </c>
      <c r="C193" s="2">
        <v>238.2</v>
      </c>
      <c r="D193" s="2"/>
      <c r="E193" s="2"/>
      <c r="F193">
        <v>6.317</v>
      </c>
      <c r="G193">
        <v>-193.1</v>
      </c>
      <c r="H193" s="2">
        <v>238.2</v>
      </c>
      <c r="J193">
        <f t="shared" si="6"/>
        <v>6.3</v>
      </c>
      <c r="K193">
        <f t="shared" si="8"/>
        <v>0.900000000000006</v>
      </c>
      <c r="L193">
        <f t="shared" si="7"/>
        <v>5</v>
      </c>
    </row>
    <row r="194" spans="1:12">
      <c r="A194">
        <v>6.384</v>
      </c>
      <c r="B194">
        <v>-192.7</v>
      </c>
      <c r="C194" s="2">
        <v>238.2</v>
      </c>
      <c r="D194" s="2"/>
      <c r="E194" s="2"/>
      <c r="F194">
        <v>6.35</v>
      </c>
      <c r="G194">
        <v>-193.2</v>
      </c>
      <c r="H194" s="2">
        <v>238.2</v>
      </c>
      <c r="J194">
        <f t="shared" si="6"/>
        <v>6.35</v>
      </c>
      <c r="K194">
        <f t="shared" si="8"/>
        <v>0.800000000000011</v>
      </c>
      <c r="L194">
        <f t="shared" si="7"/>
        <v>5</v>
      </c>
    </row>
    <row r="195" spans="1:12">
      <c r="A195">
        <v>6.417</v>
      </c>
      <c r="B195">
        <v>-192.6</v>
      </c>
      <c r="C195" s="2">
        <v>238.2</v>
      </c>
      <c r="D195" s="2"/>
      <c r="E195" s="2"/>
      <c r="F195">
        <v>6.384</v>
      </c>
      <c r="G195">
        <v>-192.7</v>
      </c>
      <c r="H195" s="2">
        <v>238.2</v>
      </c>
      <c r="J195">
        <f t="shared" si="6"/>
        <v>6.35</v>
      </c>
      <c r="K195">
        <f t="shared" si="8"/>
        <v>1.30000000000001</v>
      </c>
      <c r="L195">
        <f t="shared" si="7"/>
        <v>5</v>
      </c>
    </row>
    <row r="196" spans="1:12">
      <c r="A196">
        <v>6.45</v>
      </c>
      <c r="B196">
        <v>-192.3</v>
      </c>
      <c r="C196" s="2">
        <v>238.2</v>
      </c>
      <c r="D196" s="2"/>
      <c r="E196" s="2"/>
      <c r="F196">
        <v>6.417</v>
      </c>
      <c r="G196">
        <v>-192.6</v>
      </c>
      <c r="H196" s="2">
        <v>238.2</v>
      </c>
      <c r="J196">
        <f t="shared" ref="J196:J259" si="9">FLOOR(F196,0.05)</f>
        <v>6.4</v>
      </c>
      <c r="K196">
        <f t="shared" si="8"/>
        <v>1.40000000000001</v>
      </c>
      <c r="L196">
        <f t="shared" ref="L196:L259" si="10">IF(H196&lt;230,0,5)</f>
        <v>5</v>
      </c>
    </row>
    <row r="197" spans="1:12">
      <c r="A197">
        <v>6.484</v>
      </c>
      <c r="B197">
        <v>-192</v>
      </c>
      <c r="C197" s="2">
        <v>238.2</v>
      </c>
      <c r="D197" s="2"/>
      <c r="E197" s="2"/>
      <c r="F197">
        <v>6.45</v>
      </c>
      <c r="G197">
        <v>-192.3</v>
      </c>
      <c r="H197" s="2">
        <v>238.2</v>
      </c>
      <c r="J197">
        <f t="shared" si="9"/>
        <v>6.45</v>
      </c>
      <c r="K197">
        <f t="shared" ref="K197:K260" si="11">G197+194</f>
        <v>1.69999999999999</v>
      </c>
      <c r="L197">
        <f t="shared" si="10"/>
        <v>5</v>
      </c>
    </row>
    <row r="198" spans="1:12">
      <c r="A198">
        <v>6.517</v>
      </c>
      <c r="B198">
        <v>-192</v>
      </c>
      <c r="C198" s="2">
        <v>238.2</v>
      </c>
      <c r="D198" s="2"/>
      <c r="E198" s="2"/>
      <c r="F198">
        <v>6.484</v>
      </c>
      <c r="G198">
        <v>-192</v>
      </c>
      <c r="H198" s="2">
        <v>238.2</v>
      </c>
      <c r="J198">
        <f t="shared" si="9"/>
        <v>6.45</v>
      </c>
      <c r="K198">
        <f t="shared" si="11"/>
        <v>2</v>
      </c>
      <c r="L198">
        <f t="shared" si="10"/>
        <v>5</v>
      </c>
    </row>
    <row r="199" spans="1:12">
      <c r="A199">
        <v>6.551</v>
      </c>
      <c r="B199">
        <v>-191.6</v>
      </c>
      <c r="C199" s="2">
        <v>238.2</v>
      </c>
      <c r="D199" s="2"/>
      <c r="E199" s="2"/>
      <c r="F199">
        <v>6.517</v>
      </c>
      <c r="G199">
        <v>-192</v>
      </c>
      <c r="H199" s="2">
        <v>238.2</v>
      </c>
      <c r="J199">
        <f t="shared" si="9"/>
        <v>6.5</v>
      </c>
      <c r="K199">
        <f t="shared" si="11"/>
        <v>2</v>
      </c>
      <c r="L199">
        <f t="shared" si="10"/>
        <v>5</v>
      </c>
    </row>
    <row r="200" spans="1:12">
      <c r="A200">
        <v>6.584</v>
      </c>
      <c r="B200">
        <v>-191.1</v>
      </c>
      <c r="C200" s="2">
        <v>238.2</v>
      </c>
      <c r="D200" s="2"/>
      <c r="E200" s="2"/>
      <c r="F200">
        <v>6.551</v>
      </c>
      <c r="G200">
        <v>-191.6</v>
      </c>
      <c r="H200" s="2">
        <v>238.2</v>
      </c>
      <c r="J200">
        <f t="shared" si="9"/>
        <v>6.55</v>
      </c>
      <c r="K200">
        <f t="shared" si="11"/>
        <v>2.40000000000001</v>
      </c>
      <c r="L200">
        <f t="shared" si="10"/>
        <v>5</v>
      </c>
    </row>
    <row r="201" spans="1:12">
      <c r="A201">
        <v>6.618</v>
      </c>
      <c r="B201">
        <v>-190.9</v>
      </c>
      <c r="C201" s="2">
        <v>238.2</v>
      </c>
      <c r="D201" s="2"/>
      <c r="E201" s="2"/>
      <c r="F201">
        <v>6.584</v>
      </c>
      <c r="G201">
        <v>-191.1</v>
      </c>
      <c r="H201" s="2">
        <v>238.2</v>
      </c>
      <c r="J201">
        <f t="shared" si="9"/>
        <v>6.55</v>
      </c>
      <c r="K201">
        <f t="shared" si="11"/>
        <v>2.90000000000001</v>
      </c>
      <c r="L201">
        <f t="shared" si="10"/>
        <v>5</v>
      </c>
    </row>
    <row r="202" spans="1:12">
      <c r="A202">
        <v>6.651</v>
      </c>
      <c r="B202">
        <v>-190.4</v>
      </c>
      <c r="C202" s="2">
        <v>238.2</v>
      </c>
      <c r="D202" s="2"/>
      <c r="E202" s="2"/>
      <c r="F202">
        <v>6.618</v>
      </c>
      <c r="G202">
        <v>-190.9</v>
      </c>
      <c r="H202" s="2">
        <v>238.2</v>
      </c>
      <c r="J202">
        <f t="shared" si="9"/>
        <v>6.6</v>
      </c>
      <c r="K202">
        <f t="shared" si="11"/>
        <v>3.09999999999999</v>
      </c>
      <c r="L202">
        <f t="shared" si="10"/>
        <v>5</v>
      </c>
    </row>
    <row r="203" spans="1:12">
      <c r="A203">
        <v>6.684</v>
      </c>
      <c r="B203">
        <v>-190.2</v>
      </c>
      <c r="C203" s="2">
        <v>238.2</v>
      </c>
      <c r="D203" s="2"/>
      <c r="E203" s="2"/>
      <c r="F203">
        <v>6.651</v>
      </c>
      <c r="G203">
        <v>-190.4</v>
      </c>
      <c r="H203" s="2">
        <v>238.2</v>
      </c>
      <c r="J203">
        <f t="shared" si="9"/>
        <v>6.65</v>
      </c>
      <c r="K203">
        <f t="shared" si="11"/>
        <v>3.59999999999999</v>
      </c>
      <c r="L203">
        <f t="shared" si="10"/>
        <v>5</v>
      </c>
    </row>
    <row r="204" spans="1:12">
      <c r="A204">
        <v>6.718</v>
      </c>
      <c r="B204">
        <v>-190.2</v>
      </c>
      <c r="C204" s="2">
        <v>238.2</v>
      </c>
      <c r="D204" s="2"/>
      <c r="E204" s="2"/>
      <c r="F204">
        <v>6.684</v>
      </c>
      <c r="G204">
        <v>-190.2</v>
      </c>
      <c r="H204" s="2">
        <v>238.2</v>
      </c>
      <c r="J204">
        <f t="shared" si="9"/>
        <v>6.65</v>
      </c>
      <c r="K204">
        <f t="shared" si="11"/>
        <v>3.80000000000001</v>
      </c>
      <c r="L204">
        <f t="shared" si="10"/>
        <v>5</v>
      </c>
    </row>
    <row r="205" spans="1:12">
      <c r="A205">
        <v>6.751</v>
      </c>
      <c r="B205">
        <v>-190.3</v>
      </c>
      <c r="C205" s="2">
        <v>238.2</v>
      </c>
      <c r="D205" s="2"/>
      <c r="E205" s="2"/>
      <c r="F205">
        <v>6.718</v>
      </c>
      <c r="G205">
        <v>-190.2</v>
      </c>
      <c r="H205" s="2">
        <v>238.2</v>
      </c>
      <c r="J205">
        <f t="shared" si="9"/>
        <v>6.7</v>
      </c>
      <c r="K205">
        <f t="shared" si="11"/>
        <v>3.80000000000001</v>
      </c>
      <c r="L205">
        <f t="shared" si="10"/>
        <v>5</v>
      </c>
    </row>
    <row r="206" spans="1:12">
      <c r="A206">
        <v>6.785</v>
      </c>
      <c r="B206">
        <v>-190.1</v>
      </c>
      <c r="C206" s="2">
        <v>238.2</v>
      </c>
      <c r="D206" s="2"/>
      <c r="E206" s="2"/>
      <c r="F206">
        <v>6.751</v>
      </c>
      <c r="G206">
        <v>-190.3</v>
      </c>
      <c r="H206" s="2">
        <v>238.2</v>
      </c>
      <c r="J206">
        <f t="shared" si="9"/>
        <v>6.75</v>
      </c>
      <c r="K206">
        <f t="shared" si="11"/>
        <v>3.69999999999999</v>
      </c>
      <c r="L206">
        <f t="shared" si="10"/>
        <v>5</v>
      </c>
    </row>
    <row r="207" spans="1:12">
      <c r="A207">
        <v>6.818</v>
      </c>
      <c r="B207">
        <v>-190.3</v>
      </c>
      <c r="C207" s="2">
        <v>135.8</v>
      </c>
      <c r="D207" s="2"/>
      <c r="E207" s="2"/>
      <c r="F207">
        <v>6.785</v>
      </c>
      <c r="G207">
        <v>-190.1</v>
      </c>
      <c r="H207" s="2">
        <v>238.2</v>
      </c>
      <c r="J207">
        <f t="shared" si="9"/>
        <v>6.75</v>
      </c>
      <c r="K207">
        <f t="shared" si="11"/>
        <v>3.90000000000001</v>
      </c>
      <c r="L207">
        <f t="shared" si="10"/>
        <v>5</v>
      </c>
    </row>
    <row r="208" spans="1:12">
      <c r="A208">
        <v>6.851</v>
      </c>
      <c r="B208">
        <v>-190.3</v>
      </c>
      <c r="C208" s="2">
        <v>116.9</v>
      </c>
      <c r="D208" s="2"/>
      <c r="E208" s="2"/>
      <c r="F208">
        <v>6.818</v>
      </c>
      <c r="G208">
        <v>-190.3</v>
      </c>
      <c r="H208" s="2">
        <v>135.8</v>
      </c>
      <c r="J208">
        <f t="shared" si="9"/>
        <v>6.8</v>
      </c>
      <c r="K208">
        <f t="shared" si="11"/>
        <v>3.69999999999999</v>
      </c>
      <c r="L208">
        <f t="shared" si="10"/>
        <v>0</v>
      </c>
    </row>
    <row r="209" spans="1:12">
      <c r="A209">
        <v>6.885</v>
      </c>
      <c r="B209">
        <v>-190.3</v>
      </c>
      <c r="C209" s="2">
        <v>119.7</v>
      </c>
      <c r="D209" s="2"/>
      <c r="E209" s="2"/>
      <c r="F209">
        <v>6.851</v>
      </c>
      <c r="G209">
        <v>-190.3</v>
      </c>
      <c r="H209" s="2">
        <v>116.9</v>
      </c>
      <c r="J209">
        <f t="shared" si="9"/>
        <v>6.85</v>
      </c>
      <c r="K209">
        <f t="shared" si="11"/>
        <v>3.69999999999999</v>
      </c>
      <c r="L209">
        <f t="shared" si="10"/>
        <v>0</v>
      </c>
    </row>
    <row r="210" spans="1:12">
      <c r="A210">
        <v>6.918</v>
      </c>
      <c r="B210">
        <v>-190.5</v>
      </c>
      <c r="C210" s="2">
        <v>115.6</v>
      </c>
      <c r="D210" s="2"/>
      <c r="E210" s="2"/>
      <c r="F210">
        <v>6.885</v>
      </c>
      <c r="G210">
        <v>-190.3</v>
      </c>
      <c r="H210" s="2">
        <v>119.7</v>
      </c>
      <c r="J210">
        <f t="shared" si="9"/>
        <v>6.85</v>
      </c>
      <c r="K210">
        <f t="shared" si="11"/>
        <v>3.69999999999999</v>
      </c>
      <c r="L210">
        <f t="shared" si="10"/>
        <v>0</v>
      </c>
    </row>
    <row r="211" spans="1:12">
      <c r="A211">
        <v>6.952</v>
      </c>
      <c r="B211">
        <v>-190.5</v>
      </c>
      <c r="C211" s="2">
        <v>113</v>
      </c>
      <c r="D211" s="2"/>
      <c r="E211" s="2"/>
      <c r="F211">
        <v>6.918</v>
      </c>
      <c r="G211">
        <v>-190.5</v>
      </c>
      <c r="H211" s="2">
        <v>115.6</v>
      </c>
      <c r="J211">
        <f t="shared" si="9"/>
        <v>6.9</v>
      </c>
      <c r="K211">
        <f t="shared" si="11"/>
        <v>3.5</v>
      </c>
      <c r="L211">
        <f t="shared" si="10"/>
        <v>0</v>
      </c>
    </row>
    <row r="212" spans="1:12">
      <c r="A212">
        <v>6.985</v>
      </c>
      <c r="B212">
        <v>-190.6</v>
      </c>
      <c r="C212" s="2">
        <v>109.2</v>
      </c>
      <c r="D212" s="2"/>
      <c r="E212" s="2"/>
      <c r="F212">
        <v>6.952</v>
      </c>
      <c r="G212">
        <v>-190.5</v>
      </c>
      <c r="H212" s="2">
        <v>113</v>
      </c>
      <c r="J212">
        <f t="shared" si="9"/>
        <v>6.95</v>
      </c>
      <c r="K212">
        <f t="shared" si="11"/>
        <v>3.5</v>
      </c>
      <c r="L212">
        <f t="shared" si="10"/>
        <v>0</v>
      </c>
    </row>
    <row r="213" spans="1:12">
      <c r="A213">
        <v>7.019</v>
      </c>
      <c r="B213">
        <v>-190.8</v>
      </c>
      <c r="C213" s="2">
        <v>107.2</v>
      </c>
      <c r="D213" s="2"/>
      <c r="E213" s="2"/>
      <c r="F213">
        <v>6.985</v>
      </c>
      <c r="G213">
        <v>-190.6</v>
      </c>
      <c r="H213" s="2">
        <v>109.2</v>
      </c>
      <c r="J213">
        <f t="shared" si="9"/>
        <v>6.95</v>
      </c>
      <c r="K213">
        <f t="shared" si="11"/>
        <v>3.40000000000001</v>
      </c>
      <c r="L213">
        <f t="shared" si="10"/>
        <v>0</v>
      </c>
    </row>
    <row r="214" spans="1:12">
      <c r="A214">
        <v>7.052</v>
      </c>
      <c r="B214">
        <v>-190.9</v>
      </c>
      <c r="C214" s="2">
        <v>104</v>
      </c>
      <c r="D214" s="2"/>
      <c r="E214" s="2"/>
      <c r="F214">
        <v>7.019</v>
      </c>
      <c r="G214">
        <v>-190.8</v>
      </c>
      <c r="H214" s="2">
        <v>107.2</v>
      </c>
      <c r="J214">
        <f t="shared" si="9"/>
        <v>7</v>
      </c>
      <c r="K214">
        <f t="shared" si="11"/>
        <v>3.19999999999999</v>
      </c>
      <c r="L214">
        <f t="shared" si="10"/>
        <v>0</v>
      </c>
    </row>
    <row r="215" spans="1:12">
      <c r="A215">
        <v>7.085</v>
      </c>
      <c r="B215">
        <v>-191</v>
      </c>
      <c r="C215">
        <v>100.9</v>
      </c>
      <c r="F215">
        <v>7.052</v>
      </c>
      <c r="G215">
        <v>-190.9</v>
      </c>
      <c r="H215" s="2">
        <v>104</v>
      </c>
      <c r="J215">
        <f t="shared" si="9"/>
        <v>7.05</v>
      </c>
      <c r="K215">
        <f t="shared" si="11"/>
        <v>3.09999999999999</v>
      </c>
      <c r="L215">
        <f t="shared" si="10"/>
        <v>0</v>
      </c>
    </row>
    <row r="216" spans="1:12">
      <c r="A216">
        <v>7.119</v>
      </c>
      <c r="B216">
        <v>-191.6</v>
      </c>
      <c r="C216">
        <v>97.3</v>
      </c>
      <c r="F216">
        <v>7.085</v>
      </c>
      <c r="G216">
        <v>-191</v>
      </c>
      <c r="H216">
        <v>100.9</v>
      </c>
      <c r="J216">
        <f t="shared" si="9"/>
        <v>7.05</v>
      </c>
      <c r="K216">
        <f t="shared" si="11"/>
        <v>3</v>
      </c>
      <c r="L216">
        <f t="shared" si="10"/>
        <v>0</v>
      </c>
    </row>
    <row r="217" spans="1:12">
      <c r="A217">
        <v>7.152</v>
      </c>
      <c r="B217">
        <v>-191.8</v>
      </c>
      <c r="C217">
        <v>94.9</v>
      </c>
      <c r="F217">
        <v>7.119</v>
      </c>
      <c r="G217">
        <v>-191.6</v>
      </c>
      <c r="H217">
        <v>97.3</v>
      </c>
      <c r="J217">
        <f t="shared" si="9"/>
        <v>7.1</v>
      </c>
      <c r="K217">
        <f t="shared" si="11"/>
        <v>2.40000000000001</v>
      </c>
      <c r="L217">
        <f t="shared" si="10"/>
        <v>0</v>
      </c>
    </row>
    <row r="218" spans="1:12">
      <c r="A218">
        <v>7.186</v>
      </c>
      <c r="B218">
        <v>-192.3</v>
      </c>
      <c r="C218">
        <v>91.5</v>
      </c>
      <c r="F218">
        <v>7.152</v>
      </c>
      <c r="G218">
        <v>-191.8</v>
      </c>
      <c r="H218">
        <v>94.9</v>
      </c>
      <c r="J218">
        <f t="shared" si="9"/>
        <v>7.15</v>
      </c>
      <c r="K218">
        <f t="shared" si="11"/>
        <v>2.19999999999999</v>
      </c>
      <c r="L218">
        <f t="shared" si="10"/>
        <v>0</v>
      </c>
    </row>
    <row r="219" spans="1:12">
      <c r="A219">
        <v>7.219</v>
      </c>
      <c r="B219">
        <v>-192.5</v>
      </c>
      <c r="C219">
        <v>88.8</v>
      </c>
      <c r="F219">
        <v>7.186</v>
      </c>
      <c r="G219">
        <v>-192.3</v>
      </c>
      <c r="H219">
        <v>91.5</v>
      </c>
      <c r="J219">
        <f t="shared" si="9"/>
        <v>7.15</v>
      </c>
      <c r="K219">
        <f t="shared" si="11"/>
        <v>1.69999999999999</v>
      </c>
      <c r="L219">
        <f t="shared" si="10"/>
        <v>0</v>
      </c>
    </row>
    <row r="220" spans="1:12">
      <c r="A220">
        <v>7.253</v>
      </c>
      <c r="B220">
        <v>-192.8</v>
      </c>
      <c r="C220">
        <v>85.6</v>
      </c>
      <c r="F220">
        <v>7.219</v>
      </c>
      <c r="G220">
        <v>-192.5</v>
      </c>
      <c r="H220">
        <v>88.8</v>
      </c>
      <c r="J220">
        <f t="shared" si="9"/>
        <v>7.2</v>
      </c>
      <c r="K220">
        <f t="shared" si="11"/>
        <v>1.5</v>
      </c>
      <c r="L220">
        <f t="shared" si="10"/>
        <v>0</v>
      </c>
    </row>
    <row r="221" spans="1:12">
      <c r="A221">
        <v>7.286</v>
      </c>
      <c r="B221">
        <v>-192.9</v>
      </c>
      <c r="C221">
        <v>81.5</v>
      </c>
      <c r="F221">
        <v>7.253</v>
      </c>
      <c r="G221">
        <v>-192.8</v>
      </c>
      <c r="H221">
        <v>85.6</v>
      </c>
      <c r="J221">
        <f t="shared" si="9"/>
        <v>7.25</v>
      </c>
      <c r="K221">
        <f t="shared" si="11"/>
        <v>1.19999999999999</v>
      </c>
      <c r="L221">
        <f t="shared" si="10"/>
        <v>0</v>
      </c>
    </row>
    <row r="222" spans="1:12">
      <c r="A222">
        <v>7.319</v>
      </c>
      <c r="B222">
        <v>-192.9</v>
      </c>
      <c r="C222">
        <v>79.6</v>
      </c>
      <c r="F222">
        <v>7.286</v>
      </c>
      <c r="G222">
        <v>-192.9</v>
      </c>
      <c r="H222">
        <v>81.5</v>
      </c>
      <c r="J222">
        <f t="shared" si="9"/>
        <v>7.25</v>
      </c>
      <c r="K222">
        <f t="shared" si="11"/>
        <v>1.09999999999999</v>
      </c>
      <c r="L222">
        <f t="shared" si="10"/>
        <v>0</v>
      </c>
    </row>
    <row r="223" spans="1:12">
      <c r="A223">
        <v>7.353</v>
      </c>
      <c r="B223">
        <v>-193.3</v>
      </c>
      <c r="C223">
        <v>75.8</v>
      </c>
      <c r="F223">
        <v>7.319</v>
      </c>
      <c r="G223">
        <v>-192.9</v>
      </c>
      <c r="H223">
        <v>79.6</v>
      </c>
      <c r="J223">
        <f t="shared" si="9"/>
        <v>7.3</v>
      </c>
      <c r="K223">
        <f t="shared" si="11"/>
        <v>1.09999999999999</v>
      </c>
      <c r="L223">
        <f t="shared" si="10"/>
        <v>0</v>
      </c>
    </row>
    <row r="224" spans="1:12">
      <c r="A224">
        <v>7.386</v>
      </c>
      <c r="B224">
        <v>-193.4</v>
      </c>
      <c r="C224">
        <v>73.8</v>
      </c>
      <c r="F224">
        <v>7.353</v>
      </c>
      <c r="G224">
        <v>-193.3</v>
      </c>
      <c r="H224">
        <v>75.8</v>
      </c>
      <c r="J224">
        <f t="shared" si="9"/>
        <v>7.35</v>
      </c>
      <c r="K224">
        <f t="shared" si="11"/>
        <v>0.699999999999989</v>
      </c>
      <c r="L224">
        <f t="shared" si="10"/>
        <v>0</v>
      </c>
    </row>
    <row r="225" spans="1:12">
      <c r="A225">
        <v>7.42</v>
      </c>
      <c r="B225">
        <v>-193.5</v>
      </c>
      <c r="C225">
        <v>71.2</v>
      </c>
      <c r="F225">
        <v>7.386</v>
      </c>
      <c r="G225">
        <v>-193.4</v>
      </c>
      <c r="H225">
        <v>73.8</v>
      </c>
      <c r="J225">
        <f t="shared" si="9"/>
        <v>7.35</v>
      </c>
      <c r="K225">
        <f t="shared" si="11"/>
        <v>0.599999999999994</v>
      </c>
      <c r="L225">
        <f t="shared" si="10"/>
        <v>0</v>
      </c>
    </row>
    <row r="226" spans="1:12">
      <c r="A226">
        <v>7.453</v>
      </c>
      <c r="B226">
        <v>-193.6</v>
      </c>
      <c r="C226">
        <v>68.8</v>
      </c>
      <c r="F226">
        <v>7.42</v>
      </c>
      <c r="G226">
        <v>-193.5</v>
      </c>
      <c r="H226">
        <v>71.2</v>
      </c>
      <c r="J226">
        <f t="shared" si="9"/>
        <v>7.4</v>
      </c>
      <c r="K226">
        <f t="shared" si="11"/>
        <v>0.5</v>
      </c>
      <c r="L226">
        <f t="shared" si="10"/>
        <v>0</v>
      </c>
    </row>
    <row r="227" spans="1:12">
      <c r="A227">
        <v>7.486</v>
      </c>
      <c r="B227">
        <v>-193.6</v>
      </c>
      <c r="C227">
        <v>213.8</v>
      </c>
      <c r="F227">
        <v>7.453</v>
      </c>
      <c r="G227">
        <v>-193.6</v>
      </c>
      <c r="H227">
        <v>68.8</v>
      </c>
      <c r="J227">
        <f t="shared" si="9"/>
        <v>7.45</v>
      </c>
      <c r="K227">
        <f t="shared" si="11"/>
        <v>0.400000000000006</v>
      </c>
      <c r="L227">
        <f t="shared" si="10"/>
        <v>0</v>
      </c>
    </row>
    <row r="228" spans="1:12">
      <c r="A228">
        <v>7.52</v>
      </c>
      <c r="B228">
        <v>-193.7</v>
      </c>
      <c r="C228">
        <v>238.4</v>
      </c>
      <c r="F228">
        <v>7.486</v>
      </c>
      <c r="G228">
        <v>-193.6</v>
      </c>
      <c r="H228">
        <v>213.8</v>
      </c>
      <c r="J228">
        <f t="shared" si="9"/>
        <v>7.45</v>
      </c>
      <c r="K228">
        <f t="shared" si="11"/>
        <v>0.400000000000006</v>
      </c>
      <c r="L228">
        <f t="shared" si="10"/>
        <v>0</v>
      </c>
    </row>
    <row r="229" spans="1:12">
      <c r="A229">
        <v>7.553</v>
      </c>
      <c r="B229">
        <v>-193.5</v>
      </c>
      <c r="C229">
        <v>238.4</v>
      </c>
      <c r="F229">
        <v>7.52</v>
      </c>
      <c r="G229">
        <v>-193.7</v>
      </c>
      <c r="H229">
        <v>238.4</v>
      </c>
      <c r="J229">
        <f t="shared" si="9"/>
        <v>7.5</v>
      </c>
      <c r="K229">
        <f t="shared" si="11"/>
        <v>0.300000000000011</v>
      </c>
      <c r="L229">
        <f t="shared" si="10"/>
        <v>5</v>
      </c>
    </row>
    <row r="230" spans="1:12">
      <c r="A230">
        <v>7.587</v>
      </c>
      <c r="B230">
        <v>-193.4</v>
      </c>
      <c r="C230">
        <v>238.4</v>
      </c>
      <c r="F230">
        <v>7.553</v>
      </c>
      <c r="G230">
        <v>-193.5</v>
      </c>
      <c r="H230">
        <v>238.4</v>
      </c>
      <c r="J230">
        <f t="shared" si="9"/>
        <v>7.55</v>
      </c>
      <c r="K230">
        <f t="shared" si="11"/>
        <v>0.5</v>
      </c>
      <c r="L230">
        <f t="shared" si="10"/>
        <v>5</v>
      </c>
    </row>
    <row r="231" spans="1:12">
      <c r="A231">
        <v>7.62</v>
      </c>
      <c r="B231">
        <v>-193.4</v>
      </c>
      <c r="C231">
        <v>238.4</v>
      </c>
      <c r="F231">
        <v>7.587</v>
      </c>
      <c r="G231">
        <v>-193.4</v>
      </c>
      <c r="H231">
        <v>238.4</v>
      </c>
      <c r="J231">
        <f t="shared" si="9"/>
        <v>7.55</v>
      </c>
      <c r="K231">
        <f t="shared" si="11"/>
        <v>0.599999999999994</v>
      </c>
      <c r="L231">
        <f t="shared" si="10"/>
        <v>5</v>
      </c>
    </row>
    <row r="232" spans="1:12">
      <c r="A232">
        <v>7.654</v>
      </c>
      <c r="B232">
        <v>-193.2</v>
      </c>
      <c r="C232">
        <v>238.4</v>
      </c>
      <c r="F232">
        <v>7.62</v>
      </c>
      <c r="G232">
        <v>-193.4</v>
      </c>
      <c r="H232">
        <v>238.4</v>
      </c>
      <c r="J232">
        <f t="shared" si="9"/>
        <v>7.6</v>
      </c>
      <c r="K232">
        <f t="shared" si="11"/>
        <v>0.599999999999994</v>
      </c>
      <c r="L232">
        <f t="shared" si="10"/>
        <v>5</v>
      </c>
    </row>
    <row r="233" spans="1:12">
      <c r="A233">
        <v>7.687</v>
      </c>
      <c r="B233">
        <v>-193.1</v>
      </c>
      <c r="C233">
        <v>238.4</v>
      </c>
      <c r="F233">
        <v>7.654</v>
      </c>
      <c r="G233">
        <v>-193.2</v>
      </c>
      <c r="H233">
        <v>238.4</v>
      </c>
      <c r="J233">
        <f t="shared" si="9"/>
        <v>7.65</v>
      </c>
      <c r="K233">
        <f t="shared" si="11"/>
        <v>0.800000000000011</v>
      </c>
      <c r="L233">
        <f t="shared" si="10"/>
        <v>5</v>
      </c>
    </row>
    <row r="234" spans="1:12">
      <c r="A234">
        <v>7.72</v>
      </c>
      <c r="B234">
        <v>-192.9</v>
      </c>
      <c r="C234">
        <v>238.4</v>
      </c>
      <c r="F234">
        <v>7.687</v>
      </c>
      <c r="G234">
        <v>-193.1</v>
      </c>
      <c r="H234">
        <v>238.4</v>
      </c>
      <c r="J234">
        <f t="shared" si="9"/>
        <v>7.65</v>
      </c>
      <c r="K234">
        <f t="shared" si="11"/>
        <v>0.900000000000006</v>
      </c>
      <c r="L234">
        <f t="shared" si="10"/>
        <v>5</v>
      </c>
    </row>
    <row r="235" spans="1:12">
      <c r="A235">
        <v>7.754</v>
      </c>
      <c r="B235">
        <v>-192.5</v>
      </c>
      <c r="C235">
        <v>238.4</v>
      </c>
      <c r="F235">
        <v>7.72</v>
      </c>
      <c r="G235">
        <v>-192.9</v>
      </c>
      <c r="H235">
        <v>238.4</v>
      </c>
      <c r="J235">
        <f t="shared" si="9"/>
        <v>7.7</v>
      </c>
      <c r="K235">
        <f t="shared" si="11"/>
        <v>1.09999999999999</v>
      </c>
      <c r="L235">
        <f t="shared" si="10"/>
        <v>5</v>
      </c>
    </row>
    <row r="236" spans="1:12">
      <c r="A236">
        <v>7.787</v>
      </c>
      <c r="B236">
        <v>-192.2</v>
      </c>
      <c r="C236">
        <v>238.4</v>
      </c>
      <c r="F236">
        <v>7.754</v>
      </c>
      <c r="G236">
        <v>-192.5</v>
      </c>
      <c r="H236">
        <v>238.4</v>
      </c>
      <c r="J236">
        <f t="shared" si="9"/>
        <v>7.75</v>
      </c>
      <c r="K236">
        <f t="shared" si="11"/>
        <v>1.5</v>
      </c>
      <c r="L236">
        <f t="shared" si="10"/>
        <v>5</v>
      </c>
    </row>
    <row r="237" spans="1:12">
      <c r="A237">
        <v>7.821</v>
      </c>
      <c r="B237">
        <v>-191.8</v>
      </c>
      <c r="C237">
        <v>238.4</v>
      </c>
      <c r="F237">
        <v>7.787</v>
      </c>
      <c r="G237">
        <v>-192.2</v>
      </c>
      <c r="H237">
        <v>238.4</v>
      </c>
      <c r="J237">
        <f t="shared" si="9"/>
        <v>7.75</v>
      </c>
      <c r="K237">
        <f t="shared" si="11"/>
        <v>1.80000000000001</v>
      </c>
      <c r="L237">
        <f t="shared" si="10"/>
        <v>5</v>
      </c>
    </row>
    <row r="238" spans="1:12">
      <c r="A238">
        <v>7.854</v>
      </c>
      <c r="B238">
        <v>-191.2</v>
      </c>
      <c r="C238">
        <v>238.4</v>
      </c>
      <c r="F238">
        <v>7.821</v>
      </c>
      <c r="G238">
        <v>-191.8</v>
      </c>
      <c r="H238">
        <v>238.4</v>
      </c>
      <c r="J238">
        <f t="shared" si="9"/>
        <v>7.8</v>
      </c>
      <c r="K238">
        <f t="shared" si="11"/>
        <v>2.19999999999999</v>
      </c>
      <c r="L238">
        <f t="shared" si="10"/>
        <v>5</v>
      </c>
    </row>
    <row r="239" spans="1:12">
      <c r="A239">
        <v>7.888</v>
      </c>
      <c r="B239">
        <v>-190.8</v>
      </c>
      <c r="C239">
        <v>238.4</v>
      </c>
      <c r="F239">
        <v>7.854</v>
      </c>
      <c r="G239">
        <v>-191.2</v>
      </c>
      <c r="H239">
        <v>238.4</v>
      </c>
      <c r="J239">
        <f t="shared" si="9"/>
        <v>7.85</v>
      </c>
      <c r="K239">
        <f t="shared" si="11"/>
        <v>2.80000000000001</v>
      </c>
      <c r="L239">
        <f t="shared" si="10"/>
        <v>5</v>
      </c>
    </row>
    <row r="240" spans="1:12">
      <c r="A240">
        <v>7.921</v>
      </c>
      <c r="B240">
        <v>-190.2</v>
      </c>
      <c r="C240">
        <v>238.4</v>
      </c>
      <c r="F240">
        <v>7.888</v>
      </c>
      <c r="G240">
        <v>-190.8</v>
      </c>
      <c r="H240">
        <v>238.4</v>
      </c>
      <c r="J240">
        <f t="shared" si="9"/>
        <v>7.85</v>
      </c>
      <c r="K240">
        <f t="shared" si="11"/>
        <v>3.19999999999999</v>
      </c>
      <c r="L240">
        <f t="shared" si="10"/>
        <v>5</v>
      </c>
    </row>
    <row r="241" spans="1:12">
      <c r="A241">
        <v>7.954</v>
      </c>
      <c r="B241">
        <v>-189.9</v>
      </c>
      <c r="C241">
        <v>238.4</v>
      </c>
      <c r="F241">
        <v>7.921</v>
      </c>
      <c r="G241">
        <v>-190.2</v>
      </c>
      <c r="H241">
        <v>238.4</v>
      </c>
      <c r="J241">
        <f t="shared" si="9"/>
        <v>7.9</v>
      </c>
      <c r="K241">
        <f t="shared" si="11"/>
        <v>3.80000000000001</v>
      </c>
      <c r="L241">
        <f t="shared" si="10"/>
        <v>5</v>
      </c>
    </row>
    <row r="242" spans="1:12">
      <c r="A242">
        <v>7.988</v>
      </c>
      <c r="B242">
        <v>-189.4</v>
      </c>
      <c r="C242">
        <v>238.4</v>
      </c>
      <c r="F242">
        <v>7.954</v>
      </c>
      <c r="G242">
        <v>-189.9</v>
      </c>
      <c r="H242">
        <v>238.4</v>
      </c>
      <c r="J242">
        <f t="shared" si="9"/>
        <v>7.95</v>
      </c>
      <c r="K242">
        <f t="shared" si="11"/>
        <v>4.09999999999999</v>
      </c>
      <c r="L242">
        <f t="shared" si="10"/>
        <v>5</v>
      </c>
    </row>
    <row r="243" spans="1:12">
      <c r="A243">
        <v>8.021</v>
      </c>
      <c r="B243">
        <v>-189</v>
      </c>
      <c r="C243">
        <v>238.4</v>
      </c>
      <c r="F243">
        <v>7.988</v>
      </c>
      <c r="G243">
        <v>-189.4</v>
      </c>
      <c r="H243">
        <v>238.4</v>
      </c>
      <c r="J243">
        <f t="shared" si="9"/>
        <v>7.95</v>
      </c>
      <c r="K243">
        <f t="shared" si="11"/>
        <v>4.59999999999999</v>
      </c>
      <c r="L243">
        <f t="shared" si="10"/>
        <v>5</v>
      </c>
    </row>
    <row r="244" spans="1:12">
      <c r="A244">
        <v>8.055</v>
      </c>
      <c r="B244">
        <v>-188.7</v>
      </c>
      <c r="C244">
        <v>238.4</v>
      </c>
      <c r="F244">
        <v>8.021</v>
      </c>
      <c r="G244">
        <v>-189</v>
      </c>
      <c r="H244">
        <v>238.4</v>
      </c>
      <c r="J244">
        <f t="shared" si="9"/>
        <v>8</v>
      </c>
      <c r="K244">
        <f t="shared" si="11"/>
        <v>5</v>
      </c>
      <c r="L244">
        <f t="shared" si="10"/>
        <v>5</v>
      </c>
    </row>
    <row r="245" spans="1:12">
      <c r="A245">
        <v>8.088</v>
      </c>
      <c r="B245">
        <v>-188.2</v>
      </c>
      <c r="C245">
        <v>238.4</v>
      </c>
      <c r="F245">
        <v>8.055</v>
      </c>
      <c r="G245">
        <v>-188.7</v>
      </c>
      <c r="H245">
        <v>238.4</v>
      </c>
      <c r="J245">
        <f t="shared" si="9"/>
        <v>8.05</v>
      </c>
      <c r="K245">
        <f t="shared" si="11"/>
        <v>5.30000000000001</v>
      </c>
      <c r="L245">
        <f t="shared" si="10"/>
        <v>5</v>
      </c>
    </row>
    <row r="246" spans="1:12">
      <c r="A246">
        <v>8.121</v>
      </c>
      <c r="B246">
        <v>-187.7</v>
      </c>
      <c r="C246">
        <v>238.4</v>
      </c>
      <c r="F246">
        <v>8.088</v>
      </c>
      <c r="G246">
        <v>-188.2</v>
      </c>
      <c r="H246">
        <v>238.4</v>
      </c>
      <c r="J246">
        <f t="shared" si="9"/>
        <v>8.05</v>
      </c>
      <c r="K246">
        <f t="shared" si="11"/>
        <v>5.80000000000001</v>
      </c>
      <c r="L246">
        <f t="shared" si="10"/>
        <v>5</v>
      </c>
    </row>
    <row r="247" spans="1:12">
      <c r="A247">
        <v>8.155</v>
      </c>
      <c r="B247">
        <v>-187.4</v>
      </c>
      <c r="C247" s="2">
        <v>238.4</v>
      </c>
      <c r="D247" s="2"/>
      <c r="E247" s="2"/>
      <c r="F247">
        <v>8.121</v>
      </c>
      <c r="G247">
        <v>-187.7</v>
      </c>
      <c r="H247">
        <v>238.4</v>
      </c>
      <c r="J247">
        <f t="shared" si="9"/>
        <v>8.1</v>
      </c>
      <c r="K247">
        <f t="shared" si="11"/>
        <v>6.30000000000001</v>
      </c>
      <c r="L247">
        <f t="shared" si="10"/>
        <v>5</v>
      </c>
    </row>
    <row r="248" spans="1:12">
      <c r="A248">
        <v>8.188</v>
      </c>
      <c r="B248">
        <v>-187.3</v>
      </c>
      <c r="C248" s="2">
        <v>238.4</v>
      </c>
      <c r="D248" s="2"/>
      <c r="E248" s="2"/>
      <c r="F248">
        <v>8.155</v>
      </c>
      <c r="G248">
        <v>-187.4</v>
      </c>
      <c r="H248" s="2">
        <v>238.4</v>
      </c>
      <c r="J248">
        <f t="shared" si="9"/>
        <v>8.15</v>
      </c>
      <c r="K248">
        <f t="shared" si="11"/>
        <v>6.59999999999999</v>
      </c>
      <c r="L248">
        <f t="shared" si="10"/>
        <v>5</v>
      </c>
    </row>
    <row r="249" spans="1:12">
      <c r="A249">
        <v>8.222</v>
      </c>
      <c r="B249">
        <v>-187.3</v>
      </c>
      <c r="C249" s="2">
        <v>145.5</v>
      </c>
      <c r="D249" s="2"/>
      <c r="E249" s="2"/>
      <c r="F249">
        <v>8.188</v>
      </c>
      <c r="G249">
        <v>-187.3</v>
      </c>
      <c r="H249" s="2">
        <v>238.4</v>
      </c>
      <c r="J249">
        <f t="shared" si="9"/>
        <v>8.15</v>
      </c>
      <c r="K249">
        <f t="shared" si="11"/>
        <v>6.69999999999999</v>
      </c>
      <c r="L249">
        <f t="shared" si="10"/>
        <v>5</v>
      </c>
    </row>
    <row r="250" spans="1:12">
      <c r="A250">
        <v>8.255</v>
      </c>
      <c r="B250">
        <v>-187.2</v>
      </c>
      <c r="C250" s="2">
        <v>145</v>
      </c>
      <c r="D250" s="2"/>
      <c r="E250" s="2"/>
      <c r="F250">
        <v>8.222</v>
      </c>
      <c r="G250">
        <v>-187.3</v>
      </c>
      <c r="H250" s="2">
        <v>145.5</v>
      </c>
      <c r="J250">
        <f t="shared" si="9"/>
        <v>8.2</v>
      </c>
      <c r="K250">
        <f t="shared" si="11"/>
        <v>6.69999999999999</v>
      </c>
      <c r="L250">
        <f t="shared" si="10"/>
        <v>0</v>
      </c>
    </row>
    <row r="251" spans="1:12">
      <c r="A251">
        <v>8.289</v>
      </c>
      <c r="B251">
        <v>-187.3</v>
      </c>
      <c r="C251" s="2">
        <v>145.5</v>
      </c>
      <c r="D251" s="2"/>
      <c r="E251" s="2"/>
      <c r="F251">
        <v>8.255</v>
      </c>
      <c r="G251">
        <v>-187.2</v>
      </c>
      <c r="H251" s="2">
        <v>145</v>
      </c>
      <c r="J251">
        <f t="shared" si="9"/>
        <v>8.25</v>
      </c>
      <c r="K251">
        <f t="shared" si="11"/>
        <v>6.80000000000001</v>
      </c>
      <c r="L251">
        <f t="shared" si="10"/>
        <v>0</v>
      </c>
    </row>
    <row r="252" spans="1:12">
      <c r="A252">
        <v>8.322</v>
      </c>
      <c r="B252">
        <v>-187.4</v>
      </c>
      <c r="C252" s="2">
        <v>143.4</v>
      </c>
      <c r="D252" s="2"/>
      <c r="E252" s="2"/>
      <c r="F252">
        <v>8.289</v>
      </c>
      <c r="G252">
        <v>-187.3</v>
      </c>
      <c r="H252" s="2">
        <v>145.5</v>
      </c>
      <c r="J252">
        <f t="shared" si="9"/>
        <v>8.25</v>
      </c>
      <c r="K252">
        <f t="shared" si="11"/>
        <v>6.69999999999999</v>
      </c>
      <c r="L252">
        <f t="shared" si="10"/>
        <v>0</v>
      </c>
    </row>
    <row r="253" spans="1:12">
      <c r="A253">
        <v>8.355</v>
      </c>
      <c r="B253">
        <v>-187.5</v>
      </c>
      <c r="C253" s="2">
        <v>140.9</v>
      </c>
      <c r="D253" s="2"/>
      <c r="E253" s="2"/>
      <c r="F253">
        <v>8.322</v>
      </c>
      <c r="G253">
        <v>-187.4</v>
      </c>
      <c r="H253" s="2">
        <v>143.4</v>
      </c>
      <c r="J253">
        <f t="shared" si="9"/>
        <v>8.3</v>
      </c>
      <c r="K253">
        <f t="shared" si="11"/>
        <v>6.59999999999999</v>
      </c>
      <c r="L253">
        <f t="shared" si="10"/>
        <v>0</v>
      </c>
    </row>
    <row r="254" spans="1:12">
      <c r="A254">
        <v>8.389</v>
      </c>
      <c r="B254">
        <v>-187.6</v>
      </c>
      <c r="C254" s="2">
        <v>139.6</v>
      </c>
      <c r="D254" s="2"/>
      <c r="E254" s="2"/>
      <c r="F254">
        <v>8.355</v>
      </c>
      <c r="G254">
        <v>-187.5</v>
      </c>
      <c r="H254" s="2">
        <v>140.9</v>
      </c>
      <c r="J254">
        <f t="shared" si="9"/>
        <v>8.35</v>
      </c>
      <c r="K254">
        <f t="shared" si="11"/>
        <v>6.5</v>
      </c>
      <c r="L254">
        <f t="shared" si="10"/>
        <v>0</v>
      </c>
    </row>
    <row r="255" spans="1:12">
      <c r="A255">
        <v>8.422</v>
      </c>
      <c r="B255">
        <v>-187.9</v>
      </c>
      <c r="C255" s="2">
        <v>136.7</v>
      </c>
      <c r="D255" s="2"/>
      <c r="E255" s="2"/>
      <c r="F255">
        <v>8.389</v>
      </c>
      <c r="G255">
        <v>-187.6</v>
      </c>
      <c r="H255" s="2">
        <v>139.6</v>
      </c>
      <c r="J255">
        <f t="shared" si="9"/>
        <v>8.35</v>
      </c>
      <c r="K255">
        <f t="shared" si="11"/>
        <v>6.40000000000001</v>
      </c>
      <c r="L255">
        <f t="shared" si="10"/>
        <v>0</v>
      </c>
    </row>
    <row r="256" spans="1:12">
      <c r="A256">
        <v>8.456</v>
      </c>
      <c r="B256">
        <v>-188</v>
      </c>
      <c r="C256" s="2">
        <v>134.5</v>
      </c>
      <c r="D256" s="2"/>
      <c r="E256" s="2"/>
      <c r="F256">
        <v>8.422</v>
      </c>
      <c r="G256">
        <v>-187.9</v>
      </c>
      <c r="H256" s="2">
        <v>136.7</v>
      </c>
      <c r="J256">
        <f t="shared" si="9"/>
        <v>8.4</v>
      </c>
      <c r="K256">
        <f t="shared" si="11"/>
        <v>6.09999999999999</v>
      </c>
      <c r="L256">
        <f t="shared" si="10"/>
        <v>0</v>
      </c>
    </row>
    <row r="257" spans="1:12">
      <c r="A257">
        <v>8.489</v>
      </c>
      <c r="B257">
        <v>-188.6</v>
      </c>
      <c r="C257" s="2">
        <v>132.8</v>
      </c>
      <c r="D257" s="2"/>
      <c r="E257" s="2"/>
      <c r="F257">
        <v>8.456</v>
      </c>
      <c r="G257">
        <v>-188</v>
      </c>
      <c r="H257" s="2">
        <v>134.5</v>
      </c>
      <c r="J257">
        <f t="shared" si="9"/>
        <v>8.45</v>
      </c>
      <c r="K257">
        <f t="shared" si="11"/>
        <v>6</v>
      </c>
      <c r="L257">
        <f t="shared" si="10"/>
        <v>0</v>
      </c>
    </row>
    <row r="258" spans="1:12">
      <c r="A258">
        <v>8.523</v>
      </c>
      <c r="B258">
        <v>-189.2</v>
      </c>
      <c r="C258" s="2">
        <v>128.8</v>
      </c>
      <c r="D258" s="2"/>
      <c r="E258" s="2"/>
      <c r="F258">
        <v>8.489</v>
      </c>
      <c r="G258">
        <v>-188.6</v>
      </c>
      <c r="H258" s="2">
        <v>132.8</v>
      </c>
      <c r="J258">
        <f t="shared" si="9"/>
        <v>8.45</v>
      </c>
      <c r="K258">
        <f t="shared" si="11"/>
        <v>5.40000000000001</v>
      </c>
      <c r="L258">
        <f t="shared" si="10"/>
        <v>0</v>
      </c>
    </row>
    <row r="259" spans="1:12">
      <c r="A259">
        <v>8.556</v>
      </c>
      <c r="B259">
        <v>-189.7</v>
      </c>
      <c r="C259" s="2">
        <v>127.8</v>
      </c>
      <c r="D259" s="2"/>
      <c r="E259" s="2"/>
      <c r="F259">
        <v>8.523</v>
      </c>
      <c r="G259">
        <v>-189.2</v>
      </c>
      <c r="H259" s="2">
        <v>128.8</v>
      </c>
      <c r="J259">
        <f t="shared" si="9"/>
        <v>8.5</v>
      </c>
      <c r="K259">
        <f t="shared" si="11"/>
        <v>4.80000000000001</v>
      </c>
      <c r="L259">
        <f t="shared" si="10"/>
        <v>0</v>
      </c>
    </row>
    <row r="260" spans="1:12">
      <c r="A260">
        <v>8.589</v>
      </c>
      <c r="B260">
        <v>-190</v>
      </c>
      <c r="C260" s="2">
        <v>126.2</v>
      </c>
      <c r="D260" s="2"/>
      <c r="E260" s="2"/>
      <c r="F260">
        <v>8.556</v>
      </c>
      <c r="G260">
        <v>-189.7</v>
      </c>
      <c r="H260" s="2">
        <v>127.8</v>
      </c>
      <c r="J260">
        <f t="shared" ref="J260:J323" si="12">FLOOR(F260,0.05)</f>
        <v>8.55</v>
      </c>
      <c r="K260">
        <f t="shared" si="11"/>
        <v>4.30000000000001</v>
      </c>
      <c r="L260">
        <f t="shared" ref="L260:L323" si="13">IF(H260&lt;230,0,5)</f>
        <v>0</v>
      </c>
    </row>
    <row r="261" spans="1:12">
      <c r="A261">
        <v>8.623</v>
      </c>
      <c r="B261">
        <v>-190.4</v>
      </c>
      <c r="C261" s="2">
        <v>123.7</v>
      </c>
      <c r="D261" s="2"/>
      <c r="E261" s="2"/>
      <c r="F261">
        <v>8.589</v>
      </c>
      <c r="G261">
        <v>-190</v>
      </c>
      <c r="H261" s="2">
        <v>126.2</v>
      </c>
      <c r="J261">
        <f t="shared" si="12"/>
        <v>8.55</v>
      </c>
      <c r="K261">
        <f t="shared" ref="K261:K324" si="14">G261+194</f>
        <v>4</v>
      </c>
      <c r="L261">
        <f t="shared" si="13"/>
        <v>0</v>
      </c>
    </row>
    <row r="262" spans="1:12">
      <c r="A262">
        <v>8.656</v>
      </c>
      <c r="B262">
        <v>-191</v>
      </c>
      <c r="C262" s="2">
        <v>120.1</v>
      </c>
      <c r="D262" s="2"/>
      <c r="E262" s="2"/>
      <c r="F262">
        <v>8.623</v>
      </c>
      <c r="G262">
        <v>-190.4</v>
      </c>
      <c r="H262" s="2">
        <v>123.7</v>
      </c>
      <c r="J262">
        <f t="shared" si="12"/>
        <v>8.6</v>
      </c>
      <c r="K262">
        <f t="shared" si="14"/>
        <v>3.59999999999999</v>
      </c>
      <c r="L262">
        <f t="shared" si="13"/>
        <v>0</v>
      </c>
    </row>
    <row r="263" spans="1:12">
      <c r="A263">
        <v>8.69</v>
      </c>
      <c r="B263">
        <v>-191.7</v>
      </c>
      <c r="C263" s="2">
        <v>118.5</v>
      </c>
      <c r="D263" s="2"/>
      <c r="E263" s="2"/>
      <c r="F263">
        <v>8.656</v>
      </c>
      <c r="G263">
        <v>-191</v>
      </c>
      <c r="H263" s="2">
        <v>120.1</v>
      </c>
      <c r="J263">
        <f t="shared" si="12"/>
        <v>8.65</v>
      </c>
      <c r="K263">
        <f t="shared" si="14"/>
        <v>3</v>
      </c>
      <c r="L263">
        <f t="shared" si="13"/>
        <v>0</v>
      </c>
    </row>
    <row r="264" spans="1:12">
      <c r="A264">
        <v>8.723</v>
      </c>
      <c r="B264">
        <v>-192.2</v>
      </c>
      <c r="C264" s="2">
        <v>114.3</v>
      </c>
      <c r="D264" s="2"/>
      <c r="E264" s="2"/>
      <c r="F264">
        <v>8.69</v>
      </c>
      <c r="G264">
        <v>-191.7</v>
      </c>
      <c r="H264" s="2">
        <v>118.5</v>
      </c>
      <c r="J264">
        <f t="shared" si="12"/>
        <v>8.65</v>
      </c>
      <c r="K264">
        <f t="shared" si="14"/>
        <v>2.30000000000001</v>
      </c>
      <c r="L264">
        <f t="shared" si="13"/>
        <v>0</v>
      </c>
    </row>
    <row r="265" spans="1:12">
      <c r="A265">
        <v>8.757</v>
      </c>
      <c r="B265">
        <v>-192.7</v>
      </c>
      <c r="C265" s="2">
        <v>112.4</v>
      </c>
      <c r="D265" s="2"/>
      <c r="E265" s="2"/>
      <c r="F265">
        <v>8.723</v>
      </c>
      <c r="G265">
        <v>-192.2</v>
      </c>
      <c r="H265" s="2">
        <v>114.3</v>
      </c>
      <c r="J265">
        <f t="shared" si="12"/>
        <v>8.7</v>
      </c>
      <c r="K265">
        <f t="shared" si="14"/>
        <v>1.80000000000001</v>
      </c>
      <c r="L265">
        <f t="shared" si="13"/>
        <v>0</v>
      </c>
    </row>
    <row r="266" spans="1:12">
      <c r="A266">
        <v>8.79</v>
      </c>
      <c r="B266">
        <v>-193</v>
      </c>
      <c r="C266" s="2">
        <v>108.2</v>
      </c>
      <c r="D266" s="2"/>
      <c r="E266" s="2"/>
      <c r="F266">
        <v>8.757</v>
      </c>
      <c r="G266">
        <v>-192.7</v>
      </c>
      <c r="H266" s="2">
        <v>112.4</v>
      </c>
      <c r="J266">
        <f t="shared" si="12"/>
        <v>8.75</v>
      </c>
      <c r="K266">
        <f t="shared" si="14"/>
        <v>1.30000000000001</v>
      </c>
      <c r="L266">
        <f t="shared" si="13"/>
        <v>0</v>
      </c>
    </row>
    <row r="267" spans="1:12">
      <c r="A267">
        <v>8.823</v>
      </c>
      <c r="B267">
        <v>-193.4</v>
      </c>
      <c r="C267" s="2">
        <v>106.6</v>
      </c>
      <c r="D267" s="2"/>
      <c r="E267" s="2"/>
      <c r="F267">
        <v>8.79</v>
      </c>
      <c r="G267">
        <v>-193</v>
      </c>
      <c r="H267" s="2">
        <v>108.2</v>
      </c>
      <c r="J267">
        <f t="shared" si="12"/>
        <v>8.75</v>
      </c>
      <c r="K267">
        <f t="shared" si="14"/>
        <v>1</v>
      </c>
      <c r="L267">
        <f t="shared" si="13"/>
        <v>0</v>
      </c>
    </row>
    <row r="268" spans="1:12">
      <c r="A268">
        <v>8.857</v>
      </c>
      <c r="B268">
        <v>-193.7</v>
      </c>
      <c r="C268">
        <v>103.7</v>
      </c>
      <c r="F268">
        <v>8.823</v>
      </c>
      <c r="G268">
        <v>-193.4</v>
      </c>
      <c r="H268" s="2">
        <v>106.6</v>
      </c>
      <c r="J268">
        <f t="shared" si="12"/>
        <v>8.8</v>
      </c>
      <c r="K268">
        <f t="shared" si="14"/>
        <v>0.599999999999994</v>
      </c>
      <c r="L268">
        <f t="shared" si="13"/>
        <v>0</v>
      </c>
    </row>
    <row r="269" spans="1:12">
      <c r="A269">
        <v>8.89</v>
      </c>
      <c r="B269">
        <v>-193.9</v>
      </c>
      <c r="C269">
        <v>100.9</v>
      </c>
      <c r="F269">
        <v>8.857</v>
      </c>
      <c r="G269">
        <v>-193.7</v>
      </c>
      <c r="H269">
        <v>103.7</v>
      </c>
      <c r="J269">
        <f t="shared" si="12"/>
        <v>8.85</v>
      </c>
      <c r="K269">
        <f t="shared" si="14"/>
        <v>0.300000000000011</v>
      </c>
      <c r="L269">
        <f t="shared" si="13"/>
        <v>0</v>
      </c>
    </row>
    <row r="270" spans="1:12">
      <c r="A270">
        <v>8.924</v>
      </c>
      <c r="B270">
        <v>-193.9</v>
      </c>
      <c r="C270">
        <v>238.2</v>
      </c>
      <c r="F270">
        <v>8.89</v>
      </c>
      <c r="G270">
        <v>-193.9</v>
      </c>
      <c r="H270">
        <v>100.9</v>
      </c>
      <c r="J270">
        <f t="shared" si="12"/>
        <v>8.85</v>
      </c>
      <c r="K270">
        <f t="shared" si="14"/>
        <v>0.0999999999999943</v>
      </c>
      <c r="L270">
        <f t="shared" si="13"/>
        <v>0</v>
      </c>
    </row>
    <row r="271" spans="1:12">
      <c r="A271">
        <v>8.957</v>
      </c>
      <c r="B271">
        <v>-194</v>
      </c>
      <c r="C271">
        <v>238</v>
      </c>
      <c r="F271">
        <v>8.924</v>
      </c>
      <c r="G271">
        <v>-193.9</v>
      </c>
      <c r="H271">
        <v>238.2</v>
      </c>
      <c r="J271">
        <f t="shared" si="12"/>
        <v>8.9</v>
      </c>
      <c r="K271">
        <f t="shared" si="14"/>
        <v>0.0999999999999943</v>
      </c>
      <c r="L271">
        <f t="shared" si="13"/>
        <v>5</v>
      </c>
    </row>
    <row r="272" spans="1:12">
      <c r="A272">
        <v>8.99</v>
      </c>
      <c r="B272">
        <v>-193.8</v>
      </c>
      <c r="C272">
        <v>238</v>
      </c>
      <c r="F272">
        <v>8.957</v>
      </c>
      <c r="G272">
        <v>-194</v>
      </c>
      <c r="H272">
        <v>238</v>
      </c>
      <c r="J272">
        <f t="shared" si="12"/>
        <v>8.95</v>
      </c>
      <c r="K272">
        <f t="shared" si="14"/>
        <v>0</v>
      </c>
      <c r="L272">
        <f t="shared" si="13"/>
        <v>5</v>
      </c>
    </row>
    <row r="273" spans="1:12">
      <c r="A273">
        <v>9.024</v>
      </c>
      <c r="B273">
        <v>-193.8</v>
      </c>
      <c r="C273">
        <v>238.4</v>
      </c>
      <c r="F273">
        <v>8.99</v>
      </c>
      <c r="G273">
        <v>-193.8</v>
      </c>
      <c r="H273">
        <v>238</v>
      </c>
      <c r="J273">
        <f t="shared" si="12"/>
        <v>8.95</v>
      </c>
      <c r="K273">
        <f t="shared" si="14"/>
        <v>0.199999999999989</v>
      </c>
      <c r="L273">
        <f t="shared" si="13"/>
        <v>5</v>
      </c>
    </row>
    <row r="274" spans="1:12">
      <c r="A274">
        <v>9.057</v>
      </c>
      <c r="B274">
        <v>-193.6</v>
      </c>
      <c r="C274">
        <v>238.4</v>
      </c>
      <c r="F274">
        <v>9.024</v>
      </c>
      <c r="G274">
        <v>-193.8</v>
      </c>
      <c r="H274">
        <v>238.4</v>
      </c>
      <c r="J274">
        <f t="shared" si="12"/>
        <v>9</v>
      </c>
      <c r="K274">
        <f t="shared" si="14"/>
        <v>0.199999999999989</v>
      </c>
      <c r="L274">
        <f t="shared" si="13"/>
        <v>5</v>
      </c>
    </row>
    <row r="275" spans="1:12">
      <c r="A275">
        <v>9.091</v>
      </c>
      <c r="B275">
        <v>-193.5</v>
      </c>
      <c r="C275">
        <v>238.4</v>
      </c>
      <c r="F275">
        <v>9.057</v>
      </c>
      <c r="G275">
        <v>-193.6</v>
      </c>
      <c r="H275">
        <v>238.4</v>
      </c>
      <c r="J275">
        <f t="shared" si="12"/>
        <v>9.05</v>
      </c>
      <c r="K275">
        <f t="shared" si="14"/>
        <v>0.400000000000006</v>
      </c>
      <c r="L275">
        <f t="shared" si="13"/>
        <v>5</v>
      </c>
    </row>
    <row r="276" spans="1:12">
      <c r="A276">
        <v>9.124</v>
      </c>
      <c r="B276">
        <v>-193.4</v>
      </c>
      <c r="C276">
        <v>238.4</v>
      </c>
      <c r="F276">
        <v>9.091</v>
      </c>
      <c r="G276">
        <v>-193.5</v>
      </c>
      <c r="H276">
        <v>238.4</v>
      </c>
      <c r="J276">
        <f t="shared" si="12"/>
        <v>9.05</v>
      </c>
      <c r="K276">
        <f t="shared" si="14"/>
        <v>0.5</v>
      </c>
      <c r="L276">
        <f t="shared" si="13"/>
        <v>5</v>
      </c>
    </row>
    <row r="277" spans="1:12">
      <c r="A277">
        <v>9.158</v>
      </c>
      <c r="B277">
        <v>-193.2</v>
      </c>
      <c r="C277">
        <v>238.4</v>
      </c>
      <c r="F277">
        <v>9.124</v>
      </c>
      <c r="G277">
        <v>-193.4</v>
      </c>
      <c r="H277">
        <v>238.4</v>
      </c>
      <c r="J277">
        <f t="shared" si="12"/>
        <v>9.1</v>
      </c>
      <c r="K277">
        <f t="shared" si="14"/>
        <v>0.599999999999994</v>
      </c>
      <c r="L277">
        <f t="shared" si="13"/>
        <v>5</v>
      </c>
    </row>
    <row r="278" spans="1:12">
      <c r="A278">
        <v>9.191</v>
      </c>
      <c r="B278">
        <v>-192.9</v>
      </c>
      <c r="C278">
        <v>238.4</v>
      </c>
      <c r="F278">
        <v>9.158</v>
      </c>
      <c r="G278">
        <v>-193.2</v>
      </c>
      <c r="H278">
        <v>238.4</v>
      </c>
      <c r="J278">
        <f t="shared" si="12"/>
        <v>9.15</v>
      </c>
      <c r="K278">
        <f t="shared" si="14"/>
        <v>0.800000000000011</v>
      </c>
      <c r="L278">
        <f t="shared" si="13"/>
        <v>5</v>
      </c>
    </row>
    <row r="279" spans="1:12">
      <c r="A279">
        <v>9.224</v>
      </c>
      <c r="B279">
        <v>-192.2</v>
      </c>
      <c r="C279">
        <v>238.4</v>
      </c>
      <c r="F279">
        <v>9.191</v>
      </c>
      <c r="G279">
        <v>-192.9</v>
      </c>
      <c r="H279">
        <v>238.4</v>
      </c>
      <c r="J279">
        <f t="shared" si="12"/>
        <v>9.15</v>
      </c>
      <c r="K279">
        <f t="shared" si="14"/>
        <v>1.09999999999999</v>
      </c>
      <c r="L279">
        <f t="shared" si="13"/>
        <v>5</v>
      </c>
    </row>
    <row r="280" spans="1:12">
      <c r="A280">
        <v>9.258</v>
      </c>
      <c r="B280">
        <v>-191.8</v>
      </c>
      <c r="C280">
        <v>238.4</v>
      </c>
      <c r="F280">
        <v>9.224</v>
      </c>
      <c r="G280">
        <v>-192.2</v>
      </c>
      <c r="H280">
        <v>238.4</v>
      </c>
      <c r="J280">
        <f t="shared" si="12"/>
        <v>9.2</v>
      </c>
      <c r="K280">
        <f t="shared" si="14"/>
        <v>1.80000000000001</v>
      </c>
      <c r="L280">
        <f t="shared" si="13"/>
        <v>5</v>
      </c>
    </row>
    <row r="281" spans="1:12">
      <c r="A281">
        <v>9.291</v>
      </c>
      <c r="B281">
        <v>-191</v>
      </c>
      <c r="C281">
        <v>238.4</v>
      </c>
      <c r="F281">
        <v>9.258</v>
      </c>
      <c r="G281">
        <v>-191.8</v>
      </c>
      <c r="H281">
        <v>238.4</v>
      </c>
      <c r="J281">
        <f t="shared" si="12"/>
        <v>9.25</v>
      </c>
      <c r="K281">
        <f t="shared" si="14"/>
        <v>2.19999999999999</v>
      </c>
      <c r="L281">
        <f t="shared" si="13"/>
        <v>5</v>
      </c>
    </row>
    <row r="282" spans="1:12">
      <c r="A282">
        <v>9.325</v>
      </c>
      <c r="B282">
        <v>-190.5</v>
      </c>
      <c r="C282">
        <v>238.4</v>
      </c>
      <c r="F282">
        <v>9.291</v>
      </c>
      <c r="G282">
        <v>-191</v>
      </c>
      <c r="H282">
        <v>238.4</v>
      </c>
      <c r="J282">
        <f t="shared" si="12"/>
        <v>9.25</v>
      </c>
      <c r="K282">
        <f t="shared" si="14"/>
        <v>3</v>
      </c>
      <c r="L282">
        <f t="shared" si="13"/>
        <v>5</v>
      </c>
    </row>
    <row r="283" spans="1:12">
      <c r="A283">
        <v>9.358</v>
      </c>
      <c r="B283">
        <v>-190.1</v>
      </c>
      <c r="C283">
        <v>238.4</v>
      </c>
      <c r="F283">
        <v>9.325</v>
      </c>
      <c r="G283">
        <v>-190.5</v>
      </c>
      <c r="H283">
        <v>238.4</v>
      </c>
      <c r="J283">
        <f t="shared" si="12"/>
        <v>9.3</v>
      </c>
      <c r="K283">
        <f t="shared" si="14"/>
        <v>3.5</v>
      </c>
      <c r="L283">
        <f t="shared" si="13"/>
        <v>5</v>
      </c>
    </row>
    <row r="284" spans="1:12">
      <c r="A284">
        <v>9.392</v>
      </c>
      <c r="B284">
        <v>-189.6</v>
      </c>
      <c r="C284">
        <v>238.4</v>
      </c>
      <c r="F284">
        <v>9.358</v>
      </c>
      <c r="G284">
        <v>-190.1</v>
      </c>
      <c r="H284">
        <v>238.4</v>
      </c>
      <c r="J284">
        <f t="shared" si="12"/>
        <v>9.35</v>
      </c>
      <c r="K284">
        <f t="shared" si="14"/>
        <v>3.90000000000001</v>
      </c>
      <c r="L284">
        <f t="shared" si="13"/>
        <v>5</v>
      </c>
    </row>
    <row r="285" spans="1:12">
      <c r="A285">
        <v>9.425</v>
      </c>
      <c r="B285">
        <v>-189</v>
      </c>
      <c r="C285">
        <v>238.4</v>
      </c>
      <c r="F285">
        <v>9.392</v>
      </c>
      <c r="G285">
        <v>-189.6</v>
      </c>
      <c r="H285">
        <v>238.4</v>
      </c>
      <c r="J285">
        <f t="shared" si="12"/>
        <v>9.35</v>
      </c>
      <c r="K285">
        <f t="shared" si="14"/>
        <v>4.40000000000001</v>
      </c>
      <c r="L285">
        <f t="shared" si="13"/>
        <v>5</v>
      </c>
    </row>
    <row r="286" spans="1:12">
      <c r="A286">
        <v>9.458</v>
      </c>
      <c r="B286">
        <v>-188.3</v>
      </c>
      <c r="C286">
        <v>238.4</v>
      </c>
      <c r="F286">
        <v>9.425</v>
      </c>
      <c r="G286">
        <v>-189</v>
      </c>
      <c r="H286">
        <v>238.4</v>
      </c>
      <c r="J286">
        <f t="shared" si="12"/>
        <v>9.4</v>
      </c>
      <c r="K286">
        <f t="shared" si="14"/>
        <v>5</v>
      </c>
      <c r="L286">
        <f t="shared" si="13"/>
        <v>5</v>
      </c>
    </row>
    <row r="287" spans="1:12">
      <c r="A287">
        <v>9.492</v>
      </c>
      <c r="B287">
        <v>-187.7</v>
      </c>
      <c r="C287">
        <v>238.4</v>
      </c>
      <c r="F287">
        <v>9.458</v>
      </c>
      <c r="G287">
        <v>-188.3</v>
      </c>
      <c r="H287">
        <v>238.4</v>
      </c>
      <c r="J287">
        <f t="shared" si="12"/>
        <v>9.45</v>
      </c>
      <c r="K287">
        <f t="shared" si="14"/>
        <v>5.69999999999999</v>
      </c>
      <c r="L287">
        <f t="shared" si="13"/>
        <v>5</v>
      </c>
    </row>
    <row r="288" spans="1:12">
      <c r="A288">
        <v>9.525</v>
      </c>
      <c r="B288">
        <v>-186.9</v>
      </c>
      <c r="C288">
        <v>238.4</v>
      </c>
      <c r="F288">
        <v>9.492</v>
      </c>
      <c r="G288">
        <v>-187.7</v>
      </c>
      <c r="H288">
        <v>238.4</v>
      </c>
      <c r="J288">
        <f t="shared" si="12"/>
        <v>9.45</v>
      </c>
      <c r="K288">
        <f t="shared" si="14"/>
        <v>6.30000000000001</v>
      </c>
      <c r="L288">
        <f t="shared" si="13"/>
        <v>5</v>
      </c>
    </row>
    <row r="289" spans="1:12">
      <c r="A289">
        <v>9.559</v>
      </c>
      <c r="B289">
        <v>-186.4</v>
      </c>
      <c r="C289">
        <v>238.4</v>
      </c>
      <c r="F289">
        <v>9.525</v>
      </c>
      <c r="G289">
        <v>-186.9</v>
      </c>
      <c r="H289">
        <v>238.4</v>
      </c>
      <c r="J289">
        <f t="shared" si="12"/>
        <v>9.5</v>
      </c>
      <c r="K289">
        <f t="shared" si="14"/>
        <v>7.09999999999999</v>
      </c>
      <c r="L289">
        <f t="shared" si="13"/>
        <v>5</v>
      </c>
    </row>
    <row r="290" spans="1:12">
      <c r="A290">
        <v>9.592</v>
      </c>
      <c r="B290">
        <v>-186</v>
      </c>
      <c r="C290">
        <v>238.3</v>
      </c>
      <c r="F290">
        <v>9.559</v>
      </c>
      <c r="G290">
        <v>-186.4</v>
      </c>
      <c r="H290">
        <v>238.4</v>
      </c>
      <c r="J290">
        <f t="shared" si="12"/>
        <v>9.55</v>
      </c>
      <c r="K290">
        <f t="shared" si="14"/>
        <v>7.59999999999999</v>
      </c>
      <c r="L290">
        <f t="shared" si="13"/>
        <v>5</v>
      </c>
    </row>
    <row r="291" spans="1:12">
      <c r="A291">
        <v>9.625</v>
      </c>
      <c r="B291">
        <v>-185.6</v>
      </c>
      <c r="C291">
        <v>237.3</v>
      </c>
      <c r="F291">
        <v>9.592</v>
      </c>
      <c r="G291">
        <v>-186</v>
      </c>
      <c r="H291">
        <v>238.3</v>
      </c>
      <c r="J291">
        <f t="shared" si="12"/>
        <v>9.55</v>
      </c>
      <c r="K291">
        <f t="shared" si="14"/>
        <v>8</v>
      </c>
      <c r="L291">
        <f t="shared" si="13"/>
        <v>5</v>
      </c>
    </row>
    <row r="292" spans="1:12">
      <c r="A292">
        <v>9.659</v>
      </c>
      <c r="B292">
        <v>-185.1</v>
      </c>
      <c r="C292">
        <v>139.7</v>
      </c>
      <c r="F292">
        <v>9.625</v>
      </c>
      <c r="G292">
        <v>-185.6</v>
      </c>
      <c r="H292">
        <v>237.3</v>
      </c>
      <c r="J292">
        <f t="shared" si="12"/>
        <v>9.6</v>
      </c>
      <c r="K292">
        <f t="shared" si="14"/>
        <v>8.40000000000001</v>
      </c>
      <c r="L292">
        <f t="shared" si="13"/>
        <v>5</v>
      </c>
    </row>
    <row r="293" spans="1:12">
      <c r="A293">
        <v>9.692</v>
      </c>
      <c r="B293">
        <v>-185.2</v>
      </c>
      <c r="C293">
        <v>156.1</v>
      </c>
      <c r="F293">
        <v>9.659</v>
      </c>
      <c r="G293">
        <v>-185.1</v>
      </c>
      <c r="H293">
        <v>139.7</v>
      </c>
      <c r="J293">
        <f t="shared" si="12"/>
        <v>9.65</v>
      </c>
      <c r="K293">
        <f t="shared" si="14"/>
        <v>8.90000000000001</v>
      </c>
      <c r="L293">
        <f t="shared" si="13"/>
        <v>0</v>
      </c>
    </row>
    <row r="294" spans="1:12">
      <c r="A294">
        <v>9.726</v>
      </c>
      <c r="B294">
        <v>-185.3</v>
      </c>
      <c r="C294">
        <v>154.2</v>
      </c>
      <c r="F294">
        <v>9.692</v>
      </c>
      <c r="G294">
        <v>-185.2</v>
      </c>
      <c r="H294">
        <v>156.1</v>
      </c>
      <c r="J294">
        <f t="shared" si="12"/>
        <v>9.65</v>
      </c>
      <c r="K294">
        <f t="shared" si="14"/>
        <v>8.80000000000001</v>
      </c>
      <c r="L294">
        <f t="shared" si="13"/>
        <v>0</v>
      </c>
    </row>
    <row r="295" spans="1:12">
      <c r="A295">
        <v>9.759</v>
      </c>
      <c r="B295">
        <v>-185.3</v>
      </c>
      <c r="C295">
        <v>152.2</v>
      </c>
      <c r="F295">
        <v>9.726</v>
      </c>
      <c r="G295">
        <v>-185.3</v>
      </c>
      <c r="H295">
        <v>154.2</v>
      </c>
      <c r="J295">
        <f t="shared" si="12"/>
        <v>9.7</v>
      </c>
      <c r="K295">
        <f t="shared" si="14"/>
        <v>8.69999999999999</v>
      </c>
      <c r="L295">
        <f t="shared" si="13"/>
        <v>0</v>
      </c>
    </row>
    <row r="296" spans="1:12">
      <c r="A296">
        <v>9.793</v>
      </c>
      <c r="B296">
        <v>-185.5</v>
      </c>
      <c r="C296">
        <v>150.1</v>
      </c>
      <c r="F296">
        <v>9.759</v>
      </c>
      <c r="G296">
        <v>-185.3</v>
      </c>
      <c r="H296">
        <v>152.2</v>
      </c>
      <c r="J296">
        <f t="shared" si="12"/>
        <v>9.75</v>
      </c>
      <c r="K296">
        <f t="shared" si="14"/>
        <v>8.69999999999999</v>
      </c>
      <c r="L296">
        <f t="shared" si="13"/>
        <v>0</v>
      </c>
    </row>
    <row r="297" spans="1:12">
      <c r="A297">
        <v>9.826</v>
      </c>
      <c r="B297">
        <v>-185.7</v>
      </c>
      <c r="C297">
        <v>149.4</v>
      </c>
      <c r="F297">
        <v>9.793</v>
      </c>
      <c r="G297">
        <v>-185.5</v>
      </c>
      <c r="H297">
        <v>150.1</v>
      </c>
      <c r="J297">
        <f t="shared" si="12"/>
        <v>9.75</v>
      </c>
      <c r="K297">
        <f t="shared" si="14"/>
        <v>8.5</v>
      </c>
      <c r="L297">
        <f t="shared" si="13"/>
        <v>0</v>
      </c>
    </row>
    <row r="298" spans="1:12">
      <c r="A298">
        <v>9.859</v>
      </c>
      <c r="B298">
        <v>-185.9</v>
      </c>
      <c r="C298">
        <v>146.3</v>
      </c>
      <c r="F298">
        <v>9.826</v>
      </c>
      <c r="G298">
        <v>-185.7</v>
      </c>
      <c r="H298">
        <v>149.4</v>
      </c>
      <c r="J298">
        <f t="shared" si="12"/>
        <v>9.8</v>
      </c>
      <c r="K298">
        <f t="shared" si="14"/>
        <v>8.30000000000001</v>
      </c>
      <c r="L298">
        <f t="shared" si="13"/>
        <v>0</v>
      </c>
    </row>
    <row r="299" spans="1:12">
      <c r="A299">
        <v>9.893</v>
      </c>
      <c r="B299">
        <v>-186.3</v>
      </c>
      <c r="C299">
        <v>143.8</v>
      </c>
      <c r="F299">
        <v>9.859</v>
      </c>
      <c r="G299">
        <v>-185.9</v>
      </c>
      <c r="H299">
        <v>146.3</v>
      </c>
      <c r="J299">
        <f t="shared" si="12"/>
        <v>9.85</v>
      </c>
      <c r="K299">
        <f t="shared" si="14"/>
        <v>8.09999999999999</v>
      </c>
      <c r="L299">
        <f t="shared" si="13"/>
        <v>0</v>
      </c>
    </row>
    <row r="300" spans="1:12">
      <c r="A300">
        <v>9.926</v>
      </c>
      <c r="B300">
        <v>-186.8</v>
      </c>
      <c r="C300" s="2">
        <v>142.7</v>
      </c>
      <c r="D300" s="2"/>
      <c r="E300" s="2"/>
      <c r="F300">
        <v>9.893</v>
      </c>
      <c r="G300">
        <v>-186.3</v>
      </c>
      <c r="H300">
        <v>143.8</v>
      </c>
      <c r="J300">
        <f t="shared" si="12"/>
        <v>9.85</v>
      </c>
      <c r="K300">
        <f t="shared" si="14"/>
        <v>7.69999999999999</v>
      </c>
      <c r="L300">
        <f t="shared" si="13"/>
        <v>0</v>
      </c>
    </row>
    <row r="301" spans="1:12">
      <c r="A301">
        <v>9.96</v>
      </c>
      <c r="B301">
        <v>-187.5</v>
      </c>
      <c r="C301" s="2">
        <v>140.8</v>
      </c>
      <c r="D301" s="2"/>
      <c r="E301" s="2"/>
      <c r="F301">
        <v>9.926</v>
      </c>
      <c r="G301">
        <v>-186.8</v>
      </c>
      <c r="H301" s="2">
        <v>142.7</v>
      </c>
      <c r="J301">
        <f t="shared" si="12"/>
        <v>9.9</v>
      </c>
      <c r="K301">
        <f t="shared" si="14"/>
        <v>7.19999999999999</v>
      </c>
      <c r="L301">
        <f t="shared" si="13"/>
        <v>0</v>
      </c>
    </row>
    <row r="302" spans="1:12">
      <c r="A302">
        <v>9.993</v>
      </c>
      <c r="B302">
        <v>-188.2</v>
      </c>
      <c r="C302" s="2">
        <v>138.6</v>
      </c>
      <c r="D302" s="2"/>
      <c r="E302" s="2"/>
      <c r="F302">
        <v>9.96</v>
      </c>
      <c r="G302">
        <v>-187.5</v>
      </c>
      <c r="H302" s="2">
        <v>140.8</v>
      </c>
      <c r="J302">
        <f t="shared" si="12"/>
        <v>9.95</v>
      </c>
      <c r="K302">
        <f t="shared" si="14"/>
        <v>6.5</v>
      </c>
      <c r="L302">
        <f t="shared" si="13"/>
        <v>0</v>
      </c>
    </row>
    <row r="303" spans="1:12">
      <c r="A303">
        <v>10.027</v>
      </c>
      <c r="B303">
        <v>-189.4</v>
      </c>
      <c r="C303" s="2">
        <v>137.4</v>
      </c>
      <c r="D303" s="2"/>
      <c r="E303" s="2"/>
      <c r="F303">
        <v>9.993</v>
      </c>
      <c r="G303">
        <v>-188.2</v>
      </c>
      <c r="H303" s="2">
        <v>138.6</v>
      </c>
      <c r="J303">
        <f t="shared" si="12"/>
        <v>9.95</v>
      </c>
      <c r="K303">
        <f t="shared" si="14"/>
        <v>5.80000000000001</v>
      </c>
      <c r="L303">
        <f t="shared" si="13"/>
        <v>0</v>
      </c>
    </row>
    <row r="304" spans="1:12">
      <c r="A304">
        <v>10.06</v>
      </c>
      <c r="B304">
        <v>-190</v>
      </c>
      <c r="C304" s="2">
        <v>133</v>
      </c>
      <c r="D304" s="2"/>
      <c r="E304" s="2"/>
      <c r="F304">
        <v>10.027</v>
      </c>
      <c r="G304">
        <v>-189.4</v>
      </c>
      <c r="H304" s="2">
        <v>137.4</v>
      </c>
      <c r="J304">
        <f t="shared" si="12"/>
        <v>10</v>
      </c>
      <c r="K304">
        <f t="shared" si="14"/>
        <v>4.59999999999999</v>
      </c>
      <c r="L304">
        <f t="shared" si="13"/>
        <v>0</v>
      </c>
    </row>
    <row r="305" spans="1:12">
      <c r="A305">
        <v>10.093</v>
      </c>
      <c r="B305">
        <v>-190.8</v>
      </c>
      <c r="C305" s="2">
        <v>132.1</v>
      </c>
      <c r="D305" s="2"/>
      <c r="E305" s="2"/>
      <c r="F305">
        <v>10.06</v>
      </c>
      <c r="G305">
        <v>-190</v>
      </c>
      <c r="H305" s="2">
        <v>133</v>
      </c>
      <c r="J305">
        <f t="shared" si="12"/>
        <v>10.05</v>
      </c>
      <c r="K305">
        <f t="shared" si="14"/>
        <v>4</v>
      </c>
      <c r="L305">
        <f t="shared" si="13"/>
        <v>0</v>
      </c>
    </row>
    <row r="306" spans="1:12">
      <c r="A306">
        <v>10.127</v>
      </c>
      <c r="B306">
        <v>-191.4</v>
      </c>
      <c r="C306" s="2">
        <v>129.6</v>
      </c>
      <c r="D306" s="2"/>
      <c r="E306" s="2"/>
      <c r="F306">
        <v>10.093</v>
      </c>
      <c r="G306">
        <v>-190.8</v>
      </c>
      <c r="H306" s="2">
        <v>132.1</v>
      </c>
      <c r="J306">
        <f t="shared" si="12"/>
        <v>10.05</v>
      </c>
      <c r="K306">
        <f t="shared" si="14"/>
        <v>3.19999999999999</v>
      </c>
      <c r="L306">
        <f t="shared" si="13"/>
        <v>0</v>
      </c>
    </row>
    <row r="307" spans="1:12">
      <c r="A307">
        <v>10.16</v>
      </c>
      <c r="B307">
        <v>-192</v>
      </c>
      <c r="C307" s="2">
        <v>128.2</v>
      </c>
      <c r="D307" s="2"/>
      <c r="E307" s="2"/>
      <c r="F307">
        <v>10.127</v>
      </c>
      <c r="G307">
        <v>-191.4</v>
      </c>
      <c r="H307" s="2">
        <v>129.6</v>
      </c>
      <c r="J307">
        <f t="shared" si="12"/>
        <v>10.1</v>
      </c>
      <c r="K307">
        <f t="shared" si="14"/>
        <v>2.59999999999999</v>
      </c>
      <c r="L307">
        <f t="shared" si="13"/>
        <v>0</v>
      </c>
    </row>
    <row r="308" spans="1:12">
      <c r="A308">
        <v>10.194</v>
      </c>
      <c r="B308">
        <v>-192.8</v>
      </c>
      <c r="C308" s="2">
        <v>125.6</v>
      </c>
      <c r="D308" s="2"/>
      <c r="E308" s="2"/>
      <c r="F308">
        <v>10.16</v>
      </c>
      <c r="G308">
        <v>-192</v>
      </c>
      <c r="H308" s="2">
        <v>128.2</v>
      </c>
      <c r="J308">
        <f t="shared" si="12"/>
        <v>10.15</v>
      </c>
      <c r="K308">
        <f t="shared" si="14"/>
        <v>2</v>
      </c>
      <c r="L308">
        <f t="shared" si="13"/>
        <v>0</v>
      </c>
    </row>
    <row r="309" spans="1:12">
      <c r="A309">
        <v>10.227</v>
      </c>
      <c r="B309">
        <v>-193.4</v>
      </c>
      <c r="C309" s="2">
        <v>123.6</v>
      </c>
      <c r="D309" s="2"/>
      <c r="E309" s="2"/>
      <c r="F309">
        <v>10.194</v>
      </c>
      <c r="G309">
        <v>-192.8</v>
      </c>
      <c r="H309" s="2">
        <v>125.6</v>
      </c>
      <c r="J309">
        <f t="shared" si="12"/>
        <v>10.15</v>
      </c>
      <c r="K309">
        <f t="shared" si="14"/>
        <v>1.19999999999999</v>
      </c>
      <c r="L309">
        <f t="shared" si="13"/>
        <v>0</v>
      </c>
    </row>
    <row r="310" spans="1:12">
      <c r="A310">
        <v>10.26</v>
      </c>
      <c r="B310">
        <v>-193.8</v>
      </c>
      <c r="C310" s="2">
        <v>120.6</v>
      </c>
      <c r="D310" s="2"/>
      <c r="E310" s="2"/>
      <c r="F310">
        <v>10.227</v>
      </c>
      <c r="G310">
        <v>-193.4</v>
      </c>
      <c r="H310" s="2">
        <v>123.6</v>
      </c>
      <c r="J310">
        <f t="shared" si="12"/>
        <v>10.2</v>
      </c>
      <c r="K310">
        <f t="shared" si="14"/>
        <v>0.599999999999994</v>
      </c>
      <c r="L310">
        <f t="shared" si="13"/>
        <v>0</v>
      </c>
    </row>
    <row r="311" spans="1:12">
      <c r="A311">
        <v>10.294</v>
      </c>
      <c r="B311">
        <v>-194.4</v>
      </c>
      <c r="C311" s="2">
        <v>119.1</v>
      </c>
      <c r="D311" s="2"/>
      <c r="E311" s="2"/>
      <c r="F311">
        <v>10.26</v>
      </c>
      <c r="G311">
        <v>-193.8</v>
      </c>
      <c r="H311" s="2">
        <v>120.6</v>
      </c>
      <c r="J311">
        <f t="shared" si="12"/>
        <v>10.25</v>
      </c>
      <c r="K311">
        <f t="shared" si="14"/>
        <v>0.199999999999989</v>
      </c>
      <c r="L311">
        <f t="shared" si="13"/>
        <v>0</v>
      </c>
    </row>
    <row r="312" spans="1:12">
      <c r="A312">
        <v>10.327</v>
      </c>
      <c r="B312">
        <v>-194.8</v>
      </c>
      <c r="C312" s="2">
        <v>232.3</v>
      </c>
      <c r="D312" s="2"/>
      <c r="E312" s="2"/>
      <c r="F312">
        <v>10.294</v>
      </c>
      <c r="G312">
        <v>-194.4</v>
      </c>
      <c r="H312" s="2">
        <v>119.1</v>
      </c>
      <c r="J312">
        <f t="shared" si="12"/>
        <v>10.25</v>
      </c>
      <c r="K312">
        <f t="shared" si="14"/>
        <v>-0.400000000000006</v>
      </c>
      <c r="L312">
        <f t="shared" si="13"/>
        <v>0</v>
      </c>
    </row>
    <row r="313" spans="1:12">
      <c r="A313">
        <v>10.361</v>
      </c>
      <c r="B313">
        <v>-194.9</v>
      </c>
      <c r="C313" s="2">
        <v>238.2</v>
      </c>
      <c r="D313" s="2"/>
      <c r="E313" s="2"/>
      <c r="F313">
        <v>10.327</v>
      </c>
      <c r="G313">
        <v>-194.8</v>
      </c>
      <c r="H313" s="2">
        <v>232.3</v>
      </c>
      <c r="J313">
        <f t="shared" si="12"/>
        <v>10.3</v>
      </c>
      <c r="K313">
        <f t="shared" si="14"/>
        <v>-0.800000000000011</v>
      </c>
      <c r="L313">
        <f t="shared" si="13"/>
        <v>5</v>
      </c>
    </row>
    <row r="314" spans="1:12">
      <c r="A314">
        <v>10.394</v>
      </c>
      <c r="B314">
        <v>-194.8</v>
      </c>
      <c r="C314" s="2">
        <v>238.2</v>
      </c>
      <c r="D314" s="2"/>
      <c r="E314" s="2"/>
      <c r="F314">
        <v>10.361</v>
      </c>
      <c r="G314">
        <v>-194.9</v>
      </c>
      <c r="H314" s="2">
        <v>238.2</v>
      </c>
      <c r="J314">
        <f t="shared" si="12"/>
        <v>10.35</v>
      </c>
      <c r="K314">
        <f t="shared" si="14"/>
        <v>-0.900000000000006</v>
      </c>
      <c r="L314">
        <f t="shared" si="13"/>
        <v>5</v>
      </c>
    </row>
    <row r="315" spans="1:12">
      <c r="A315">
        <v>10.428</v>
      </c>
      <c r="B315">
        <v>-194.8</v>
      </c>
      <c r="C315" s="2">
        <v>238.2</v>
      </c>
      <c r="D315" s="2"/>
      <c r="E315" s="2"/>
      <c r="F315">
        <v>10.394</v>
      </c>
      <c r="G315">
        <v>-194.8</v>
      </c>
      <c r="H315" s="2">
        <v>238.2</v>
      </c>
      <c r="J315">
        <f t="shared" si="12"/>
        <v>10.35</v>
      </c>
      <c r="K315">
        <f t="shared" si="14"/>
        <v>-0.800000000000011</v>
      </c>
      <c r="L315">
        <f t="shared" si="13"/>
        <v>5</v>
      </c>
    </row>
    <row r="316" spans="1:12">
      <c r="A316">
        <v>10.461</v>
      </c>
      <c r="B316">
        <v>-194.8</v>
      </c>
      <c r="C316" s="2">
        <v>238.2</v>
      </c>
      <c r="D316" s="2"/>
      <c r="E316" s="2"/>
      <c r="F316">
        <v>10.428</v>
      </c>
      <c r="G316">
        <v>-194.8</v>
      </c>
      <c r="H316" s="2">
        <v>238.2</v>
      </c>
      <c r="J316">
        <f t="shared" si="12"/>
        <v>10.4</v>
      </c>
      <c r="K316">
        <f t="shared" si="14"/>
        <v>-0.800000000000011</v>
      </c>
      <c r="L316">
        <f t="shared" si="13"/>
        <v>5</v>
      </c>
    </row>
    <row r="317" spans="1:12">
      <c r="A317">
        <v>10.494</v>
      </c>
      <c r="B317">
        <v>-194.7</v>
      </c>
      <c r="C317">
        <v>238.2</v>
      </c>
      <c r="F317">
        <v>10.461</v>
      </c>
      <c r="G317">
        <v>-194.8</v>
      </c>
      <c r="H317" s="2">
        <v>238.2</v>
      </c>
      <c r="J317">
        <f t="shared" si="12"/>
        <v>10.45</v>
      </c>
      <c r="K317">
        <f t="shared" si="14"/>
        <v>-0.800000000000011</v>
      </c>
      <c r="L317">
        <f t="shared" si="13"/>
        <v>5</v>
      </c>
    </row>
    <row r="318" spans="1:12">
      <c r="A318">
        <v>10.528</v>
      </c>
      <c r="B318">
        <v>-194.5</v>
      </c>
      <c r="C318">
        <v>238.2</v>
      </c>
      <c r="F318">
        <v>10.494</v>
      </c>
      <c r="G318">
        <v>-194.7</v>
      </c>
      <c r="H318">
        <v>238.2</v>
      </c>
      <c r="J318">
        <f t="shared" si="12"/>
        <v>10.45</v>
      </c>
      <c r="K318">
        <f t="shared" si="14"/>
        <v>-0.699999999999989</v>
      </c>
      <c r="L318">
        <f t="shared" si="13"/>
        <v>5</v>
      </c>
    </row>
    <row r="319" spans="1:12">
      <c r="A319">
        <v>10.561</v>
      </c>
      <c r="B319">
        <v>-194.5</v>
      </c>
      <c r="C319">
        <v>238.2</v>
      </c>
      <c r="F319">
        <v>10.528</v>
      </c>
      <c r="G319">
        <v>-194.5</v>
      </c>
      <c r="H319">
        <v>238.2</v>
      </c>
      <c r="J319">
        <f t="shared" si="12"/>
        <v>10.5</v>
      </c>
      <c r="K319">
        <f t="shared" si="14"/>
        <v>-0.5</v>
      </c>
      <c r="L319">
        <f t="shared" si="13"/>
        <v>5</v>
      </c>
    </row>
    <row r="320" spans="1:12">
      <c r="A320">
        <v>10.595</v>
      </c>
      <c r="B320">
        <v>-194.3</v>
      </c>
      <c r="C320">
        <v>238.2</v>
      </c>
      <c r="F320">
        <v>10.561</v>
      </c>
      <c r="G320">
        <v>-194.5</v>
      </c>
      <c r="H320">
        <v>238.2</v>
      </c>
      <c r="J320">
        <f t="shared" si="12"/>
        <v>10.55</v>
      </c>
      <c r="K320">
        <f t="shared" si="14"/>
        <v>-0.5</v>
      </c>
      <c r="L320">
        <f t="shared" si="13"/>
        <v>5</v>
      </c>
    </row>
    <row r="321" spans="1:12">
      <c r="A321">
        <v>10.628</v>
      </c>
      <c r="B321">
        <v>-193.9</v>
      </c>
      <c r="C321">
        <v>238.1</v>
      </c>
      <c r="F321">
        <v>10.595</v>
      </c>
      <c r="G321">
        <v>-194.3</v>
      </c>
      <c r="H321">
        <v>238.2</v>
      </c>
      <c r="J321">
        <f t="shared" si="12"/>
        <v>10.55</v>
      </c>
      <c r="K321">
        <f t="shared" si="14"/>
        <v>-0.300000000000011</v>
      </c>
      <c r="L321">
        <f t="shared" si="13"/>
        <v>5</v>
      </c>
    </row>
    <row r="322" spans="1:12">
      <c r="A322">
        <v>10.662</v>
      </c>
      <c r="B322">
        <v>-193.2</v>
      </c>
      <c r="C322">
        <v>238.1</v>
      </c>
      <c r="F322">
        <v>10.628</v>
      </c>
      <c r="G322">
        <v>-193.9</v>
      </c>
      <c r="H322">
        <v>238.1</v>
      </c>
      <c r="J322">
        <f t="shared" si="12"/>
        <v>10.6</v>
      </c>
      <c r="K322">
        <f t="shared" si="14"/>
        <v>0.0999999999999943</v>
      </c>
      <c r="L322">
        <f t="shared" si="13"/>
        <v>5</v>
      </c>
    </row>
    <row r="323" spans="1:12">
      <c r="A323">
        <v>10.695</v>
      </c>
      <c r="B323">
        <v>-192.7</v>
      </c>
      <c r="C323">
        <v>238.1</v>
      </c>
      <c r="F323">
        <v>10.662</v>
      </c>
      <c r="G323">
        <v>-193.2</v>
      </c>
      <c r="H323">
        <v>238.1</v>
      </c>
      <c r="J323">
        <f t="shared" si="12"/>
        <v>10.65</v>
      </c>
      <c r="K323">
        <f t="shared" si="14"/>
        <v>0.800000000000011</v>
      </c>
      <c r="L323">
        <f t="shared" si="13"/>
        <v>5</v>
      </c>
    </row>
    <row r="324" spans="1:12">
      <c r="A324">
        <v>10.728</v>
      </c>
      <c r="B324">
        <v>-191.7</v>
      </c>
      <c r="C324">
        <v>238.1</v>
      </c>
      <c r="F324">
        <v>10.695</v>
      </c>
      <c r="G324">
        <v>-192.7</v>
      </c>
      <c r="H324">
        <v>238.1</v>
      </c>
      <c r="J324">
        <f t="shared" ref="J324:J387" si="15">FLOOR(F324,0.05)</f>
        <v>10.65</v>
      </c>
      <c r="K324">
        <f t="shared" si="14"/>
        <v>1.30000000000001</v>
      </c>
      <c r="L324">
        <f t="shared" ref="L324:L387" si="16">IF(H324&lt;230,0,5)</f>
        <v>5</v>
      </c>
    </row>
    <row r="325" spans="1:12">
      <c r="A325">
        <v>10.762</v>
      </c>
      <c r="B325">
        <v>-191</v>
      </c>
      <c r="C325">
        <v>238.1</v>
      </c>
      <c r="F325">
        <v>10.728</v>
      </c>
      <c r="G325">
        <v>-191.7</v>
      </c>
      <c r="H325">
        <v>238.1</v>
      </c>
      <c r="J325">
        <f t="shared" si="15"/>
        <v>10.7</v>
      </c>
      <c r="K325">
        <f t="shared" ref="K325:K388" si="17">G325+194</f>
        <v>2.30000000000001</v>
      </c>
      <c r="L325">
        <f t="shared" si="16"/>
        <v>5</v>
      </c>
    </row>
    <row r="326" spans="1:12">
      <c r="A326">
        <v>10.795</v>
      </c>
      <c r="B326">
        <v>-190.4</v>
      </c>
      <c r="C326">
        <v>238.1</v>
      </c>
      <c r="F326">
        <v>10.762</v>
      </c>
      <c r="G326">
        <v>-191</v>
      </c>
      <c r="H326">
        <v>238.1</v>
      </c>
      <c r="J326">
        <f t="shared" si="15"/>
        <v>10.75</v>
      </c>
      <c r="K326">
        <f t="shared" si="17"/>
        <v>3</v>
      </c>
      <c r="L326">
        <f t="shared" si="16"/>
        <v>5</v>
      </c>
    </row>
    <row r="327" spans="1:12">
      <c r="A327">
        <v>10.829</v>
      </c>
      <c r="B327">
        <v>-189.9</v>
      </c>
      <c r="C327">
        <v>238.1</v>
      </c>
      <c r="F327">
        <v>10.795</v>
      </c>
      <c r="G327">
        <v>-190.4</v>
      </c>
      <c r="H327">
        <v>238.1</v>
      </c>
      <c r="J327">
        <f t="shared" si="15"/>
        <v>10.75</v>
      </c>
      <c r="K327">
        <f t="shared" si="17"/>
        <v>3.59999999999999</v>
      </c>
      <c r="L327">
        <f t="shared" si="16"/>
        <v>5</v>
      </c>
    </row>
    <row r="328" spans="1:12">
      <c r="A328">
        <v>10.862</v>
      </c>
      <c r="B328">
        <v>-188.9</v>
      </c>
      <c r="C328">
        <v>238.1</v>
      </c>
      <c r="F328">
        <v>10.829</v>
      </c>
      <c r="G328">
        <v>-189.9</v>
      </c>
      <c r="H328">
        <v>238.1</v>
      </c>
      <c r="J328">
        <f t="shared" si="15"/>
        <v>10.8</v>
      </c>
      <c r="K328">
        <f t="shared" si="17"/>
        <v>4.09999999999999</v>
      </c>
      <c r="L328">
        <f t="shared" si="16"/>
        <v>5</v>
      </c>
    </row>
    <row r="329" spans="1:12">
      <c r="A329">
        <v>10.896</v>
      </c>
      <c r="B329">
        <v>-187.5</v>
      </c>
      <c r="C329">
        <v>238.1</v>
      </c>
      <c r="F329">
        <v>10.862</v>
      </c>
      <c r="G329">
        <v>-188.9</v>
      </c>
      <c r="H329">
        <v>238.1</v>
      </c>
      <c r="J329">
        <f t="shared" si="15"/>
        <v>10.85</v>
      </c>
      <c r="K329">
        <f t="shared" si="17"/>
        <v>5.09999999999999</v>
      </c>
      <c r="L329">
        <f t="shared" si="16"/>
        <v>5</v>
      </c>
    </row>
    <row r="330" spans="1:12">
      <c r="A330">
        <v>10.929</v>
      </c>
      <c r="B330">
        <v>-186.6</v>
      </c>
      <c r="C330">
        <v>238.1</v>
      </c>
      <c r="F330">
        <v>10.896</v>
      </c>
      <c r="G330">
        <v>-187.5</v>
      </c>
      <c r="H330">
        <v>238.1</v>
      </c>
      <c r="J330">
        <f t="shared" si="15"/>
        <v>10.85</v>
      </c>
      <c r="K330">
        <f t="shared" si="17"/>
        <v>6.5</v>
      </c>
      <c r="L330">
        <f t="shared" si="16"/>
        <v>5</v>
      </c>
    </row>
    <row r="331" spans="1:12">
      <c r="A331">
        <v>10.962</v>
      </c>
      <c r="B331">
        <v>-185.7</v>
      </c>
      <c r="C331">
        <v>238.1</v>
      </c>
      <c r="F331">
        <v>10.929</v>
      </c>
      <c r="G331">
        <v>-186.6</v>
      </c>
      <c r="H331">
        <v>238.1</v>
      </c>
      <c r="J331">
        <f t="shared" si="15"/>
        <v>10.9</v>
      </c>
      <c r="K331">
        <f t="shared" si="17"/>
        <v>7.40000000000001</v>
      </c>
      <c r="L331">
        <f t="shared" si="16"/>
        <v>5</v>
      </c>
    </row>
    <row r="332" spans="1:12">
      <c r="A332">
        <v>10.996</v>
      </c>
      <c r="B332">
        <v>-184.8</v>
      </c>
      <c r="C332">
        <v>238.1</v>
      </c>
      <c r="F332">
        <v>10.962</v>
      </c>
      <c r="G332">
        <v>-185.7</v>
      </c>
      <c r="H332">
        <v>238.1</v>
      </c>
      <c r="J332">
        <f t="shared" si="15"/>
        <v>10.95</v>
      </c>
      <c r="K332">
        <f t="shared" si="17"/>
        <v>8.30000000000001</v>
      </c>
      <c r="L332">
        <f t="shared" si="16"/>
        <v>5</v>
      </c>
    </row>
    <row r="333" spans="1:12">
      <c r="A333">
        <v>11.029</v>
      </c>
      <c r="B333">
        <v>-184.3</v>
      </c>
      <c r="C333">
        <v>236.5</v>
      </c>
      <c r="F333">
        <v>10.996</v>
      </c>
      <c r="G333">
        <v>-184.8</v>
      </c>
      <c r="H333">
        <v>238.1</v>
      </c>
      <c r="J333">
        <f t="shared" si="15"/>
        <v>10.95</v>
      </c>
      <c r="K333">
        <f t="shared" si="17"/>
        <v>9.19999999999999</v>
      </c>
      <c r="L333">
        <f t="shared" si="16"/>
        <v>5</v>
      </c>
    </row>
    <row r="334" spans="1:12">
      <c r="A334">
        <v>11.063</v>
      </c>
      <c r="B334">
        <v>-183.7</v>
      </c>
      <c r="C334">
        <v>145</v>
      </c>
      <c r="F334">
        <v>11.029</v>
      </c>
      <c r="G334">
        <v>-184.3</v>
      </c>
      <c r="H334">
        <v>236.5</v>
      </c>
      <c r="J334">
        <f t="shared" si="15"/>
        <v>11</v>
      </c>
      <c r="K334">
        <f t="shared" si="17"/>
        <v>9.69999999999999</v>
      </c>
      <c r="L334">
        <f t="shared" si="16"/>
        <v>5</v>
      </c>
    </row>
    <row r="335" spans="1:12">
      <c r="A335">
        <v>11.096</v>
      </c>
      <c r="B335">
        <v>-183.4</v>
      </c>
      <c r="C335">
        <v>160.1</v>
      </c>
      <c r="F335">
        <v>11.063</v>
      </c>
      <c r="G335">
        <v>-183.7</v>
      </c>
      <c r="H335">
        <v>145</v>
      </c>
      <c r="J335">
        <f t="shared" si="15"/>
        <v>11.05</v>
      </c>
      <c r="K335">
        <f t="shared" si="17"/>
        <v>10.3</v>
      </c>
      <c r="L335">
        <f t="shared" si="16"/>
        <v>0</v>
      </c>
    </row>
    <row r="336" spans="1:12">
      <c r="A336">
        <v>11.129</v>
      </c>
      <c r="B336">
        <v>-183.3</v>
      </c>
      <c r="C336">
        <v>159.1</v>
      </c>
      <c r="F336">
        <v>11.096</v>
      </c>
      <c r="G336">
        <v>-183.4</v>
      </c>
      <c r="H336">
        <v>160.1</v>
      </c>
      <c r="J336">
        <f t="shared" si="15"/>
        <v>11.05</v>
      </c>
      <c r="K336">
        <f t="shared" si="17"/>
        <v>10.6</v>
      </c>
      <c r="L336">
        <f t="shared" si="16"/>
        <v>0</v>
      </c>
    </row>
    <row r="337" spans="1:12">
      <c r="A337">
        <v>11.163</v>
      </c>
      <c r="B337">
        <v>-183.4</v>
      </c>
      <c r="C337">
        <v>157.5</v>
      </c>
      <c r="F337">
        <v>11.129</v>
      </c>
      <c r="G337">
        <v>-183.3</v>
      </c>
      <c r="H337">
        <v>159.1</v>
      </c>
      <c r="J337">
        <f t="shared" si="15"/>
        <v>11.1</v>
      </c>
      <c r="K337">
        <f t="shared" si="17"/>
        <v>10.7</v>
      </c>
      <c r="L337">
        <f t="shared" si="16"/>
        <v>0</v>
      </c>
    </row>
    <row r="338" spans="1:12">
      <c r="A338">
        <v>11.196</v>
      </c>
      <c r="B338">
        <v>-183.4</v>
      </c>
      <c r="C338">
        <v>155.4</v>
      </c>
      <c r="F338">
        <v>11.163</v>
      </c>
      <c r="G338">
        <v>-183.4</v>
      </c>
      <c r="H338">
        <v>157.5</v>
      </c>
      <c r="J338">
        <f t="shared" si="15"/>
        <v>11.15</v>
      </c>
      <c r="K338">
        <f t="shared" si="17"/>
        <v>10.6</v>
      </c>
      <c r="L338">
        <f t="shared" si="16"/>
        <v>0</v>
      </c>
    </row>
    <row r="339" spans="1:12">
      <c r="A339">
        <v>11.23</v>
      </c>
      <c r="B339">
        <v>-183.4</v>
      </c>
      <c r="C339">
        <v>153.2</v>
      </c>
      <c r="F339">
        <v>11.196</v>
      </c>
      <c r="G339">
        <v>-183.4</v>
      </c>
      <c r="H339">
        <v>155.4</v>
      </c>
      <c r="J339">
        <f t="shared" si="15"/>
        <v>11.15</v>
      </c>
      <c r="K339">
        <f t="shared" si="17"/>
        <v>10.6</v>
      </c>
      <c r="L339">
        <f t="shared" si="16"/>
        <v>0</v>
      </c>
    </row>
    <row r="340" spans="1:12">
      <c r="A340">
        <v>11.263</v>
      </c>
      <c r="B340">
        <v>-183.5</v>
      </c>
      <c r="C340">
        <v>152.2</v>
      </c>
      <c r="F340">
        <v>11.23</v>
      </c>
      <c r="G340">
        <v>-183.4</v>
      </c>
      <c r="H340">
        <v>153.2</v>
      </c>
      <c r="J340">
        <f t="shared" si="15"/>
        <v>11.2</v>
      </c>
      <c r="K340">
        <f t="shared" si="17"/>
        <v>10.6</v>
      </c>
      <c r="L340">
        <f t="shared" si="16"/>
        <v>0</v>
      </c>
    </row>
    <row r="341" spans="1:12">
      <c r="A341">
        <v>11.297</v>
      </c>
      <c r="B341">
        <v>-183.9</v>
      </c>
      <c r="C341">
        <v>150</v>
      </c>
      <c r="F341">
        <v>11.263</v>
      </c>
      <c r="G341">
        <v>-183.5</v>
      </c>
      <c r="H341">
        <v>152.2</v>
      </c>
      <c r="J341">
        <f t="shared" si="15"/>
        <v>11.25</v>
      </c>
      <c r="K341">
        <f t="shared" si="17"/>
        <v>10.5</v>
      </c>
      <c r="L341">
        <f t="shared" si="16"/>
        <v>0</v>
      </c>
    </row>
    <row r="342" spans="1:12">
      <c r="A342">
        <v>11.33</v>
      </c>
      <c r="B342">
        <v>-184.3</v>
      </c>
      <c r="C342">
        <v>147</v>
      </c>
      <c r="F342">
        <v>11.297</v>
      </c>
      <c r="G342">
        <v>-183.9</v>
      </c>
      <c r="H342">
        <v>150</v>
      </c>
      <c r="J342">
        <f t="shared" si="15"/>
        <v>11.25</v>
      </c>
      <c r="K342">
        <f t="shared" si="17"/>
        <v>10.1</v>
      </c>
      <c r="L342">
        <f t="shared" si="16"/>
        <v>0</v>
      </c>
    </row>
    <row r="343" spans="1:12">
      <c r="A343">
        <v>11.363</v>
      </c>
      <c r="B343">
        <v>-185</v>
      </c>
      <c r="C343">
        <v>145.5</v>
      </c>
      <c r="F343">
        <v>11.33</v>
      </c>
      <c r="G343">
        <v>-184.3</v>
      </c>
      <c r="H343">
        <v>147</v>
      </c>
      <c r="J343">
        <f t="shared" si="15"/>
        <v>11.3</v>
      </c>
      <c r="K343">
        <f t="shared" si="17"/>
        <v>9.69999999999999</v>
      </c>
      <c r="L343">
        <f t="shared" si="16"/>
        <v>0</v>
      </c>
    </row>
    <row r="344" spans="1:12">
      <c r="A344">
        <v>11.397</v>
      </c>
      <c r="B344">
        <v>-186</v>
      </c>
      <c r="C344">
        <v>144.3</v>
      </c>
      <c r="F344">
        <v>11.363</v>
      </c>
      <c r="G344">
        <v>-185</v>
      </c>
      <c r="H344">
        <v>145.5</v>
      </c>
      <c r="J344">
        <f t="shared" si="15"/>
        <v>11.35</v>
      </c>
      <c r="K344">
        <f t="shared" si="17"/>
        <v>9</v>
      </c>
      <c r="L344">
        <f t="shared" si="16"/>
        <v>0</v>
      </c>
    </row>
    <row r="345" spans="1:12">
      <c r="A345">
        <v>11.43</v>
      </c>
      <c r="B345">
        <v>-186.7</v>
      </c>
      <c r="C345">
        <v>142.5</v>
      </c>
      <c r="F345">
        <v>11.397</v>
      </c>
      <c r="G345">
        <v>-186</v>
      </c>
      <c r="H345">
        <v>144.3</v>
      </c>
      <c r="J345">
        <f t="shared" si="15"/>
        <v>11.35</v>
      </c>
      <c r="K345">
        <f t="shared" si="17"/>
        <v>8</v>
      </c>
      <c r="L345">
        <f t="shared" si="16"/>
        <v>0</v>
      </c>
    </row>
    <row r="346" spans="1:12">
      <c r="A346">
        <v>11.464</v>
      </c>
      <c r="B346">
        <v>-187.5</v>
      </c>
      <c r="C346">
        <v>139.5</v>
      </c>
      <c r="F346">
        <v>11.43</v>
      </c>
      <c r="G346">
        <v>-186.7</v>
      </c>
      <c r="H346">
        <v>142.5</v>
      </c>
      <c r="J346">
        <f t="shared" si="15"/>
        <v>11.4</v>
      </c>
      <c r="K346">
        <f t="shared" si="17"/>
        <v>7.30000000000001</v>
      </c>
      <c r="L346">
        <f t="shared" si="16"/>
        <v>0</v>
      </c>
    </row>
    <row r="347" spans="1:12">
      <c r="A347">
        <v>11.497</v>
      </c>
      <c r="B347">
        <v>-189.1</v>
      </c>
      <c r="C347">
        <v>138.2</v>
      </c>
      <c r="F347">
        <v>11.464</v>
      </c>
      <c r="G347">
        <v>-187.5</v>
      </c>
      <c r="H347">
        <v>139.5</v>
      </c>
      <c r="J347">
        <f t="shared" si="15"/>
        <v>11.45</v>
      </c>
      <c r="K347">
        <f t="shared" si="17"/>
        <v>6.5</v>
      </c>
      <c r="L347">
        <f t="shared" si="16"/>
        <v>0</v>
      </c>
    </row>
    <row r="348" spans="1:12">
      <c r="A348">
        <v>11.531</v>
      </c>
      <c r="B348">
        <v>-189.9</v>
      </c>
      <c r="C348" s="2">
        <v>135.7</v>
      </c>
      <c r="D348" s="2"/>
      <c r="E348" s="2"/>
      <c r="F348">
        <v>11.497</v>
      </c>
      <c r="G348">
        <v>-189.1</v>
      </c>
      <c r="H348">
        <v>138.2</v>
      </c>
      <c r="J348">
        <f t="shared" si="15"/>
        <v>11.45</v>
      </c>
      <c r="K348">
        <f t="shared" si="17"/>
        <v>4.90000000000001</v>
      </c>
      <c r="L348">
        <f t="shared" si="16"/>
        <v>0</v>
      </c>
    </row>
    <row r="349" spans="1:12">
      <c r="A349">
        <v>11.564</v>
      </c>
      <c r="B349">
        <v>-190.6</v>
      </c>
      <c r="C349" s="2">
        <v>134.4</v>
      </c>
      <c r="D349" s="2"/>
      <c r="E349" s="2"/>
      <c r="F349">
        <v>11.531</v>
      </c>
      <c r="G349">
        <v>-189.9</v>
      </c>
      <c r="H349" s="2">
        <v>135.7</v>
      </c>
      <c r="J349">
        <f t="shared" si="15"/>
        <v>11.5</v>
      </c>
      <c r="K349">
        <f t="shared" si="17"/>
        <v>4.09999999999999</v>
      </c>
      <c r="L349">
        <f t="shared" si="16"/>
        <v>0</v>
      </c>
    </row>
    <row r="350" spans="1:12">
      <c r="A350">
        <v>11.597</v>
      </c>
      <c r="B350">
        <v>-191.6</v>
      </c>
      <c r="C350" s="2">
        <v>131.5</v>
      </c>
      <c r="D350" s="2"/>
      <c r="E350" s="2"/>
      <c r="F350">
        <v>11.564</v>
      </c>
      <c r="G350">
        <v>-190.6</v>
      </c>
      <c r="H350" s="2">
        <v>134.4</v>
      </c>
      <c r="J350">
        <f t="shared" si="15"/>
        <v>11.55</v>
      </c>
      <c r="K350">
        <f t="shared" si="17"/>
        <v>3.40000000000001</v>
      </c>
      <c r="L350">
        <f t="shared" si="16"/>
        <v>0</v>
      </c>
    </row>
    <row r="351" spans="1:12">
      <c r="A351">
        <v>11.631</v>
      </c>
      <c r="B351">
        <v>-192.3</v>
      </c>
      <c r="C351" s="2">
        <v>129.4</v>
      </c>
      <c r="D351" s="2"/>
      <c r="E351" s="2"/>
      <c r="F351">
        <v>11.597</v>
      </c>
      <c r="G351">
        <v>-191.6</v>
      </c>
      <c r="H351" s="2">
        <v>131.5</v>
      </c>
      <c r="J351">
        <f t="shared" si="15"/>
        <v>11.55</v>
      </c>
      <c r="K351">
        <f t="shared" si="17"/>
        <v>2.40000000000001</v>
      </c>
      <c r="L351">
        <f t="shared" si="16"/>
        <v>0</v>
      </c>
    </row>
    <row r="352" spans="1:12">
      <c r="A352">
        <v>11.664</v>
      </c>
      <c r="B352">
        <v>-193</v>
      </c>
      <c r="C352" s="2">
        <v>126.5</v>
      </c>
      <c r="D352" s="2"/>
      <c r="E352" s="2"/>
      <c r="F352">
        <v>11.631</v>
      </c>
      <c r="G352">
        <v>-192.3</v>
      </c>
      <c r="H352" s="2">
        <v>129.4</v>
      </c>
      <c r="J352">
        <f t="shared" si="15"/>
        <v>11.6</v>
      </c>
      <c r="K352">
        <f t="shared" si="17"/>
        <v>1.69999999999999</v>
      </c>
      <c r="L352">
        <f t="shared" si="16"/>
        <v>0</v>
      </c>
    </row>
    <row r="353" spans="1:12">
      <c r="A353">
        <v>11.698</v>
      </c>
      <c r="B353">
        <v>-193.8</v>
      </c>
      <c r="C353" s="2">
        <v>124.8</v>
      </c>
      <c r="D353" s="2"/>
      <c r="E353" s="2"/>
      <c r="F353">
        <v>11.664</v>
      </c>
      <c r="G353">
        <v>-193</v>
      </c>
      <c r="H353" s="2">
        <v>126.5</v>
      </c>
      <c r="J353">
        <f t="shared" si="15"/>
        <v>11.65</v>
      </c>
      <c r="K353">
        <f t="shared" si="17"/>
        <v>1</v>
      </c>
      <c r="L353">
        <f t="shared" si="16"/>
        <v>0</v>
      </c>
    </row>
    <row r="354" spans="1:12">
      <c r="A354">
        <v>11.731</v>
      </c>
      <c r="B354">
        <v>-194.6</v>
      </c>
      <c r="C354" s="2">
        <v>238.3</v>
      </c>
      <c r="D354" s="2"/>
      <c r="E354" s="2"/>
      <c r="F354">
        <v>11.698</v>
      </c>
      <c r="G354">
        <v>-193.8</v>
      </c>
      <c r="H354" s="2">
        <v>124.8</v>
      </c>
      <c r="J354">
        <f t="shared" si="15"/>
        <v>11.65</v>
      </c>
      <c r="K354">
        <f t="shared" si="17"/>
        <v>0.199999999999989</v>
      </c>
      <c r="L354">
        <f t="shared" si="16"/>
        <v>0</v>
      </c>
    </row>
    <row r="355" spans="1:12">
      <c r="A355">
        <v>11.764</v>
      </c>
      <c r="B355">
        <v>-194.8</v>
      </c>
      <c r="C355" s="2">
        <v>238.2</v>
      </c>
      <c r="D355" s="2"/>
      <c r="E355" s="2"/>
      <c r="F355">
        <v>11.731</v>
      </c>
      <c r="G355">
        <v>-194.6</v>
      </c>
      <c r="H355" s="2">
        <v>238.3</v>
      </c>
      <c r="J355">
        <f t="shared" si="15"/>
        <v>11.7</v>
      </c>
      <c r="K355">
        <f t="shared" si="17"/>
        <v>-0.599999999999994</v>
      </c>
      <c r="L355">
        <f t="shared" si="16"/>
        <v>5</v>
      </c>
    </row>
    <row r="356" spans="1:12">
      <c r="A356">
        <v>11.798</v>
      </c>
      <c r="B356">
        <v>-195.2</v>
      </c>
      <c r="C356" s="2">
        <v>238.2</v>
      </c>
      <c r="D356" s="2"/>
      <c r="E356" s="2"/>
      <c r="F356">
        <v>11.764</v>
      </c>
      <c r="G356">
        <v>-194.8</v>
      </c>
      <c r="H356" s="2">
        <v>238.2</v>
      </c>
      <c r="J356">
        <f t="shared" si="15"/>
        <v>11.75</v>
      </c>
      <c r="K356">
        <f t="shared" si="17"/>
        <v>-0.800000000000011</v>
      </c>
      <c r="L356">
        <f t="shared" si="16"/>
        <v>5</v>
      </c>
    </row>
    <row r="357" spans="1:12">
      <c r="A357">
        <v>11.831</v>
      </c>
      <c r="B357">
        <v>-195.5</v>
      </c>
      <c r="C357" s="2">
        <v>238.2</v>
      </c>
      <c r="D357" s="2"/>
      <c r="E357" s="2"/>
      <c r="F357">
        <v>11.798</v>
      </c>
      <c r="G357">
        <v>-195.2</v>
      </c>
      <c r="H357" s="2">
        <v>238.2</v>
      </c>
      <c r="J357">
        <f t="shared" si="15"/>
        <v>11.75</v>
      </c>
      <c r="K357">
        <f t="shared" si="17"/>
        <v>-1.19999999999999</v>
      </c>
      <c r="L357">
        <f t="shared" si="16"/>
        <v>5</v>
      </c>
    </row>
    <row r="358" spans="1:12">
      <c r="A358">
        <v>11.865</v>
      </c>
      <c r="B358">
        <v>-195.6</v>
      </c>
      <c r="C358" s="2">
        <v>238.2</v>
      </c>
      <c r="D358" s="2"/>
      <c r="E358" s="2"/>
      <c r="F358">
        <v>11.831</v>
      </c>
      <c r="G358">
        <v>-195.5</v>
      </c>
      <c r="H358" s="2">
        <v>238.2</v>
      </c>
      <c r="J358">
        <f t="shared" si="15"/>
        <v>11.8</v>
      </c>
      <c r="K358">
        <f t="shared" si="17"/>
        <v>-1.5</v>
      </c>
      <c r="L358">
        <f t="shared" si="16"/>
        <v>5</v>
      </c>
    </row>
    <row r="359" spans="1:12">
      <c r="A359">
        <v>11.898</v>
      </c>
      <c r="B359">
        <v>-195.5</v>
      </c>
      <c r="C359" s="2">
        <v>238.2</v>
      </c>
      <c r="D359" s="2"/>
      <c r="E359" s="2"/>
      <c r="F359">
        <v>11.865</v>
      </c>
      <c r="G359">
        <v>-195.6</v>
      </c>
      <c r="H359" s="2">
        <v>238.2</v>
      </c>
      <c r="J359">
        <f t="shared" si="15"/>
        <v>11.85</v>
      </c>
      <c r="K359">
        <f t="shared" si="17"/>
        <v>-1.59999999999999</v>
      </c>
      <c r="L359">
        <f t="shared" si="16"/>
        <v>5</v>
      </c>
    </row>
    <row r="360" spans="1:12">
      <c r="A360">
        <v>11.932</v>
      </c>
      <c r="B360">
        <v>-195.5</v>
      </c>
      <c r="C360" s="2">
        <v>238.2</v>
      </c>
      <c r="D360" s="2"/>
      <c r="E360" s="2"/>
      <c r="F360">
        <v>11.898</v>
      </c>
      <c r="G360">
        <v>-195.5</v>
      </c>
      <c r="H360" s="2">
        <v>238.2</v>
      </c>
      <c r="J360">
        <f t="shared" si="15"/>
        <v>11.85</v>
      </c>
      <c r="K360">
        <f t="shared" si="17"/>
        <v>-1.5</v>
      </c>
      <c r="L360">
        <f t="shared" si="16"/>
        <v>5</v>
      </c>
    </row>
    <row r="361" spans="1:12">
      <c r="A361">
        <v>11.965</v>
      </c>
      <c r="B361">
        <v>-195.5</v>
      </c>
      <c r="C361" s="2">
        <v>238.2</v>
      </c>
      <c r="D361" s="2"/>
      <c r="E361" s="2"/>
      <c r="F361">
        <v>11.932</v>
      </c>
      <c r="G361">
        <v>-195.5</v>
      </c>
      <c r="H361" s="2">
        <v>238.2</v>
      </c>
      <c r="J361">
        <f t="shared" si="15"/>
        <v>11.9</v>
      </c>
      <c r="K361">
        <f t="shared" si="17"/>
        <v>-1.5</v>
      </c>
      <c r="L361">
        <f t="shared" si="16"/>
        <v>5</v>
      </c>
    </row>
    <row r="362" spans="1:12">
      <c r="A362">
        <v>11.998</v>
      </c>
      <c r="B362">
        <v>-195.2</v>
      </c>
      <c r="C362">
        <v>238.2</v>
      </c>
      <c r="F362">
        <v>11.965</v>
      </c>
      <c r="G362">
        <v>-195.5</v>
      </c>
      <c r="H362" s="2">
        <v>238.2</v>
      </c>
      <c r="J362">
        <f t="shared" si="15"/>
        <v>11.95</v>
      </c>
      <c r="K362">
        <f t="shared" si="17"/>
        <v>-1.5</v>
      </c>
      <c r="L362">
        <f t="shared" si="16"/>
        <v>5</v>
      </c>
    </row>
    <row r="363" spans="1:12">
      <c r="A363">
        <v>12.032</v>
      </c>
      <c r="B363">
        <v>-195.1</v>
      </c>
      <c r="C363">
        <v>238.3</v>
      </c>
      <c r="F363">
        <v>11.998</v>
      </c>
      <c r="G363">
        <v>-195.2</v>
      </c>
      <c r="H363">
        <v>238.2</v>
      </c>
      <c r="J363">
        <f t="shared" si="15"/>
        <v>11.95</v>
      </c>
      <c r="K363">
        <f t="shared" si="17"/>
        <v>-1.19999999999999</v>
      </c>
      <c r="L363">
        <f t="shared" si="16"/>
        <v>5</v>
      </c>
    </row>
    <row r="364" spans="1:12">
      <c r="A364">
        <v>12.065</v>
      </c>
      <c r="B364">
        <v>-194.6</v>
      </c>
      <c r="C364">
        <v>238.3</v>
      </c>
      <c r="F364">
        <v>12.032</v>
      </c>
      <c r="G364">
        <v>-195.1</v>
      </c>
      <c r="H364">
        <v>238.3</v>
      </c>
      <c r="J364">
        <f t="shared" si="15"/>
        <v>12</v>
      </c>
      <c r="K364">
        <f t="shared" si="17"/>
        <v>-1.09999999999999</v>
      </c>
      <c r="L364">
        <f t="shared" si="16"/>
        <v>5</v>
      </c>
    </row>
    <row r="365" spans="1:12">
      <c r="A365">
        <v>12.099</v>
      </c>
      <c r="B365">
        <v>-194.2</v>
      </c>
      <c r="C365">
        <v>238.3</v>
      </c>
      <c r="F365">
        <v>12.065</v>
      </c>
      <c r="G365">
        <v>-194.6</v>
      </c>
      <c r="H365">
        <v>238.3</v>
      </c>
      <c r="J365">
        <f t="shared" si="15"/>
        <v>12.05</v>
      </c>
      <c r="K365">
        <f t="shared" si="17"/>
        <v>-0.599999999999994</v>
      </c>
      <c r="L365">
        <f t="shared" si="16"/>
        <v>5</v>
      </c>
    </row>
    <row r="366" spans="1:12">
      <c r="A366">
        <v>12.132</v>
      </c>
      <c r="B366">
        <v>-193.5</v>
      </c>
      <c r="C366">
        <v>238.3</v>
      </c>
      <c r="F366">
        <v>12.099</v>
      </c>
      <c r="G366">
        <v>-194.2</v>
      </c>
      <c r="H366">
        <v>238.3</v>
      </c>
      <c r="J366">
        <f t="shared" si="15"/>
        <v>12.05</v>
      </c>
      <c r="K366">
        <f t="shared" si="17"/>
        <v>-0.199999999999989</v>
      </c>
      <c r="L366">
        <f t="shared" si="16"/>
        <v>5</v>
      </c>
    </row>
    <row r="367" spans="1:12">
      <c r="A367">
        <v>12.166</v>
      </c>
      <c r="B367">
        <v>-192.5</v>
      </c>
      <c r="C367">
        <v>238.3</v>
      </c>
      <c r="F367">
        <v>12.132</v>
      </c>
      <c r="G367">
        <v>-193.5</v>
      </c>
      <c r="H367">
        <v>238.3</v>
      </c>
      <c r="J367">
        <f t="shared" si="15"/>
        <v>12.1</v>
      </c>
      <c r="K367">
        <f t="shared" si="17"/>
        <v>0.5</v>
      </c>
      <c r="L367">
        <f t="shared" si="16"/>
        <v>5</v>
      </c>
    </row>
    <row r="368" spans="1:12">
      <c r="A368">
        <v>12.199</v>
      </c>
      <c r="B368">
        <v>-191.6</v>
      </c>
      <c r="C368">
        <v>238.3</v>
      </c>
      <c r="F368">
        <v>12.166</v>
      </c>
      <c r="G368">
        <v>-192.5</v>
      </c>
      <c r="H368">
        <v>238.3</v>
      </c>
      <c r="J368">
        <f t="shared" si="15"/>
        <v>12.15</v>
      </c>
      <c r="K368">
        <f t="shared" si="17"/>
        <v>1.5</v>
      </c>
      <c r="L368">
        <f t="shared" si="16"/>
        <v>5</v>
      </c>
    </row>
    <row r="369" spans="1:12">
      <c r="A369">
        <v>12.232</v>
      </c>
      <c r="B369">
        <v>-190.8</v>
      </c>
      <c r="C369">
        <v>238.3</v>
      </c>
      <c r="F369">
        <v>12.199</v>
      </c>
      <c r="G369">
        <v>-191.6</v>
      </c>
      <c r="H369">
        <v>238.3</v>
      </c>
      <c r="J369">
        <f t="shared" si="15"/>
        <v>12.15</v>
      </c>
      <c r="K369">
        <f t="shared" si="17"/>
        <v>2.40000000000001</v>
      </c>
      <c r="L369">
        <f t="shared" si="16"/>
        <v>5</v>
      </c>
    </row>
    <row r="370" spans="1:12">
      <c r="A370">
        <v>12.266</v>
      </c>
      <c r="B370">
        <v>-190.1</v>
      </c>
      <c r="C370">
        <v>238.3</v>
      </c>
      <c r="F370">
        <v>12.232</v>
      </c>
      <c r="G370">
        <v>-190.8</v>
      </c>
      <c r="H370">
        <v>238.3</v>
      </c>
      <c r="J370">
        <f t="shared" si="15"/>
        <v>12.2</v>
      </c>
      <c r="K370">
        <f t="shared" si="17"/>
        <v>3.19999999999999</v>
      </c>
      <c r="L370">
        <f t="shared" si="16"/>
        <v>5</v>
      </c>
    </row>
    <row r="371" spans="1:12">
      <c r="A371">
        <v>12.299</v>
      </c>
      <c r="B371">
        <v>-188.6</v>
      </c>
      <c r="C371">
        <v>238.3</v>
      </c>
      <c r="F371">
        <v>12.266</v>
      </c>
      <c r="G371">
        <v>-190.1</v>
      </c>
      <c r="H371">
        <v>238.3</v>
      </c>
      <c r="J371">
        <f t="shared" si="15"/>
        <v>12.25</v>
      </c>
      <c r="K371">
        <f t="shared" si="17"/>
        <v>3.90000000000001</v>
      </c>
      <c r="L371">
        <f t="shared" si="16"/>
        <v>5</v>
      </c>
    </row>
    <row r="372" spans="1:12">
      <c r="A372">
        <v>12.333</v>
      </c>
      <c r="B372">
        <v>-187.4</v>
      </c>
      <c r="C372">
        <v>238.3</v>
      </c>
      <c r="F372">
        <v>12.299</v>
      </c>
      <c r="G372">
        <v>-188.6</v>
      </c>
      <c r="H372">
        <v>238.3</v>
      </c>
      <c r="J372">
        <f t="shared" si="15"/>
        <v>12.25</v>
      </c>
      <c r="K372">
        <f t="shared" si="17"/>
        <v>5.40000000000001</v>
      </c>
      <c r="L372">
        <f t="shared" si="16"/>
        <v>5</v>
      </c>
    </row>
    <row r="373" spans="1:12">
      <c r="A373">
        <v>12.366</v>
      </c>
      <c r="B373">
        <v>-186.4</v>
      </c>
      <c r="C373">
        <v>238.3</v>
      </c>
      <c r="F373">
        <v>12.333</v>
      </c>
      <c r="G373">
        <v>-187.4</v>
      </c>
      <c r="H373">
        <v>238.3</v>
      </c>
      <c r="J373">
        <f t="shared" si="15"/>
        <v>12.3</v>
      </c>
      <c r="K373">
        <f t="shared" si="17"/>
        <v>6.59999999999999</v>
      </c>
      <c r="L373">
        <f t="shared" si="16"/>
        <v>5</v>
      </c>
    </row>
    <row r="374" spans="1:12">
      <c r="A374">
        <v>12.399</v>
      </c>
      <c r="B374">
        <v>-185.5</v>
      </c>
      <c r="C374">
        <v>238.3</v>
      </c>
      <c r="F374">
        <v>12.366</v>
      </c>
      <c r="G374">
        <v>-186.4</v>
      </c>
      <c r="H374">
        <v>238.3</v>
      </c>
      <c r="J374">
        <f t="shared" si="15"/>
        <v>12.35</v>
      </c>
      <c r="K374">
        <f t="shared" si="17"/>
        <v>7.59999999999999</v>
      </c>
      <c r="L374">
        <f t="shared" si="16"/>
        <v>5</v>
      </c>
    </row>
    <row r="375" spans="1:12">
      <c r="A375">
        <v>12.433</v>
      </c>
      <c r="B375">
        <v>-184.7</v>
      </c>
      <c r="C375">
        <v>234.3</v>
      </c>
      <c r="F375">
        <v>12.399</v>
      </c>
      <c r="G375">
        <v>-185.5</v>
      </c>
      <c r="H375">
        <v>238.3</v>
      </c>
      <c r="J375">
        <f t="shared" si="15"/>
        <v>12.35</v>
      </c>
      <c r="K375">
        <f t="shared" si="17"/>
        <v>8.5</v>
      </c>
      <c r="L375">
        <f t="shared" si="16"/>
        <v>5</v>
      </c>
    </row>
    <row r="376" spans="1:12">
      <c r="A376">
        <v>12.466</v>
      </c>
      <c r="B376">
        <v>-184.1</v>
      </c>
      <c r="C376">
        <v>149.9</v>
      </c>
      <c r="F376">
        <v>12.433</v>
      </c>
      <c r="G376">
        <v>-184.7</v>
      </c>
      <c r="H376">
        <v>234.3</v>
      </c>
      <c r="J376">
        <f t="shared" si="15"/>
        <v>12.4</v>
      </c>
      <c r="K376">
        <f t="shared" si="17"/>
        <v>9.30000000000001</v>
      </c>
      <c r="L376">
        <f t="shared" si="16"/>
        <v>5</v>
      </c>
    </row>
    <row r="377" spans="1:12">
      <c r="A377">
        <v>12.5</v>
      </c>
      <c r="B377">
        <v>-184</v>
      </c>
      <c r="C377">
        <v>163.1</v>
      </c>
      <c r="F377">
        <v>12.466</v>
      </c>
      <c r="G377">
        <v>-184.1</v>
      </c>
      <c r="H377">
        <v>149.9</v>
      </c>
      <c r="J377">
        <f t="shared" si="15"/>
        <v>12.45</v>
      </c>
      <c r="K377">
        <f t="shared" si="17"/>
        <v>9.90000000000001</v>
      </c>
      <c r="L377">
        <f t="shared" si="16"/>
        <v>0</v>
      </c>
    </row>
    <row r="378" spans="1:12">
      <c r="A378">
        <v>12.533</v>
      </c>
      <c r="B378">
        <v>-183.5</v>
      </c>
      <c r="C378">
        <v>161.8</v>
      </c>
      <c r="F378">
        <v>12.5</v>
      </c>
      <c r="G378">
        <v>-184</v>
      </c>
      <c r="H378">
        <v>163.1</v>
      </c>
      <c r="J378">
        <f t="shared" si="15"/>
        <v>12.5</v>
      </c>
      <c r="K378">
        <f t="shared" si="17"/>
        <v>10</v>
      </c>
      <c r="L378">
        <f t="shared" si="16"/>
        <v>0</v>
      </c>
    </row>
    <row r="379" spans="1:12">
      <c r="A379">
        <v>12.567</v>
      </c>
      <c r="B379">
        <v>-183.4</v>
      </c>
      <c r="C379">
        <v>159.4</v>
      </c>
      <c r="F379">
        <v>12.533</v>
      </c>
      <c r="G379">
        <v>-183.5</v>
      </c>
      <c r="H379">
        <v>161.8</v>
      </c>
      <c r="J379">
        <f t="shared" si="15"/>
        <v>12.5</v>
      </c>
      <c r="K379">
        <f t="shared" si="17"/>
        <v>10.5</v>
      </c>
      <c r="L379">
        <f t="shared" si="16"/>
        <v>0</v>
      </c>
    </row>
    <row r="380" spans="1:12">
      <c r="A380">
        <v>12.6</v>
      </c>
      <c r="B380">
        <v>-183.2</v>
      </c>
      <c r="C380">
        <v>159</v>
      </c>
      <c r="F380">
        <v>12.567</v>
      </c>
      <c r="G380">
        <v>-183.4</v>
      </c>
      <c r="H380">
        <v>159.4</v>
      </c>
      <c r="J380">
        <f t="shared" si="15"/>
        <v>12.55</v>
      </c>
      <c r="K380">
        <f t="shared" si="17"/>
        <v>10.6</v>
      </c>
      <c r="L380">
        <f t="shared" si="16"/>
        <v>0</v>
      </c>
    </row>
    <row r="381" spans="1:12">
      <c r="A381">
        <v>12.633</v>
      </c>
      <c r="B381">
        <v>-183.4</v>
      </c>
      <c r="C381">
        <v>157</v>
      </c>
      <c r="F381">
        <v>12.6</v>
      </c>
      <c r="G381">
        <v>-183.2</v>
      </c>
      <c r="H381">
        <v>159</v>
      </c>
      <c r="J381">
        <f t="shared" si="15"/>
        <v>12.6</v>
      </c>
      <c r="K381">
        <f t="shared" si="17"/>
        <v>10.8</v>
      </c>
      <c r="L381">
        <f t="shared" si="16"/>
        <v>0</v>
      </c>
    </row>
    <row r="382" spans="1:12">
      <c r="A382">
        <v>12.667</v>
      </c>
      <c r="B382">
        <v>-183.5</v>
      </c>
      <c r="C382">
        <v>155.3</v>
      </c>
      <c r="F382">
        <v>12.633</v>
      </c>
      <c r="G382">
        <v>-183.4</v>
      </c>
      <c r="H382">
        <v>157</v>
      </c>
      <c r="J382">
        <f t="shared" si="15"/>
        <v>12.6</v>
      </c>
      <c r="K382">
        <f t="shared" si="17"/>
        <v>10.6</v>
      </c>
      <c r="L382">
        <f t="shared" si="16"/>
        <v>0</v>
      </c>
    </row>
    <row r="383" spans="1:12">
      <c r="A383">
        <v>12.7</v>
      </c>
      <c r="B383">
        <v>-183.6</v>
      </c>
      <c r="C383">
        <v>152.4</v>
      </c>
      <c r="F383">
        <v>12.667</v>
      </c>
      <c r="G383">
        <v>-183.5</v>
      </c>
      <c r="H383">
        <v>155.3</v>
      </c>
      <c r="J383">
        <f t="shared" si="15"/>
        <v>12.65</v>
      </c>
      <c r="K383">
        <f t="shared" si="17"/>
        <v>10.5</v>
      </c>
      <c r="L383">
        <f t="shared" si="16"/>
        <v>0</v>
      </c>
    </row>
    <row r="384" spans="1:12">
      <c r="A384">
        <v>12.734</v>
      </c>
      <c r="B384">
        <v>-183.8</v>
      </c>
      <c r="C384">
        <v>150.3</v>
      </c>
      <c r="F384">
        <v>12.7</v>
      </c>
      <c r="G384">
        <v>-183.6</v>
      </c>
      <c r="H384">
        <v>152.4</v>
      </c>
      <c r="J384">
        <f t="shared" si="15"/>
        <v>12.7</v>
      </c>
      <c r="K384">
        <f t="shared" si="17"/>
        <v>10.4</v>
      </c>
      <c r="L384">
        <f t="shared" si="16"/>
        <v>0</v>
      </c>
    </row>
    <row r="385" spans="1:12">
      <c r="A385">
        <v>12.767</v>
      </c>
      <c r="B385">
        <v>-183.8</v>
      </c>
      <c r="C385">
        <v>149.9</v>
      </c>
      <c r="F385">
        <v>12.734</v>
      </c>
      <c r="G385">
        <v>-183.8</v>
      </c>
      <c r="H385">
        <v>150.3</v>
      </c>
      <c r="J385">
        <f t="shared" si="15"/>
        <v>12.7</v>
      </c>
      <c r="K385">
        <f t="shared" si="17"/>
        <v>10.2</v>
      </c>
      <c r="L385">
        <f t="shared" si="16"/>
        <v>0</v>
      </c>
    </row>
    <row r="386" spans="1:12">
      <c r="A386">
        <v>12.801</v>
      </c>
      <c r="B386">
        <v>-184.4</v>
      </c>
      <c r="C386">
        <v>147.1</v>
      </c>
      <c r="F386">
        <v>12.767</v>
      </c>
      <c r="G386">
        <v>-183.8</v>
      </c>
      <c r="H386">
        <v>149.9</v>
      </c>
      <c r="J386">
        <f t="shared" si="15"/>
        <v>12.75</v>
      </c>
      <c r="K386">
        <f t="shared" si="17"/>
        <v>10.2</v>
      </c>
      <c r="L386">
        <f t="shared" si="16"/>
        <v>0</v>
      </c>
    </row>
    <row r="387" spans="1:12">
      <c r="A387">
        <v>12.834</v>
      </c>
      <c r="B387">
        <v>-185.9</v>
      </c>
      <c r="C387">
        <v>146</v>
      </c>
      <c r="F387">
        <v>12.801</v>
      </c>
      <c r="G387">
        <v>-184.4</v>
      </c>
      <c r="H387">
        <v>147.1</v>
      </c>
      <c r="J387">
        <f t="shared" si="15"/>
        <v>12.8</v>
      </c>
      <c r="K387">
        <f t="shared" si="17"/>
        <v>9.59999999999999</v>
      </c>
      <c r="L387">
        <f t="shared" si="16"/>
        <v>0</v>
      </c>
    </row>
    <row r="388" spans="1:12">
      <c r="A388">
        <v>12.867</v>
      </c>
      <c r="B388">
        <v>-186</v>
      </c>
      <c r="C388">
        <v>143.6</v>
      </c>
      <c r="F388">
        <v>12.834</v>
      </c>
      <c r="G388">
        <v>-185.9</v>
      </c>
      <c r="H388">
        <v>146</v>
      </c>
      <c r="J388">
        <f t="shared" ref="J388:J451" si="18">FLOOR(F388,0.05)</f>
        <v>12.8</v>
      </c>
      <c r="K388">
        <f t="shared" si="17"/>
        <v>8.09999999999999</v>
      </c>
      <c r="L388">
        <f t="shared" ref="L388:L451" si="19">IF(H388&lt;230,0,5)</f>
        <v>0</v>
      </c>
    </row>
    <row r="389" spans="1:12">
      <c r="A389">
        <v>12.901</v>
      </c>
      <c r="B389">
        <v>-187.2</v>
      </c>
      <c r="C389">
        <v>142</v>
      </c>
      <c r="F389">
        <v>12.867</v>
      </c>
      <c r="G389">
        <v>-186</v>
      </c>
      <c r="H389">
        <v>143.6</v>
      </c>
      <c r="J389">
        <f t="shared" si="18"/>
        <v>12.85</v>
      </c>
      <c r="K389">
        <f t="shared" ref="K389:K452" si="20">G389+194</f>
        <v>8</v>
      </c>
      <c r="L389">
        <f t="shared" si="19"/>
        <v>0</v>
      </c>
    </row>
    <row r="390" spans="1:12">
      <c r="A390">
        <v>12.934</v>
      </c>
      <c r="B390">
        <v>-188.5</v>
      </c>
      <c r="C390">
        <v>140</v>
      </c>
      <c r="F390">
        <v>12.901</v>
      </c>
      <c r="G390">
        <v>-187.2</v>
      </c>
      <c r="H390">
        <v>142</v>
      </c>
      <c r="J390">
        <f t="shared" si="18"/>
        <v>12.9</v>
      </c>
      <c r="K390">
        <f t="shared" si="20"/>
        <v>6.80000000000001</v>
      </c>
      <c r="L390">
        <f t="shared" si="19"/>
        <v>0</v>
      </c>
    </row>
    <row r="391" spans="1:12">
      <c r="A391">
        <v>12.968</v>
      </c>
      <c r="B391">
        <v>-190</v>
      </c>
      <c r="C391">
        <v>138.1</v>
      </c>
      <c r="F391">
        <v>12.934</v>
      </c>
      <c r="G391">
        <v>-188.5</v>
      </c>
      <c r="H391">
        <v>140</v>
      </c>
      <c r="J391">
        <f t="shared" si="18"/>
        <v>12.9</v>
      </c>
      <c r="K391">
        <f t="shared" si="20"/>
        <v>5.5</v>
      </c>
      <c r="L391">
        <f t="shared" si="19"/>
        <v>0</v>
      </c>
    </row>
    <row r="392" spans="1:12">
      <c r="A392">
        <v>13.001</v>
      </c>
      <c r="B392">
        <v>-190.8</v>
      </c>
      <c r="C392">
        <v>135.5</v>
      </c>
      <c r="F392">
        <v>12.968</v>
      </c>
      <c r="G392">
        <v>-190</v>
      </c>
      <c r="H392">
        <v>138.1</v>
      </c>
      <c r="J392">
        <f t="shared" si="18"/>
        <v>12.95</v>
      </c>
      <c r="K392">
        <f t="shared" si="20"/>
        <v>4</v>
      </c>
      <c r="L392">
        <f t="shared" si="19"/>
        <v>0</v>
      </c>
    </row>
    <row r="393" spans="1:12">
      <c r="A393">
        <v>13.034</v>
      </c>
      <c r="B393">
        <v>-192</v>
      </c>
      <c r="C393">
        <v>135.2</v>
      </c>
      <c r="F393">
        <v>13.001</v>
      </c>
      <c r="G393">
        <v>-190.8</v>
      </c>
      <c r="H393">
        <v>135.5</v>
      </c>
      <c r="J393">
        <f t="shared" si="18"/>
        <v>13</v>
      </c>
      <c r="K393">
        <f t="shared" si="20"/>
        <v>3.19999999999999</v>
      </c>
      <c r="L393">
        <f t="shared" si="19"/>
        <v>0</v>
      </c>
    </row>
    <row r="394" spans="1:12">
      <c r="A394">
        <v>13.068</v>
      </c>
      <c r="B394">
        <v>-192.6</v>
      </c>
      <c r="C394" s="2">
        <v>132.6</v>
      </c>
      <c r="D394" s="2"/>
      <c r="E394" s="2"/>
      <c r="F394">
        <v>13.034</v>
      </c>
      <c r="G394">
        <v>-192</v>
      </c>
      <c r="H394">
        <v>135.2</v>
      </c>
      <c r="J394">
        <f t="shared" si="18"/>
        <v>13</v>
      </c>
      <c r="K394">
        <f t="shared" si="20"/>
        <v>2</v>
      </c>
      <c r="L394">
        <f t="shared" si="19"/>
        <v>0</v>
      </c>
    </row>
    <row r="395" spans="1:12">
      <c r="A395">
        <v>13.101</v>
      </c>
      <c r="B395">
        <v>-193.5</v>
      </c>
      <c r="C395" s="2">
        <v>129.3</v>
      </c>
      <c r="D395" s="2"/>
      <c r="E395" s="2"/>
      <c r="F395">
        <v>13.068</v>
      </c>
      <c r="G395">
        <v>-192.6</v>
      </c>
      <c r="H395" s="2">
        <v>132.6</v>
      </c>
      <c r="J395">
        <f t="shared" si="18"/>
        <v>13.05</v>
      </c>
      <c r="K395">
        <f t="shared" si="20"/>
        <v>1.40000000000001</v>
      </c>
      <c r="L395">
        <f t="shared" si="19"/>
        <v>0</v>
      </c>
    </row>
    <row r="396" spans="1:12">
      <c r="A396">
        <v>13.135</v>
      </c>
      <c r="B396">
        <v>-194.2</v>
      </c>
      <c r="C396" s="2">
        <v>236.7</v>
      </c>
      <c r="D396" s="2"/>
      <c r="E396" s="2"/>
      <c r="F396">
        <v>13.101</v>
      </c>
      <c r="G396">
        <v>-193.5</v>
      </c>
      <c r="H396" s="2">
        <v>129.3</v>
      </c>
      <c r="J396">
        <f t="shared" si="18"/>
        <v>13.1</v>
      </c>
      <c r="K396">
        <f t="shared" si="20"/>
        <v>0.5</v>
      </c>
      <c r="L396">
        <f t="shared" si="19"/>
        <v>0</v>
      </c>
    </row>
    <row r="397" spans="1:12">
      <c r="A397">
        <v>13.168</v>
      </c>
      <c r="B397">
        <v>-195.2</v>
      </c>
      <c r="C397" s="2">
        <v>238.4</v>
      </c>
      <c r="D397" s="2"/>
      <c r="E397" s="2"/>
      <c r="F397">
        <v>13.135</v>
      </c>
      <c r="G397">
        <v>-194.2</v>
      </c>
      <c r="H397" s="2">
        <v>236.7</v>
      </c>
      <c r="J397">
        <f t="shared" si="18"/>
        <v>13.1</v>
      </c>
      <c r="K397">
        <f t="shared" si="20"/>
        <v>-0.199999999999989</v>
      </c>
      <c r="L397">
        <f t="shared" si="19"/>
        <v>5</v>
      </c>
    </row>
    <row r="398" spans="1:12">
      <c r="A398">
        <v>13.202</v>
      </c>
      <c r="B398">
        <v>-195.7</v>
      </c>
      <c r="C398" s="2">
        <v>238.4</v>
      </c>
      <c r="D398" s="2"/>
      <c r="E398" s="2"/>
      <c r="F398">
        <v>13.168</v>
      </c>
      <c r="G398">
        <v>-195.2</v>
      </c>
      <c r="H398" s="2">
        <v>238.4</v>
      </c>
      <c r="J398">
        <f t="shared" si="18"/>
        <v>13.15</v>
      </c>
      <c r="K398">
        <f t="shared" si="20"/>
        <v>-1.19999999999999</v>
      </c>
      <c r="L398">
        <f t="shared" si="19"/>
        <v>5</v>
      </c>
    </row>
    <row r="399" spans="1:12">
      <c r="A399">
        <v>13.235</v>
      </c>
      <c r="B399">
        <v>-195.9</v>
      </c>
      <c r="C399" s="2">
        <v>238.4</v>
      </c>
      <c r="D399" s="2"/>
      <c r="E399" s="2"/>
      <c r="F399">
        <v>13.202</v>
      </c>
      <c r="G399">
        <v>-195.7</v>
      </c>
      <c r="H399" s="2">
        <v>238.4</v>
      </c>
      <c r="J399">
        <f t="shared" si="18"/>
        <v>13.2</v>
      </c>
      <c r="K399">
        <f t="shared" si="20"/>
        <v>-1.69999999999999</v>
      </c>
      <c r="L399">
        <f t="shared" si="19"/>
        <v>5</v>
      </c>
    </row>
    <row r="400" spans="1:12">
      <c r="A400">
        <v>13.268</v>
      </c>
      <c r="B400">
        <v>-196</v>
      </c>
      <c r="C400" s="2">
        <v>238.4</v>
      </c>
      <c r="D400" s="2"/>
      <c r="E400" s="2"/>
      <c r="F400">
        <v>13.235</v>
      </c>
      <c r="G400">
        <v>-195.9</v>
      </c>
      <c r="H400" s="2">
        <v>238.4</v>
      </c>
      <c r="J400">
        <f t="shared" si="18"/>
        <v>13.2</v>
      </c>
      <c r="K400">
        <f t="shared" si="20"/>
        <v>-1.90000000000001</v>
      </c>
      <c r="L400">
        <f t="shared" si="19"/>
        <v>5</v>
      </c>
    </row>
    <row r="401" spans="1:12">
      <c r="A401">
        <v>13.302</v>
      </c>
      <c r="B401">
        <v>-196.1</v>
      </c>
      <c r="C401" s="2">
        <v>238.4</v>
      </c>
      <c r="D401" s="2"/>
      <c r="E401" s="2"/>
      <c r="F401">
        <v>13.268</v>
      </c>
      <c r="G401">
        <v>-196</v>
      </c>
      <c r="H401" s="2">
        <v>238.4</v>
      </c>
      <c r="J401">
        <f t="shared" si="18"/>
        <v>13.25</v>
      </c>
      <c r="K401">
        <f t="shared" si="20"/>
        <v>-2</v>
      </c>
      <c r="L401">
        <f t="shared" si="19"/>
        <v>5</v>
      </c>
    </row>
    <row r="402" spans="1:12">
      <c r="A402">
        <v>13.335</v>
      </c>
      <c r="B402">
        <v>-196.3</v>
      </c>
      <c r="C402" s="2">
        <v>238.4</v>
      </c>
      <c r="D402" s="2"/>
      <c r="E402" s="2"/>
      <c r="F402">
        <v>13.302</v>
      </c>
      <c r="G402">
        <v>-196.1</v>
      </c>
      <c r="H402" s="2">
        <v>238.4</v>
      </c>
      <c r="J402">
        <f t="shared" si="18"/>
        <v>13.3</v>
      </c>
      <c r="K402">
        <f t="shared" si="20"/>
        <v>-2.09999999999999</v>
      </c>
      <c r="L402">
        <f t="shared" si="19"/>
        <v>5</v>
      </c>
    </row>
    <row r="403" spans="1:12">
      <c r="A403">
        <v>13.369</v>
      </c>
      <c r="B403">
        <v>-196.3</v>
      </c>
      <c r="C403" s="2">
        <v>238.4</v>
      </c>
      <c r="D403" s="2"/>
      <c r="E403" s="2"/>
      <c r="F403">
        <v>13.335</v>
      </c>
      <c r="G403">
        <v>-196.3</v>
      </c>
      <c r="H403" s="2">
        <v>238.4</v>
      </c>
      <c r="J403">
        <f t="shared" si="18"/>
        <v>13.3</v>
      </c>
      <c r="K403">
        <f t="shared" si="20"/>
        <v>-2.30000000000001</v>
      </c>
      <c r="L403">
        <f t="shared" si="19"/>
        <v>5</v>
      </c>
    </row>
    <row r="404" spans="1:12">
      <c r="A404">
        <v>13.402</v>
      </c>
      <c r="B404">
        <v>-196.2</v>
      </c>
      <c r="C404" s="2">
        <v>238.4</v>
      </c>
      <c r="D404" s="2"/>
      <c r="E404" s="2"/>
      <c r="F404">
        <v>13.369</v>
      </c>
      <c r="G404">
        <v>-196.3</v>
      </c>
      <c r="H404" s="2">
        <v>238.4</v>
      </c>
      <c r="J404">
        <f t="shared" si="18"/>
        <v>13.35</v>
      </c>
      <c r="K404">
        <f t="shared" si="20"/>
        <v>-2.30000000000001</v>
      </c>
      <c r="L404">
        <f t="shared" si="19"/>
        <v>5</v>
      </c>
    </row>
    <row r="405" spans="1:12">
      <c r="A405">
        <v>13.436</v>
      </c>
      <c r="B405">
        <v>-195.9</v>
      </c>
      <c r="C405" s="2">
        <v>238.4</v>
      </c>
      <c r="D405" s="2"/>
      <c r="E405" s="2"/>
      <c r="F405">
        <v>13.402</v>
      </c>
      <c r="G405">
        <v>-196.2</v>
      </c>
      <c r="H405" s="2">
        <v>238.4</v>
      </c>
      <c r="J405">
        <f t="shared" si="18"/>
        <v>13.4</v>
      </c>
      <c r="K405">
        <f t="shared" si="20"/>
        <v>-2.19999999999999</v>
      </c>
      <c r="L405">
        <f t="shared" si="19"/>
        <v>5</v>
      </c>
    </row>
    <row r="406" spans="1:12">
      <c r="A406">
        <v>13.469</v>
      </c>
      <c r="B406">
        <v>-195.5</v>
      </c>
      <c r="C406" s="2">
        <v>238.4</v>
      </c>
      <c r="D406" s="2"/>
      <c r="E406" s="2"/>
      <c r="F406">
        <v>13.436</v>
      </c>
      <c r="G406">
        <v>-195.9</v>
      </c>
      <c r="H406" s="2">
        <v>238.4</v>
      </c>
      <c r="J406">
        <f t="shared" si="18"/>
        <v>13.4</v>
      </c>
      <c r="K406">
        <f t="shared" si="20"/>
        <v>-1.90000000000001</v>
      </c>
      <c r="L406">
        <f t="shared" si="19"/>
        <v>5</v>
      </c>
    </row>
    <row r="407" spans="1:12">
      <c r="A407">
        <v>13.502</v>
      </c>
      <c r="B407">
        <v>-195.3</v>
      </c>
      <c r="C407" s="2">
        <v>238.4</v>
      </c>
      <c r="D407" s="2"/>
      <c r="E407" s="2"/>
      <c r="F407">
        <v>13.469</v>
      </c>
      <c r="G407">
        <v>-195.5</v>
      </c>
      <c r="H407" s="2">
        <v>238.4</v>
      </c>
      <c r="J407">
        <f t="shared" si="18"/>
        <v>13.45</v>
      </c>
      <c r="K407">
        <f t="shared" si="20"/>
        <v>-1.5</v>
      </c>
      <c r="L407">
        <f t="shared" si="19"/>
        <v>5</v>
      </c>
    </row>
    <row r="408" spans="1:12">
      <c r="A408">
        <v>13.536</v>
      </c>
      <c r="B408">
        <v>-195.1</v>
      </c>
      <c r="C408">
        <v>238.4</v>
      </c>
      <c r="F408">
        <v>13.502</v>
      </c>
      <c r="G408">
        <v>-195.3</v>
      </c>
      <c r="H408" s="2">
        <v>238.4</v>
      </c>
      <c r="J408">
        <f t="shared" si="18"/>
        <v>13.5</v>
      </c>
      <c r="K408">
        <f t="shared" si="20"/>
        <v>-1.30000000000001</v>
      </c>
      <c r="L408">
        <f t="shared" si="19"/>
        <v>5</v>
      </c>
    </row>
    <row r="409" spans="1:12">
      <c r="A409">
        <v>13.569</v>
      </c>
      <c r="B409">
        <v>-194</v>
      </c>
      <c r="C409">
        <v>238.4</v>
      </c>
      <c r="F409">
        <v>13.536</v>
      </c>
      <c r="G409">
        <v>-195.1</v>
      </c>
      <c r="H409">
        <v>238.4</v>
      </c>
      <c r="J409">
        <f t="shared" si="18"/>
        <v>13.5</v>
      </c>
      <c r="K409">
        <f t="shared" si="20"/>
        <v>-1.09999999999999</v>
      </c>
      <c r="L409">
        <f t="shared" si="19"/>
        <v>5</v>
      </c>
    </row>
    <row r="410" spans="1:12">
      <c r="A410">
        <v>13.603</v>
      </c>
      <c r="B410">
        <v>-193.2</v>
      </c>
      <c r="C410">
        <v>238.4</v>
      </c>
      <c r="F410">
        <v>13.569</v>
      </c>
      <c r="G410">
        <v>-194</v>
      </c>
      <c r="H410">
        <v>238.4</v>
      </c>
      <c r="J410">
        <f t="shared" si="18"/>
        <v>13.55</v>
      </c>
      <c r="K410">
        <f t="shared" si="20"/>
        <v>0</v>
      </c>
      <c r="L410">
        <f t="shared" si="19"/>
        <v>5</v>
      </c>
    </row>
    <row r="411" spans="1:12">
      <c r="A411">
        <v>13.636</v>
      </c>
      <c r="B411">
        <v>-191.9</v>
      </c>
      <c r="C411">
        <v>238.4</v>
      </c>
      <c r="F411">
        <v>13.603</v>
      </c>
      <c r="G411">
        <v>-193.2</v>
      </c>
      <c r="H411">
        <v>238.4</v>
      </c>
      <c r="J411">
        <f t="shared" si="18"/>
        <v>13.6</v>
      </c>
      <c r="K411">
        <f t="shared" si="20"/>
        <v>0.800000000000011</v>
      </c>
      <c r="L411">
        <f t="shared" si="19"/>
        <v>5</v>
      </c>
    </row>
    <row r="412" spans="1:12">
      <c r="A412">
        <v>13.67</v>
      </c>
      <c r="B412">
        <v>-190.7</v>
      </c>
      <c r="C412">
        <v>238.4</v>
      </c>
      <c r="F412">
        <v>13.636</v>
      </c>
      <c r="G412">
        <v>-191.9</v>
      </c>
      <c r="H412">
        <v>238.4</v>
      </c>
      <c r="J412">
        <f t="shared" si="18"/>
        <v>13.6</v>
      </c>
      <c r="K412">
        <f t="shared" si="20"/>
        <v>2.09999999999999</v>
      </c>
      <c r="L412">
        <f t="shared" si="19"/>
        <v>5</v>
      </c>
    </row>
    <row r="413" spans="1:12">
      <c r="A413">
        <v>13.703</v>
      </c>
      <c r="B413">
        <v>-190</v>
      </c>
      <c r="C413">
        <v>238.4</v>
      </c>
      <c r="F413">
        <v>13.67</v>
      </c>
      <c r="G413">
        <v>-190.7</v>
      </c>
      <c r="H413">
        <v>238.4</v>
      </c>
      <c r="J413">
        <f t="shared" si="18"/>
        <v>13.65</v>
      </c>
      <c r="K413">
        <f t="shared" si="20"/>
        <v>3.30000000000001</v>
      </c>
      <c r="L413">
        <f t="shared" si="19"/>
        <v>5</v>
      </c>
    </row>
    <row r="414" spans="1:12">
      <c r="A414">
        <v>13.736</v>
      </c>
      <c r="B414">
        <v>-188.1</v>
      </c>
      <c r="C414">
        <v>238.4</v>
      </c>
      <c r="F414">
        <v>13.703</v>
      </c>
      <c r="G414">
        <v>-190</v>
      </c>
      <c r="H414">
        <v>238.4</v>
      </c>
      <c r="J414">
        <f t="shared" si="18"/>
        <v>13.7</v>
      </c>
      <c r="K414">
        <f t="shared" si="20"/>
        <v>4</v>
      </c>
      <c r="L414">
        <f t="shared" si="19"/>
        <v>5</v>
      </c>
    </row>
    <row r="415" spans="1:12">
      <c r="A415">
        <v>13.77</v>
      </c>
      <c r="B415">
        <v>-187.4</v>
      </c>
      <c r="C415">
        <v>238.4</v>
      </c>
      <c r="F415">
        <v>13.736</v>
      </c>
      <c r="G415">
        <v>-188.1</v>
      </c>
      <c r="H415">
        <v>238.4</v>
      </c>
      <c r="J415">
        <f t="shared" si="18"/>
        <v>13.7</v>
      </c>
      <c r="K415">
        <f t="shared" si="20"/>
        <v>5.90000000000001</v>
      </c>
      <c r="L415">
        <f t="shared" si="19"/>
        <v>5</v>
      </c>
    </row>
    <row r="416" spans="1:12">
      <c r="A416">
        <v>13.803</v>
      </c>
      <c r="B416">
        <v>-186.1</v>
      </c>
      <c r="C416">
        <v>238.4</v>
      </c>
      <c r="F416">
        <v>13.77</v>
      </c>
      <c r="G416">
        <v>-187.4</v>
      </c>
      <c r="H416">
        <v>238.4</v>
      </c>
      <c r="J416">
        <f t="shared" si="18"/>
        <v>13.75</v>
      </c>
      <c r="K416">
        <f t="shared" si="20"/>
        <v>6.59999999999999</v>
      </c>
      <c r="L416">
        <f t="shared" si="19"/>
        <v>5</v>
      </c>
    </row>
    <row r="417" spans="1:12">
      <c r="A417">
        <v>13.837</v>
      </c>
      <c r="B417">
        <v>-184.8</v>
      </c>
      <c r="C417">
        <v>238.4</v>
      </c>
      <c r="F417">
        <v>13.803</v>
      </c>
      <c r="G417">
        <v>-186.1</v>
      </c>
      <c r="H417">
        <v>238.4</v>
      </c>
      <c r="J417">
        <f t="shared" si="18"/>
        <v>13.8</v>
      </c>
      <c r="K417">
        <f t="shared" si="20"/>
        <v>7.90000000000001</v>
      </c>
      <c r="L417">
        <f t="shared" si="19"/>
        <v>5</v>
      </c>
    </row>
    <row r="418" spans="1:12">
      <c r="A418">
        <v>13.87</v>
      </c>
      <c r="B418">
        <v>-184.3</v>
      </c>
      <c r="C418">
        <v>150.2</v>
      </c>
      <c r="F418">
        <v>13.837</v>
      </c>
      <c r="G418">
        <v>-184.8</v>
      </c>
      <c r="H418">
        <v>238.4</v>
      </c>
      <c r="J418">
        <f t="shared" si="18"/>
        <v>13.8</v>
      </c>
      <c r="K418">
        <f t="shared" si="20"/>
        <v>9.19999999999999</v>
      </c>
      <c r="L418">
        <f t="shared" si="19"/>
        <v>5</v>
      </c>
    </row>
    <row r="419" spans="1:12">
      <c r="A419">
        <v>13.903</v>
      </c>
      <c r="B419">
        <v>-184.1</v>
      </c>
      <c r="C419">
        <v>164.7</v>
      </c>
      <c r="F419">
        <v>13.87</v>
      </c>
      <c r="G419">
        <v>-184.3</v>
      </c>
      <c r="H419">
        <v>150.2</v>
      </c>
      <c r="J419">
        <f t="shared" si="18"/>
        <v>13.85</v>
      </c>
      <c r="K419">
        <f t="shared" si="20"/>
        <v>9.69999999999999</v>
      </c>
      <c r="L419">
        <f t="shared" si="19"/>
        <v>0</v>
      </c>
    </row>
    <row r="420" spans="1:12">
      <c r="A420">
        <v>13.937</v>
      </c>
      <c r="B420">
        <v>-183.7</v>
      </c>
      <c r="C420">
        <v>162.6</v>
      </c>
      <c r="F420">
        <v>13.903</v>
      </c>
      <c r="G420">
        <v>-184.1</v>
      </c>
      <c r="H420">
        <v>164.7</v>
      </c>
      <c r="J420">
        <f t="shared" si="18"/>
        <v>13.9</v>
      </c>
      <c r="K420">
        <f t="shared" si="20"/>
        <v>9.90000000000001</v>
      </c>
      <c r="L420">
        <f t="shared" si="19"/>
        <v>0</v>
      </c>
    </row>
    <row r="421" spans="1:12">
      <c r="A421">
        <v>13.97</v>
      </c>
      <c r="B421">
        <v>-183.6</v>
      </c>
      <c r="C421">
        <v>161.6</v>
      </c>
      <c r="F421">
        <v>13.937</v>
      </c>
      <c r="G421">
        <v>-183.7</v>
      </c>
      <c r="H421">
        <v>162.6</v>
      </c>
      <c r="J421">
        <f t="shared" si="18"/>
        <v>13.9</v>
      </c>
      <c r="K421">
        <f t="shared" si="20"/>
        <v>10.3</v>
      </c>
      <c r="L421">
        <f t="shared" si="19"/>
        <v>0</v>
      </c>
    </row>
    <row r="422" spans="1:12">
      <c r="A422">
        <v>14.004</v>
      </c>
      <c r="B422">
        <v>-183</v>
      </c>
      <c r="C422">
        <v>160.3</v>
      </c>
      <c r="F422">
        <v>13.97</v>
      </c>
      <c r="G422">
        <v>-183.6</v>
      </c>
      <c r="H422">
        <v>161.6</v>
      </c>
      <c r="J422">
        <f t="shared" si="18"/>
        <v>13.95</v>
      </c>
      <c r="K422">
        <f t="shared" si="20"/>
        <v>10.4</v>
      </c>
      <c r="L422">
        <f t="shared" si="19"/>
        <v>0</v>
      </c>
    </row>
    <row r="423" spans="1:12">
      <c r="A423">
        <v>14.037</v>
      </c>
      <c r="B423">
        <v>-182.6</v>
      </c>
      <c r="C423">
        <v>158</v>
      </c>
      <c r="F423">
        <v>14.004</v>
      </c>
      <c r="G423">
        <v>-183</v>
      </c>
      <c r="H423">
        <v>160.3</v>
      </c>
      <c r="J423">
        <f t="shared" si="18"/>
        <v>14</v>
      </c>
      <c r="K423">
        <f t="shared" si="20"/>
        <v>11</v>
      </c>
      <c r="L423">
        <f t="shared" si="19"/>
        <v>0</v>
      </c>
    </row>
    <row r="424" spans="1:12">
      <c r="A424">
        <v>14.071</v>
      </c>
      <c r="B424">
        <v>-182.6</v>
      </c>
      <c r="C424">
        <v>156.9</v>
      </c>
      <c r="F424">
        <v>14.037</v>
      </c>
      <c r="G424">
        <v>-182.6</v>
      </c>
      <c r="H424">
        <v>158</v>
      </c>
      <c r="J424">
        <f t="shared" si="18"/>
        <v>14</v>
      </c>
      <c r="K424">
        <f t="shared" si="20"/>
        <v>11.4</v>
      </c>
      <c r="L424">
        <f t="shared" si="19"/>
        <v>0</v>
      </c>
    </row>
    <row r="425" spans="1:12">
      <c r="A425">
        <v>14.104</v>
      </c>
      <c r="B425">
        <v>-182.6</v>
      </c>
      <c r="C425">
        <v>155.5</v>
      </c>
      <c r="F425">
        <v>14.071</v>
      </c>
      <c r="G425">
        <v>-182.6</v>
      </c>
      <c r="H425">
        <v>156.9</v>
      </c>
      <c r="J425">
        <f t="shared" si="18"/>
        <v>14.05</v>
      </c>
      <c r="K425">
        <f t="shared" si="20"/>
        <v>11.4</v>
      </c>
      <c r="L425">
        <f t="shared" si="19"/>
        <v>0</v>
      </c>
    </row>
    <row r="426" spans="1:12">
      <c r="A426">
        <v>14.137</v>
      </c>
      <c r="B426">
        <v>-183</v>
      </c>
      <c r="C426">
        <v>154</v>
      </c>
      <c r="F426">
        <v>14.104</v>
      </c>
      <c r="G426">
        <v>-182.6</v>
      </c>
      <c r="H426">
        <v>155.5</v>
      </c>
      <c r="J426">
        <f t="shared" si="18"/>
        <v>14.1</v>
      </c>
      <c r="K426">
        <f t="shared" si="20"/>
        <v>11.4</v>
      </c>
      <c r="L426">
        <f t="shared" si="19"/>
        <v>0</v>
      </c>
    </row>
    <row r="427" spans="1:12">
      <c r="A427">
        <v>14.171</v>
      </c>
      <c r="B427">
        <v>-183.3</v>
      </c>
      <c r="C427">
        <v>152</v>
      </c>
      <c r="F427">
        <v>14.137</v>
      </c>
      <c r="G427">
        <v>-183</v>
      </c>
      <c r="H427">
        <v>154</v>
      </c>
      <c r="J427">
        <f t="shared" si="18"/>
        <v>14.1</v>
      </c>
      <c r="K427">
        <f t="shared" si="20"/>
        <v>11</v>
      </c>
      <c r="L427">
        <f t="shared" si="19"/>
        <v>0</v>
      </c>
    </row>
    <row r="428" spans="1:12">
      <c r="A428">
        <v>14.204</v>
      </c>
      <c r="B428">
        <v>-184</v>
      </c>
      <c r="C428">
        <v>150.2</v>
      </c>
      <c r="F428">
        <v>14.171</v>
      </c>
      <c r="G428">
        <v>-183.3</v>
      </c>
      <c r="H428">
        <v>152</v>
      </c>
      <c r="J428">
        <f t="shared" si="18"/>
        <v>14.15</v>
      </c>
      <c r="K428">
        <f t="shared" si="20"/>
        <v>10.7</v>
      </c>
      <c r="L428">
        <f t="shared" si="19"/>
        <v>0</v>
      </c>
    </row>
    <row r="429" spans="1:12">
      <c r="A429">
        <v>14.238</v>
      </c>
      <c r="B429">
        <v>-184.2</v>
      </c>
      <c r="C429">
        <v>148.6</v>
      </c>
      <c r="F429">
        <v>14.204</v>
      </c>
      <c r="G429">
        <v>-184</v>
      </c>
      <c r="H429">
        <v>150.2</v>
      </c>
      <c r="J429">
        <f t="shared" si="18"/>
        <v>14.2</v>
      </c>
      <c r="K429">
        <f t="shared" si="20"/>
        <v>10</v>
      </c>
      <c r="L429">
        <f t="shared" si="19"/>
        <v>0</v>
      </c>
    </row>
    <row r="430" spans="1:12">
      <c r="A430">
        <v>14.271</v>
      </c>
      <c r="B430">
        <v>-184.8</v>
      </c>
      <c r="C430">
        <v>146.1</v>
      </c>
      <c r="F430">
        <v>14.238</v>
      </c>
      <c r="G430">
        <v>-184.2</v>
      </c>
      <c r="H430">
        <v>148.6</v>
      </c>
      <c r="J430">
        <f t="shared" si="18"/>
        <v>14.2</v>
      </c>
      <c r="K430">
        <f t="shared" si="20"/>
        <v>9.80000000000001</v>
      </c>
      <c r="L430">
        <f t="shared" si="19"/>
        <v>0</v>
      </c>
    </row>
    <row r="431" spans="1:12">
      <c r="A431">
        <v>14.305</v>
      </c>
      <c r="B431">
        <v>-186</v>
      </c>
      <c r="C431">
        <v>144.3</v>
      </c>
      <c r="F431">
        <v>14.271</v>
      </c>
      <c r="G431">
        <v>-184.8</v>
      </c>
      <c r="H431">
        <v>146.1</v>
      </c>
      <c r="J431">
        <f t="shared" si="18"/>
        <v>14.25</v>
      </c>
      <c r="K431">
        <f t="shared" si="20"/>
        <v>9.19999999999999</v>
      </c>
      <c r="L431">
        <f t="shared" si="19"/>
        <v>0</v>
      </c>
    </row>
    <row r="432" spans="1:12">
      <c r="A432">
        <v>14.338</v>
      </c>
      <c r="B432">
        <v>-187.1</v>
      </c>
      <c r="C432">
        <v>142.1</v>
      </c>
      <c r="F432">
        <v>14.305</v>
      </c>
      <c r="G432">
        <v>-186</v>
      </c>
      <c r="H432">
        <v>144.3</v>
      </c>
      <c r="J432">
        <f t="shared" si="18"/>
        <v>14.3</v>
      </c>
      <c r="K432">
        <f t="shared" si="20"/>
        <v>8</v>
      </c>
      <c r="L432">
        <f t="shared" si="19"/>
        <v>0</v>
      </c>
    </row>
    <row r="433" spans="1:12">
      <c r="A433">
        <v>14.371</v>
      </c>
      <c r="B433">
        <v>-188.1</v>
      </c>
      <c r="C433">
        <v>141.4</v>
      </c>
      <c r="F433">
        <v>14.338</v>
      </c>
      <c r="G433">
        <v>-187.1</v>
      </c>
      <c r="H433">
        <v>142.1</v>
      </c>
      <c r="J433">
        <f t="shared" si="18"/>
        <v>14.3</v>
      </c>
      <c r="K433">
        <f t="shared" si="20"/>
        <v>6.90000000000001</v>
      </c>
      <c r="L433">
        <f t="shared" si="19"/>
        <v>0</v>
      </c>
    </row>
    <row r="434" spans="1:12">
      <c r="A434">
        <v>14.405</v>
      </c>
      <c r="B434">
        <v>-190</v>
      </c>
      <c r="C434">
        <v>138.1</v>
      </c>
      <c r="F434">
        <v>14.371</v>
      </c>
      <c r="G434">
        <v>-188.1</v>
      </c>
      <c r="H434">
        <v>141.4</v>
      </c>
      <c r="J434">
        <f t="shared" si="18"/>
        <v>14.35</v>
      </c>
      <c r="K434">
        <f t="shared" si="20"/>
        <v>5.90000000000001</v>
      </c>
      <c r="L434">
        <f t="shared" si="19"/>
        <v>0</v>
      </c>
    </row>
    <row r="435" spans="1:12">
      <c r="A435">
        <v>14.438</v>
      </c>
      <c r="B435">
        <v>-190.7</v>
      </c>
      <c r="C435">
        <v>136.5</v>
      </c>
      <c r="F435">
        <v>14.405</v>
      </c>
      <c r="G435">
        <v>-190</v>
      </c>
      <c r="H435">
        <v>138.1</v>
      </c>
      <c r="J435">
        <f t="shared" si="18"/>
        <v>14.4</v>
      </c>
      <c r="K435">
        <f t="shared" si="20"/>
        <v>4</v>
      </c>
      <c r="L435">
        <f t="shared" si="19"/>
        <v>0</v>
      </c>
    </row>
    <row r="436" spans="1:12">
      <c r="A436">
        <v>14.472</v>
      </c>
      <c r="B436">
        <v>-191.9</v>
      </c>
      <c r="C436">
        <v>135.3</v>
      </c>
      <c r="F436">
        <v>14.438</v>
      </c>
      <c r="G436">
        <v>-190.7</v>
      </c>
      <c r="H436">
        <v>136.5</v>
      </c>
      <c r="J436">
        <f t="shared" si="18"/>
        <v>14.4</v>
      </c>
      <c r="K436">
        <f t="shared" si="20"/>
        <v>3.30000000000001</v>
      </c>
      <c r="L436">
        <f t="shared" si="19"/>
        <v>0</v>
      </c>
    </row>
    <row r="437" spans="1:12">
      <c r="A437">
        <v>14.505</v>
      </c>
      <c r="B437">
        <v>-193</v>
      </c>
      <c r="C437">
        <v>132.8</v>
      </c>
      <c r="F437">
        <v>14.472</v>
      </c>
      <c r="G437">
        <v>-191.9</v>
      </c>
      <c r="H437">
        <v>135.3</v>
      </c>
      <c r="J437">
        <f t="shared" si="18"/>
        <v>14.45</v>
      </c>
      <c r="K437">
        <f t="shared" si="20"/>
        <v>2.09999999999999</v>
      </c>
      <c r="L437">
        <f t="shared" si="19"/>
        <v>0</v>
      </c>
    </row>
    <row r="438" spans="1:12">
      <c r="A438">
        <v>14.538</v>
      </c>
      <c r="B438">
        <v>-194.1</v>
      </c>
      <c r="C438">
        <v>195.7</v>
      </c>
      <c r="F438">
        <v>14.505</v>
      </c>
      <c r="G438">
        <v>-193</v>
      </c>
      <c r="H438">
        <v>132.8</v>
      </c>
      <c r="J438">
        <f t="shared" si="18"/>
        <v>14.5</v>
      </c>
      <c r="K438">
        <f t="shared" si="20"/>
        <v>1</v>
      </c>
      <c r="L438">
        <f t="shared" si="19"/>
        <v>0</v>
      </c>
    </row>
    <row r="439" spans="1:12">
      <c r="A439">
        <v>14.572</v>
      </c>
      <c r="B439">
        <v>-195</v>
      </c>
      <c r="C439">
        <v>238.3</v>
      </c>
      <c r="F439">
        <v>14.538</v>
      </c>
      <c r="G439">
        <v>-194.1</v>
      </c>
      <c r="H439">
        <v>195.7</v>
      </c>
      <c r="J439">
        <f t="shared" si="18"/>
        <v>14.5</v>
      </c>
      <c r="K439">
        <f t="shared" si="20"/>
        <v>-0.0999999999999943</v>
      </c>
      <c r="L439">
        <f t="shared" si="19"/>
        <v>0</v>
      </c>
    </row>
    <row r="440" spans="1:12">
      <c r="A440">
        <v>14.605</v>
      </c>
      <c r="B440">
        <v>-195.6</v>
      </c>
      <c r="C440" s="2">
        <v>238.3</v>
      </c>
      <c r="D440" s="2"/>
      <c r="E440" s="2"/>
      <c r="F440">
        <v>14.572</v>
      </c>
      <c r="G440">
        <v>-195</v>
      </c>
      <c r="H440">
        <v>238.3</v>
      </c>
      <c r="J440">
        <f t="shared" si="18"/>
        <v>14.55</v>
      </c>
      <c r="K440">
        <f t="shared" si="20"/>
        <v>-1</v>
      </c>
      <c r="L440">
        <f t="shared" si="19"/>
        <v>5</v>
      </c>
    </row>
    <row r="441" spans="1:12">
      <c r="A441">
        <v>14.639</v>
      </c>
      <c r="B441">
        <v>-195.7</v>
      </c>
      <c r="C441" s="2">
        <v>238.3</v>
      </c>
      <c r="D441" s="2"/>
      <c r="E441" s="2"/>
      <c r="F441">
        <v>14.605</v>
      </c>
      <c r="G441">
        <v>-195.6</v>
      </c>
      <c r="H441" s="2">
        <v>238.3</v>
      </c>
      <c r="J441">
        <f t="shared" si="18"/>
        <v>14.6</v>
      </c>
      <c r="K441">
        <f t="shared" si="20"/>
        <v>-1.59999999999999</v>
      </c>
      <c r="L441">
        <f t="shared" si="19"/>
        <v>5</v>
      </c>
    </row>
    <row r="442" spans="1:12">
      <c r="A442">
        <v>14.672</v>
      </c>
      <c r="B442">
        <v>-196.2</v>
      </c>
      <c r="C442" s="2">
        <v>238.3</v>
      </c>
      <c r="D442" s="2"/>
      <c r="E442" s="2"/>
      <c r="F442">
        <v>14.639</v>
      </c>
      <c r="G442">
        <v>-195.7</v>
      </c>
      <c r="H442" s="2">
        <v>238.3</v>
      </c>
      <c r="J442">
        <f t="shared" si="18"/>
        <v>14.6</v>
      </c>
      <c r="K442">
        <f t="shared" si="20"/>
        <v>-1.69999999999999</v>
      </c>
      <c r="L442">
        <f t="shared" si="19"/>
        <v>5</v>
      </c>
    </row>
    <row r="443" spans="1:12">
      <c r="A443">
        <v>14.706</v>
      </c>
      <c r="B443">
        <v>-196.6</v>
      </c>
      <c r="C443" s="2">
        <v>238.3</v>
      </c>
      <c r="D443" s="2"/>
      <c r="E443" s="2"/>
      <c r="F443">
        <v>14.672</v>
      </c>
      <c r="G443">
        <v>-196.2</v>
      </c>
      <c r="H443" s="2">
        <v>238.3</v>
      </c>
      <c r="J443">
        <f t="shared" si="18"/>
        <v>14.65</v>
      </c>
      <c r="K443">
        <f t="shared" si="20"/>
        <v>-2.19999999999999</v>
      </c>
      <c r="L443">
        <f t="shared" si="19"/>
        <v>5</v>
      </c>
    </row>
    <row r="444" spans="1:12">
      <c r="A444">
        <v>14.739</v>
      </c>
      <c r="B444">
        <v>-196.7</v>
      </c>
      <c r="C444" s="2">
        <v>238.3</v>
      </c>
      <c r="D444" s="2"/>
      <c r="E444" s="2"/>
      <c r="F444">
        <v>14.706</v>
      </c>
      <c r="G444">
        <v>-196.6</v>
      </c>
      <c r="H444" s="2">
        <v>238.3</v>
      </c>
      <c r="J444">
        <f t="shared" si="18"/>
        <v>14.7</v>
      </c>
      <c r="K444">
        <f t="shared" si="20"/>
        <v>-2.59999999999999</v>
      </c>
      <c r="L444">
        <f t="shared" si="19"/>
        <v>5</v>
      </c>
    </row>
    <row r="445" spans="1:12">
      <c r="A445">
        <v>14.772</v>
      </c>
      <c r="B445">
        <v>-196.6</v>
      </c>
      <c r="C445" s="2">
        <v>238.3</v>
      </c>
      <c r="D445" s="2"/>
      <c r="E445" s="2"/>
      <c r="F445">
        <v>14.739</v>
      </c>
      <c r="G445">
        <v>-196.7</v>
      </c>
      <c r="H445" s="2">
        <v>238.3</v>
      </c>
      <c r="J445">
        <f t="shared" si="18"/>
        <v>14.7</v>
      </c>
      <c r="K445">
        <f t="shared" si="20"/>
        <v>-2.69999999999999</v>
      </c>
      <c r="L445">
        <f t="shared" si="19"/>
        <v>5</v>
      </c>
    </row>
    <row r="446" spans="1:12">
      <c r="A446">
        <v>14.806</v>
      </c>
      <c r="B446">
        <v>-196.7</v>
      </c>
      <c r="C446" s="2">
        <v>238.3</v>
      </c>
      <c r="D446" s="2"/>
      <c r="E446" s="2"/>
      <c r="F446">
        <v>14.772</v>
      </c>
      <c r="G446">
        <v>-196.6</v>
      </c>
      <c r="H446" s="2">
        <v>238.3</v>
      </c>
      <c r="J446">
        <f t="shared" si="18"/>
        <v>14.75</v>
      </c>
      <c r="K446">
        <f t="shared" si="20"/>
        <v>-2.59999999999999</v>
      </c>
      <c r="L446">
        <f t="shared" si="19"/>
        <v>5</v>
      </c>
    </row>
    <row r="447" spans="1:12">
      <c r="A447">
        <v>14.839</v>
      </c>
      <c r="B447">
        <v>-196.5</v>
      </c>
      <c r="C447" s="2">
        <v>238.3</v>
      </c>
      <c r="D447" s="2"/>
      <c r="E447" s="2"/>
      <c r="F447">
        <v>14.806</v>
      </c>
      <c r="G447">
        <v>-196.7</v>
      </c>
      <c r="H447" s="2">
        <v>238.3</v>
      </c>
      <c r="J447">
        <f t="shared" si="18"/>
        <v>14.8</v>
      </c>
      <c r="K447">
        <f t="shared" si="20"/>
        <v>-2.69999999999999</v>
      </c>
      <c r="L447">
        <f t="shared" si="19"/>
        <v>5</v>
      </c>
    </row>
    <row r="448" spans="1:12">
      <c r="A448">
        <v>14.873</v>
      </c>
      <c r="B448">
        <v>-196.2</v>
      </c>
      <c r="C448" s="2">
        <v>238.3</v>
      </c>
      <c r="D448" s="2"/>
      <c r="E448" s="2"/>
      <c r="F448">
        <v>14.839</v>
      </c>
      <c r="G448">
        <v>-196.5</v>
      </c>
      <c r="H448" s="2">
        <v>238.3</v>
      </c>
      <c r="J448">
        <f t="shared" si="18"/>
        <v>14.8</v>
      </c>
      <c r="K448">
        <f t="shared" si="20"/>
        <v>-2.5</v>
      </c>
      <c r="L448">
        <f t="shared" si="19"/>
        <v>5</v>
      </c>
    </row>
    <row r="449" spans="1:12">
      <c r="A449">
        <v>14.906</v>
      </c>
      <c r="B449">
        <v>-195.8</v>
      </c>
      <c r="C449" s="2">
        <v>238.3</v>
      </c>
      <c r="D449" s="2"/>
      <c r="E449" s="2"/>
      <c r="F449">
        <v>14.873</v>
      </c>
      <c r="G449">
        <v>-196.2</v>
      </c>
      <c r="H449" s="2">
        <v>238.3</v>
      </c>
      <c r="J449">
        <f t="shared" si="18"/>
        <v>14.85</v>
      </c>
      <c r="K449">
        <f t="shared" si="20"/>
        <v>-2.19999999999999</v>
      </c>
      <c r="L449">
        <f t="shared" si="19"/>
        <v>5</v>
      </c>
    </row>
    <row r="450" spans="1:12">
      <c r="A450">
        <v>14.94</v>
      </c>
      <c r="B450">
        <v>-195.2</v>
      </c>
      <c r="C450" s="2">
        <v>238.3</v>
      </c>
      <c r="D450" s="2"/>
      <c r="E450" s="2"/>
      <c r="F450">
        <v>14.906</v>
      </c>
      <c r="G450">
        <v>-195.8</v>
      </c>
      <c r="H450" s="2">
        <v>238.3</v>
      </c>
      <c r="J450">
        <f t="shared" si="18"/>
        <v>14.9</v>
      </c>
      <c r="K450">
        <f t="shared" si="20"/>
        <v>-1.80000000000001</v>
      </c>
      <c r="L450">
        <f t="shared" si="19"/>
        <v>5</v>
      </c>
    </row>
    <row r="451" spans="1:12">
      <c r="A451">
        <v>14.973</v>
      </c>
      <c r="B451">
        <v>-195.4</v>
      </c>
      <c r="C451">
        <v>238.3</v>
      </c>
      <c r="F451">
        <v>14.94</v>
      </c>
      <c r="G451">
        <v>-195.2</v>
      </c>
      <c r="H451" s="2">
        <v>238.3</v>
      </c>
      <c r="J451">
        <f t="shared" si="18"/>
        <v>14.9</v>
      </c>
      <c r="K451">
        <f t="shared" si="20"/>
        <v>-1.19999999999999</v>
      </c>
      <c r="L451">
        <f t="shared" si="19"/>
        <v>5</v>
      </c>
    </row>
    <row r="452" spans="1:12">
      <c r="A452">
        <v>15.006</v>
      </c>
      <c r="B452">
        <v>-194.9</v>
      </c>
      <c r="C452">
        <v>238.3</v>
      </c>
      <c r="F452">
        <v>14.973</v>
      </c>
      <c r="G452">
        <v>-195.4</v>
      </c>
      <c r="H452">
        <v>238.3</v>
      </c>
      <c r="J452">
        <f t="shared" ref="J452:J515" si="21">FLOOR(F452,0.05)</f>
        <v>14.95</v>
      </c>
      <c r="K452">
        <f t="shared" si="20"/>
        <v>-1.40000000000001</v>
      </c>
      <c r="L452">
        <f t="shared" ref="L452:L515" si="22">IF(H452&lt;230,0,5)</f>
        <v>5</v>
      </c>
    </row>
    <row r="453" spans="1:12">
      <c r="A453">
        <v>15.04</v>
      </c>
      <c r="B453">
        <v>-192.7</v>
      </c>
      <c r="C453">
        <v>238.3</v>
      </c>
      <c r="F453">
        <v>15.006</v>
      </c>
      <c r="G453">
        <v>-194.9</v>
      </c>
      <c r="H453">
        <v>238.3</v>
      </c>
      <c r="J453">
        <f t="shared" si="21"/>
        <v>15</v>
      </c>
      <c r="K453">
        <f t="shared" ref="K453:K516" si="23">G453+194</f>
        <v>-0.900000000000006</v>
      </c>
      <c r="L453">
        <f t="shared" si="22"/>
        <v>5</v>
      </c>
    </row>
    <row r="454" spans="1:12">
      <c r="A454">
        <v>15.073</v>
      </c>
      <c r="B454">
        <v>-191.4</v>
      </c>
      <c r="C454">
        <v>238.3</v>
      </c>
      <c r="F454">
        <v>15.04</v>
      </c>
      <c r="G454">
        <v>-192.7</v>
      </c>
      <c r="H454">
        <v>238.3</v>
      </c>
      <c r="J454">
        <f t="shared" si="21"/>
        <v>15</v>
      </c>
      <c r="K454">
        <f t="shared" si="23"/>
        <v>1.30000000000001</v>
      </c>
      <c r="L454">
        <f t="shared" si="22"/>
        <v>5</v>
      </c>
    </row>
    <row r="455" spans="1:12">
      <c r="A455">
        <v>15.107</v>
      </c>
      <c r="B455">
        <v>-190.5</v>
      </c>
      <c r="C455">
        <v>238.3</v>
      </c>
      <c r="F455">
        <v>15.073</v>
      </c>
      <c r="G455">
        <v>-191.4</v>
      </c>
      <c r="H455">
        <v>238.3</v>
      </c>
      <c r="J455">
        <f t="shared" si="21"/>
        <v>15.05</v>
      </c>
      <c r="K455">
        <f t="shared" si="23"/>
        <v>2.59999999999999</v>
      </c>
      <c r="L455">
        <f t="shared" si="22"/>
        <v>5</v>
      </c>
    </row>
    <row r="456" spans="1:12">
      <c r="A456">
        <v>15.14</v>
      </c>
      <c r="B456">
        <v>-190</v>
      </c>
      <c r="C456">
        <v>238.3</v>
      </c>
      <c r="F456">
        <v>15.107</v>
      </c>
      <c r="G456">
        <v>-190.5</v>
      </c>
      <c r="H456">
        <v>238.3</v>
      </c>
      <c r="J456">
        <f t="shared" si="21"/>
        <v>15.1</v>
      </c>
      <c r="K456">
        <f t="shared" si="23"/>
        <v>3.5</v>
      </c>
      <c r="L456">
        <f t="shared" si="22"/>
        <v>5</v>
      </c>
    </row>
    <row r="457" spans="1:12">
      <c r="A457">
        <v>15.173</v>
      </c>
      <c r="B457">
        <v>-188.4</v>
      </c>
      <c r="C457">
        <v>238.3</v>
      </c>
      <c r="F457">
        <v>15.14</v>
      </c>
      <c r="G457">
        <v>-190</v>
      </c>
      <c r="H457">
        <v>238.3</v>
      </c>
      <c r="J457">
        <f t="shared" si="21"/>
        <v>15.1</v>
      </c>
      <c r="K457">
        <f t="shared" si="23"/>
        <v>4</v>
      </c>
      <c r="L457">
        <f t="shared" si="22"/>
        <v>5</v>
      </c>
    </row>
    <row r="458" spans="1:12">
      <c r="A458">
        <v>15.207</v>
      </c>
      <c r="B458">
        <v>-186.7</v>
      </c>
      <c r="C458">
        <v>238.3</v>
      </c>
      <c r="F458">
        <v>15.173</v>
      </c>
      <c r="G458">
        <v>-188.4</v>
      </c>
      <c r="H458">
        <v>238.3</v>
      </c>
      <c r="J458">
        <f t="shared" si="21"/>
        <v>15.15</v>
      </c>
      <c r="K458">
        <f t="shared" si="23"/>
        <v>5.59999999999999</v>
      </c>
      <c r="L458">
        <f t="shared" si="22"/>
        <v>5</v>
      </c>
    </row>
    <row r="459" spans="1:12">
      <c r="A459">
        <v>15.24</v>
      </c>
      <c r="B459">
        <v>-185.8</v>
      </c>
      <c r="C459">
        <v>238.3</v>
      </c>
      <c r="F459">
        <v>15.207</v>
      </c>
      <c r="G459">
        <v>-186.7</v>
      </c>
      <c r="H459">
        <v>238.3</v>
      </c>
      <c r="J459">
        <f t="shared" si="21"/>
        <v>15.2</v>
      </c>
      <c r="K459">
        <f t="shared" si="23"/>
        <v>7.30000000000001</v>
      </c>
      <c r="L459">
        <f t="shared" si="22"/>
        <v>5</v>
      </c>
    </row>
    <row r="460" spans="1:12">
      <c r="A460">
        <v>15.274</v>
      </c>
      <c r="B460">
        <v>-184.5</v>
      </c>
      <c r="C460">
        <v>150</v>
      </c>
      <c r="F460">
        <v>15.24</v>
      </c>
      <c r="G460">
        <v>-185.8</v>
      </c>
      <c r="H460">
        <v>238.3</v>
      </c>
      <c r="J460">
        <f t="shared" si="21"/>
        <v>15.2</v>
      </c>
      <c r="K460">
        <f t="shared" si="23"/>
        <v>8.19999999999999</v>
      </c>
      <c r="L460">
        <f t="shared" si="22"/>
        <v>5</v>
      </c>
    </row>
    <row r="461" spans="1:12">
      <c r="A461">
        <v>15.307</v>
      </c>
      <c r="B461">
        <v>-184.5</v>
      </c>
      <c r="C461">
        <v>165.7</v>
      </c>
      <c r="F461">
        <v>15.274</v>
      </c>
      <c r="G461">
        <v>-184.5</v>
      </c>
      <c r="H461">
        <v>150</v>
      </c>
      <c r="J461">
        <f t="shared" si="21"/>
        <v>15.25</v>
      </c>
      <c r="K461">
        <f t="shared" si="23"/>
        <v>9.5</v>
      </c>
      <c r="L461">
        <f t="shared" si="22"/>
        <v>0</v>
      </c>
    </row>
    <row r="462" spans="1:12">
      <c r="A462">
        <v>15.341</v>
      </c>
      <c r="B462">
        <v>-183.8</v>
      </c>
      <c r="C462">
        <v>163.8</v>
      </c>
      <c r="F462">
        <v>15.307</v>
      </c>
      <c r="G462">
        <v>-184.5</v>
      </c>
      <c r="H462">
        <v>165.7</v>
      </c>
      <c r="J462">
        <f t="shared" si="21"/>
        <v>15.3</v>
      </c>
      <c r="K462">
        <f t="shared" si="23"/>
        <v>9.5</v>
      </c>
      <c r="L462">
        <f t="shared" si="22"/>
        <v>0</v>
      </c>
    </row>
    <row r="463" spans="1:12">
      <c r="A463">
        <v>15.374</v>
      </c>
      <c r="B463">
        <v>-183.2</v>
      </c>
      <c r="C463">
        <v>161.2</v>
      </c>
      <c r="F463">
        <v>15.341</v>
      </c>
      <c r="G463">
        <v>-183.8</v>
      </c>
      <c r="H463">
        <v>163.8</v>
      </c>
      <c r="J463">
        <f t="shared" si="21"/>
        <v>15.3</v>
      </c>
      <c r="K463">
        <f t="shared" si="23"/>
        <v>10.2</v>
      </c>
      <c r="L463">
        <f t="shared" si="22"/>
        <v>0</v>
      </c>
    </row>
    <row r="464" spans="1:12">
      <c r="A464">
        <v>15.407</v>
      </c>
      <c r="B464">
        <v>-182.8</v>
      </c>
      <c r="C464">
        <v>161.8</v>
      </c>
      <c r="F464">
        <v>15.374</v>
      </c>
      <c r="G464">
        <v>-183.2</v>
      </c>
      <c r="H464">
        <v>161.2</v>
      </c>
      <c r="J464">
        <f t="shared" si="21"/>
        <v>15.35</v>
      </c>
      <c r="K464">
        <f t="shared" si="23"/>
        <v>10.8</v>
      </c>
      <c r="L464">
        <f t="shared" si="22"/>
        <v>0</v>
      </c>
    </row>
    <row r="465" spans="1:12">
      <c r="A465">
        <v>15.441</v>
      </c>
      <c r="B465">
        <v>-182.3</v>
      </c>
      <c r="C465">
        <v>158.9</v>
      </c>
      <c r="F465">
        <v>15.407</v>
      </c>
      <c r="G465">
        <v>-182.8</v>
      </c>
      <c r="H465">
        <v>161.8</v>
      </c>
      <c r="J465">
        <f t="shared" si="21"/>
        <v>15.4</v>
      </c>
      <c r="K465">
        <f t="shared" si="23"/>
        <v>11.2</v>
      </c>
      <c r="L465">
        <f t="shared" si="22"/>
        <v>0</v>
      </c>
    </row>
    <row r="466" spans="1:12">
      <c r="A466">
        <v>15.474</v>
      </c>
      <c r="B466">
        <v>-182.6</v>
      </c>
      <c r="C466">
        <v>157.9</v>
      </c>
      <c r="F466">
        <v>15.441</v>
      </c>
      <c r="G466">
        <v>-182.3</v>
      </c>
      <c r="H466">
        <v>158.9</v>
      </c>
      <c r="J466">
        <f t="shared" si="21"/>
        <v>15.4</v>
      </c>
      <c r="K466">
        <f t="shared" si="23"/>
        <v>11.7</v>
      </c>
      <c r="L466">
        <f t="shared" si="22"/>
        <v>0</v>
      </c>
    </row>
    <row r="467" spans="1:12">
      <c r="A467">
        <v>15.508</v>
      </c>
      <c r="B467">
        <v>-182.5</v>
      </c>
      <c r="C467">
        <v>156</v>
      </c>
      <c r="F467">
        <v>15.474</v>
      </c>
      <c r="G467">
        <v>-182.6</v>
      </c>
      <c r="H467">
        <v>157.9</v>
      </c>
      <c r="J467">
        <f t="shared" si="21"/>
        <v>15.45</v>
      </c>
      <c r="K467">
        <f t="shared" si="23"/>
        <v>11.4</v>
      </c>
      <c r="L467">
        <f t="shared" si="22"/>
        <v>0</v>
      </c>
    </row>
    <row r="468" spans="1:12">
      <c r="A468">
        <v>15.541</v>
      </c>
      <c r="B468">
        <v>-182.6</v>
      </c>
      <c r="C468">
        <v>153.5</v>
      </c>
      <c r="F468">
        <v>15.508</v>
      </c>
      <c r="G468">
        <v>-182.5</v>
      </c>
      <c r="H468">
        <v>156</v>
      </c>
      <c r="J468">
        <f t="shared" si="21"/>
        <v>15.5</v>
      </c>
      <c r="K468">
        <f t="shared" si="23"/>
        <v>11.5</v>
      </c>
      <c r="L468">
        <f t="shared" si="22"/>
        <v>0</v>
      </c>
    </row>
    <row r="469" spans="1:12">
      <c r="A469">
        <v>15.575</v>
      </c>
      <c r="B469">
        <v>-182.9</v>
      </c>
      <c r="C469">
        <v>151.9</v>
      </c>
      <c r="F469">
        <v>15.541</v>
      </c>
      <c r="G469">
        <v>-182.6</v>
      </c>
      <c r="H469">
        <v>153.5</v>
      </c>
      <c r="J469">
        <f t="shared" si="21"/>
        <v>15.5</v>
      </c>
      <c r="K469">
        <f t="shared" si="23"/>
        <v>11.4</v>
      </c>
      <c r="L469">
        <f t="shared" si="22"/>
        <v>0</v>
      </c>
    </row>
    <row r="470" spans="1:12">
      <c r="A470">
        <v>15.608</v>
      </c>
      <c r="B470">
        <v>-183.3</v>
      </c>
      <c r="C470">
        <v>150.7</v>
      </c>
      <c r="F470">
        <v>15.575</v>
      </c>
      <c r="G470">
        <v>-182.9</v>
      </c>
      <c r="H470">
        <v>151.9</v>
      </c>
      <c r="J470">
        <f t="shared" si="21"/>
        <v>15.55</v>
      </c>
      <c r="K470">
        <f t="shared" si="23"/>
        <v>11.1</v>
      </c>
      <c r="L470">
        <f t="shared" si="22"/>
        <v>0</v>
      </c>
    </row>
    <row r="471" spans="1:12">
      <c r="A471">
        <v>15.641</v>
      </c>
      <c r="B471">
        <v>-184.1</v>
      </c>
      <c r="C471">
        <v>148.5</v>
      </c>
      <c r="F471">
        <v>15.608</v>
      </c>
      <c r="G471">
        <v>-183.3</v>
      </c>
      <c r="H471">
        <v>150.7</v>
      </c>
      <c r="J471">
        <f t="shared" si="21"/>
        <v>15.6</v>
      </c>
      <c r="K471">
        <f t="shared" si="23"/>
        <v>10.7</v>
      </c>
      <c r="L471">
        <f t="shared" si="22"/>
        <v>0</v>
      </c>
    </row>
    <row r="472" spans="1:12">
      <c r="A472">
        <v>15.675</v>
      </c>
      <c r="B472">
        <v>-184.6</v>
      </c>
      <c r="C472">
        <v>147.8</v>
      </c>
      <c r="F472">
        <v>15.641</v>
      </c>
      <c r="G472">
        <v>-184.1</v>
      </c>
      <c r="H472">
        <v>148.5</v>
      </c>
      <c r="J472">
        <f t="shared" si="21"/>
        <v>15.6</v>
      </c>
      <c r="K472">
        <f t="shared" si="23"/>
        <v>9.90000000000001</v>
      </c>
      <c r="L472">
        <f t="shared" si="22"/>
        <v>0</v>
      </c>
    </row>
    <row r="473" spans="1:12">
      <c r="A473">
        <v>15.708</v>
      </c>
      <c r="B473">
        <v>-184.8</v>
      </c>
      <c r="C473">
        <v>145.2</v>
      </c>
      <c r="F473">
        <v>15.675</v>
      </c>
      <c r="G473">
        <v>-184.6</v>
      </c>
      <c r="H473">
        <v>147.8</v>
      </c>
      <c r="J473">
        <f t="shared" si="21"/>
        <v>15.65</v>
      </c>
      <c r="K473">
        <f t="shared" si="23"/>
        <v>9.40000000000001</v>
      </c>
      <c r="L473">
        <f t="shared" si="22"/>
        <v>0</v>
      </c>
    </row>
    <row r="474" spans="1:12">
      <c r="A474">
        <v>15.742</v>
      </c>
      <c r="B474">
        <v>-186.3</v>
      </c>
      <c r="C474">
        <v>143.2</v>
      </c>
      <c r="F474">
        <v>15.708</v>
      </c>
      <c r="G474">
        <v>-184.8</v>
      </c>
      <c r="H474">
        <v>145.2</v>
      </c>
      <c r="J474">
        <f t="shared" si="21"/>
        <v>15.7</v>
      </c>
      <c r="K474">
        <f t="shared" si="23"/>
        <v>9.19999999999999</v>
      </c>
      <c r="L474">
        <f t="shared" si="22"/>
        <v>0</v>
      </c>
    </row>
    <row r="475" spans="1:12">
      <c r="A475">
        <v>15.775</v>
      </c>
      <c r="B475">
        <v>-187.3</v>
      </c>
      <c r="C475">
        <v>140.5</v>
      </c>
      <c r="F475">
        <v>15.742</v>
      </c>
      <c r="G475">
        <v>-186.3</v>
      </c>
      <c r="H475">
        <v>143.2</v>
      </c>
      <c r="J475">
        <f t="shared" si="21"/>
        <v>15.7</v>
      </c>
      <c r="K475">
        <f t="shared" si="23"/>
        <v>7.69999999999999</v>
      </c>
      <c r="L475">
        <f t="shared" si="22"/>
        <v>0</v>
      </c>
    </row>
    <row r="476" spans="1:12">
      <c r="A476">
        <v>15.809</v>
      </c>
      <c r="B476">
        <v>-188.9</v>
      </c>
      <c r="C476">
        <v>140.4</v>
      </c>
      <c r="F476">
        <v>15.775</v>
      </c>
      <c r="G476">
        <v>-187.3</v>
      </c>
      <c r="H476">
        <v>140.5</v>
      </c>
      <c r="J476">
        <f t="shared" si="21"/>
        <v>15.75</v>
      </c>
      <c r="K476">
        <f t="shared" si="23"/>
        <v>6.69999999999999</v>
      </c>
      <c r="L476">
        <f t="shared" si="22"/>
        <v>0</v>
      </c>
    </row>
    <row r="477" spans="1:12">
      <c r="A477">
        <v>15.842</v>
      </c>
      <c r="B477">
        <v>-190.3</v>
      </c>
      <c r="C477">
        <v>136.9</v>
      </c>
      <c r="F477">
        <v>15.809</v>
      </c>
      <c r="G477">
        <v>-188.9</v>
      </c>
      <c r="H477">
        <v>140.4</v>
      </c>
      <c r="J477">
        <f t="shared" si="21"/>
        <v>15.8</v>
      </c>
      <c r="K477">
        <f t="shared" si="23"/>
        <v>5.09999999999999</v>
      </c>
      <c r="L477">
        <f t="shared" si="22"/>
        <v>0</v>
      </c>
    </row>
    <row r="478" spans="1:12">
      <c r="A478">
        <v>15.875</v>
      </c>
      <c r="B478">
        <v>-190.8</v>
      </c>
      <c r="C478">
        <v>135.9</v>
      </c>
      <c r="F478">
        <v>15.842</v>
      </c>
      <c r="G478">
        <v>-190.3</v>
      </c>
      <c r="H478">
        <v>136.9</v>
      </c>
      <c r="J478">
        <f t="shared" si="21"/>
        <v>15.8</v>
      </c>
      <c r="K478">
        <f t="shared" si="23"/>
        <v>3.69999999999999</v>
      </c>
      <c r="L478">
        <f t="shared" si="22"/>
        <v>0</v>
      </c>
    </row>
    <row r="479" spans="1:12">
      <c r="A479">
        <v>15.909</v>
      </c>
      <c r="B479">
        <v>-191.8</v>
      </c>
      <c r="C479">
        <v>134.2</v>
      </c>
      <c r="F479">
        <v>15.875</v>
      </c>
      <c r="G479">
        <v>-190.8</v>
      </c>
      <c r="H479">
        <v>135.9</v>
      </c>
      <c r="J479">
        <f t="shared" si="21"/>
        <v>15.85</v>
      </c>
      <c r="K479">
        <f t="shared" si="23"/>
        <v>3.19999999999999</v>
      </c>
      <c r="L479">
        <f t="shared" si="22"/>
        <v>0</v>
      </c>
    </row>
    <row r="480" spans="1:12">
      <c r="A480">
        <v>15.942</v>
      </c>
      <c r="B480">
        <v>-193.3</v>
      </c>
      <c r="C480">
        <v>238.3</v>
      </c>
      <c r="F480">
        <v>15.909</v>
      </c>
      <c r="G480">
        <v>-191.8</v>
      </c>
      <c r="H480">
        <v>134.2</v>
      </c>
      <c r="J480">
        <f t="shared" si="21"/>
        <v>15.9</v>
      </c>
      <c r="K480">
        <f t="shared" si="23"/>
        <v>2.19999999999999</v>
      </c>
      <c r="L480">
        <f t="shared" si="22"/>
        <v>0</v>
      </c>
    </row>
    <row r="481" spans="1:12">
      <c r="A481">
        <v>15.976</v>
      </c>
      <c r="B481">
        <v>-194.4</v>
      </c>
      <c r="C481">
        <v>238.2</v>
      </c>
      <c r="F481">
        <v>15.942</v>
      </c>
      <c r="G481">
        <v>-193.3</v>
      </c>
      <c r="H481">
        <v>238.3</v>
      </c>
      <c r="J481">
        <f t="shared" si="21"/>
        <v>15.9</v>
      </c>
      <c r="K481">
        <f t="shared" si="23"/>
        <v>0.699999999999989</v>
      </c>
      <c r="L481">
        <f t="shared" si="22"/>
        <v>5</v>
      </c>
    </row>
    <row r="482" spans="1:12">
      <c r="A482">
        <v>16.009</v>
      </c>
      <c r="B482">
        <v>-195.2</v>
      </c>
      <c r="C482">
        <v>238.2</v>
      </c>
      <c r="F482">
        <v>15.976</v>
      </c>
      <c r="G482">
        <v>-194.4</v>
      </c>
      <c r="H482">
        <v>238.2</v>
      </c>
      <c r="J482">
        <f t="shared" si="21"/>
        <v>15.95</v>
      </c>
      <c r="K482">
        <f t="shared" si="23"/>
        <v>-0.400000000000006</v>
      </c>
      <c r="L482">
        <f t="shared" si="22"/>
        <v>5</v>
      </c>
    </row>
    <row r="483" spans="1:12">
      <c r="A483">
        <v>16.042</v>
      </c>
      <c r="B483">
        <v>-195.9</v>
      </c>
      <c r="C483">
        <v>238.3</v>
      </c>
      <c r="F483">
        <v>16.009</v>
      </c>
      <c r="G483">
        <v>-195.2</v>
      </c>
      <c r="H483">
        <v>238.2</v>
      </c>
      <c r="J483">
        <f t="shared" si="21"/>
        <v>16</v>
      </c>
      <c r="K483">
        <f t="shared" si="23"/>
        <v>-1.19999999999999</v>
      </c>
      <c r="L483">
        <f t="shared" si="22"/>
        <v>5</v>
      </c>
    </row>
    <row r="484" spans="1:12">
      <c r="A484">
        <v>16.076</v>
      </c>
      <c r="B484">
        <v>-196.3</v>
      </c>
      <c r="C484">
        <v>238.3</v>
      </c>
      <c r="F484">
        <v>16.042</v>
      </c>
      <c r="G484">
        <v>-195.9</v>
      </c>
      <c r="H484">
        <v>238.3</v>
      </c>
      <c r="J484">
        <f t="shared" si="21"/>
        <v>16</v>
      </c>
      <c r="K484">
        <f t="shared" si="23"/>
        <v>-1.90000000000001</v>
      </c>
      <c r="L484">
        <f t="shared" si="22"/>
        <v>5</v>
      </c>
    </row>
    <row r="485" spans="1:12">
      <c r="A485">
        <v>16.109</v>
      </c>
      <c r="B485">
        <v>-196.7</v>
      </c>
      <c r="C485">
        <v>238.3</v>
      </c>
      <c r="F485">
        <v>16.076</v>
      </c>
      <c r="G485">
        <v>-196.3</v>
      </c>
      <c r="H485">
        <v>238.3</v>
      </c>
      <c r="J485">
        <f t="shared" si="21"/>
        <v>16.05</v>
      </c>
      <c r="K485">
        <f t="shared" si="23"/>
        <v>-2.30000000000001</v>
      </c>
      <c r="L485">
        <f t="shared" si="22"/>
        <v>5</v>
      </c>
    </row>
    <row r="486" spans="1:12">
      <c r="A486">
        <v>16.143</v>
      </c>
      <c r="B486">
        <v>-197.1</v>
      </c>
      <c r="C486">
        <v>238.3</v>
      </c>
      <c r="F486">
        <v>16.109</v>
      </c>
      <c r="G486">
        <v>-196.7</v>
      </c>
      <c r="H486">
        <v>238.3</v>
      </c>
      <c r="J486">
        <f t="shared" si="21"/>
        <v>16.1</v>
      </c>
      <c r="K486">
        <f t="shared" si="23"/>
        <v>-2.69999999999999</v>
      </c>
      <c r="L486">
        <f t="shared" si="22"/>
        <v>5</v>
      </c>
    </row>
    <row r="487" spans="1:12">
      <c r="A487">
        <v>16.176</v>
      </c>
      <c r="B487">
        <v>-197.5</v>
      </c>
      <c r="C487">
        <v>238.3</v>
      </c>
      <c r="F487">
        <v>16.143</v>
      </c>
      <c r="G487">
        <v>-197.1</v>
      </c>
      <c r="H487">
        <v>238.3</v>
      </c>
      <c r="J487">
        <f t="shared" si="21"/>
        <v>16.1</v>
      </c>
      <c r="K487">
        <f t="shared" si="23"/>
        <v>-3.09999999999999</v>
      </c>
      <c r="L487">
        <f t="shared" si="22"/>
        <v>5</v>
      </c>
    </row>
    <row r="488" spans="1:12">
      <c r="A488">
        <v>16.21</v>
      </c>
      <c r="B488">
        <v>-197.5</v>
      </c>
      <c r="C488" s="2">
        <v>238.3</v>
      </c>
      <c r="D488" s="2"/>
      <c r="E488" s="2"/>
      <c r="F488">
        <v>16.176</v>
      </c>
      <c r="G488">
        <v>-197.5</v>
      </c>
      <c r="H488">
        <v>238.3</v>
      </c>
      <c r="J488">
        <f t="shared" si="21"/>
        <v>16.15</v>
      </c>
      <c r="K488">
        <f t="shared" si="23"/>
        <v>-3.5</v>
      </c>
      <c r="L488">
        <f t="shared" si="22"/>
        <v>5</v>
      </c>
    </row>
    <row r="489" spans="1:12">
      <c r="A489">
        <v>16.243</v>
      </c>
      <c r="B489">
        <v>-197.5</v>
      </c>
      <c r="C489">
        <v>238.3</v>
      </c>
      <c r="F489">
        <v>16.21</v>
      </c>
      <c r="G489">
        <v>-197.5</v>
      </c>
      <c r="H489" s="2">
        <v>238.3</v>
      </c>
      <c r="J489">
        <f t="shared" si="21"/>
        <v>16.2</v>
      </c>
      <c r="K489">
        <f t="shared" si="23"/>
        <v>-3.5</v>
      </c>
      <c r="L489">
        <f t="shared" si="22"/>
        <v>5</v>
      </c>
    </row>
    <row r="490" spans="1:12">
      <c r="A490">
        <v>16.276</v>
      </c>
      <c r="B490">
        <v>-197.3</v>
      </c>
      <c r="C490">
        <v>238.3</v>
      </c>
      <c r="F490">
        <v>16.243</v>
      </c>
      <c r="G490">
        <v>-197.5</v>
      </c>
      <c r="H490">
        <v>238.3</v>
      </c>
      <c r="J490">
        <f t="shared" si="21"/>
        <v>16.2</v>
      </c>
      <c r="K490">
        <f t="shared" si="23"/>
        <v>-3.5</v>
      </c>
      <c r="L490">
        <f t="shared" si="22"/>
        <v>5</v>
      </c>
    </row>
    <row r="491" spans="1:12">
      <c r="A491">
        <v>16.31</v>
      </c>
      <c r="B491">
        <v>-197.2</v>
      </c>
      <c r="C491">
        <v>238.3</v>
      </c>
      <c r="F491">
        <v>16.276</v>
      </c>
      <c r="G491">
        <v>-197.3</v>
      </c>
      <c r="H491">
        <v>238.3</v>
      </c>
      <c r="J491">
        <f t="shared" si="21"/>
        <v>16.25</v>
      </c>
      <c r="K491">
        <f t="shared" si="23"/>
        <v>-3.30000000000001</v>
      </c>
      <c r="L491">
        <f t="shared" si="22"/>
        <v>5</v>
      </c>
    </row>
    <row r="492" spans="1:12">
      <c r="A492">
        <v>16.343</v>
      </c>
      <c r="B492">
        <v>-196.7</v>
      </c>
      <c r="C492">
        <v>238.3</v>
      </c>
      <c r="F492">
        <v>16.31</v>
      </c>
      <c r="G492">
        <v>-197.2</v>
      </c>
      <c r="H492">
        <v>238.3</v>
      </c>
      <c r="J492">
        <f t="shared" si="21"/>
        <v>16.3</v>
      </c>
      <c r="K492">
        <f t="shared" si="23"/>
        <v>-3.19999999999999</v>
      </c>
      <c r="L492">
        <f t="shared" si="22"/>
        <v>5</v>
      </c>
    </row>
    <row r="493" spans="1:12">
      <c r="A493">
        <v>16.377</v>
      </c>
      <c r="B493">
        <v>-196</v>
      </c>
      <c r="C493">
        <v>238.3</v>
      </c>
      <c r="F493">
        <v>16.343</v>
      </c>
      <c r="G493">
        <v>-196.7</v>
      </c>
      <c r="H493">
        <v>238.3</v>
      </c>
      <c r="J493">
        <f t="shared" si="21"/>
        <v>16.3</v>
      </c>
      <c r="K493">
        <f t="shared" si="23"/>
        <v>-2.69999999999999</v>
      </c>
      <c r="L493">
        <f t="shared" si="22"/>
        <v>5</v>
      </c>
    </row>
    <row r="494" spans="1:12">
      <c r="A494">
        <v>16.41</v>
      </c>
      <c r="B494">
        <v>-195.8</v>
      </c>
      <c r="C494">
        <v>238.3</v>
      </c>
      <c r="F494">
        <v>16.377</v>
      </c>
      <c r="G494">
        <v>-196</v>
      </c>
      <c r="H494">
        <v>238.3</v>
      </c>
      <c r="J494">
        <f t="shared" si="21"/>
        <v>16.35</v>
      </c>
      <c r="K494">
        <f t="shared" si="23"/>
        <v>-2</v>
      </c>
      <c r="L494">
        <f t="shared" si="22"/>
        <v>5</v>
      </c>
    </row>
    <row r="495" spans="1:12">
      <c r="A495">
        <v>16.444</v>
      </c>
      <c r="B495">
        <v>-195.1</v>
      </c>
      <c r="C495">
        <v>238.3</v>
      </c>
      <c r="F495">
        <v>16.41</v>
      </c>
      <c r="G495">
        <v>-195.8</v>
      </c>
      <c r="H495">
        <v>238.3</v>
      </c>
      <c r="J495">
        <f t="shared" si="21"/>
        <v>16.4</v>
      </c>
      <c r="K495">
        <f t="shared" si="23"/>
        <v>-1.80000000000001</v>
      </c>
      <c r="L495">
        <f t="shared" si="22"/>
        <v>5</v>
      </c>
    </row>
    <row r="496" spans="1:12">
      <c r="A496">
        <v>16.477</v>
      </c>
      <c r="B496">
        <v>-194.8</v>
      </c>
      <c r="C496">
        <v>238.3</v>
      </c>
      <c r="F496">
        <v>16.444</v>
      </c>
      <c r="G496">
        <v>-195.1</v>
      </c>
      <c r="H496">
        <v>238.3</v>
      </c>
      <c r="J496">
        <f t="shared" si="21"/>
        <v>16.4</v>
      </c>
      <c r="K496">
        <f t="shared" si="23"/>
        <v>-1.09999999999999</v>
      </c>
      <c r="L496">
        <f t="shared" si="22"/>
        <v>5</v>
      </c>
    </row>
    <row r="497" spans="1:12">
      <c r="A497">
        <v>16.51</v>
      </c>
      <c r="B497">
        <v>-192.7</v>
      </c>
      <c r="C497">
        <v>238.3</v>
      </c>
      <c r="F497">
        <v>16.477</v>
      </c>
      <c r="G497">
        <v>-194.8</v>
      </c>
      <c r="H497">
        <v>238.3</v>
      </c>
      <c r="J497">
        <f t="shared" si="21"/>
        <v>16.45</v>
      </c>
      <c r="K497">
        <f t="shared" si="23"/>
        <v>-0.800000000000011</v>
      </c>
      <c r="L497">
        <f t="shared" si="22"/>
        <v>5</v>
      </c>
    </row>
    <row r="498" spans="1:12">
      <c r="A498">
        <v>16.544</v>
      </c>
      <c r="B498">
        <v>-191.5</v>
      </c>
      <c r="C498">
        <v>238.3</v>
      </c>
      <c r="F498">
        <v>16.51</v>
      </c>
      <c r="G498">
        <v>-192.7</v>
      </c>
      <c r="H498">
        <v>238.3</v>
      </c>
      <c r="J498">
        <f t="shared" si="21"/>
        <v>16.5</v>
      </c>
      <c r="K498">
        <f t="shared" si="23"/>
        <v>1.30000000000001</v>
      </c>
      <c r="L498">
        <f t="shared" si="22"/>
        <v>5</v>
      </c>
    </row>
    <row r="499" spans="1:12">
      <c r="A499">
        <v>16.577</v>
      </c>
      <c r="B499">
        <v>-190.9</v>
      </c>
      <c r="C499">
        <v>238.3</v>
      </c>
      <c r="F499">
        <v>16.544</v>
      </c>
      <c r="G499">
        <v>-191.5</v>
      </c>
      <c r="H499">
        <v>238.3</v>
      </c>
      <c r="J499">
        <f t="shared" si="21"/>
        <v>16.5</v>
      </c>
      <c r="K499">
        <f t="shared" si="23"/>
        <v>2.5</v>
      </c>
      <c r="L499">
        <f t="shared" si="22"/>
        <v>5</v>
      </c>
    </row>
    <row r="500" spans="1:12">
      <c r="A500">
        <v>16.611</v>
      </c>
      <c r="B500">
        <v>-189.5</v>
      </c>
      <c r="C500">
        <v>238.3</v>
      </c>
      <c r="F500">
        <v>16.577</v>
      </c>
      <c r="G500">
        <v>-190.9</v>
      </c>
      <c r="H500">
        <v>238.3</v>
      </c>
      <c r="J500">
        <f t="shared" si="21"/>
        <v>16.55</v>
      </c>
      <c r="K500">
        <f t="shared" si="23"/>
        <v>3.09999999999999</v>
      </c>
      <c r="L500">
        <f t="shared" si="22"/>
        <v>5</v>
      </c>
    </row>
    <row r="501" spans="1:12">
      <c r="A501">
        <v>16.644</v>
      </c>
      <c r="B501">
        <v>-187.9</v>
      </c>
      <c r="C501">
        <v>238.3</v>
      </c>
      <c r="F501">
        <v>16.611</v>
      </c>
      <c r="G501">
        <v>-189.5</v>
      </c>
      <c r="H501">
        <v>238.3</v>
      </c>
      <c r="J501">
        <f t="shared" si="21"/>
        <v>16.6</v>
      </c>
      <c r="K501">
        <f t="shared" si="23"/>
        <v>4.5</v>
      </c>
      <c r="L501">
        <f t="shared" si="22"/>
        <v>5</v>
      </c>
    </row>
    <row r="502" spans="1:12">
      <c r="A502">
        <v>16.677</v>
      </c>
      <c r="B502">
        <v>-187.2</v>
      </c>
      <c r="C502">
        <v>151.9</v>
      </c>
      <c r="F502">
        <v>16.644</v>
      </c>
      <c r="G502">
        <v>-187.9</v>
      </c>
      <c r="H502">
        <v>238.3</v>
      </c>
      <c r="J502">
        <f t="shared" si="21"/>
        <v>16.6</v>
      </c>
      <c r="K502">
        <f t="shared" si="23"/>
        <v>6.09999999999999</v>
      </c>
      <c r="L502">
        <f t="shared" si="22"/>
        <v>5</v>
      </c>
    </row>
    <row r="503" spans="1:12">
      <c r="A503">
        <v>16.711</v>
      </c>
      <c r="B503">
        <v>-185.7</v>
      </c>
      <c r="C503">
        <v>165.9</v>
      </c>
      <c r="F503">
        <v>16.677</v>
      </c>
      <c r="G503">
        <v>-187.2</v>
      </c>
      <c r="H503">
        <v>151.9</v>
      </c>
      <c r="J503">
        <f t="shared" si="21"/>
        <v>16.65</v>
      </c>
      <c r="K503">
        <f t="shared" si="23"/>
        <v>6.80000000000001</v>
      </c>
      <c r="L503">
        <f t="shared" si="22"/>
        <v>0</v>
      </c>
    </row>
    <row r="504" spans="1:12">
      <c r="A504">
        <v>16.744</v>
      </c>
      <c r="B504">
        <v>-184.7</v>
      </c>
      <c r="C504">
        <v>164.9</v>
      </c>
      <c r="F504">
        <v>16.711</v>
      </c>
      <c r="G504">
        <v>-185.7</v>
      </c>
      <c r="H504">
        <v>165.9</v>
      </c>
      <c r="J504">
        <f t="shared" si="21"/>
        <v>16.7</v>
      </c>
      <c r="K504">
        <f t="shared" si="23"/>
        <v>8.30000000000001</v>
      </c>
      <c r="L504">
        <f t="shared" si="22"/>
        <v>0</v>
      </c>
    </row>
    <row r="505" spans="1:12">
      <c r="A505">
        <v>16.778</v>
      </c>
      <c r="B505">
        <v>-184.5</v>
      </c>
      <c r="C505">
        <v>162.1</v>
      </c>
      <c r="F505">
        <v>16.744</v>
      </c>
      <c r="G505">
        <v>-184.7</v>
      </c>
      <c r="H505">
        <v>164.9</v>
      </c>
      <c r="J505">
        <f t="shared" si="21"/>
        <v>16.7</v>
      </c>
      <c r="K505">
        <f t="shared" si="23"/>
        <v>9.30000000000001</v>
      </c>
      <c r="L505">
        <f t="shared" si="22"/>
        <v>0</v>
      </c>
    </row>
    <row r="506" spans="1:12">
      <c r="A506">
        <v>16.811</v>
      </c>
      <c r="B506">
        <v>-183.8</v>
      </c>
      <c r="C506">
        <v>161</v>
      </c>
      <c r="F506">
        <v>16.778</v>
      </c>
      <c r="G506">
        <v>-184.5</v>
      </c>
      <c r="H506">
        <v>162.1</v>
      </c>
      <c r="J506">
        <f t="shared" si="21"/>
        <v>16.75</v>
      </c>
      <c r="K506">
        <f t="shared" si="23"/>
        <v>9.5</v>
      </c>
      <c r="L506">
        <f t="shared" si="22"/>
        <v>0</v>
      </c>
    </row>
    <row r="507" spans="1:12">
      <c r="A507">
        <v>16.845</v>
      </c>
      <c r="B507">
        <v>-183.3</v>
      </c>
      <c r="C507">
        <v>159.7</v>
      </c>
      <c r="F507">
        <v>16.811</v>
      </c>
      <c r="G507">
        <v>-183.8</v>
      </c>
      <c r="H507">
        <v>161</v>
      </c>
      <c r="J507">
        <f t="shared" si="21"/>
        <v>16.8</v>
      </c>
      <c r="K507">
        <f t="shared" si="23"/>
        <v>10.2</v>
      </c>
      <c r="L507">
        <f t="shared" si="22"/>
        <v>0</v>
      </c>
    </row>
    <row r="508" spans="1:12">
      <c r="A508">
        <v>16.878</v>
      </c>
      <c r="B508">
        <v>-183.4</v>
      </c>
      <c r="C508">
        <v>158.7</v>
      </c>
      <c r="F508">
        <v>16.845</v>
      </c>
      <c r="G508">
        <v>-183.3</v>
      </c>
      <c r="H508">
        <v>159.7</v>
      </c>
      <c r="J508">
        <f t="shared" si="21"/>
        <v>16.8</v>
      </c>
      <c r="K508">
        <f t="shared" si="23"/>
        <v>10.7</v>
      </c>
      <c r="L508">
        <f t="shared" si="22"/>
        <v>0</v>
      </c>
    </row>
    <row r="509" spans="1:12">
      <c r="A509">
        <v>16.911</v>
      </c>
      <c r="B509">
        <v>-183.2</v>
      </c>
      <c r="C509">
        <v>156.7</v>
      </c>
      <c r="F509">
        <v>16.878</v>
      </c>
      <c r="G509">
        <v>-183.4</v>
      </c>
      <c r="H509">
        <v>158.7</v>
      </c>
      <c r="J509">
        <f t="shared" si="21"/>
        <v>16.85</v>
      </c>
      <c r="K509">
        <f t="shared" si="23"/>
        <v>10.6</v>
      </c>
      <c r="L509">
        <f t="shared" si="22"/>
        <v>0</v>
      </c>
    </row>
    <row r="510" spans="1:12">
      <c r="A510">
        <v>16.945</v>
      </c>
      <c r="B510">
        <v>-183.4</v>
      </c>
      <c r="C510">
        <v>155.3</v>
      </c>
      <c r="F510">
        <v>16.911</v>
      </c>
      <c r="G510">
        <v>-183.2</v>
      </c>
      <c r="H510">
        <v>156.7</v>
      </c>
      <c r="J510">
        <f t="shared" si="21"/>
        <v>16.9</v>
      </c>
      <c r="K510">
        <f t="shared" si="23"/>
        <v>10.8</v>
      </c>
      <c r="L510">
        <f t="shared" si="22"/>
        <v>0</v>
      </c>
    </row>
    <row r="511" spans="1:12">
      <c r="A511">
        <v>16.978</v>
      </c>
      <c r="B511">
        <v>-183.6</v>
      </c>
      <c r="C511">
        <v>152.8</v>
      </c>
      <c r="F511">
        <v>16.945</v>
      </c>
      <c r="G511">
        <v>-183.4</v>
      </c>
      <c r="H511">
        <v>155.3</v>
      </c>
      <c r="J511">
        <f t="shared" si="21"/>
        <v>16.9</v>
      </c>
      <c r="K511">
        <f t="shared" si="23"/>
        <v>10.6</v>
      </c>
      <c r="L511">
        <f t="shared" si="22"/>
        <v>0</v>
      </c>
    </row>
    <row r="512" spans="1:12">
      <c r="A512">
        <v>17.012</v>
      </c>
      <c r="B512">
        <v>-183.8</v>
      </c>
      <c r="C512">
        <v>152</v>
      </c>
      <c r="F512">
        <v>16.978</v>
      </c>
      <c r="G512">
        <v>-183.6</v>
      </c>
      <c r="H512">
        <v>152.8</v>
      </c>
      <c r="J512">
        <f t="shared" si="21"/>
        <v>16.95</v>
      </c>
      <c r="K512">
        <f t="shared" si="23"/>
        <v>10.4</v>
      </c>
      <c r="L512">
        <f t="shared" si="22"/>
        <v>0</v>
      </c>
    </row>
    <row r="513" spans="1:12">
      <c r="A513">
        <v>17.045</v>
      </c>
      <c r="B513">
        <v>-183.8</v>
      </c>
      <c r="C513">
        <v>149.5</v>
      </c>
      <c r="F513">
        <v>17.012</v>
      </c>
      <c r="G513">
        <v>-183.8</v>
      </c>
      <c r="H513">
        <v>152</v>
      </c>
      <c r="J513">
        <f t="shared" si="21"/>
        <v>17</v>
      </c>
      <c r="K513">
        <f t="shared" si="23"/>
        <v>10.2</v>
      </c>
      <c r="L513">
        <f t="shared" si="22"/>
        <v>0</v>
      </c>
    </row>
    <row r="514" spans="1:12">
      <c r="A514">
        <v>17.079</v>
      </c>
      <c r="B514">
        <v>-184.2</v>
      </c>
      <c r="C514">
        <v>147.5</v>
      </c>
      <c r="F514">
        <v>17.045</v>
      </c>
      <c r="G514">
        <v>-183.8</v>
      </c>
      <c r="H514">
        <v>149.5</v>
      </c>
      <c r="J514">
        <f t="shared" si="21"/>
        <v>17</v>
      </c>
      <c r="K514">
        <f t="shared" si="23"/>
        <v>10.2</v>
      </c>
      <c r="L514">
        <f t="shared" si="22"/>
        <v>0</v>
      </c>
    </row>
    <row r="515" spans="1:12">
      <c r="A515">
        <v>17.112</v>
      </c>
      <c r="B515">
        <v>-184.8</v>
      </c>
      <c r="C515">
        <v>146.2</v>
      </c>
      <c r="F515">
        <v>17.079</v>
      </c>
      <c r="G515">
        <v>-184.2</v>
      </c>
      <c r="H515">
        <v>147.5</v>
      </c>
      <c r="J515">
        <f t="shared" si="21"/>
        <v>17.05</v>
      </c>
      <c r="K515">
        <f t="shared" si="23"/>
        <v>9.80000000000001</v>
      </c>
      <c r="L515">
        <f t="shared" si="22"/>
        <v>0</v>
      </c>
    </row>
    <row r="516" spans="1:12">
      <c r="A516">
        <v>17.145</v>
      </c>
      <c r="B516">
        <v>-185.2</v>
      </c>
      <c r="C516">
        <v>143.6</v>
      </c>
      <c r="F516">
        <v>17.112</v>
      </c>
      <c r="G516">
        <v>-184.8</v>
      </c>
      <c r="H516">
        <v>146.2</v>
      </c>
      <c r="J516">
        <f t="shared" ref="J516:J579" si="24">FLOOR(F516,0.05)</f>
        <v>17.1</v>
      </c>
      <c r="K516">
        <f t="shared" si="23"/>
        <v>9.19999999999999</v>
      </c>
      <c r="L516">
        <f t="shared" ref="L516:L579" si="25">IF(H516&lt;230,0,5)</f>
        <v>0</v>
      </c>
    </row>
    <row r="517" spans="1:12">
      <c r="A517">
        <v>17.179</v>
      </c>
      <c r="B517">
        <v>-186.5</v>
      </c>
      <c r="C517">
        <v>142.5</v>
      </c>
      <c r="F517">
        <v>17.145</v>
      </c>
      <c r="G517">
        <v>-185.2</v>
      </c>
      <c r="H517">
        <v>143.6</v>
      </c>
      <c r="J517">
        <f t="shared" si="24"/>
        <v>17.1</v>
      </c>
      <c r="K517">
        <f t="shared" ref="K517:K580" si="26">G517+194</f>
        <v>8.80000000000001</v>
      </c>
      <c r="L517">
        <f t="shared" si="25"/>
        <v>0</v>
      </c>
    </row>
    <row r="518" spans="1:12">
      <c r="A518">
        <v>17.212</v>
      </c>
      <c r="B518">
        <v>-187.5</v>
      </c>
      <c r="C518">
        <v>140.8</v>
      </c>
      <c r="F518">
        <v>17.179</v>
      </c>
      <c r="G518">
        <v>-186.5</v>
      </c>
      <c r="H518">
        <v>142.5</v>
      </c>
      <c r="J518">
        <f t="shared" si="24"/>
        <v>17.15</v>
      </c>
      <c r="K518">
        <f t="shared" si="26"/>
        <v>7.5</v>
      </c>
      <c r="L518">
        <f t="shared" si="25"/>
        <v>0</v>
      </c>
    </row>
    <row r="519" spans="1:12">
      <c r="A519">
        <v>17.246</v>
      </c>
      <c r="B519">
        <v>-189</v>
      </c>
      <c r="C519">
        <v>139.1</v>
      </c>
      <c r="F519">
        <v>17.212</v>
      </c>
      <c r="G519">
        <v>-187.5</v>
      </c>
      <c r="H519">
        <v>140.8</v>
      </c>
      <c r="J519">
        <f t="shared" si="24"/>
        <v>17.2</v>
      </c>
      <c r="K519">
        <f t="shared" si="26"/>
        <v>6.5</v>
      </c>
      <c r="L519">
        <f t="shared" si="25"/>
        <v>0</v>
      </c>
    </row>
    <row r="520" spans="1:12">
      <c r="A520">
        <v>17.279</v>
      </c>
      <c r="B520">
        <v>-190.4</v>
      </c>
      <c r="C520">
        <v>137.1</v>
      </c>
      <c r="F520">
        <v>17.246</v>
      </c>
      <c r="G520">
        <v>-189</v>
      </c>
      <c r="H520">
        <v>139.1</v>
      </c>
      <c r="J520">
        <f t="shared" si="24"/>
        <v>17.2</v>
      </c>
      <c r="K520">
        <f t="shared" si="26"/>
        <v>5</v>
      </c>
      <c r="L520">
        <f t="shared" si="25"/>
        <v>0</v>
      </c>
    </row>
    <row r="521" spans="1:12">
      <c r="A521">
        <v>17.312</v>
      </c>
      <c r="B521">
        <v>-191.3</v>
      </c>
      <c r="C521">
        <v>135</v>
      </c>
      <c r="F521">
        <v>17.279</v>
      </c>
      <c r="G521">
        <v>-190.4</v>
      </c>
      <c r="H521">
        <v>137.1</v>
      </c>
      <c r="J521">
        <f t="shared" si="24"/>
        <v>17.25</v>
      </c>
      <c r="K521">
        <f t="shared" si="26"/>
        <v>3.59999999999999</v>
      </c>
      <c r="L521">
        <f t="shared" si="25"/>
        <v>0</v>
      </c>
    </row>
    <row r="522" spans="1:12">
      <c r="A522">
        <v>17.346</v>
      </c>
      <c r="B522">
        <v>-192</v>
      </c>
      <c r="C522">
        <v>219.1</v>
      </c>
      <c r="F522">
        <v>17.312</v>
      </c>
      <c r="G522">
        <v>-191.3</v>
      </c>
      <c r="H522">
        <v>135</v>
      </c>
      <c r="J522">
        <f t="shared" si="24"/>
        <v>17.3</v>
      </c>
      <c r="K522">
        <f t="shared" si="26"/>
        <v>2.69999999999999</v>
      </c>
      <c r="L522">
        <f t="shared" si="25"/>
        <v>0</v>
      </c>
    </row>
    <row r="523" spans="1:12">
      <c r="A523">
        <v>17.379</v>
      </c>
      <c r="B523">
        <v>-193.4</v>
      </c>
      <c r="C523">
        <v>238.3</v>
      </c>
      <c r="F523">
        <v>17.346</v>
      </c>
      <c r="G523">
        <v>-192</v>
      </c>
      <c r="H523">
        <v>219.1</v>
      </c>
      <c r="J523">
        <f t="shared" si="24"/>
        <v>17.3</v>
      </c>
      <c r="K523">
        <f t="shared" si="26"/>
        <v>2</v>
      </c>
      <c r="L523">
        <f t="shared" si="25"/>
        <v>0</v>
      </c>
    </row>
    <row r="524" spans="1:12">
      <c r="A524">
        <v>17.413</v>
      </c>
      <c r="B524">
        <v>-194.5</v>
      </c>
      <c r="C524">
        <v>238.3</v>
      </c>
      <c r="F524">
        <v>17.379</v>
      </c>
      <c r="G524">
        <v>-193.4</v>
      </c>
      <c r="H524">
        <v>238.3</v>
      </c>
      <c r="J524">
        <f t="shared" si="24"/>
        <v>17.35</v>
      </c>
      <c r="K524">
        <f t="shared" si="26"/>
        <v>0.599999999999994</v>
      </c>
      <c r="L524">
        <f t="shared" si="25"/>
        <v>5</v>
      </c>
    </row>
    <row r="525" spans="1:12">
      <c r="A525">
        <v>17.446</v>
      </c>
      <c r="B525">
        <v>-195.3</v>
      </c>
      <c r="C525">
        <v>238.3</v>
      </c>
      <c r="F525">
        <v>17.413</v>
      </c>
      <c r="G525">
        <v>-194.5</v>
      </c>
      <c r="H525">
        <v>238.3</v>
      </c>
      <c r="J525">
        <f t="shared" si="24"/>
        <v>17.4</v>
      </c>
      <c r="K525">
        <f t="shared" si="26"/>
        <v>-0.5</v>
      </c>
      <c r="L525">
        <f t="shared" si="25"/>
        <v>5</v>
      </c>
    </row>
    <row r="526" spans="1:12">
      <c r="A526">
        <v>17.48</v>
      </c>
      <c r="B526">
        <v>-195.8</v>
      </c>
      <c r="C526">
        <v>238.3</v>
      </c>
      <c r="F526">
        <v>17.446</v>
      </c>
      <c r="G526">
        <v>-195.3</v>
      </c>
      <c r="H526">
        <v>238.3</v>
      </c>
      <c r="J526">
        <f t="shared" si="24"/>
        <v>17.4</v>
      </c>
      <c r="K526">
        <f t="shared" si="26"/>
        <v>-1.30000000000001</v>
      </c>
      <c r="L526">
        <f t="shared" si="25"/>
        <v>5</v>
      </c>
    </row>
    <row r="527" spans="1:12">
      <c r="A527">
        <v>17.513</v>
      </c>
      <c r="B527">
        <v>-196.4</v>
      </c>
      <c r="C527">
        <v>238.3</v>
      </c>
      <c r="F527">
        <v>17.48</v>
      </c>
      <c r="G527">
        <v>-195.8</v>
      </c>
      <c r="H527">
        <v>238.3</v>
      </c>
      <c r="J527">
        <f t="shared" si="24"/>
        <v>17.45</v>
      </c>
      <c r="K527">
        <f t="shared" si="26"/>
        <v>-1.80000000000001</v>
      </c>
      <c r="L527">
        <f t="shared" si="25"/>
        <v>5</v>
      </c>
    </row>
    <row r="528" spans="1:12">
      <c r="A528">
        <v>17.546</v>
      </c>
      <c r="B528">
        <v>-196.9</v>
      </c>
      <c r="C528">
        <v>238.3</v>
      </c>
      <c r="F528">
        <v>17.513</v>
      </c>
      <c r="G528">
        <v>-196.4</v>
      </c>
      <c r="H528">
        <v>238.3</v>
      </c>
      <c r="J528">
        <f t="shared" si="24"/>
        <v>17.5</v>
      </c>
      <c r="K528">
        <f t="shared" si="26"/>
        <v>-2.40000000000001</v>
      </c>
      <c r="L528">
        <f t="shared" si="25"/>
        <v>5</v>
      </c>
    </row>
    <row r="529" spans="1:12">
      <c r="A529">
        <v>17.58</v>
      </c>
      <c r="B529">
        <v>-197.4</v>
      </c>
      <c r="C529">
        <v>238.3</v>
      </c>
      <c r="F529">
        <v>17.546</v>
      </c>
      <c r="G529">
        <v>-196.9</v>
      </c>
      <c r="H529">
        <v>238.3</v>
      </c>
      <c r="J529">
        <f t="shared" si="24"/>
        <v>17.5</v>
      </c>
      <c r="K529">
        <f t="shared" si="26"/>
        <v>-2.90000000000001</v>
      </c>
      <c r="L529">
        <f t="shared" si="25"/>
        <v>5</v>
      </c>
    </row>
    <row r="530" spans="1:12">
      <c r="A530">
        <v>17.613</v>
      </c>
      <c r="B530">
        <v>-197.5</v>
      </c>
      <c r="C530">
        <v>238.3</v>
      </c>
      <c r="F530">
        <v>17.58</v>
      </c>
      <c r="G530">
        <v>-197.4</v>
      </c>
      <c r="H530">
        <v>238.3</v>
      </c>
      <c r="J530">
        <f t="shared" si="24"/>
        <v>17.55</v>
      </c>
      <c r="K530">
        <f t="shared" si="26"/>
        <v>-3.40000000000001</v>
      </c>
      <c r="L530">
        <f t="shared" si="25"/>
        <v>5</v>
      </c>
    </row>
    <row r="531" spans="1:12">
      <c r="A531">
        <v>17.647</v>
      </c>
      <c r="B531">
        <v>-197.6</v>
      </c>
      <c r="C531">
        <v>238.3</v>
      </c>
      <c r="F531">
        <v>17.613</v>
      </c>
      <c r="G531">
        <v>-197.5</v>
      </c>
      <c r="H531">
        <v>238.3</v>
      </c>
      <c r="J531">
        <f t="shared" si="24"/>
        <v>17.6</v>
      </c>
      <c r="K531">
        <f t="shared" si="26"/>
        <v>-3.5</v>
      </c>
      <c r="L531">
        <f t="shared" si="25"/>
        <v>5</v>
      </c>
    </row>
    <row r="532" spans="1:12">
      <c r="A532">
        <v>17.68</v>
      </c>
      <c r="B532">
        <v>-197.5</v>
      </c>
      <c r="C532">
        <v>238.3</v>
      </c>
      <c r="F532">
        <v>17.647</v>
      </c>
      <c r="G532">
        <v>-197.6</v>
      </c>
      <c r="H532">
        <v>238.3</v>
      </c>
      <c r="J532">
        <f t="shared" si="24"/>
        <v>17.6</v>
      </c>
      <c r="K532">
        <f t="shared" si="26"/>
        <v>-3.59999999999999</v>
      </c>
      <c r="L532">
        <f t="shared" si="25"/>
        <v>5</v>
      </c>
    </row>
    <row r="533" spans="1:12">
      <c r="A533">
        <v>17.714</v>
      </c>
      <c r="B533">
        <v>-197.4</v>
      </c>
      <c r="C533">
        <v>238.3</v>
      </c>
      <c r="F533">
        <v>17.68</v>
      </c>
      <c r="G533">
        <v>-197.5</v>
      </c>
      <c r="H533">
        <v>238.3</v>
      </c>
      <c r="J533">
        <f t="shared" si="24"/>
        <v>17.65</v>
      </c>
      <c r="K533">
        <f t="shared" si="26"/>
        <v>-3.5</v>
      </c>
      <c r="L533">
        <f t="shared" si="25"/>
        <v>5</v>
      </c>
    </row>
    <row r="534" spans="1:12">
      <c r="A534">
        <v>17.747</v>
      </c>
      <c r="B534">
        <v>-197</v>
      </c>
      <c r="C534">
        <v>238.3</v>
      </c>
      <c r="F534">
        <v>17.714</v>
      </c>
      <c r="G534">
        <v>-197.4</v>
      </c>
      <c r="H534">
        <v>238.3</v>
      </c>
      <c r="J534">
        <f t="shared" si="24"/>
        <v>17.7</v>
      </c>
      <c r="K534">
        <f t="shared" si="26"/>
        <v>-3.40000000000001</v>
      </c>
      <c r="L534">
        <f t="shared" si="25"/>
        <v>5</v>
      </c>
    </row>
    <row r="535" spans="1:12">
      <c r="A535">
        <v>17.78</v>
      </c>
      <c r="B535">
        <v>-196.9</v>
      </c>
      <c r="C535">
        <v>238.3</v>
      </c>
      <c r="F535">
        <v>17.747</v>
      </c>
      <c r="G535">
        <v>-197</v>
      </c>
      <c r="H535">
        <v>238.3</v>
      </c>
      <c r="J535">
        <f t="shared" si="24"/>
        <v>17.7</v>
      </c>
      <c r="K535">
        <f t="shared" si="26"/>
        <v>-3</v>
      </c>
      <c r="L535">
        <f t="shared" si="25"/>
        <v>5</v>
      </c>
    </row>
    <row r="536" spans="1:12">
      <c r="A536">
        <v>17.814</v>
      </c>
      <c r="B536">
        <v>-196.2</v>
      </c>
      <c r="C536">
        <v>238.3</v>
      </c>
      <c r="F536">
        <v>17.78</v>
      </c>
      <c r="G536">
        <v>-196.9</v>
      </c>
      <c r="H536">
        <v>238.3</v>
      </c>
      <c r="J536">
        <f t="shared" si="24"/>
        <v>17.75</v>
      </c>
      <c r="K536">
        <f t="shared" si="26"/>
        <v>-2.90000000000001</v>
      </c>
      <c r="L536">
        <f t="shared" si="25"/>
        <v>5</v>
      </c>
    </row>
    <row r="537" spans="1:12">
      <c r="A537">
        <v>17.847</v>
      </c>
      <c r="B537">
        <v>-195.6</v>
      </c>
      <c r="C537">
        <v>238.3</v>
      </c>
      <c r="F537">
        <v>17.814</v>
      </c>
      <c r="G537">
        <v>-196.2</v>
      </c>
      <c r="H537">
        <v>238.3</v>
      </c>
      <c r="J537">
        <f t="shared" si="24"/>
        <v>17.8</v>
      </c>
      <c r="K537">
        <f t="shared" si="26"/>
        <v>-2.19999999999999</v>
      </c>
      <c r="L537">
        <f t="shared" si="25"/>
        <v>5</v>
      </c>
    </row>
    <row r="538" spans="1:12">
      <c r="A538">
        <v>17.881</v>
      </c>
      <c r="B538">
        <v>-195</v>
      </c>
      <c r="C538">
        <v>238.3</v>
      </c>
      <c r="F538">
        <v>17.847</v>
      </c>
      <c r="G538">
        <v>-195.6</v>
      </c>
      <c r="H538">
        <v>238.3</v>
      </c>
      <c r="J538">
        <f t="shared" si="24"/>
        <v>17.8</v>
      </c>
      <c r="K538">
        <f t="shared" si="26"/>
        <v>-1.59999999999999</v>
      </c>
      <c r="L538">
        <f t="shared" si="25"/>
        <v>5</v>
      </c>
    </row>
    <row r="539" spans="1:12">
      <c r="A539">
        <v>17.914</v>
      </c>
      <c r="B539">
        <v>-194.5</v>
      </c>
      <c r="C539">
        <v>238.3</v>
      </c>
      <c r="F539">
        <v>17.881</v>
      </c>
      <c r="G539">
        <v>-195</v>
      </c>
      <c r="H539">
        <v>238.3</v>
      </c>
      <c r="J539">
        <f t="shared" si="24"/>
        <v>17.85</v>
      </c>
      <c r="K539">
        <f t="shared" si="26"/>
        <v>-1</v>
      </c>
      <c r="L539">
        <f t="shared" si="25"/>
        <v>5</v>
      </c>
    </row>
    <row r="540" spans="1:12">
      <c r="A540">
        <v>17.947</v>
      </c>
      <c r="B540">
        <v>-193</v>
      </c>
      <c r="C540">
        <v>238.3</v>
      </c>
      <c r="F540">
        <v>17.914</v>
      </c>
      <c r="G540">
        <v>-194.5</v>
      </c>
      <c r="H540">
        <v>238.3</v>
      </c>
      <c r="J540">
        <f t="shared" si="24"/>
        <v>17.9</v>
      </c>
      <c r="K540">
        <f t="shared" si="26"/>
        <v>-0.5</v>
      </c>
      <c r="L540">
        <f t="shared" si="25"/>
        <v>5</v>
      </c>
    </row>
    <row r="541" spans="1:12">
      <c r="A541">
        <v>17.981</v>
      </c>
      <c r="B541">
        <v>-191.8</v>
      </c>
      <c r="C541">
        <v>238.3</v>
      </c>
      <c r="F541">
        <v>17.947</v>
      </c>
      <c r="G541">
        <v>-193</v>
      </c>
      <c r="H541">
        <v>238.3</v>
      </c>
      <c r="J541">
        <f t="shared" si="24"/>
        <v>17.9</v>
      </c>
      <c r="K541">
        <f t="shared" si="26"/>
        <v>1</v>
      </c>
      <c r="L541">
        <f t="shared" si="25"/>
        <v>5</v>
      </c>
    </row>
    <row r="542" spans="1:12">
      <c r="A542">
        <v>18.014</v>
      </c>
      <c r="B542">
        <v>-191</v>
      </c>
      <c r="C542">
        <v>238.3</v>
      </c>
      <c r="F542">
        <v>17.981</v>
      </c>
      <c r="G542">
        <v>-191.8</v>
      </c>
      <c r="H542">
        <v>238.3</v>
      </c>
      <c r="J542">
        <f t="shared" si="24"/>
        <v>17.95</v>
      </c>
      <c r="K542">
        <f t="shared" si="26"/>
        <v>2.19999999999999</v>
      </c>
      <c r="L542">
        <f t="shared" si="25"/>
        <v>5</v>
      </c>
    </row>
    <row r="543" spans="1:12">
      <c r="A543">
        <v>18.048</v>
      </c>
      <c r="B543">
        <v>-189.2</v>
      </c>
      <c r="C543">
        <v>238.3</v>
      </c>
      <c r="F543">
        <v>18.014</v>
      </c>
      <c r="G543">
        <v>-191</v>
      </c>
      <c r="H543">
        <v>238.3</v>
      </c>
      <c r="J543">
        <f t="shared" si="24"/>
        <v>18</v>
      </c>
      <c r="K543">
        <f t="shared" si="26"/>
        <v>3</v>
      </c>
      <c r="L543">
        <f t="shared" si="25"/>
        <v>5</v>
      </c>
    </row>
    <row r="544" spans="1:12">
      <c r="A544">
        <v>18.081</v>
      </c>
      <c r="B544">
        <v>-187.6</v>
      </c>
      <c r="C544">
        <v>183.7</v>
      </c>
      <c r="F544">
        <v>18.048</v>
      </c>
      <c r="G544">
        <v>-189.2</v>
      </c>
      <c r="H544">
        <v>238.3</v>
      </c>
      <c r="J544">
        <f t="shared" si="24"/>
        <v>18</v>
      </c>
      <c r="K544">
        <f t="shared" si="26"/>
        <v>4.80000000000001</v>
      </c>
      <c r="L544">
        <f t="shared" si="25"/>
        <v>5</v>
      </c>
    </row>
    <row r="545" spans="1:12">
      <c r="A545">
        <v>18.115</v>
      </c>
      <c r="B545">
        <v>-187.1</v>
      </c>
      <c r="C545">
        <v>162.3</v>
      </c>
      <c r="F545">
        <v>18.081</v>
      </c>
      <c r="G545">
        <v>-187.6</v>
      </c>
      <c r="H545">
        <v>183.7</v>
      </c>
      <c r="J545">
        <f t="shared" si="24"/>
        <v>18.05</v>
      </c>
      <c r="K545">
        <f t="shared" si="26"/>
        <v>6.40000000000001</v>
      </c>
      <c r="L545">
        <f t="shared" si="25"/>
        <v>0</v>
      </c>
    </row>
    <row r="546" spans="1:12">
      <c r="A546">
        <v>18.148</v>
      </c>
      <c r="B546">
        <v>-185.6</v>
      </c>
      <c r="C546">
        <v>165.3</v>
      </c>
      <c r="F546">
        <v>18.115</v>
      </c>
      <c r="G546">
        <v>-187.1</v>
      </c>
      <c r="H546">
        <v>162.3</v>
      </c>
      <c r="J546">
        <f t="shared" si="24"/>
        <v>18.1</v>
      </c>
      <c r="K546">
        <f t="shared" si="26"/>
        <v>6.90000000000001</v>
      </c>
      <c r="L546">
        <f t="shared" si="25"/>
        <v>0</v>
      </c>
    </row>
    <row r="547" spans="1:12">
      <c r="A547">
        <v>18.181</v>
      </c>
      <c r="B547">
        <v>-184.9</v>
      </c>
      <c r="C547">
        <v>164.8</v>
      </c>
      <c r="F547">
        <v>18.148</v>
      </c>
      <c r="G547">
        <v>-185.6</v>
      </c>
      <c r="H547">
        <v>165.3</v>
      </c>
      <c r="J547">
        <f t="shared" si="24"/>
        <v>18.1</v>
      </c>
      <c r="K547">
        <f t="shared" si="26"/>
        <v>8.40000000000001</v>
      </c>
      <c r="L547">
        <f t="shared" si="25"/>
        <v>0</v>
      </c>
    </row>
    <row r="548" spans="1:12">
      <c r="A548">
        <v>18.215</v>
      </c>
      <c r="B548">
        <v>-184.1</v>
      </c>
      <c r="C548">
        <v>161.5</v>
      </c>
      <c r="F548">
        <v>18.181</v>
      </c>
      <c r="G548">
        <v>-184.9</v>
      </c>
      <c r="H548">
        <v>164.8</v>
      </c>
      <c r="J548">
        <f t="shared" si="24"/>
        <v>18.15</v>
      </c>
      <c r="K548">
        <f t="shared" si="26"/>
        <v>9.09999999999999</v>
      </c>
      <c r="L548">
        <f t="shared" si="25"/>
        <v>0</v>
      </c>
    </row>
    <row r="549" spans="1:12">
      <c r="A549">
        <v>18.248</v>
      </c>
      <c r="B549">
        <v>-183.5</v>
      </c>
      <c r="C549">
        <v>160.1</v>
      </c>
      <c r="F549">
        <v>18.215</v>
      </c>
      <c r="G549">
        <v>-184.1</v>
      </c>
      <c r="H549">
        <v>161.5</v>
      </c>
      <c r="J549">
        <f t="shared" si="24"/>
        <v>18.2</v>
      </c>
      <c r="K549">
        <f t="shared" si="26"/>
        <v>9.90000000000001</v>
      </c>
      <c r="L549">
        <f t="shared" si="25"/>
        <v>0</v>
      </c>
    </row>
    <row r="550" spans="1:12">
      <c r="A550">
        <v>18.282</v>
      </c>
      <c r="B550">
        <v>-183.3</v>
      </c>
      <c r="C550">
        <v>159.7</v>
      </c>
      <c r="F550">
        <v>18.248</v>
      </c>
      <c r="G550">
        <v>-183.5</v>
      </c>
      <c r="H550">
        <v>160.1</v>
      </c>
      <c r="J550">
        <f t="shared" si="24"/>
        <v>18.2</v>
      </c>
      <c r="K550">
        <f t="shared" si="26"/>
        <v>10.5</v>
      </c>
      <c r="L550">
        <f t="shared" si="25"/>
        <v>0</v>
      </c>
    </row>
    <row r="551" spans="1:12">
      <c r="A551">
        <v>18.315</v>
      </c>
      <c r="B551">
        <v>-183.1</v>
      </c>
      <c r="C551">
        <v>157.4</v>
      </c>
      <c r="F551">
        <v>18.282</v>
      </c>
      <c r="G551">
        <v>-183.3</v>
      </c>
      <c r="H551">
        <v>159.7</v>
      </c>
      <c r="J551">
        <f t="shared" si="24"/>
        <v>18.25</v>
      </c>
      <c r="K551">
        <f t="shared" si="26"/>
        <v>10.7</v>
      </c>
      <c r="L551">
        <f t="shared" si="25"/>
        <v>0</v>
      </c>
    </row>
    <row r="552" spans="1:12">
      <c r="A552">
        <v>18.349</v>
      </c>
      <c r="B552">
        <v>-183.2</v>
      </c>
      <c r="C552">
        <v>155.9</v>
      </c>
      <c r="F552">
        <v>18.315</v>
      </c>
      <c r="G552">
        <v>-183.1</v>
      </c>
      <c r="H552">
        <v>157.4</v>
      </c>
      <c r="J552">
        <f t="shared" si="24"/>
        <v>18.3</v>
      </c>
      <c r="K552">
        <f t="shared" si="26"/>
        <v>10.9</v>
      </c>
      <c r="L552">
        <f t="shared" si="25"/>
        <v>0</v>
      </c>
    </row>
    <row r="553" spans="1:12">
      <c r="A553">
        <v>18.382</v>
      </c>
      <c r="B553">
        <v>-183.4</v>
      </c>
      <c r="C553">
        <v>154.1</v>
      </c>
      <c r="F553">
        <v>18.349</v>
      </c>
      <c r="G553">
        <v>-183.2</v>
      </c>
      <c r="H553">
        <v>155.9</v>
      </c>
      <c r="J553">
        <f t="shared" si="24"/>
        <v>18.3</v>
      </c>
      <c r="K553">
        <f t="shared" si="26"/>
        <v>10.8</v>
      </c>
      <c r="L553">
        <f t="shared" si="25"/>
        <v>0</v>
      </c>
    </row>
    <row r="554" spans="1:12">
      <c r="A554">
        <v>18.415</v>
      </c>
      <c r="B554">
        <v>-183.3</v>
      </c>
      <c r="C554">
        <v>153.1</v>
      </c>
      <c r="F554">
        <v>18.382</v>
      </c>
      <c r="G554">
        <v>-183.4</v>
      </c>
      <c r="H554">
        <v>154.1</v>
      </c>
      <c r="J554">
        <f t="shared" si="24"/>
        <v>18.35</v>
      </c>
      <c r="K554">
        <f t="shared" si="26"/>
        <v>10.6</v>
      </c>
      <c r="L554">
        <f t="shared" si="25"/>
        <v>0</v>
      </c>
    </row>
    <row r="555" spans="1:12">
      <c r="A555">
        <v>18.449</v>
      </c>
      <c r="B555">
        <v>-183.6</v>
      </c>
      <c r="C555">
        <v>150.5</v>
      </c>
      <c r="F555">
        <v>18.415</v>
      </c>
      <c r="G555">
        <v>-183.3</v>
      </c>
      <c r="H555">
        <v>153.1</v>
      </c>
      <c r="J555">
        <f t="shared" si="24"/>
        <v>18.4</v>
      </c>
      <c r="K555">
        <f t="shared" si="26"/>
        <v>10.7</v>
      </c>
      <c r="L555">
        <f t="shared" si="25"/>
        <v>0</v>
      </c>
    </row>
    <row r="556" spans="1:12">
      <c r="A556">
        <v>18.482</v>
      </c>
      <c r="B556">
        <v>-183.8</v>
      </c>
      <c r="C556">
        <v>149.3</v>
      </c>
      <c r="F556">
        <v>18.449</v>
      </c>
      <c r="G556">
        <v>-183.6</v>
      </c>
      <c r="H556">
        <v>150.5</v>
      </c>
      <c r="J556">
        <f t="shared" si="24"/>
        <v>18.4</v>
      </c>
      <c r="K556">
        <f t="shared" si="26"/>
        <v>10.4</v>
      </c>
      <c r="L556">
        <f t="shared" si="25"/>
        <v>0</v>
      </c>
    </row>
    <row r="557" spans="1:12">
      <c r="A557">
        <v>18.516</v>
      </c>
      <c r="B557">
        <v>-184.5</v>
      </c>
      <c r="C557">
        <v>146.9</v>
      </c>
      <c r="F557">
        <v>18.482</v>
      </c>
      <c r="G557">
        <v>-183.8</v>
      </c>
      <c r="H557">
        <v>149.3</v>
      </c>
      <c r="J557">
        <f t="shared" si="24"/>
        <v>18.45</v>
      </c>
      <c r="K557">
        <f t="shared" si="26"/>
        <v>10.2</v>
      </c>
      <c r="L557">
        <f t="shared" si="25"/>
        <v>0</v>
      </c>
    </row>
    <row r="558" spans="1:12">
      <c r="A558">
        <v>18.549</v>
      </c>
      <c r="B558">
        <v>-184.7</v>
      </c>
      <c r="C558">
        <v>145.6</v>
      </c>
      <c r="F558">
        <v>18.516</v>
      </c>
      <c r="G558">
        <v>-184.5</v>
      </c>
      <c r="H558">
        <v>146.9</v>
      </c>
      <c r="J558">
        <f t="shared" si="24"/>
        <v>18.5</v>
      </c>
      <c r="K558">
        <f t="shared" si="26"/>
        <v>9.5</v>
      </c>
      <c r="L558">
        <f t="shared" si="25"/>
        <v>0</v>
      </c>
    </row>
    <row r="559" spans="1:12">
      <c r="A559">
        <v>18.583</v>
      </c>
      <c r="B559">
        <v>-185.1</v>
      </c>
      <c r="C559">
        <v>142.9</v>
      </c>
      <c r="F559">
        <v>18.549</v>
      </c>
      <c r="G559">
        <v>-184.7</v>
      </c>
      <c r="H559">
        <v>145.6</v>
      </c>
      <c r="J559">
        <f t="shared" si="24"/>
        <v>18.5</v>
      </c>
      <c r="K559">
        <f t="shared" si="26"/>
        <v>9.30000000000001</v>
      </c>
      <c r="L559">
        <f t="shared" si="25"/>
        <v>0</v>
      </c>
    </row>
    <row r="560" spans="1:12">
      <c r="A560">
        <v>18.616</v>
      </c>
      <c r="B560">
        <v>-187.2</v>
      </c>
      <c r="C560">
        <v>141.7</v>
      </c>
      <c r="F560">
        <v>18.583</v>
      </c>
      <c r="G560">
        <v>-185.1</v>
      </c>
      <c r="H560">
        <v>142.9</v>
      </c>
      <c r="J560">
        <f t="shared" si="24"/>
        <v>18.55</v>
      </c>
      <c r="K560">
        <f t="shared" si="26"/>
        <v>8.90000000000001</v>
      </c>
      <c r="L560">
        <f t="shared" si="25"/>
        <v>0</v>
      </c>
    </row>
    <row r="561" spans="1:12">
      <c r="A561">
        <v>18.649</v>
      </c>
      <c r="B561">
        <v>-187.8</v>
      </c>
      <c r="C561">
        <v>139.1</v>
      </c>
      <c r="F561">
        <v>18.616</v>
      </c>
      <c r="G561">
        <v>-187.2</v>
      </c>
      <c r="H561">
        <v>141.7</v>
      </c>
      <c r="J561">
        <f t="shared" si="24"/>
        <v>18.6</v>
      </c>
      <c r="K561">
        <f t="shared" si="26"/>
        <v>6.80000000000001</v>
      </c>
      <c r="L561">
        <f t="shared" si="25"/>
        <v>0</v>
      </c>
    </row>
    <row r="562" spans="1:12">
      <c r="A562">
        <v>18.683</v>
      </c>
      <c r="B562">
        <v>-189.1</v>
      </c>
      <c r="C562">
        <v>138.3</v>
      </c>
      <c r="F562">
        <v>18.649</v>
      </c>
      <c r="G562">
        <v>-187.8</v>
      </c>
      <c r="H562">
        <v>139.1</v>
      </c>
      <c r="J562">
        <f t="shared" si="24"/>
        <v>18.6</v>
      </c>
      <c r="K562">
        <f t="shared" si="26"/>
        <v>6.19999999999999</v>
      </c>
      <c r="L562">
        <f t="shared" si="25"/>
        <v>0</v>
      </c>
    </row>
    <row r="563" spans="1:12">
      <c r="A563">
        <v>18.716</v>
      </c>
      <c r="B563">
        <v>-190.5</v>
      </c>
      <c r="C563">
        <v>135.9</v>
      </c>
      <c r="F563">
        <v>18.683</v>
      </c>
      <c r="G563">
        <v>-189.1</v>
      </c>
      <c r="H563">
        <v>138.3</v>
      </c>
      <c r="J563">
        <f t="shared" si="24"/>
        <v>18.65</v>
      </c>
      <c r="K563">
        <f t="shared" si="26"/>
        <v>4.90000000000001</v>
      </c>
      <c r="L563">
        <f t="shared" si="25"/>
        <v>0</v>
      </c>
    </row>
    <row r="564" spans="1:12">
      <c r="A564">
        <v>18.75</v>
      </c>
      <c r="B564">
        <v>-191.4</v>
      </c>
      <c r="C564">
        <v>134.5</v>
      </c>
      <c r="F564">
        <v>18.716</v>
      </c>
      <c r="G564">
        <v>-190.5</v>
      </c>
      <c r="H564">
        <v>135.9</v>
      </c>
      <c r="J564">
        <f t="shared" si="24"/>
        <v>18.7</v>
      </c>
      <c r="K564">
        <f t="shared" si="26"/>
        <v>3.5</v>
      </c>
      <c r="L564">
        <f t="shared" si="25"/>
        <v>0</v>
      </c>
    </row>
    <row r="565" spans="1:12">
      <c r="A565">
        <v>18.783</v>
      </c>
      <c r="B565">
        <v>-192.7</v>
      </c>
      <c r="C565">
        <v>132.5</v>
      </c>
      <c r="F565">
        <v>18.75</v>
      </c>
      <c r="G565">
        <v>-191.4</v>
      </c>
      <c r="H565">
        <v>134.5</v>
      </c>
      <c r="J565">
        <f t="shared" si="24"/>
        <v>18.75</v>
      </c>
      <c r="K565">
        <f t="shared" si="26"/>
        <v>2.59999999999999</v>
      </c>
      <c r="L565">
        <f t="shared" si="25"/>
        <v>0</v>
      </c>
    </row>
    <row r="566" spans="1:12">
      <c r="A566">
        <v>18.816</v>
      </c>
      <c r="B566">
        <v>-193.9</v>
      </c>
      <c r="C566">
        <v>129.9</v>
      </c>
      <c r="F566">
        <v>18.783</v>
      </c>
      <c r="G566">
        <v>-192.7</v>
      </c>
      <c r="H566">
        <v>132.5</v>
      </c>
      <c r="J566">
        <f t="shared" si="24"/>
        <v>18.75</v>
      </c>
      <c r="K566">
        <f t="shared" si="26"/>
        <v>1.30000000000001</v>
      </c>
      <c r="L566">
        <f t="shared" si="25"/>
        <v>0</v>
      </c>
    </row>
    <row r="567" spans="1:12">
      <c r="A567">
        <v>18.85</v>
      </c>
      <c r="B567">
        <v>-195</v>
      </c>
      <c r="C567">
        <v>128.2</v>
      </c>
      <c r="F567">
        <v>18.816</v>
      </c>
      <c r="G567">
        <v>-193.9</v>
      </c>
      <c r="H567">
        <v>129.9</v>
      </c>
      <c r="J567">
        <f t="shared" si="24"/>
        <v>18.8</v>
      </c>
      <c r="K567">
        <f t="shared" si="26"/>
        <v>0.0999999999999943</v>
      </c>
      <c r="L567">
        <f t="shared" si="25"/>
        <v>0</v>
      </c>
    </row>
    <row r="568" spans="1:12">
      <c r="A568">
        <v>18.883</v>
      </c>
      <c r="B568">
        <v>-195.8</v>
      </c>
      <c r="C568">
        <v>126.2</v>
      </c>
      <c r="F568">
        <v>18.85</v>
      </c>
      <c r="G568">
        <v>-195</v>
      </c>
      <c r="H568">
        <v>128.2</v>
      </c>
      <c r="J568">
        <f t="shared" si="24"/>
        <v>18.85</v>
      </c>
      <c r="K568">
        <f t="shared" si="26"/>
        <v>-1</v>
      </c>
      <c r="L568">
        <f t="shared" si="25"/>
        <v>0</v>
      </c>
    </row>
    <row r="569" spans="1:12">
      <c r="A569">
        <v>18.917</v>
      </c>
      <c r="B569">
        <v>-196.3</v>
      </c>
      <c r="C569">
        <v>124.6</v>
      </c>
      <c r="F569">
        <v>18.883</v>
      </c>
      <c r="G569">
        <v>-195.8</v>
      </c>
      <c r="H569">
        <v>126.2</v>
      </c>
      <c r="J569">
        <f t="shared" si="24"/>
        <v>18.85</v>
      </c>
      <c r="K569">
        <f t="shared" si="26"/>
        <v>-1.80000000000001</v>
      </c>
      <c r="L569">
        <f t="shared" si="25"/>
        <v>0</v>
      </c>
    </row>
    <row r="570" spans="1:12">
      <c r="A570">
        <v>18.95</v>
      </c>
      <c r="B570">
        <v>-197</v>
      </c>
      <c r="C570">
        <v>121.4</v>
      </c>
      <c r="F570">
        <v>18.917</v>
      </c>
      <c r="G570">
        <v>-196.3</v>
      </c>
      <c r="H570">
        <v>124.6</v>
      </c>
      <c r="J570">
        <f t="shared" si="24"/>
        <v>18.9</v>
      </c>
      <c r="K570">
        <f t="shared" si="26"/>
        <v>-2.30000000000001</v>
      </c>
      <c r="L570">
        <f t="shared" si="25"/>
        <v>0</v>
      </c>
    </row>
    <row r="571" spans="1:12">
      <c r="A571">
        <v>18.984</v>
      </c>
      <c r="B571">
        <v>-197.6</v>
      </c>
      <c r="C571">
        <v>118.9</v>
      </c>
      <c r="F571">
        <v>18.95</v>
      </c>
      <c r="G571">
        <v>-197</v>
      </c>
      <c r="H571">
        <v>121.4</v>
      </c>
      <c r="J571">
        <f t="shared" si="24"/>
        <v>18.95</v>
      </c>
      <c r="K571">
        <f t="shared" si="26"/>
        <v>-3</v>
      </c>
      <c r="L571">
        <f t="shared" si="25"/>
        <v>0</v>
      </c>
    </row>
    <row r="572" spans="1:12">
      <c r="A572">
        <v>19.017</v>
      </c>
      <c r="B572">
        <v>-197.9</v>
      </c>
      <c r="C572">
        <v>117.6</v>
      </c>
      <c r="F572">
        <v>18.984</v>
      </c>
      <c r="G572">
        <v>-197.6</v>
      </c>
      <c r="H572">
        <v>118.9</v>
      </c>
      <c r="J572">
        <f t="shared" si="24"/>
        <v>18.95</v>
      </c>
      <c r="K572">
        <f t="shared" si="26"/>
        <v>-3.59999999999999</v>
      </c>
      <c r="L572">
        <f t="shared" si="25"/>
        <v>0</v>
      </c>
    </row>
    <row r="573" spans="1:12">
      <c r="A573">
        <v>19.05</v>
      </c>
      <c r="B573">
        <v>-197.9</v>
      </c>
      <c r="C573">
        <v>114.7</v>
      </c>
      <c r="F573">
        <v>19.017</v>
      </c>
      <c r="G573">
        <v>-197.9</v>
      </c>
      <c r="H573">
        <v>117.6</v>
      </c>
      <c r="J573">
        <f t="shared" si="24"/>
        <v>19</v>
      </c>
      <c r="K573">
        <f t="shared" si="26"/>
        <v>-3.90000000000001</v>
      </c>
      <c r="L573">
        <f t="shared" si="25"/>
        <v>0</v>
      </c>
    </row>
    <row r="574" spans="1:12">
      <c r="A574">
        <v>19.084</v>
      </c>
      <c r="B574">
        <v>-198</v>
      </c>
      <c r="C574">
        <v>111.9</v>
      </c>
      <c r="F574">
        <v>19.05</v>
      </c>
      <c r="G574">
        <v>-197.9</v>
      </c>
      <c r="H574">
        <v>114.7</v>
      </c>
      <c r="J574">
        <f t="shared" si="24"/>
        <v>19.05</v>
      </c>
      <c r="K574">
        <f t="shared" si="26"/>
        <v>-3.90000000000001</v>
      </c>
      <c r="L574">
        <f t="shared" si="25"/>
        <v>0</v>
      </c>
    </row>
    <row r="575" spans="1:12">
      <c r="A575">
        <v>19.117</v>
      </c>
      <c r="B575">
        <v>-197.8</v>
      </c>
      <c r="C575">
        <v>110.9</v>
      </c>
      <c r="F575">
        <v>19.084</v>
      </c>
      <c r="G575">
        <v>-198</v>
      </c>
      <c r="H575">
        <v>111.9</v>
      </c>
      <c r="J575">
        <f t="shared" si="24"/>
        <v>19.05</v>
      </c>
      <c r="K575">
        <f t="shared" si="26"/>
        <v>-4</v>
      </c>
      <c r="L575">
        <f t="shared" si="25"/>
        <v>0</v>
      </c>
    </row>
    <row r="576" spans="1:12">
      <c r="A576">
        <v>19.151</v>
      </c>
      <c r="B576">
        <v>-197.7</v>
      </c>
      <c r="C576">
        <v>105.4</v>
      </c>
      <c r="F576">
        <v>19.117</v>
      </c>
      <c r="G576">
        <v>-197.8</v>
      </c>
      <c r="H576">
        <v>110.9</v>
      </c>
      <c r="J576">
        <f t="shared" si="24"/>
        <v>19.1</v>
      </c>
      <c r="K576">
        <f t="shared" si="26"/>
        <v>-3.80000000000001</v>
      </c>
      <c r="L576">
        <f t="shared" si="25"/>
        <v>0</v>
      </c>
    </row>
    <row r="577" spans="1:12">
      <c r="A577">
        <v>19.184</v>
      </c>
      <c r="B577">
        <v>-197.6</v>
      </c>
      <c r="C577">
        <v>105.1</v>
      </c>
      <c r="F577">
        <v>19.151</v>
      </c>
      <c r="G577">
        <v>-197.7</v>
      </c>
      <c r="H577">
        <v>105.4</v>
      </c>
      <c r="J577">
        <f t="shared" si="24"/>
        <v>19.15</v>
      </c>
      <c r="K577">
        <f t="shared" si="26"/>
        <v>-3.69999999999999</v>
      </c>
      <c r="L577">
        <f t="shared" si="25"/>
        <v>0</v>
      </c>
    </row>
    <row r="578" spans="1:12">
      <c r="A578">
        <v>19.218</v>
      </c>
      <c r="B578">
        <v>-197.4</v>
      </c>
      <c r="C578">
        <v>102.3</v>
      </c>
      <c r="F578">
        <v>19.184</v>
      </c>
      <c r="G578">
        <v>-197.6</v>
      </c>
      <c r="H578">
        <v>105.1</v>
      </c>
      <c r="J578">
        <f t="shared" si="24"/>
        <v>19.15</v>
      </c>
      <c r="K578">
        <f t="shared" si="26"/>
        <v>-3.59999999999999</v>
      </c>
      <c r="L578">
        <f t="shared" si="25"/>
        <v>0</v>
      </c>
    </row>
    <row r="579" spans="1:12">
      <c r="A579">
        <v>19.251</v>
      </c>
      <c r="B579">
        <v>-197.2</v>
      </c>
      <c r="C579">
        <v>99.7</v>
      </c>
      <c r="F579">
        <v>19.218</v>
      </c>
      <c r="G579">
        <v>-197.4</v>
      </c>
      <c r="H579">
        <v>102.3</v>
      </c>
      <c r="J579">
        <f t="shared" si="24"/>
        <v>19.2</v>
      </c>
      <c r="K579">
        <f t="shared" si="26"/>
        <v>-3.40000000000001</v>
      </c>
      <c r="L579">
        <f t="shared" si="25"/>
        <v>0</v>
      </c>
    </row>
    <row r="580" spans="1:12">
      <c r="A580">
        <v>19.284</v>
      </c>
      <c r="B580">
        <v>-196.7</v>
      </c>
      <c r="C580">
        <v>97.1</v>
      </c>
      <c r="F580">
        <v>19.251</v>
      </c>
      <c r="G580">
        <v>-197.2</v>
      </c>
      <c r="H580">
        <v>99.7</v>
      </c>
      <c r="J580">
        <f t="shared" ref="J580:J643" si="27">FLOOR(F580,0.05)</f>
        <v>19.25</v>
      </c>
      <c r="K580">
        <f t="shared" si="26"/>
        <v>-3.19999999999999</v>
      </c>
      <c r="L580">
        <f t="shared" ref="L580:L643" si="28">IF(H580&lt;230,0,5)</f>
        <v>0</v>
      </c>
    </row>
    <row r="581" spans="1:12">
      <c r="A581">
        <v>19.318</v>
      </c>
      <c r="B581">
        <v>-195.9</v>
      </c>
      <c r="C581">
        <v>94.3</v>
      </c>
      <c r="F581">
        <v>19.284</v>
      </c>
      <c r="G581">
        <v>-196.7</v>
      </c>
      <c r="H581">
        <v>97.1</v>
      </c>
      <c r="J581">
        <f t="shared" si="27"/>
        <v>19.25</v>
      </c>
      <c r="K581">
        <f t="shared" ref="K581:K644" si="29">G581+194</f>
        <v>-2.69999999999999</v>
      </c>
      <c r="L581">
        <f t="shared" si="28"/>
        <v>0</v>
      </c>
    </row>
    <row r="582" spans="1:12">
      <c r="A582">
        <v>19.351</v>
      </c>
      <c r="B582">
        <v>-195.2</v>
      </c>
      <c r="C582">
        <v>90.9</v>
      </c>
      <c r="F582">
        <v>19.318</v>
      </c>
      <c r="G582">
        <v>-195.9</v>
      </c>
      <c r="H582">
        <v>94.3</v>
      </c>
      <c r="J582">
        <f t="shared" si="27"/>
        <v>19.3</v>
      </c>
      <c r="K582">
        <f t="shared" si="29"/>
        <v>-1.90000000000001</v>
      </c>
      <c r="L582">
        <f t="shared" si="28"/>
        <v>0</v>
      </c>
    </row>
    <row r="583" spans="1:12">
      <c r="A583">
        <v>19.385</v>
      </c>
      <c r="B583">
        <v>-194.8</v>
      </c>
      <c r="C583">
        <v>88.5</v>
      </c>
      <c r="F583">
        <v>19.351</v>
      </c>
      <c r="G583">
        <v>-195.2</v>
      </c>
      <c r="H583">
        <v>90.9</v>
      </c>
      <c r="J583">
        <f t="shared" si="27"/>
        <v>19.35</v>
      </c>
      <c r="K583">
        <f t="shared" si="29"/>
        <v>-1.19999999999999</v>
      </c>
      <c r="L583">
        <f t="shared" si="28"/>
        <v>0</v>
      </c>
    </row>
    <row r="584" spans="1:12">
      <c r="A584">
        <v>19.418</v>
      </c>
      <c r="B584">
        <v>-193.6</v>
      </c>
      <c r="C584">
        <v>85.7</v>
      </c>
      <c r="F584">
        <v>19.385</v>
      </c>
      <c r="G584">
        <v>-194.8</v>
      </c>
      <c r="H584">
        <v>88.5</v>
      </c>
      <c r="J584">
        <f t="shared" si="27"/>
        <v>19.35</v>
      </c>
      <c r="K584">
        <f t="shared" si="29"/>
        <v>-0.800000000000011</v>
      </c>
      <c r="L584">
        <f t="shared" si="28"/>
        <v>0</v>
      </c>
    </row>
    <row r="585" spans="1:12">
      <c r="A585">
        <v>19.451</v>
      </c>
      <c r="B585">
        <v>-192.3</v>
      </c>
      <c r="C585">
        <v>83.7</v>
      </c>
      <c r="F585">
        <v>19.418</v>
      </c>
      <c r="G585">
        <v>-193.6</v>
      </c>
      <c r="H585">
        <v>85.7</v>
      </c>
      <c r="J585">
        <f t="shared" si="27"/>
        <v>19.4</v>
      </c>
      <c r="K585">
        <f t="shared" si="29"/>
        <v>0.400000000000006</v>
      </c>
      <c r="L585">
        <f t="shared" si="28"/>
        <v>0</v>
      </c>
    </row>
    <row r="586" spans="1:12">
      <c r="A586">
        <v>19.485</v>
      </c>
      <c r="B586">
        <v>-190.9</v>
      </c>
      <c r="C586">
        <v>79.9</v>
      </c>
      <c r="F586">
        <v>19.451</v>
      </c>
      <c r="G586">
        <v>-192.3</v>
      </c>
      <c r="H586">
        <v>83.7</v>
      </c>
      <c r="J586">
        <f t="shared" si="27"/>
        <v>19.45</v>
      </c>
      <c r="K586">
        <f t="shared" si="29"/>
        <v>1.69999999999999</v>
      </c>
      <c r="L586">
        <f t="shared" si="28"/>
        <v>0</v>
      </c>
    </row>
    <row r="587" spans="1:12">
      <c r="A587">
        <v>19.518</v>
      </c>
      <c r="B587">
        <v>-190.3</v>
      </c>
      <c r="C587">
        <v>78.3</v>
      </c>
      <c r="F587">
        <v>19.485</v>
      </c>
      <c r="G587">
        <v>-190.9</v>
      </c>
      <c r="H587">
        <v>79.9</v>
      </c>
      <c r="J587">
        <f t="shared" si="27"/>
        <v>19.45</v>
      </c>
      <c r="K587">
        <f t="shared" si="29"/>
        <v>3.09999999999999</v>
      </c>
      <c r="L587">
        <f t="shared" si="28"/>
        <v>0</v>
      </c>
    </row>
    <row r="588" spans="1:12">
      <c r="A588">
        <v>19.552</v>
      </c>
      <c r="B588">
        <v>-189.1</v>
      </c>
      <c r="C588">
        <v>75.6</v>
      </c>
      <c r="F588">
        <v>19.518</v>
      </c>
      <c r="G588">
        <v>-190.3</v>
      </c>
      <c r="H588">
        <v>78.3</v>
      </c>
      <c r="J588">
        <f t="shared" si="27"/>
        <v>19.5</v>
      </c>
      <c r="K588">
        <f t="shared" si="29"/>
        <v>3.69999999999999</v>
      </c>
      <c r="L588">
        <f t="shared" si="28"/>
        <v>0</v>
      </c>
    </row>
    <row r="589" spans="1:12">
      <c r="A589">
        <v>19.585</v>
      </c>
      <c r="B589">
        <v>-188.2</v>
      </c>
      <c r="C589">
        <v>72.9</v>
      </c>
      <c r="F589">
        <v>19.552</v>
      </c>
      <c r="G589">
        <v>-189.1</v>
      </c>
      <c r="H589">
        <v>75.6</v>
      </c>
      <c r="J589">
        <f t="shared" si="27"/>
        <v>19.55</v>
      </c>
      <c r="K589">
        <f t="shared" si="29"/>
        <v>4.90000000000001</v>
      </c>
      <c r="L589">
        <f t="shared" si="28"/>
        <v>0</v>
      </c>
    </row>
    <row r="590" spans="1:12">
      <c r="A590">
        <v>19.619</v>
      </c>
      <c r="B590">
        <v>-187.3</v>
      </c>
      <c r="C590">
        <v>70.2</v>
      </c>
      <c r="F590">
        <v>19.585</v>
      </c>
      <c r="G590">
        <v>-188.2</v>
      </c>
      <c r="H590">
        <v>72.9</v>
      </c>
      <c r="J590">
        <f t="shared" si="27"/>
        <v>19.55</v>
      </c>
      <c r="K590">
        <f t="shared" si="29"/>
        <v>5.80000000000001</v>
      </c>
      <c r="L590">
        <f t="shared" si="28"/>
        <v>0</v>
      </c>
    </row>
    <row r="591" spans="1:12">
      <c r="A591">
        <v>19.652</v>
      </c>
      <c r="B591">
        <v>-186.6</v>
      </c>
      <c r="C591">
        <v>69.4</v>
      </c>
      <c r="F591">
        <v>19.619</v>
      </c>
      <c r="G591">
        <v>-187.3</v>
      </c>
      <c r="H591">
        <v>70.2</v>
      </c>
      <c r="J591">
        <f t="shared" si="27"/>
        <v>19.6</v>
      </c>
      <c r="K591">
        <f t="shared" si="29"/>
        <v>6.69999999999999</v>
      </c>
      <c r="L591">
        <f t="shared" si="28"/>
        <v>0</v>
      </c>
    </row>
    <row r="592" spans="1:12">
      <c r="A592">
        <v>19.685</v>
      </c>
      <c r="B592">
        <v>-185.5</v>
      </c>
      <c r="C592">
        <v>69.2</v>
      </c>
      <c r="F592">
        <v>19.652</v>
      </c>
      <c r="G592">
        <v>-186.6</v>
      </c>
      <c r="H592">
        <v>69.4</v>
      </c>
      <c r="J592">
        <f t="shared" si="27"/>
        <v>19.65</v>
      </c>
      <c r="K592">
        <f t="shared" si="29"/>
        <v>7.40000000000001</v>
      </c>
      <c r="L592">
        <f t="shared" si="28"/>
        <v>0</v>
      </c>
    </row>
    <row r="593" spans="1:12">
      <c r="A593">
        <v>19.719</v>
      </c>
      <c r="B593">
        <v>-184.9</v>
      </c>
      <c r="C593">
        <v>68</v>
      </c>
      <c r="F593">
        <v>19.685</v>
      </c>
      <c r="G593">
        <v>-185.5</v>
      </c>
      <c r="H593">
        <v>69.2</v>
      </c>
      <c r="J593">
        <f t="shared" si="27"/>
        <v>19.65</v>
      </c>
      <c r="K593">
        <f t="shared" si="29"/>
        <v>8.5</v>
      </c>
      <c r="L593">
        <f t="shared" si="28"/>
        <v>0</v>
      </c>
    </row>
    <row r="594" spans="1:12">
      <c r="A594">
        <v>19.752</v>
      </c>
      <c r="B594">
        <v>-184.5</v>
      </c>
      <c r="C594">
        <v>66.4</v>
      </c>
      <c r="F594">
        <v>19.719</v>
      </c>
      <c r="G594">
        <v>-184.9</v>
      </c>
      <c r="H594">
        <v>68</v>
      </c>
      <c r="J594">
        <f t="shared" si="27"/>
        <v>19.7</v>
      </c>
      <c r="K594">
        <f t="shared" si="29"/>
        <v>9.09999999999999</v>
      </c>
      <c r="L594">
        <f t="shared" si="28"/>
        <v>0</v>
      </c>
    </row>
    <row r="595" spans="1:12">
      <c r="A595">
        <v>19.786</v>
      </c>
      <c r="B595">
        <v>-184.2</v>
      </c>
      <c r="C595">
        <v>66.1</v>
      </c>
      <c r="F595">
        <v>19.752</v>
      </c>
      <c r="G595">
        <v>-184.5</v>
      </c>
      <c r="H595">
        <v>66.4</v>
      </c>
      <c r="J595">
        <f t="shared" si="27"/>
        <v>19.75</v>
      </c>
      <c r="K595">
        <f t="shared" si="29"/>
        <v>9.5</v>
      </c>
      <c r="L595">
        <f t="shared" si="28"/>
        <v>0</v>
      </c>
    </row>
    <row r="596" spans="1:12">
      <c r="A596">
        <v>19.819</v>
      </c>
      <c r="B596">
        <v>-184.2</v>
      </c>
      <c r="C596">
        <v>64.8</v>
      </c>
      <c r="F596">
        <v>19.786</v>
      </c>
      <c r="G596">
        <v>-184.2</v>
      </c>
      <c r="H596">
        <v>66.1</v>
      </c>
      <c r="J596">
        <f t="shared" si="27"/>
        <v>19.75</v>
      </c>
      <c r="K596">
        <f t="shared" si="29"/>
        <v>9.80000000000001</v>
      </c>
      <c r="L596">
        <f t="shared" si="28"/>
        <v>0</v>
      </c>
    </row>
    <row r="597" spans="1:12">
      <c r="A597">
        <v>19.853</v>
      </c>
      <c r="B597">
        <v>-184.2</v>
      </c>
      <c r="C597">
        <v>64.1</v>
      </c>
      <c r="F597">
        <v>19.819</v>
      </c>
      <c r="G597">
        <v>-184.2</v>
      </c>
      <c r="H597">
        <v>64.8</v>
      </c>
      <c r="J597">
        <f t="shared" si="27"/>
        <v>19.8</v>
      </c>
      <c r="K597">
        <f t="shared" si="29"/>
        <v>9.80000000000001</v>
      </c>
      <c r="L597">
        <f t="shared" si="28"/>
        <v>0</v>
      </c>
    </row>
    <row r="598" spans="1:12">
      <c r="A598">
        <v>19.886</v>
      </c>
      <c r="B598">
        <v>-184.5</v>
      </c>
      <c r="C598">
        <v>62.8</v>
      </c>
      <c r="F598">
        <v>19.853</v>
      </c>
      <c r="G598">
        <v>-184.2</v>
      </c>
      <c r="H598">
        <v>64.1</v>
      </c>
      <c r="J598">
        <f t="shared" si="27"/>
        <v>19.85</v>
      </c>
      <c r="K598">
        <f t="shared" si="29"/>
        <v>9.80000000000001</v>
      </c>
      <c r="L598">
        <f t="shared" si="28"/>
        <v>0</v>
      </c>
    </row>
    <row r="599" spans="1:12">
      <c r="A599">
        <v>19.919</v>
      </c>
      <c r="B599">
        <v>-184.6</v>
      </c>
      <c r="C599">
        <v>62</v>
      </c>
      <c r="F599">
        <v>19.886</v>
      </c>
      <c r="G599">
        <v>-184.5</v>
      </c>
      <c r="H599">
        <v>62.8</v>
      </c>
      <c r="J599">
        <f t="shared" si="27"/>
        <v>19.85</v>
      </c>
      <c r="K599">
        <f t="shared" si="29"/>
        <v>9.5</v>
      </c>
      <c r="L599">
        <f t="shared" si="28"/>
        <v>0</v>
      </c>
    </row>
    <row r="600" spans="1:12">
      <c r="A600">
        <v>19.953</v>
      </c>
      <c r="B600">
        <v>-184.7</v>
      </c>
      <c r="C600">
        <v>61.5</v>
      </c>
      <c r="F600">
        <v>19.919</v>
      </c>
      <c r="G600">
        <v>-184.6</v>
      </c>
      <c r="H600">
        <v>62</v>
      </c>
      <c r="J600">
        <f t="shared" si="27"/>
        <v>19.9</v>
      </c>
      <c r="K600">
        <f t="shared" si="29"/>
        <v>9.40000000000001</v>
      </c>
      <c r="L600">
        <f t="shared" si="28"/>
        <v>0</v>
      </c>
    </row>
    <row r="601" spans="1:12">
      <c r="A601">
        <v>19.986</v>
      </c>
      <c r="B601">
        <v>-185.3</v>
      </c>
      <c r="C601">
        <v>61.1</v>
      </c>
      <c r="F601">
        <v>19.953</v>
      </c>
      <c r="G601">
        <v>-184.7</v>
      </c>
      <c r="H601">
        <v>61.5</v>
      </c>
      <c r="J601">
        <f t="shared" si="27"/>
        <v>19.95</v>
      </c>
      <c r="K601">
        <f t="shared" si="29"/>
        <v>9.30000000000001</v>
      </c>
      <c r="L601">
        <f t="shared" si="28"/>
        <v>0</v>
      </c>
    </row>
    <row r="602" spans="1:12">
      <c r="A602">
        <v>20.02</v>
      </c>
      <c r="B602">
        <v>-186.5</v>
      </c>
      <c r="C602">
        <v>60.7</v>
      </c>
      <c r="F602">
        <v>19.986</v>
      </c>
      <c r="G602">
        <v>-185.3</v>
      </c>
      <c r="H602">
        <v>61.1</v>
      </c>
      <c r="J602">
        <f t="shared" si="27"/>
        <v>19.95</v>
      </c>
      <c r="K602">
        <f t="shared" si="29"/>
        <v>8.69999999999999</v>
      </c>
      <c r="L602">
        <f t="shared" si="28"/>
        <v>0</v>
      </c>
    </row>
    <row r="603" spans="1:12">
      <c r="A603">
        <v>20.053</v>
      </c>
      <c r="B603">
        <v>-187.5</v>
      </c>
      <c r="C603">
        <v>60.7</v>
      </c>
      <c r="F603">
        <v>20.02</v>
      </c>
      <c r="G603">
        <v>-186.5</v>
      </c>
      <c r="H603">
        <v>60.7</v>
      </c>
      <c r="J603">
        <f t="shared" si="27"/>
        <v>20</v>
      </c>
      <c r="K603">
        <f t="shared" si="29"/>
        <v>7.5</v>
      </c>
      <c r="L603">
        <f t="shared" si="28"/>
        <v>0</v>
      </c>
    </row>
    <row r="604" spans="1:12">
      <c r="A604">
        <v>20.086</v>
      </c>
      <c r="B604">
        <v>-188.6</v>
      </c>
      <c r="C604">
        <v>60.3</v>
      </c>
      <c r="F604">
        <v>20.053</v>
      </c>
      <c r="G604">
        <v>-187.5</v>
      </c>
      <c r="H604">
        <v>60.7</v>
      </c>
      <c r="J604">
        <f t="shared" si="27"/>
        <v>20.05</v>
      </c>
      <c r="K604">
        <f t="shared" si="29"/>
        <v>6.5</v>
      </c>
      <c r="L604">
        <f t="shared" si="28"/>
        <v>0</v>
      </c>
    </row>
    <row r="605" spans="1:12">
      <c r="A605">
        <v>20.12</v>
      </c>
      <c r="B605">
        <v>-189.4</v>
      </c>
      <c r="C605">
        <v>60.4</v>
      </c>
      <c r="F605">
        <v>20.086</v>
      </c>
      <c r="G605">
        <v>-188.6</v>
      </c>
      <c r="H605">
        <v>60.3</v>
      </c>
      <c r="J605">
        <f t="shared" si="27"/>
        <v>20.05</v>
      </c>
      <c r="K605">
        <f t="shared" si="29"/>
        <v>5.40000000000001</v>
      </c>
      <c r="L605">
        <f t="shared" si="28"/>
        <v>0</v>
      </c>
    </row>
    <row r="606" spans="1:12">
      <c r="A606">
        <v>20.153</v>
      </c>
      <c r="B606">
        <v>-190.7</v>
      </c>
      <c r="C606">
        <v>60.4</v>
      </c>
      <c r="F606">
        <v>20.12</v>
      </c>
      <c r="G606">
        <v>-189.4</v>
      </c>
      <c r="H606">
        <v>60.4</v>
      </c>
      <c r="J606">
        <f t="shared" si="27"/>
        <v>20.1</v>
      </c>
      <c r="K606">
        <f t="shared" si="29"/>
        <v>4.59999999999999</v>
      </c>
      <c r="L606">
        <f t="shared" si="28"/>
        <v>0</v>
      </c>
    </row>
    <row r="607" spans="1:12">
      <c r="A607">
        <v>20.187</v>
      </c>
      <c r="B607">
        <v>-191.6</v>
      </c>
      <c r="C607">
        <v>60.4</v>
      </c>
      <c r="F607">
        <v>20.153</v>
      </c>
      <c r="G607">
        <v>-190.7</v>
      </c>
      <c r="H607">
        <v>60.4</v>
      </c>
      <c r="J607">
        <f t="shared" si="27"/>
        <v>20.15</v>
      </c>
      <c r="K607">
        <f t="shared" si="29"/>
        <v>3.30000000000001</v>
      </c>
      <c r="L607">
        <f t="shared" si="28"/>
        <v>0</v>
      </c>
    </row>
    <row r="608" spans="1:12">
      <c r="A608">
        <v>20.22</v>
      </c>
      <c r="B608">
        <v>-192.6</v>
      </c>
      <c r="C608">
        <v>60.4</v>
      </c>
      <c r="F608">
        <v>20.187</v>
      </c>
      <c r="G608">
        <v>-191.6</v>
      </c>
      <c r="H608">
        <v>60.4</v>
      </c>
      <c r="J608">
        <f t="shared" si="27"/>
        <v>20.15</v>
      </c>
      <c r="K608">
        <f t="shared" si="29"/>
        <v>2.40000000000001</v>
      </c>
      <c r="L608">
        <f t="shared" si="28"/>
        <v>0</v>
      </c>
    </row>
    <row r="609" spans="1:12">
      <c r="A609">
        <v>20.254</v>
      </c>
      <c r="B609">
        <v>-193.8</v>
      </c>
      <c r="C609">
        <v>60.4</v>
      </c>
      <c r="F609">
        <v>20.22</v>
      </c>
      <c r="G609">
        <v>-192.6</v>
      </c>
      <c r="H609">
        <v>60.4</v>
      </c>
      <c r="J609">
        <f t="shared" si="27"/>
        <v>20.2</v>
      </c>
      <c r="K609">
        <f t="shared" si="29"/>
        <v>1.40000000000001</v>
      </c>
      <c r="L609">
        <f t="shared" si="28"/>
        <v>0</v>
      </c>
    </row>
    <row r="610" spans="1:12">
      <c r="A610">
        <v>20.287</v>
      </c>
      <c r="B610">
        <v>-194.7</v>
      </c>
      <c r="C610">
        <v>60.4</v>
      </c>
      <c r="F610">
        <v>20.254</v>
      </c>
      <c r="G610">
        <v>-193.8</v>
      </c>
      <c r="H610">
        <v>60.4</v>
      </c>
      <c r="J610">
        <f t="shared" si="27"/>
        <v>20.25</v>
      </c>
      <c r="K610">
        <f t="shared" si="29"/>
        <v>0.199999999999989</v>
      </c>
      <c r="L610">
        <f t="shared" si="28"/>
        <v>0</v>
      </c>
    </row>
    <row r="611" spans="1:12">
      <c r="A611">
        <v>20.32</v>
      </c>
      <c r="B611">
        <v>-195.6</v>
      </c>
      <c r="C611">
        <v>60.3</v>
      </c>
      <c r="F611">
        <v>20.287</v>
      </c>
      <c r="G611">
        <v>-194.7</v>
      </c>
      <c r="H611">
        <v>60.4</v>
      </c>
      <c r="J611">
        <f t="shared" si="27"/>
        <v>20.25</v>
      </c>
      <c r="K611">
        <f t="shared" si="29"/>
        <v>-0.699999999999989</v>
      </c>
      <c r="L611">
        <f t="shared" si="28"/>
        <v>0</v>
      </c>
    </row>
    <row r="612" spans="1:12">
      <c r="A612">
        <v>20.354</v>
      </c>
      <c r="B612">
        <v>-196.1</v>
      </c>
      <c r="C612">
        <v>60.3</v>
      </c>
      <c r="F612">
        <v>20.32</v>
      </c>
      <c r="G612">
        <v>-195.6</v>
      </c>
      <c r="H612">
        <v>60.3</v>
      </c>
      <c r="J612">
        <f t="shared" si="27"/>
        <v>20.3</v>
      </c>
      <c r="K612">
        <f t="shared" si="29"/>
        <v>-1.59999999999999</v>
      </c>
      <c r="L612">
        <f t="shared" si="28"/>
        <v>0</v>
      </c>
    </row>
    <row r="613" spans="1:12">
      <c r="A613">
        <v>20.387</v>
      </c>
      <c r="B613">
        <v>-197</v>
      </c>
      <c r="C613">
        <v>60.3</v>
      </c>
      <c r="F613">
        <v>20.354</v>
      </c>
      <c r="G613">
        <v>-196.1</v>
      </c>
      <c r="H613">
        <v>60.3</v>
      </c>
      <c r="J613">
        <f t="shared" si="27"/>
        <v>20.35</v>
      </c>
      <c r="K613">
        <f t="shared" si="29"/>
        <v>-2.09999999999999</v>
      </c>
      <c r="L613">
        <f t="shared" si="28"/>
        <v>0</v>
      </c>
    </row>
    <row r="614" spans="1:12">
      <c r="A614">
        <v>20.421</v>
      </c>
      <c r="B614">
        <v>-197.5</v>
      </c>
      <c r="C614">
        <v>60.4</v>
      </c>
      <c r="F614">
        <v>20.387</v>
      </c>
      <c r="G614">
        <v>-197</v>
      </c>
      <c r="H614">
        <v>60.3</v>
      </c>
      <c r="J614">
        <f t="shared" si="27"/>
        <v>20.35</v>
      </c>
      <c r="K614">
        <f t="shared" si="29"/>
        <v>-3</v>
      </c>
      <c r="L614">
        <f t="shared" si="28"/>
        <v>0</v>
      </c>
    </row>
    <row r="615" spans="1:12">
      <c r="A615">
        <v>20.454</v>
      </c>
      <c r="B615">
        <v>-198.2</v>
      </c>
      <c r="C615">
        <v>60.4</v>
      </c>
      <c r="F615">
        <v>20.421</v>
      </c>
      <c r="G615">
        <v>-197.5</v>
      </c>
      <c r="H615">
        <v>60.4</v>
      </c>
      <c r="J615">
        <f t="shared" si="27"/>
        <v>20.4</v>
      </c>
      <c r="K615">
        <f t="shared" si="29"/>
        <v>-3.5</v>
      </c>
      <c r="L615">
        <f t="shared" si="28"/>
        <v>0</v>
      </c>
    </row>
    <row r="616" spans="1:12">
      <c r="A616">
        <v>20.488</v>
      </c>
      <c r="B616">
        <v>-198.7</v>
      </c>
      <c r="C616">
        <v>60.3</v>
      </c>
      <c r="F616">
        <v>20.454</v>
      </c>
      <c r="G616">
        <v>-198.2</v>
      </c>
      <c r="H616">
        <v>60.4</v>
      </c>
      <c r="J616">
        <f t="shared" si="27"/>
        <v>20.45</v>
      </c>
      <c r="K616">
        <f t="shared" si="29"/>
        <v>-4.19999999999999</v>
      </c>
      <c r="L616">
        <f t="shared" si="28"/>
        <v>0</v>
      </c>
    </row>
    <row r="617" spans="1:12">
      <c r="A617">
        <v>20.521</v>
      </c>
      <c r="B617">
        <v>-198.8</v>
      </c>
      <c r="C617">
        <v>60.3</v>
      </c>
      <c r="F617">
        <v>20.488</v>
      </c>
      <c r="G617">
        <v>-198.7</v>
      </c>
      <c r="H617">
        <v>60.3</v>
      </c>
      <c r="J617">
        <f t="shared" si="27"/>
        <v>20.45</v>
      </c>
      <c r="K617">
        <f t="shared" si="29"/>
        <v>-4.69999999999999</v>
      </c>
      <c r="L617">
        <f t="shared" si="28"/>
        <v>0</v>
      </c>
    </row>
    <row r="618" spans="1:12">
      <c r="A618">
        <v>20.554</v>
      </c>
      <c r="B618">
        <v>-198.9</v>
      </c>
      <c r="C618">
        <v>60.3</v>
      </c>
      <c r="F618">
        <v>20.521</v>
      </c>
      <c r="G618">
        <v>-198.8</v>
      </c>
      <c r="H618">
        <v>60.3</v>
      </c>
      <c r="J618">
        <f t="shared" si="27"/>
        <v>20.5</v>
      </c>
      <c r="K618">
        <f t="shared" si="29"/>
        <v>-4.80000000000001</v>
      </c>
      <c r="L618">
        <f t="shared" si="28"/>
        <v>0</v>
      </c>
    </row>
    <row r="619" spans="1:12">
      <c r="A619">
        <v>20.588</v>
      </c>
      <c r="B619">
        <v>-198.8</v>
      </c>
      <c r="C619">
        <v>60.1</v>
      </c>
      <c r="F619">
        <v>20.554</v>
      </c>
      <c r="G619">
        <v>-198.9</v>
      </c>
      <c r="H619">
        <v>60.3</v>
      </c>
      <c r="J619">
        <f t="shared" si="27"/>
        <v>20.55</v>
      </c>
      <c r="K619">
        <f t="shared" si="29"/>
        <v>-4.90000000000001</v>
      </c>
      <c r="L619">
        <f t="shared" si="28"/>
        <v>0</v>
      </c>
    </row>
    <row r="620" spans="1:12">
      <c r="A620">
        <v>20.621</v>
      </c>
      <c r="B620">
        <v>-198.6</v>
      </c>
      <c r="C620">
        <v>60.2</v>
      </c>
      <c r="F620">
        <v>20.588</v>
      </c>
      <c r="G620">
        <v>-198.8</v>
      </c>
      <c r="H620">
        <v>60.1</v>
      </c>
      <c r="J620">
        <f t="shared" si="27"/>
        <v>20.55</v>
      </c>
      <c r="K620">
        <f t="shared" si="29"/>
        <v>-4.80000000000001</v>
      </c>
      <c r="L620">
        <f t="shared" si="28"/>
        <v>0</v>
      </c>
    </row>
    <row r="621" spans="1:12">
      <c r="A621">
        <v>20.655</v>
      </c>
      <c r="B621">
        <v>-198.4</v>
      </c>
      <c r="C621">
        <v>60.2</v>
      </c>
      <c r="F621">
        <v>20.621</v>
      </c>
      <c r="G621">
        <v>-198.6</v>
      </c>
      <c r="H621">
        <v>60.2</v>
      </c>
      <c r="J621">
        <f t="shared" si="27"/>
        <v>20.6</v>
      </c>
      <c r="K621">
        <f t="shared" si="29"/>
        <v>-4.59999999999999</v>
      </c>
      <c r="L621">
        <f t="shared" si="28"/>
        <v>0</v>
      </c>
    </row>
    <row r="622" spans="1:12">
      <c r="A622">
        <v>20.688</v>
      </c>
      <c r="B622">
        <v>-198.3</v>
      </c>
      <c r="C622">
        <v>60</v>
      </c>
      <c r="F622">
        <v>20.655</v>
      </c>
      <c r="G622">
        <v>-198.4</v>
      </c>
      <c r="H622">
        <v>60.2</v>
      </c>
      <c r="J622">
        <f t="shared" si="27"/>
        <v>20.65</v>
      </c>
      <c r="K622">
        <f t="shared" si="29"/>
        <v>-4.40000000000001</v>
      </c>
      <c r="L622">
        <f t="shared" si="28"/>
        <v>0</v>
      </c>
    </row>
    <row r="623" spans="1:12">
      <c r="A623">
        <v>20.722</v>
      </c>
      <c r="B623">
        <v>-197.7</v>
      </c>
      <c r="C623">
        <v>59.5</v>
      </c>
      <c r="F623">
        <v>20.688</v>
      </c>
      <c r="G623">
        <v>-198.3</v>
      </c>
      <c r="H623">
        <v>60</v>
      </c>
      <c r="J623">
        <f t="shared" si="27"/>
        <v>20.65</v>
      </c>
      <c r="K623">
        <f t="shared" si="29"/>
        <v>-4.30000000000001</v>
      </c>
      <c r="L623">
        <f t="shared" si="28"/>
        <v>0</v>
      </c>
    </row>
    <row r="624" spans="1:12">
      <c r="A624">
        <v>20.755</v>
      </c>
      <c r="B624">
        <v>-197</v>
      </c>
      <c r="C624">
        <v>58.6</v>
      </c>
      <c r="F624">
        <v>20.722</v>
      </c>
      <c r="G624">
        <v>-197.7</v>
      </c>
      <c r="H624">
        <v>59.5</v>
      </c>
      <c r="J624">
        <f t="shared" si="27"/>
        <v>20.7</v>
      </c>
      <c r="K624">
        <f t="shared" si="29"/>
        <v>-3.69999999999999</v>
      </c>
      <c r="L624">
        <f t="shared" si="28"/>
        <v>0</v>
      </c>
    </row>
    <row r="625" spans="1:12">
      <c r="A625">
        <v>20.788</v>
      </c>
      <c r="B625">
        <v>-196.4</v>
      </c>
      <c r="C625">
        <v>58.1</v>
      </c>
      <c r="F625">
        <v>20.755</v>
      </c>
      <c r="G625">
        <v>-197</v>
      </c>
      <c r="H625">
        <v>58.6</v>
      </c>
      <c r="J625">
        <f t="shared" si="27"/>
        <v>20.75</v>
      </c>
      <c r="K625">
        <f t="shared" si="29"/>
        <v>-3</v>
      </c>
      <c r="L625">
        <f t="shared" si="28"/>
        <v>0</v>
      </c>
    </row>
    <row r="626" spans="1:12">
      <c r="A626">
        <v>20.822</v>
      </c>
      <c r="B626">
        <v>-195.7</v>
      </c>
      <c r="C626">
        <v>57.3</v>
      </c>
      <c r="F626">
        <v>20.788</v>
      </c>
      <c r="G626">
        <v>-196.4</v>
      </c>
      <c r="H626">
        <v>58.1</v>
      </c>
      <c r="J626">
        <f t="shared" si="27"/>
        <v>20.75</v>
      </c>
      <c r="K626">
        <f t="shared" si="29"/>
        <v>-2.40000000000001</v>
      </c>
      <c r="L626">
        <f t="shared" si="28"/>
        <v>0</v>
      </c>
    </row>
    <row r="627" spans="1:12">
      <c r="A627">
        <v>20.855</v>
      </c>
      <c r="B627">
        <v>-195.1</v>
      </c>
      <c r="C627">
        <v>56.4</v>
      </c>
      <c r="F627">
        <v>20.822</v>
      </c>
      <c r="G627">
        <v>-195.7</v>
      </c>
      <c r="H627">
        <v>57.3</v>
      </c>
      <c r="J627">
        <f t="shared" si="27"/>
        <v>20.8</v>
      </c>
      <c r="K627">
        <f t="shared" si="29"/>
        <v>-1.69999999999999</v>
      </c>
      <c r="L627">
        <f t="shared" si="28"/>
        <v>0</v>
      </c>
    </row>
    <row r="628" spans="1:12">
      <c r="A628">
        <v>20.889</v>
      </c>
      <c r="B628">
        <v>-194.1</v>
      </c>
      <c r="C628">
        <v>55.2</v>
      </c>
      <c r="F628">
        <v>20.855</v>
      </c>
      <c r="G628">
        <v>-195.1</v>
      </c>
      <c r="H628">
        <v>56.4</v>
      </c>
      <c r="J628">
        <f t="shared" si="27"/>
        <v>20.85</v>
      </c>
      <c r="K628">
        <f t="shared" si="29"/>
        <v>-1.09999999999999</v>
      </c>
      <c r="L628">
        <f t="shared" si="28"/>
        <v>0</v>
      </c>
    </row>
    <row r="629" spans="1:12">
      <c r="A629">
        <v>20.922</v>
      </c>
      <c r="B629">
        <v>-192.9</v>
      </c>
      <c r="C629">
        <v>53.6</v>
      </c>
      <c r="F629">
        <v>20.889</v>
      </c>
      <c r="G629">
        <v>-194.1</v>
      </c>
      <c r="H629">
        <v>55.2</v>
      </c>
      <c r="J629">
        <f t="shared" si="27"/>
        <v>20.85</v>
      </c>
      <c r="K629">
        <f t="shared" si="29"/>
        <v>-0.0999999999999943</v>
      </c>
      <c r="L629">
        <f t="shared" si="28"/>
        <v>0</v>
      </c>
    </row>
    <row r="630" spans="1:12">
      <c r="A630">
        <v>20.955</v>
      </c>
      <c r="B630">
        <v>-191.8</v>
      </c>
      <c r="C630">
        <v>52.4</v>
      </c>
      <c r="F630">
        <v>20.922</v>
      </c>
      <c r="G630">
        <v>-192.9</v>
      </c>
      <c r="H630">
        <v>53.6</v>
      </c>
      <c r="J630">
        <f t="shared" si="27"/>
        <v>20.9</v>
      </c>
      <c r="K630">
        <f t="shared" si="29"/>
        <v>1.09999999999999</v>
      </c>
      <c r="L630">
        <f t="shared" si="28"/>
        <v>0</v>
      </c>
    </row>
    <row r="631" spans="1:12">
      <c r="A631">
        <v>20.989</v>
      </c>
      <c r="B631">
        <v>-191.4</v>
      </c>
      <c r="C631">
        <v>51.6</v>
      </c>
      <c r="F631">
        <v>20.955</v>
      </c>
      <c r="G631">
        <v>-191.8</v>
      </c>
      <c r="H631">
        <v>52.4</v>
      </c>
      <c r="J631">
        <f t="shared" si="27"/>
        <v>20.95</v>
      </c>
      <c r="K631">
        <f t="shared" si="29"/>
        <v>2.19999999999999</v>
      </c>
      <c r="L631">
        <f t="shared" si="28"/>
        <v>0</v>
      </c>
    </row>
    <row r="632" spans="1:12">
      <c r="A632">
        <v>21.022</v>
      </c>
      <c r="B632">
        <v>-190.5</v>
      </c>
      <c r="C632">
        <v>49.5</v>
      </c>
      <c r="F632">
        <v>20.989</v>
      </c>
      <c r="G632">
        <v>-191.4</v>
      </c>
      <c r="H632">
        <v>51.6</v>
      </c>
      <c r="J632">
        <f t="shared" si="27"/>
        <v>20.95</v>
      </c>
      <c r="K632">
        <f t="shared" si="29"/>
        <v>2.59999999999999</v>
      </c>
      <c r="L632">
        <f t="shared" si="28"/>
        <v>0</v>
      </c>
    </row>
    <row r="633" spans="1:12">
      <c r="A633">
        <v>21.056</v>
      </c>
      <c r="B633">
        <v>-189.7</v>
      </c>
      <c r="C633">
        <v>48.4</v>
      </c>
      <c r="F633">
        <v>21.022</v>
      </c>
      <c r="G633">
        <v>-190.5</v>
      </c>
      <c r="H633">
        <v>49.5</v>
      </c>
      <c r="J633">
        <f t="shared" si="27"/>
        <v>21</v>
      </c>
      <c r="K633">
        <f t="shared" si="29"/>
        <v>3.5</v>
      </c>
      <c r="L633">
        <f t="shared" si="28"/>
        <v>0</v>
      </c>
    </row>
    <row r="634" spans="1:12">
      <c r="A634">
        <v>21.089</v>
      </c>
      <c r="B634">
        <v>-187.9</v>
      </c>
      <c r="C634">
        <v>47</v>
      </c>
      <c r="F634">
        <v>21.056</v>
      </c>
      <c r="G634">
        <v>-189.7</v>
      </c>
      <c r="H634">
        <v>48.4</v>
      </c>
      <c r="J634">
        <f t="shared" si="27"/>
        <v>21.05</v>
      </c>
      <c r="K634">
        <f t="shared" si="29"/>
        <v>4.30000000000001</v>
      </c>
      <c r="L634">
        <f t="shared" si="28"/>
        <v>0</v>
      </c>
    </row>
    <row r="635" spans="1:12">
      <c r="A635">
        <v>21.123</v>
      </c>
      <c r="B635">
        <v>-187.4</v>
      </c>
      <c r="C635">
        <v>45.4</v>
      </c>
      <c r="F635">
        <v>21.089</v>
      </c>
      <c r="G635">
        <v>-187.9</v>
      </c>
      <c r="H635">
        <v>47</v>
      </c>
      <c r="J635">
        <f t="shared" si="27"/>
        <v>21.05</v>
      </c>
      <c r="K635">
        <f t="shared" si="29"/>
        <v>6.09999999999999</v>
      </c>
      <c r="L635">
        <f t="shared" si="28"/>
        <v>0</v>
      </c>
    </row>
    <row r="636" spans="1:12">
      <c r="A636">
        <v>21.156</v>
      </c>
      <c r="B636">
        <v>-187.1</v>
      </c>
      <c r="C636">
        <v>45</v>
      </c>
      <c r="F636">
        <v>21.123</v>
      </c>
      <c r="G636">
        <v>-187.4</v>
      </c>
      <c r="H636">
        <v>45.4</v>
      </c>
      <c r="J636">
        <f t="shared" si="27"/>
        <v>21.1</v>
      </c>
      <c r="K636">
        <f t="shared" si="29"/>
        <v>6.59999999999999</v>
      </c>
      <c r="L636">
        <f t="shared" si="28"/>
        <v>0</v>
      </c>
    </row>
    <row r="637" spans="1:12">
      <c r="A637">
        <v>21.189</v>
      </c>
      <c r="B637">
        <v>-186.7</v>
      </c>
      <c r="C637">
        <v>44</v>
      </c>
      <c r="F637">
        <v>21.156</v>
      </c>
      <c r="G637">
        <v>-187.1</v>
      </c>
      <c r="H637">
        <v>45</v>
      </c>
      <c r="J637">
        <f t="shared" si="27"/>
        <v>21.15</v>
      </c>
      <c r="K637">
        <f t="shared" si="29"/>
        <v>6.90000000000001</v>
      </c>
      <c r="L637">
        <f t="shared" si="28"/>
        <v>0</v>
      </c>
    </row>
    <row r="638" spans="1:12">
      <c r="A638">
        <v>21.223</v>
      </c>
      <c r="B638">
        <v>-186.2</v>
      </c>
      <c r="C638">
        <v>42.7</v>
      </c>
      <c r="F638">
        <v>21.189</v>
      </c>
      <c r="G638">
        <v>-186.7</v>
      </c>
      <c r="H638">
        <v>44</v>
      </c>
      <c r="J638">
        <f t="shared" si="27"/>
        <v>21.15</v>
      </c>
      <c r="K638">
        <f t="shared" si="29"/>
        <v>7.30000000000001</v>
      </c>
      <c r="L638">
        <f t="shared" si="28"/>
        <v>0</v>
      </c>
    </row>
    <row r="639" spans="1:12">
      <c r="A639">
        <v>21.256</v>
      </c>
      <c r="B639">
        <v>-186.1</v>
      </c>
      <c r="C639">
        <v>41.6</v>
      </c>
      <c r="F639">
        <v>21.223</v>
      </c>
      <c r="G639">
        <v>-186.2</v>
      </c>
      <c r="H639">
        <v>42.7</v>
      </c>
      <c r="J639">
        <f t="shared" si="27"/>
        <v>21.2</v>
      </c>
      <c r="K639">
        <f t="shared" si="29"/>
        <v>7.80000000000001</v>
      </c>
      <c r="L639">
        <f t="shared" si="28"/>
        <v>0</v>
      </c>
    </row>
    <row r="640" spans="1:12">
      <c r="A640">
        <v>21.29</v>
      </c>
      <c r="B640">
        <v>-185.9</v>
      </c>
      <c r="C640">
        <v>41.1</v>
      </c>
      <c r="F640">
        <v>21.256</v>
      </c>
      <c r="G640">
        <v>-186.1</v>
      </c>
      <c r="H640">
        <v>41.6</v>
      </c>
      <c r="J640">
        <f t="shared" si="27"/>
        <v>21.25</v>
      </c>
      <c r="K640">
        <f t="shared" si="29"/>
        <v>7.90000000000001</v>
      </c>
      <c r="L640">
        <f t="shared" si="28"/>
        <v>0</v>
      </c>
    </row>
    <row r="641" spans="1:12">
      <c r="A641">
        <v>21.323</v>
      </c>
      <c r="B641">
        <v>-186</v>
      </c>
      <c r="C641">
        <v>40.4</v>
      </c>
      <c r="F641">
        <v>21.29</v>
      </c>
      <c r="G641">
        <v>-185.9</v>
      </c>
      <c r="H641">
        <v>41.1</v>
      </c>
      <c r="J641">
        <f t="shared" si="27"/>
        <v>21.25</v>
      </c>
      <c r="K641">
        <f t="shared" si="29"/>
        <v>8.09999999999999</v>
      </c>
      <c r="L641">
        <f t="shared" si="28"/>
        <v>0</v>
      </c>
    </row>
    <row r="642" spans="1:12">
      <c r="A642">
        <v>21.357</v>
      </c>
      <c r="B642">
        <v>-185.9</v>
      </c>
      <c r="C642">
        <v>40.3</v>
      </c>
      <c r="F642">
        <v>21.323</v>
      </c>
      <c r="G642">
        <v>-186</v>
      </c>
      <c r="H642">
        <v>40.4</v>
      </c>
      <c r="J642">
        <f t="shared" si="27"/>
        <v>21.3</v>
      </c>
      <c r="K642">
        <f t="shared" si="29"/>
        <v>8</v>
      </c>
      <c r="L642">
        <f t="shared" si="28"/>
        <v>0</v>
      </c>
    </row>
    <row r="643" spans="1:12">
      <c r="A643">
        <v>21.39</v>
      </c>
      <c r="B643">
        <v>-186.4</v>
      </c>
      <c r="C643">
        <v>39.8</v>
      </c>
      <c r="F643">
        <v>21.357</v>
      </c>
      <c r="G643">
        <v>-185.9</v>
      </c>
      <c r="H643">
        <v>40.3</v>
      </c>
      <c r="J643">
        <f t="shared" si="27"/>
        <v>21.35</v>
      </c>
      <c r="K643">
        <f t="shared" si="29"/>
        <v>8.09999999999999</v>
      </c>
      <c r="L643">
        <f t="shared" si="28"/>
        <v>0</v>
      </c>
    </row>
    <row r="644" spans="1:12">
      <c r="A644">
        <v>21.423</v>
      </c>
      <c r="B644">
        <v>-186.8</v>
      </c>
      <c r="C644">
        <v>38.6</v>
      </c>
      <c r="F644">
        <v>21.39</v>
      </c>
      <c r="G644">
        <v>-186.4</v>
      </c>
      <c r="H644">
        <v>39.8</v>
      </c>
      <c r="J644">
        <f t="shared" ref="J644:J707" si="30">FLOOR(F644,0.05)</f>
        <v>21.35</v>
      </c>
      <c r="K644">
        <f t="shared" si="29"/>
        <v>7.59999999999999</v>
      </c>
      <c r="L644">
        <f t="shared" ref="L644:L707" si="31">IF(H644&lt;230,0,5)</f>
        <v>0</v>
      </c>
    </row>
    <row r="645" spans="1:12">
      <c r="A645">
        <v>21.457</v>
      </c>
      <c r="B645">
        <v>-187.4</v>
      </c>
      <c r="C645">
        <v>37.9</v>
      </c>
      <c r="F645">
        <v>21.423</v>
      </c>
      <c r="G645">
        <v>-186.8</v>
      </c>
      <c r="H645">
        <v>38.6</v>
      </c>
      <c r="J645">
        <f t="shared" si="30"/>
        <v>21.4</v>
      </c>
      <c r="K645">
        <f t="shared" ref="K645:K667" si="32">G645+194</f>
        <v>7.19999999999999</v>
      </c>
      <c r="L645">
        <f t="shared" si="31"/>
        <v>0</v>
      </c>
    </row>
    <row r="646" spans="1:12">
      <c r="A646">
        <v>21.49</v>
      </c>
      <c r="B646">
        <v>-188.2</v>
      </c>
      <c r="C646">
        <v>37.4</v>
      </c>
      <c r="F646">
        <v>21.457</v>
      </c>
      <c r="G646">
        <v>-187.4</v>
      </c>
      <c r="H646">
        <v>37.9</v>
      </c>
      <c r="J646">
        <f t="shared" si="30"/>
        <v>21.45</v>
      </c>
      <c r="K646">
        <f t="shared" si="32"/>
        <v>6.59999999999999</v>
      </c>
      <c r="L646">
        <f t="shared" si="31"/>
        <v>0</v>
      </c>
    </row>
    <row r="647" spans="1:12">
      <c r="A647">
        <v>21.524</v>
      </c>
      <c r="B647">
        <v>-189.6</v>
      </c>
      <c r="C647">
        <v>37.9</v>
      </c>
      <c r="F647">
        <v>21.49</v>
      </c>
      <c r="G647">
        <v>-188.2</v>
      </c>
      <c r="H647">
        <v>37.4</v>
      </c>
      <c r="J647">
        <f t="shared" si="30"/>
        <v>21.45</v>
      </c>
      <c r="K647">
        <f t="shared" si="32"/>
        <v>5.80000000000001</v>
      </c>
      <c r="L647">
        <f t="shared" si="31"/>
        <v>0</v>
      </c>
    </row>
    <row r="648" spans="1:12">
      <c r="A648">
        <v>21.557</v>
      </c>
      <c r="B648">
        <v>-190.8</v>
      </c>
      <c r="C648">
        <v>37.3</v>
      </c>
      <c r="F648">
        <v>21.524</v>
      </c>
      <c r="G648">
        <v>-189.6</v>
      </c>
      <c r="H648">
        <v>37.9</v>
      </c>
      <c r="J648">
        <f t="shared" si="30"/>
        <v>21.5</v>
      </c>
      <c r="K648">
        <f t="shared" si="32"/>
        <v>4.40000000000001</v>
      </c>
      <c r="L648">
        <f t="shared" si="31"/>
        <v>0</v>
      </c>
    </row>
    <row r="649" spans="1:12">
      <c r="A649">
        <v>21.59</v>
      </c>
      <c r="B649">
        <v>-191.6</v>
      </c>
      <c r="C649">
        <v>37.2</v>
      </c>
      <c r="F649">
        <v>21.557</v>
      </c>
      <c r="G649">
        <v>-190.8</v>
      </c>
      <c r="H649">
        <v>37.3</v>
      </c>
      <c r="J649">
        <f t="shared" si="30"/>
        <v>21.55</v>
      </c>
      <c r="K649">
        <f t="shared" si="32"/>
        <v>3.19999999999999</v>
      </c>
      <c r="L649">
        <f t="shared" si="31"/>
        <v>0</v>
      </c>
    </row>
    <row r="650" spans="1:12">
      <c r="A650">
        <v>21.624</v>
      </c>
      <c r="B650">
        <v>-192.3</v>
      </c>
      <c r="C650">
        <v>37.7</v>
      </c>
      <c r="F650">
        <v>21.59</v>
      </c>
      <c r="G650">
        <v>-191.6</v>
      </c>
      <c r="H650">
        <v>37.2</v>
      </c>
      <c r="J650">
        <f t="shared" si="30"/>
        <v>21.55</v>
      </c>
      <c r="K650">
        <f t="shared" si="32"/>
        <v>2.40000000000001</v>
      </c>
      <c r="L650">
        <f t="shared" si="31"/>
        <v>0</v>
      </c>
    </row>
    <row r="651" spans="1:12">
      <c r="A651">
        <v>21.657</v>
      </c>
      <c r="B651">
        <v>-193.4</v>
      </c>
      <c r="C651">
        <v>36.8</v>
      </c>
      <c r="F651">
        <v>21.624</v>
      </c>
      <c r="G651">
        <v>-192.3</v>
      </c>
      <c r="H651">
        <v>37.7</v>
      </c>
      <c r="J651">
        <f t="shared" si="30"/>
        <v>21.6</v>
      </c>
      <c r="K651">
        <f t="shared" si="32"/>
        <v>1.69999999999999</v>
      </c>
      <c r="L651">
        <f t="shared" si="31"/>
        <v>0</v>
      </c>
    </row>
    <row r="652" spans="1:12">
      <c r="A652">
        <v>21.691</v>
      </c>
      <c r="B652">
        <v>-194.3</v>
      </c>
      <c r="C652">
        <v>37.2</v>
      </c>
      <c r="F652">
        <v>21.657</v>
      </c>
      <c r="G652">
        <v>-193.4</v>
      </c>
      <c r="H652">
        <v>36.8</v>
      </c>
      <c r="J652">
        <f t="shared" si="30"/>
        <v>21.65</v>
      </c>
      <c r="K652">
        <f t="shared" si="32"/>
        <v>0.599999999999994</v>
      </c>
      <c r="L652">
        <f t="shared" si="31"/>
        <v>0</v>
      </c>
    </row>
    <row r="653" spans="1:12">
      <c r="A653">
        <v>21.724</v>
      </c>
      <c r="B653">
        <v>-195.3</v>
      </c>
      <c r="C653">
        <v>37.4</v>
      </c>
      <c r="F653">
        <v>21.691</v>
      </c>
      <c r="G653">
        <v>-194.3</v>
      </c>
      <c r="H653">
        <v>37.2</v>
      </c>
      <c r="J653">
        <f t="shared" si="30"/>
        <v>21.65</v>
      </c>
      <c r="K653">
        <f t="shared" si="32"/>
        <v>-0.300000000000011</v>
      </c>
      <c r="L653">
        <f t="shared" si="31"/>
        <v>0</v>
      </c>
    </row>
    <row r="654" spans="1:12">
      <c r="A654">
        <v>21.758</v>
      </c>
      <c r="B654">
        <v>-196</v>
      </c>
      <c r="C654">
        <v>37.2</v>
      </c>
      <c r="F654">
        <v>21.724</v>
      </c>
      <c r="G654">
        <v>-195.3</v>
      </c>
      <c r="H654">
        <v>37.4</v>
      </c>
      <c r="J654">
        <f t="shared" si="30"/>
        <v>21.7</v>
      </c>
      <c r="K654">
        <f t="shared" si="32"/>
        <v>-1.30000000000001</v>
      </c>
      <c r="L654">
        <f t="shared" si="31"/>
        <v>0</v>
      </c>
    </row>
    <row r="655" spans="1:12">
      <c r="A655">
        <v>21.791</v>
      </c>
      <c r="B655">
        <v>-196.9</v>
      </c>
      <c r="C655">
        <v>36.9</v>
      </c>
      <c r="F655">
        <v>21.758</v>
      </c>
      <c r="G655">
        <v>-196</v>
      </c>
      <c r="H655">
        <v>37.2</v>
      </c>
      <c r="J655">
        <f t="shared" si="30"/>
        <v>21.75</v>
      </c>
      <c r="K655">
        <f t="shared" si="32"/>
        <v>-2</v>
      </c>
      <c r="L655">
        <f t="shared" si="31"/>
        <v>0</v>
      </c>
    </row>
    <row r="656" spans="1:12">
      <c r="A656">
        <v>21.824</v>
      </c>
      <c r="B656">
        <v>-197.8</v>
      </c>
      <c r="C656">
        <v>36.7</v>
      </c>
      <c r="F656">
        <v>21.791</v>
      </c>
      <c r="G656">
        <v>-196.9</v>
      </c>
      <c r="H656">
        <v>36.9</v>
      </c>
      <c r="J656">
        <f t="shared" si="30"/>
        <v>21.75</v>
      </c>
      <c r="K656">
        <f t="shared" si="32"/>
        <v>-2.90000000000001</v>
      </c>
      <c r="L656">
        <f t="shared" si="31"/>
        <v>0</v>
      </c>
    </row>
    <row r="657" spans="1:12">
      <c r="A657">
        <v>21.858</v>
      </c>
      <c r="B657">
        <v>-198.4</v>
      </c>
      <c r="C657">
        <v>37</v>
      </c>
      <c r="F657">
        <v>21.824</v>
      </c>
      <c r="G657">
        <v>-197.8</v>
      </c>
      <c r="H657">
        <v>36.7</v>
      </c>
      <c r="J657">
        <f t="shared" si="30"/>
        <v>21.8</v>
      </c>
      <c r="K657">
        <f t="shared" si="32"/>
        <v>-3.80000000000001</v>
      </c>
      <c r="L657">
        <f t="shared" si="31"/>
        <v>0</v>
      </c>
    </row>
    <row r="658" spans="1:12">
      <c r="A658">
        <v>21.891</v>
      </c>
      <c r="B658">
        <v>-198.8</v>
      </c>
      <c r="C658">
        <v>37.6</v>
      </c>
      <c r="F658">
        <v>21.858</v>
      </c>
      <c r="G658">
        <v>-198.4</v>
      </c>
      <c r="H658">
        <v>37</v>
      </c>
      <c r="J658">
        <f t="shared" si="30"/>
        <v>21.85</v>
      </c>
      <c r="K658">
        <f t="shared" si="32"/>
        <v>-4.40000000000001</v>
      </c>
      <c r="L658">
        <f t="shared" si="31"/>
        <v>0</v>
      </c>
    </row>
    <row r="659" spans="1:12">
      <c r="A659">
        <v>21.925</v>
      </c>
      <c r="B659">
        <v>-199.4</v>
      </c>
      <c r="C659">
        <v>37.2</v>
      </c>
      <c r="F659">
        <v>21.891</v>
      </c>
      <c r="G659">
        <v>-198.8</v>
      </c>
      <c r="H659">
        <v>37.6</v>
      </c>
      <c r="J659">
        <f t="shared" si="30"/>
        <v>21.85</v>
      </c>
      <c r="K659">
        <f t="shared" si="32"/>
        <v>-4.80000000000001</v>
      </c>
      <c r="L659">
        <f t="shared" si="31"/>
        <v>0</v>
      </c>
    </row>
    <row r="660" spans="1:12">
      <c r="A660">
        <v>21.958</v>
      </c>
      <c r="B660">
        <v>-199.8</v>
      </c>
      <c r="C660">
        <v>37.7</v>
      </c>
      <c r="F660">
        <v>21.925</v>
      </c>
      <c r="G660">
        <v>-199.4</v>
      </c>
      <c r="H660">
        <v>37.2</v>
      </c>
      <c r="J660">
        <f t="shared" si="30"/>
        <v>21.9</v>
      </c>
      <c r="K660">
        <f t="shared" si="32"/>
        <v>-5.40000000000001</v>
      </c>
      <c r="L660">
        <f t="shared" si="31"/>
        <v>0</v>
      </c>
    </row>
    <row r="661" spans="1:12">
      <c r="A661">
        <v>21.992</v>
      </c>
      <c r="B661">
        <v>-199.7</v>
      </c>
      <c r="C661">
        <v>37.7</v>
      </c>
      <c r="F661">
        <v>21.958</v>
      </c>
      <c r="G661">
        <v>-199.8</v>
      </c>
      <c r="H661">
        <v>37.7</v>
      </c>
      <c r="J661">
        <f t="shared" si="30"/>
        <v>21.95</v>
      </c>
      <c r="K661">
        <f t="shared" si="32"/>
        <v>-5.80000000000001</v>
      </c>
      <c r="L661">
        <f t="shared" si="31"/>
        <v>0</v>
      </c>
    </row>
    <row r="662" spans="1:12">
      <c r="A662">
        <v>22.025</v>
      </c>
      <c r="B662">
        <v>-199.6</v>
      </c>
      <c r="C662">
        <v>37.2</v>
      </c>
      <c r="F662">
        <v>21.992</v>
      </c>
      <c r="G662">
        <v>-199.7</v>
      </c>
      <c r="H662">
        <v>37.7</v>
      </c>
      <c r="J662">
        <f t="shared" si="30"/>
        <v>21.95</v>
      </c>
      <c r="K662">
        <f t="shared" si="32"/>
        <v>-5.69999999999999</v>
      </c>
      <c r="L662">
        <f t="shared" si="31"/>
        <v>0</v>
      </c>
    </row>
    <row r="663" spans="1:12">
      <c r="A663">
        <v>22.058</v>
      </c>
      <c r="B663">
        <v>-199.6</v>
      </c>
      <c r="C663">
        <v>37.2</v>
      </c>
      <c r="F663">
        <v>22.025</v>
      </c>
      <c r="G663">
        <v>-199.6</v>
      </c>
      <c r="H663">
        <v>37.2</v>
      </c>
      <c r="J663">
        <f t="shared" si="30"/>
        <v>22</v>
      </c>
      <c r="K663">
        <f t="shared" si="32"/>
        <v>-5.59999999999999</v>
      </c>
      <c r="L663">
        <f t="shared" si="31"/>
        <v>0</v>
      </c>
    </row>
    <row r="664" spans="1:12">
      <c r="A664">
        <v>22.092</v>
      </c>
      <c r="B664">
        <v>-199.5</v>
      </c>
      <c r="C664">
        <v>36.7</v>
      </c>
      <c r="F664">
        <v>22.058</v>
      </c>
      <c r="G664">
        <v>-199.6</v>
      </c>
      <c r="H664">
        <v>37.2</v>
      </c>
      <c r="J664">
        <f t="shared" si="30"/>
        <v>22.05</v>
      </c>
      <c r="K664">
        <f t="shared" si="32"/>
        <v>-5.59999999999999</v>
      </c>
      <c r="L664">
        <f t="shared" si="31"/>
        <v>0</v>
      </c>
    </row>
    <row r="665" spans="1:12">
      <c r="A665">
        <v>22.125</v>
      </c>
      <c r="B665">
        <v>-199.2</v>
      </c>
      <c r="C665">
        <v>36.4</v>
      </c>
      <c r="F665">
        <v>22.092</v>
      </c>
      <c r="G665">
        <v>-199.5</v>
      </c>
      <c r="H665">
        <v>36.7</v>
      </c>
      <c r="J665">
        <f t="shared" si="30"/>
        <v>22.05</v>
      </c>
      <c r="K665">
        <f t="shared" si="32"/>
        <v>-5.5</v>
      </c>
      <c r="L665">
        <f t="shared" si="31"/>
        <v>0</v>
      </c>
    </row>
    <row r="666" spans="1:12">
      <c r="A666">
        <v>22.159</v>
      </c>
      <c r="B666">
        <v>-198.6</v>
      </c>
      <c r="C666">
        <v>37</v>
      </c>
      <c r="F666">
        <v>22.125</v>
      </c>
      <c r="G666">
        <v>-199.2</v>
      </c>
      <c r="H666">
        <v>36.4</v>
      </c>
      <c r="J666">
        <f t="shared" si="30"/>
        <v>22.1</v>
      </c>
      <c r="K666">
        <f t="shared" si="32"/>
        <v>-5.19999999999999</v>
      </c>
      <c r="L666">
        <f t="shared" si="31"/>
        <v>0</v>
      </c>
    </row>
    <row r="667" spans="1:12">
      <c r="A667">
        <v>22.192</v>
      </c>
      <c r="B667">
        <v>-198.2</v>
      </c>
      <c r="C667">
        <v>37</v>
      </c>
      <c r="F667">
        <v>22.159</v>
      </c>
      <c r="G667">
        <v>-198.6</v>
      </c>
      <c r="H667">
        <v>37</v>
      </c>
      <c r="J667">
        <f t="shared" si="30"/>
        <v>22.15</v>
      </c>
      <c r="K667">
        <f t="shared" si="32"/>
        <v>-4.59999999999999</v>
      </c>
      <c r="L667">
        <f t="shared" si="31"/>
        <v>0</v>
      </c>
    </row>
  </sheetData>
  <mergeCells count="2">
    <mergeCell ref="F1:H1"/>
    <mergeCell ref="J1:L1"/>
  </mergeCells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85"/>
  <sheetViews>
    <sheetView zoomScale="70" zoomScaleNormal="70" topLeftCell="D5" workbookViewId="0">
      <selection activeCell="K4" sqref="K4:K1144"/>
    </sheetView>
  </sheetViews>
  <sheetFormatPr defaultColWidth="8.88888888888889" defaultRowHeight="14.4"/>
  <cols>
    <col min="1" max="2" width="7.66666666666667" customWidth="1"/>
    <col min="3" max="3" width="9.66666666666667" customWidth="1"/>
    <col min="4" max="4" width="13.8148148148148" customWidth="1"/>
    <col min="5" max="5" width="7.66666666666667" customWidth="1"/>
    <col min="6" max="6" width="9.66666666666667" customWidth="1"/>
    <col min="7" max="7" width="9.75" customWidth="1"/>
    <col min="8" max="8" width="3.88888888888889" customWidth="1"/>
    <col min="9" max="9" width="7.66666666666667" customWidth="1"/>
    <col min="10" max="10" width="9.66666666666667" customWidth="1"/>
    <col min="11" max="11" width="8.77777777777778" customWidth="1"/>
  </cols>
  <sheetData>
    <row r="1" spans="1:11">
      <c r="B1" t="s">
        <v>0</v>
      </c>
      <c r="C1" t="s">
        <v>1</v>
      </c>
      <c r="E1" s="1" t="s">
        <v>8</v>
      </c>
      <c r="F1" s="1"/>
      <c r="G1" s="1"/>
      <c r="I1" s="1" t="s">
        <v>729</v>
      </c>
      <c r="J1" s="1"/>
      <c r="K1" s="1"/>
    </row>
    <row r="2" spans="1:11">
      <c r="A2" t="s">
        <v>5</v>
      </c>
      <c r="B2" t="s">
        <v>6</v>
      </c>
      <c r="C2" t="s">
        <v>7</v>
      </c>
      <c r="F2" t="s">
        <v>0</v>
      </c>
      <c r="G2" t="s">
        <v>1</v>
      </c>
      <c r="J2" t="s">
        <v>730</v>
      </c>
      <c r="K2" t="s">
        <v>731</v>
      </c>
    </row>
    <row r="3" spans="1:11">
      <c r="A3">
        <v>0</v>
      </c>
      <c r="B3">
        <v>-202.8</v>
      </c>
      <c r="C3" s="2">
        <v>25</v>
      </c>
      <c r="D3" s="2"/>
      <c r="E3" t="s">
        <v>5</v>
      </c>
      <c r="F3" t="s">
        <v>6</v>
      </c>
      <c r="G3" t="s">
        <v>7</v>
      </c>
      <c r="J3" t="s">
        <v>6</v>
      </c>
      <c r="K3" t="s">
        <v>7</v>
      </c>
    </row>
    <row r="4" spans="1:11">
      <c r="A4">
        <v>0.033</v>
      </c>
      <c r="B4">
        <v>-202.8</v>
      </c>
      <c r="C4" s="2">
        <v>25</v>
      </c>
      <c r="D4" s="2"/>
      <c r="E4">
        <v>0</v>
      </c>
      <c r="F4">
        <v>-202.8</v>
      </c>
      <c r="G4" s="2">
        <v>25</v>
      </c>
      <c r="I4">
        <f t="shared" ref="I4:I67" si="0">FLOOR(E4,0.05)</f>
        <v>0</v>
      </c>
      <c r="J4">
        <f>F4+203</f>
        <v>0.199999999999989</v>
      </c>
      <c r="K4">
        <f t="shared" ref="K4:K67" si="1">IF(G4&lt;230,0,5)</f>
        <v>0</v>
      </c>
    </row>
    <row r="5" spans="1:11">
      <c r="A5">
        <v>0.067</v>
      </c>
      <c r="B5">
        <v>-202.8</v>
      </c>
      <c r="C5" s="2">
        <v>25.1</v>
      </c>
      <c r="D5" s="2"/>
      <c r="E5">
        <v>0.033</v>
      </c>
      <c r="F5">
        <v>-202.8</v>
      </c>
      <c r="G5" s="2">
        <v>25</v>
      </c>
      <c r="I5">
        <f t="shared" si="0"/>
        <v>0</v>
      </c>
      <c r="J5">
        <f t="shared" ref="J5:J68" si="2">F5+203</f>
        <v>0.199999999999989</v>
      </c>
      <c r="K5">
        <f t="shared" si="1"/>
        <v>0</v>
      </c>
    </row>
    <row r="6" spans="1:11">
      <c r="A6">
        <v>0.1</v>
      </c>
      <c r="B6">
        <v>-202.7</v>
      </c>
      <c r="C6" s="2">
        <v>25.4</v>
      </c>
      <c r="D6" s="2"/>
      <c r="E6">
        <v>0.067</v>
      </c>
      <c r="F6">
        <v>-202.8</v>
      </c>
      <c r="G6" s="2">
        <v>25.1</v>
      </c>
      <c r="I6">
        <f t="shared" si="0"/>
        <v>0.05</v>
      </c>
      <c r="J6">
        <f t="shared" si="2"/>
        <v>0.199999999999989</v>
      </c>
      <c r="K6">
        <f t="shared" si="1"/>
        <v>0</v>
      </c>
    </row>
    <row r="7" spans="1:11">
      <c r="A7">
        <v>0.134</v>
      </c>
      <c r="B7">
        <v>-202.7</v>
      </c>
      <c r="C7" s="2">
        <v>25.8</v>
      </c>
      <c r="D7" s="2"/>
      <c r="E7">
        <v>0.1</v>
      </c>
      <c r="F7">
        <v>-202.7</v>
      </c>
      <c r="G7" s="2">
        <v>25.4</v>
      </c>
      <c r="I7">
        <f t="shared" si="0"/>
        <v>0.1</v>
      </c>
      <c r="J7">
        <f t="shared" si="2"/>
        <v>0.300000000000011</v>
      </c>
      <c r="K7">
        <f t="shared" si="1"/>
        <v>0</v>
      </c>
    </row>
    <row r="8" spans="1:11">
      <c r="A8">
        <v>0.167</v>
      </c>
      <c r="B8">
        <v>-202.7</v>
      </c>
      <c r="C8" s="2">
        <v>25.3</v>
      </c>
      <c r="D8" s="2"/>
      <c r="E8">
        <v>0.134</v>
      </c>
      <c r="F8">
        <v>-202.7</v>
      </c>
      <c r="G8" s="2">
        <v>25.8</v>
      </c>
      <c r="I8">
        <f t="shared" si="0"/>
        <v>0.1</v>
      </c>
      <c r="J8">
        <f t="shared" si="2"/>
        <v>0.300000000000011</v>
      </c>
      <c r="K8">
        <f t="shared" si="1"/>
        <v>0</v>
      </c>
    </row>
    <row r="9" spans="1:11">
      <c r="A9">
        <v>0.201</v>
      </c>
      <c r="B9">
        <v>-202.8</v>
      </c>
      <c r="C9" s="2">
        <v>25.4</v>
      </c>
      <c r="D9" s="2"/>
      <c r="E9">
        <v>0.167</v>
      </c>
      <c r="F9">
        <v>-202.7</v>
      </c>
      <c r="G9" s="2">
        <v>25.3</v>
      </c>
      <c r="I9">
        <f t="shared" si="0"/>
        <v>0.15</v>
      </c>
      <c r="J9">
        <f t="shared" si="2"/>
        <v>0.300000000000011</v>
      </c>
      <c r="K9">
        <f t="shared" si="1"/>
        <v>0</v>
      </c>
    </row>
    <row r="10" spans="1:11">
      <c r="A10">
        <v>0.234</v>
      </c>
      <c r="B10">
        <v>-202.7</v>
      </c>
      <c r="C10" s="2">
        <v>25.9</v>
      </c>
      <c r="D10" s="2"/>
      <c r="E10">
        <v>0.201</v>
      </c>
      <c r="F10">
        <v>-202.8</v>
      </c>
      <c r="G10" s="2">
        <v>25.4</v>
      </c>
      <c r="I10">
        <f t="shared" si="0"/>
        <v>0.2</v>
      </c>
      <c r="J10">
        <f t="shared" si="2"/>
        <v>0.199999999999989</v>
      </c>
      <c r="K10">
        <f t="shared" si="1"/>
        <v>0</v>
      </c>
    </row>
    <row r="11" spans="1:11">
      <c r="A11">
        <v>0.267</v>
      </c>
      <c r="B11">
        <v>-202.8</v>
      </c>
      <c r="C11" s="2">
        <v>25.2</v>
      </c>
      <c r="D11" s="2"/>
      <c r="E11">
        <v>0.234</v>
      </c>
      <c r="F11">
        <v>-202.7</v>
      </c>
      <c r="G11" s="2">
        <v>25.9</v>
      </c>
      <c r="I11">
        <f t="shared" si="0"/>
        <v>0.2</v>
      </c>
      <c r="J11">
        <f t="shared" si="2"/>
        <v>0.300000000000011</v>
      </c>
      <c r="K11">
        <f t="shared" si="1"/>
        <v>0</v>
      </c>
    </row>
    <row r="12" spans="1:11">
      <c r="A12">
        <v>0.301</v>
      </c>
      <c r="B12">
        <v>-202.7</v>
      </c>
      <c r="C12" s="2">
        <v>25.7</v>
      </c>
      <c r="D12" s="2"/>
      <c r="E12">
        <v>0.267</v>
      </c>
      <c r="F12">
        <v>-202.8</v>
      </c>
      <c r="G12" s="2">
        <v>25.2</v>
      </c>
      <c r="I12">
        <f t="shared" si="0"/>
        <v>0.25</v>
      </c>
      <c r="J12">
        <f t="shared" si="2"/>
        <v>0.199999999999989</v>
      </c>
      <c r="K12">
        <f t="shared" si="1"/>
        <v>0</v>
      </c>
    </row>
    <row r="13" spans="1:11">
      <c r="A13">
        <v>0.334</v>
      </c>
      <c r="B13">
        <v>-202.7</v>
      </c>
      <c r="C13" s="2">
        <v>25.6</v>
      </c>
      <c r="D13" s="2"/>
      <c r="E13">
        <v>0.301</v>
      </c>
      <c r="F13">
        <v>-202.7</v>
      </c>
      <c r="G13" s="2">
        <v>25.7</v>
      </c>
      <c r="I13">
        <f t="shared" si="0"/>
        <v>0.3</v>
      </c>
      <c r="J13">
        <f t="shared" si="2"/>
        <v>0.300000000000011</v>
      </c>
      <c r="K13">
        <f t="shared" si="1"/>
        <v>0</v>
      </c>
    </row>
    <row r="14" spans="1:11">
      <c r="A14">
        <v>0.368</v>
      </c>
      <c r="B14">
        <v>-202.7</v>
      </c>
      <c r="C14" s="2">
        <v>26.1</v>
      </c>
      <c r="D14" s="2"/>
      <c r="E14">
        <v>0.334</v>
      </c>
      <c r="F14">
        <v>-202.7</v>
      </c>
      <c r="G14" s="2">
        <v>25.6</v>
      </c>
      <c r="I14">
        <f t="shared" si="0"/>
        <v>0.3</v>
      </c>
      <c r="J14">
        <f t="shared" si="2"/>
        <v>0.300000000000011</v>
      </c>
      <c r="K14">
        <f t="shared" si="1"/>
        <v>0</v>
      </c>
    </row>
    <row r="15" spans="1:11">
      <c r="A15">
        <v>0.401</v>
      </c>
      <c r="B15">
        <v>-202.8</v>
      </c>
      <c r="C15" s="2">
        <v>25.4</v>
      </c>
      <c r="D15" s="2"/>
      <c r="E15">
        <v>0.368</v>
      </c>
      <c r="F15">
        <v>-202.7</v>
      </c>
      <c r="G15" s="2">
        <v>26.1</v>
      </c>
      <c r="I15">
        <f t="shared" si="0"/>
        <v>0.35</v>
      </c>
      <c r="J15">
        <f t="shared" si="2"/>
        <v>0.300000000000011</v>
      </c>
      <c r="K15">
        <f t="shared" si="1"/>
        <v>0</v>
      </c>
    </row>
    <row r="16" spans="1:11">
      <c r="A16">
        <v>0.435</v>
      </c>
      <c r="B16">
        <v>-202.8</v>
      </c>
      <c r="C16" s="2">
        <v>25.8</v>
      </c>
      <c r="D16" s="2"/>
      <c r="E16">
        <v>0.401</v>
      </c>
      <c r="F16">
        <v>-202.8</v>
      </c>
      <c r="G16" s="2">
        <v>25.4</v>
      </c>
      <c r="I16">
        <f t="shared" si="0"/>
        <v>0.4</v>
      </c>
      <c r="J16">
        <f t="shared" si="2"/>
        <v>0.199999999999989</v>
      </c>
      <c r="K16">
        <f t="shared" si="1"/>
        <v>0</v>
      </c>
    </row>
    <row r="17" spans="1:11">
      <c r="A17">
        <v>0.468</v>
      </c>
      <c r="B17">
        <v>-202.8</v>
      </c>
      <c r="C17" s="2">
        <v>25.8</v>
      </c>
      <c r="D17" s="2"/>
      <c r="E17">
        <v>0.435</v>
      </c>
      <c r="F17">
        <v>-202.8</v>
      </c>
      <c r="G17" s="2">
        <v>25.8</v>
      </c>
      <c r="I17">
        <f t="shared" si="0"/>
        <v>0.4</v>
      </c>
      <c r="J17">
        <f t="shared" si="2"/>
        <v>0.199999999999989</v>
      </c>
      <c r="K17">
        <f t="shared" si="1"/>
        <v>0</v>
      </c>
    </row>
    <row r="18" spans="1:11">
      <c r="A18">
        <v>0.501</v>
      </c>
      <c r="B18">
        <v>-202.7</v>
      </c>
      <c r="C18" s="2">
        <v>25.8</v>
      </c>
      <c r="D18" s="2"/>
      <c r="E18">
        <v>0.468</v>
      </c>
      <c r="F18">
        <v>-202.8</v>
      </c>
      <c r="G18" s="2">
        <v>25.8</v>
      </c>
      <c r="I18">
        <f t="shared" si="0"/>
        <v>0.45</v>
      </c>
      <c r="J18">
        <f t="shared" si="2"/>
        <v>0.199999999999989</v>
      </c>
      <c r="K18">
        <f t="shared" si="1"/>
        <v>0</v>
      </c>
    </row>
    <row r="19" spans="1:11">
      <c r="A19">
        <v>0.535</v>
      </c>
      <c r="B19">
        <v>-202.7</v>
      </c>
      <c r="C19" s="2">
        <v>25.7</v>
      </c>
      <c r="D19" s="2"/>
      <c r="E19">
        <v>0.501</v>
      </c>
      <c r="F19">
        <v>-202.7</v>
      </c>
      <c r="G19" s="2">
        <v>25.8</v>
      </c>
      <c r="I19">
        <f t="shared" si="0"/>
        <v>0.5</v>
      </c>
      <c r="J19">
        <f t="shared" si="2"/>
        <v>0.300000000000011</v>
      </c>
      <c r="K19">
        <f t="shared" si="1"/>
        <v>0</v>
      </c>
    </row>
    <row r="20" spans="1:11">
      <c r="A20">
        <v>0.568</v>
      </c>
      <c r="B20">
        <v>-202.8</v>
      </c>
      <c r="C20" s="2">
        <v>25.2</v>
      </c>
      <c r="D20" s="2"/>
      <c r="E20">
        <v>0.535</v>
      </c>
      <c r="F20">
        <v>-202.7</v>
      </c>
      <c r="G20" s="2">
        <v>25.7</v>
      </c>
      <c r="I20">
        <f t="shared" si="0"/>
        <v>0.5</v>
      </c>
      <c r="J20">
        <f t="shared" si="2"/>
        <v>0.300000000000011</v>
      </c>
      <c r="K20">
        <f t="shared" si="1"/>
        <v>0</v>
      </c>
    </row>
    <row r="21" spans="1:11">
      <c r="A21">
        <v>0.602</v>
      </c>
      <c r="B21">
        <v>-202.8</v>
      </c>
      <c r="C21" s="2">
        <v>24.8</v>
      </c>
      <c r="D21" s="2"/>
      <c r="E21">
        <v>0.568</v>
      </c>
      <c r="F21">
        <v>-202.8</v>
      </c>
      <c r="G21" s="2">
        <v>25.2</v>
      </c>
      <c r="I21">
        <f t="shared" si="0"/>
        <v>0.55</v>
      </c>
      <c r="J21">
        <f t="shared" si="2"/>
        <v>0.199999999999989</v>
      </c>
      <c r="K21">
        <f t="shared" si="1"/>
        <v>0</v>
      </c>
    </row>
    <row r="22" spans="1:11">
      <c r="A22">
        <v>0.635</v>
      </c>
      <c r="B22">
        <v>-202.7</v>
      </c>
      <c r="C22" s="2">
        <v>25.4</v>
      </c>
      <c r="D22" s="2"/>
      <c r="E22">
        <v>0.602</v>
      </c>
      <c r="F22">
        <v>-202.8</v>
      </c>
      <c r="G22" s="2">
        <v>24.8</v>
      </c>
      <c r="I22">
        <f t="shared" si="0"/>
        <v>0.6</v>
      </c>
      <c r="J22">
        <f t="shared" si="2"/>
        <v>0.199999999999989</v>
      </c>
      <c r="K22">
        <f t="shared" si="1"/>
        <v>0</v>
      </c>
    </row>
    <row r="23" spans="1:11">
      <c r="A23">
        <v>0.669</v>
      </c>
      <c r="B23">
        <v>-202.7</v>
      </c>
      <c r="C23" s="2">
        <v>25.9</v>
      </c>
      <c r="D23" s="2"/>
      <c r="E23">
        <v>0.635</v>
      </c>
      <c r="F23">
        <v>-202.7</v>
      </c>
      <c r="G23" s="2">
        <v>25.4</v>
      </c>
      <c r="I23">
        <f t="shared" si="0"/>
        <v>0.6</v>
      </c>
      <c r="J23">
        <f t="shared" si="2"/>
        <v>0.300000000000011</v>
      </c>
      <c r="K23">
        <f t="shared" si="1"/>
        <v>0</v>
      </c>
    </row>
    <row r="24" spans="1:11">
      <c r="A24">
        <v>0.702</v>
      </c>
      <c r="B24">
        <v>-202.7</v>
      </c>
      <c r="C24" s="2">
        <v>25.6</v>
      </c>
      <c r="D24" s="2"/>
      <c r="E24">
        <v>0.669</v>
      </c>
      <c r="F24">
        <v>-202.7</v>
      </c>
      <c r="G24" s="2">
        <v>25.9</v>
      </c>
      <c r="I24">
        <f t="shared" si="0"/>
        <v>0.65</v>
      </c>
      <c r="J24">
        <f t="shared" si="2"/>
        <v>0.300000000000011</v>
      </c>
      <c r="K24">
        <f t="shared" si="1"/>
        <v>0</v>
      </c>
    </row>
    <row r="25" spans="1:11">
      <c r="A25">
        <v>0.735</v>
      </c>
      <c r="B25">
        <v>-202.7</v>
      </c>
      <c r="C25">
        <v>25.7</v>
      </c>
      <c r="E25">
        <v>0.702</v>
      </c>
      <c r="F25">
        <v>-202.7</v>
      </c>
      <c r="G25" s="2">
        <v>25.6</v>
      </c>
      <c r="I25">
        <f t="shared" si="0"/>
        <v>0.7</v>
      </c>
      <c r="J25">
        <f t="shared" si="2"/>
        <v>0.300000000000011</v>
      </c>
      <c r="K25">
        <f t="shared" si="1"/>
        <v>0</v>
      </c>
    </row>
    <row r="26" spans="1:11">
      <c r="A26">
        <v>0.769</v>
      </c>
      <c r="B26">
        <v>-202.8</v>
      </c>
      <c r="C26">
        <v>24.2</v>
      </c>
      <c r="E26">
        <v>0.735</v>
      </c>
      <c r="F26">
        <v>-202.7</v>
      </c>
      <c r="G26">
        <v>25.7</v>
      </c>
      <c r="I26">
        <f t="shared" si="0"/>
        <v>0.7</v>
      </c>
      <c r="J26">
        <f t="shared" si="2"/>
        <v>0.300000000000011</v>
      </c>
      <c r="K26">
        <f t="shared" si="1"/>
        <v>0</v>
      </c>
    </row>
    <row r="27" spans="1:11">
      <c r="A27">
        <v>0.802</v>
      </c>
      <c r="B27">
        <v>-202.8</v>
      </c>
      <c r="C27">
        <v>25.9</v>
      </c>
      <c r="E27">
        <v>0.769</v>
      </c>
      <c r="F27">
        <v>-202.8</v>
      </c>
      <c r="G27">
        <v>24.2</v>
      </c>
      <c r="I27">
        <f t="shared" si="0"/>
        <v>0.75</v>
      </c>
      <c r="J27">
        <f t="shared" si="2"/>
        <v>0.199999999999989</v>
      </c>
      <c r="K27">
        <f t="shared" si="1"/>
        <v>0</v>
      </c>
    </row>
    <row r="28" spans="1:11">
      <c r="A28">
        <v>0.836</v>
      </c>
      <c r="B28">
        <v>-202.8</v>
      </c>
      <c r="C28">
        <v>26.1</v>
      </c>
      <c r="E28">
        <v>0.802</v>
      </c>
      <c r="F28">
        <v>-202.8</v>
      </c>
      <c r="G28">
        <v>25.9</v>
      </c>
      <c r="I28">
        <f t="shared" si="0"/>
        <v>0.8</v>
      </c>
      <c r="J28">
        <f t="shared" si="2"/>
        <v>0.199999999999989</v>
      </c>
      <c r="K28">
        <f t="shared" si="1"/>
        <v>0</v>
      </c>
    </row>
    <row r="29" spans="1:11">
      <c r="A29">
        <v>0.869</v>
      </c>
      <c r="B29">
        <v>-202.8</v>
      </c>
      <c r="C29">
        <v>25.5</v>
      </c>
      <c r="E29">
        <v>0.836</v>
      </c>
      <c r="F29">
        <v>-202.8</v>
      </c>
      <c r="G29">
        <v>26.1</v>
      </c>
      <c r="I29">
        <f t="shared" si="0"/>
        <v>0.8</v>
      </c>
      <c r="J29">
        <f t="shared" si="2"/>
        <v>0.199999999999989</v>
      </c>
      <c r="K29">
        <f t="shared" si="1"/>
        <v>0</v>
      </c>
    </row>
    <row r="30" spans="1:11">
      <c r="A30">
        <v>0.903</v>
      </c>
      <c r="B30">
        <v>-202.7</v>
      </c>
      <c r="C30">
        <v>25.7</v>
      </c>
      <c r="E30">
        <v>0.869</v>
      </c>
      <c r="F30">
        <v>-202.8</v>
      </c>
      <c r="G30">
        <v>25.5</v>
      </c>
      <c r="I30">
        <f t="shared" si="0"/>
        <v>0.85</v>
      </c>
      <c r="J30">
        <f t="shared" si="2"/>
        <v>0.199999999999989</v>
      </c>
      <c r="K30">
        <f t="shared" si="1"/>
        <v>0</v>
      </c>
    </row>
    <row r="31" spans="1:11">
      <c r="A31">
        <v>0.936</v>
      </c>
      <c r="B31">
        <v>-202.7</v>
      </c>
      <c r="C31">
        <v>25.3</v>
      </c>
      <c r="E31">
        <v>0.903</v>
      </c>
      <c r="F31">
        <v>-202.7</v>
      </c>
      <c r="G31">
        <v>25.7</v>
      </c>
      <c r="I31">
        <f t="shared" si="0"/>
        <v>0.9</v>
      </c>
      <c r="J31">
        <f t="shared" si="2"/>
        <v>0.300000000000011</v>
      </c>
      <c r="K31">
        <f t="shared" si="1"/>
        <v>0</v>
      </c>
    </row>
    <row r="32" spans="1:11">
      <c r="A32">
        <v>0.969</v>
      </c>
      <c r="B32">
        <v>-202.7</v>
      </c>
      <c r="C32">
        <v>25.1</v>
      </c>
      <c r="E32">
        <v>0.936</v>
      </c>
      <c r="F32">
        <v>-202.7</v>
      </c>
      <c r="G32">
        <v>25.3</v>
      </c>
      <c r="I32">
        <f t="shared" si="0"/>
        <v>0.9</v>
      </c>
      <c r="J32">
        <f t="shared" si="2"/>
        <v>0.300000000000011</v>
      </c>
      <c r="K32">
        <f t="shared" si="1"/>
        <v>0</v>
      </c>
    </row>
    <row r="33" spans="1:11">
      <c r="A33">
        <v>1.003</v>
      </c>
      <c r="B33">
        <v>-202.7</v>
      </c>
      <c r="C33">
        <v>25.6</v>
      </c>
      <c r="E33">
        <v>0.969</v>
      </c>
      <c r="F33">
        <v>-202.7</v>
      </c>
      <c r="G33">
        <v>25.1</v>
      </c>
      <c r="I33">
        <f t="shared" si="0"/>
        <v>0.95</v>
      </c>
      <c r="J33">
        <f t="shared" si="2"/>
        <v>0.300000000000011</v>
      </c>
      <c r="K33">
        <f t="shared" si="1"/>
        <v>0</v>
      </c>
    </row>
    <row r="34" spans="1:11">
      <c r="A34">
        <v>1.036</v>
      </c>
      <c r="B34">
        <v>-202.8</v>
      </c>
      <c r="C34">
        <v>25.9</v>
      </c>
      <c r="E34">
        <v>1.003</v>
      </c>
      <c r="F34">
        <v>-202.7</v>
      </c>
      <c r="G34">
        <v>25.6</v>
      </c>
      <c r="I34">
        <f t="shared" si="0"/>
        <v>1</v>
      </c>
      <c r="J34">
        <f t="shared" si="2"/>
        <v>0.300000000000011</v>
      </c>
      <c r="K34">
        <f t="shared" si="1"/>
        <v>0</v>
      </c>
    </row>
    <row r="35" spans="1:11">
      <c r="A35">
        <v>1.07</v>
      </c>
      <c r="B35">
        <v>-202.7</v>
      </c>
      <c r="C35">
        <v>25.4</v>
      </c>
      <c r="E35">
        <v>1.036</v>
      </c>
      <c r="F35">
        <v>-202.8</v>
      </c>
      <c r="G35">
        <v>25.9</v>
      </c>
      <c r="I35">
        <f t="shared" si="0"/>
        <v>1</v>
      </c>
      <c r="J35">
        <f t="shared" si="2"/>
        <v>0.199999999999989</v>
      </c>
      <c r="K35">
        <f t="shared" si="1"/>
        <v>0</v>
      </c>
    </row>
    <row r="36" spans="1:11">
      <c r="A36">
        <v>1.103</v>
      </c>
      <c r="B36">
        <v>-202.7</v>
      </c>
      <c r="C36">
        <v>26.4</v>
      </c>
      <c r="E36">
        <v>1.07</v>
      </c>
      <c r="F36">
        <v>-202.7</v>
      </c>
      <c r="G36">
        <v>25.4</v>
      </c>
      <c r="I36">
        <f t="shared" si="0"/>
        <v>1.05</v>
      </c>
      <c r="J36">
        <f t="shared" si="2"/>
        <v>0.300000000000011</v>
      </c>
      <c r="K36">
        <f t="shared" si="1"/>
        <v>0</v>
      </c>
    </row>
    <row r="37" spans="1:11">
      <c r="A37">
        <v>1.137</v>
      </c>
      <c r="B37">
        <v>-202.7</v>
      </c>
      <c r="C37">
        <v>25.3</v>
      </c>
      <c r="E37">
        <v>1.103</v>
      </c>
      <c r="F37">
        <v>-202.7</v>
      </c>
      <c r="G37">
        <v>26.4</v>
      </c>
      <c r="I37">
        <f t="shared" si="0"/>
        <v>1.1</v>
      </c>
      <c r="J37">
        <f t="shared" si="2"/>
        <v>0.300000000000011</v>
      </c>
      <c r="K37">
        <f t="shared" si="1"/>
        <v>0</v>
      </c>
    </row>
    <row r="38" spans="1:11">
      <c r="A38">
        <v>1.17</v>
      </c>
      <c r="B38">
        <v>-202.7</v>
      </c>
      <c r="C38">
        <v>25.9</v>
      </c>
      <c r="E38">
        <v>1.137</v>
      </c>
      <c r="F38">
        <v>-202.7</v>
      </c>
      <c r="G38">
        <v>25.3</v>
      </c>
      <c r="I38">
        <f t="shared" si="0"/>
        <v>1.1</v>
      </c>
      <c r="J38">
        <f t="shared" si="2"/>
        <v>0.300000000000011</v>
      </c>
      <c r="K38">
        <f t="shared" si="1"/>
        <v>0</v>
      </c>
    </row>
    <row r="39" spans="1:11">
      <c r="A39">
        <v>1.203</v>
      </c>
      <c r="B39">
        <v>-202.8</v>
      </c>
      <c r="C39">
        <v>25.6</v>
      </c>
      <c r="E39">
        <v>1.17</v>
      </c>
      <c r="F39">
        <v>-202.7</v>
      </c>
      <c r="G39">
        <v>25.9</v>
      </c>
      <c r="I39">
        <f t="shared" si="0"/>
        <v>1.15</v>
      </c>
      <c r="J39">
        <f t="shared" si="2"/>
        <v>0.300000000000011</v>
      </c>
      <c r="K39">
        <f t="shared" si="1"/>
        <v>0</v>
      </c>
    </row>
    <row r="40" spans="1:11">
      <c r="A40">
        <v>1.237</v>
      </c>
      <c r="B40">
        <v>-202.7</v>
      </c>
      <c r="C40">
        <v>25.7</v>
      </c>
      <c r="E40">
        <v>1.203</v>
      </c>
      <c r="F40">
        <v>-202.8</v>
      </c>
      <c r="G40">
        <v>25.6</v>
      </c>
      <c r="I40">
        <f t="shared" si="0"/>
        <v>1.2</v>
      </c>
      <c r="J40">
        <f t="shared" si="2"/>
        <v>0.199999999999989</v>
      </c>
      <c r="K40">
        <f t="shared" si="1"/>
        <v>0</v>
      </c>
    </row>
    <row r="41" spans="1:11">
      <c r="A41">
        <v>1.27</v>
      </c>
      <c r="B41">
        <v>-202.7</v>
      </c>
      <c r="C41">
        <v>25.7</v>
      </c>
      <c r="E41">
        <v>1.237</v>
      </c>
      <c r="F41">
        <v>-202.7</v>
      </c>
      <c r="G41">
        <v>25.7</v>
      </c>
      <c r="I41">
        <f t="shared" si="0"/>
        <v>1.2</v>
      </c>
      <c r="J41">
        <f t="shared" si="2"/>
        <v>0.300000000000011</v>
      </c>
      <c r="K41">
        <f t="shared" si="1"/>
        <v>0</v>
      </c>
    </row>
    <row r="42" spans="1:11">
      <c r="A42">
        <v>1.304</v>
      </c>
      <c r="B42">
        <v>-202.7</v>
      </c>
      <c r="C42">
        <v>26.4</v>
      </c>
      <c r="E42">
        <v>1.27</v>
      </c>
      <c r="F42">
        <v>-202.7</v>
      </c>
      <c r="G42">
        <v>25.7</v>
      </c>
      <c r="I42">
        <f t="shared" si="0"/>
        <v>1.25</v>
      </c>
      <c r="J42">
        <f t="shared" si="2"/>
        <v>0.300000000000011</v>
      </c>
      <c r="K42">
        <f t="shared" si="1"/>
        <v>0</v>
      </c>
    </row>
    <row r="43" spans="1:11">
      <c r="A43">
        <v>1.337</v>
      </c>
      <c r="B43">
        <v>-202.7</v>
      </c>
      <c r="C43">
        <v>25.2</v>
      </c>
      <c r="E43">
        <v>1.304</v>
      </c>
      <c r="F43">
        <v>-202.7</v>
      </c>
      <c r="G43">
        <v>26.4</v>
      </c>
      <c r="I43">
        <f t="shared" si="0"/>
        <v>1.3</v>
      </c>
      <c r="J43">
        <f t="shared" si="2"/>
        <v>0.300000000000011</v>
      </c>
      <c r="K43">
        <f t="shared" si="1"/>
        <v>0</v>
      </c>
    </row>
    <row r="44" spans="1:11">
      <c r="A44">
        <v>1.371</v>
      </c>
      <c r="B44">
        <v>-202.7</v>
      </c>
      <c r="C44">
        <v>26</v>
      </c>
      <c r="E44">
        <v>1.337</v>
      </c>
      <c r="F44">
        <v>-202.7</v>
      </c>
      <c r="G44">
        <v>25.2</v>
      </c>
      <c r="I44">
        <f t="shared" si="0"/>
        <v>1.3</v>
      </c>
      <c r="J44">
        <f t="shared" si="2"/>
        <v>0.300000000000011</v>
      </c>
      <c r="K44">
        <f t="shared" si="1"/>
        <v>0</v>
      </c>
    </row>
    <row r="45" spans="1:11">
      <c r="A45">
        <v>1.404</v>
      </c>
      <c r="B45">
        <v>-202.7</v>
      </c>
      <c r="C45">
        <v>26</v>
      </c>
      <c r="E45">
        <v>1.371</v>
      </c>
      <c r="F45">
        <v>-202.7</v>
      </c>
      <c r="G45">
        <v>26</v>
      </c>
      <c r="I45">
        <f t="shared" si="0"/>
        <v>1.35</v>
      </c>
      <c r="J45">
        <f t="shared" si="2"/>
        <v>0.300000000000011</v>
      </c>
      <c r="K45">
        <f t="shared" si="1"/>
        <v>0</v>
      </c>
    </row>
    <row r="46" spans="1:11">
      <c r="A46">
        <v>1.437</v>
      </c>
      <c r="B46">
        <v>-202.8</v>
      </c>
      <c r="C46">
        <v>26.1</v>
      </c>
      <c r="E46">
        <v>1.404</v>
      </c>
      <c r="F46">
        <v>-202.7</v>
      </c>
      <c r="G46">
        <v>26</v>
      </c>
      <c r="I46">
        <f t="shared" si="0"/>
        <v>1.4</v>
      </c>
      <c r="J46">
        <f t="shared" si="2"/>
        <v>0.300000000000011</v>
      </c>
      <c r="K46">
        <f t="shared" si="1"/>
        <v>0</v>
      </c>
    </row>
    <row r="47" spans="1:11">
      <c r="A47">
        <v>1.471</v>
      </c>
      <c r="B47">
        <v>-202.7</v>
      </c>
      <c r="C47">
        <v>25.5</v>
      </c>
      <c r="E47">
        <v>1.437</v>
      </c>
      <c r="F47">
        <v>-202.8</v>
      </c>
      <c r="G47">
        <v>26.1</v>
      </c>
      <c r="I47">
        <f t="shared" si="0"/>
        <v>1.4</v>
      </c>
      <c r="J47">
        <f t="shared" si="2"/>
        <v>0.199999999999989</v>
      </c>
      <c r="K47">
        <f t="shared" si="1"/>
        <v>0</v>
      </c>
    </row>
    <row r="48" spans="1:11">
      <c r="A48">
        <v>1.504</v>
      </c>
      <c r="B48">
        <v>-202.8</v>
      </c>
      <c r="C48">
        <v>25.5</v>
      </c>
      <c r="E48">
        <v>1.471</v>
      </c>
      <c r="F48">
        <v>-202.7</v>
      </c>
      <c r="G48">
        <v>25.5</v>
      </c>
      <c r="I48">
        <f t="shared" si="0"/>
        <v>1.45</v>
      </c>
      <c r="J48">
        <f t="shared" si="2"/>
        <v>0.300000000000011</v>
      </c>
      <c r="K48">
        <f t="shared" si="1"/>
        <v>0</v>
      </c>
    </row>
    <row r="49" spans="1:11">
      <c r="A49">
        <v>1.538</v>
      </c>
      <c r="B49">
        <v>-202.7</v>
      </c>
      <c r="C49">
        <v>25.6</v>
      </c>
      <c r="E49">
        <v>1.504</v>
      </c>
      <c r="F49">
        <v>-202.8</v>
      </c>
      <c r="G49">
        <v>25.5</v>
      </c>
      <c r="I49">
        <f t="shared" si="0"/>
        <v>1.5</v>
      </c>
      <c r="J49">
        <f t="shared" si="2"/>
        <v>0.199999999999989</v>
      </c>
      <c r="K49">
        <f t="shared" si="1"/>
        <v>0</v>
      </c>
    </row>
    <row r="50" spans="1:11">
      <c r="A50">
        <v>1.571</v>
      </c>
      <c r="B50">
        <v>-202.7</v>
      </c>
      <c r="C50">
        <v>26</v>
      </c>
      <c r="E50">
        <v>1.538</v>
      </c>
      <c r="F50">
        <v>-202.7</v>
      </c>
      <c r="G50">
        <v>25.6</v>
      </c>
      <c r="I50">
        <f t="shared" si="0"/>
        <v>1.5</v>
      </c>
      <c r="J50">
        <f t="shared" si="2"/>
        <v>0.300000000000011</v>
      </c>
      <c r="K50">
        <f t="shared" si="1"/>
        <v>0</v>
      </c>
    </row>
    <row r="51" spans="1:11">
      <c r="A51">
        <v>1.605</v>
      </c>
      <c r="B51">
        <v>-202.7</v>
      </c>
      <c r="C51">
        <v>25</v>
      </c>
      <c r="E51">
        <v>1.571</v>
      </c>
      <c r="F51">
        <v>-202.7</v>
      </c>
      <c r="G51">
        <v>26</v>
      </c>
      <c r="I51">
        <f t="shared" si="0"/>
        <v>1.55</v>
      </c>
      <c r="J51">
        <f t="shared" si="2"/>
        <v>0.300000000000011</v>
      </c>
      <c r="K51">
        <f t="shared" si="1"/>
        <v>0</v>
      </c>
    </row>
    <row r="52" spans="1:11">
      <c r="A52">
        <v>1.638</v>
      </c>
      <c r="B52">
        <v>-202.8</v>
      </c>
      <c r="C52">
        <v>26.1</v>
      </c>
      <c r="E52">
        <v>1.605</v>
      </c>
      <c r="F52">
        <v>-202.7</v>
      </c>
      <c r="G52">
        <v>25</v>
      </c>
      <c r="I52">
        <f t="shared" si="0"/>
        <v>1.6</v>
      </c>
      <c r="J52">
        <f t="shared" si="2"/>
        <v>0.300000000000011</v>
      </c>
      <c r="K52">
        <f t="shared" si="1"/>
        <v>0</v>
      </c>
    </row>
    <row r="53" spans="1:11">
      <c r="A53">
        <v>1.672</v>
      </c>
      <c r="B53">
        <v>-202.7</v>
      </c>
      <c r="C53">
        <v>25.6</v>
      </c>
      <c r="E53">
        <v>1.638</v>
      </c>
      <c r="F53">
        <v>-202.8</v>
      </c>
      <c r="G53">
        <v>26.1</v>
      </c>
      <c r="I53">
        <f t="shared" si="0"/>
        <v>1.6</v>
      </c>
      <c r="J53">
        <f t="shared" si="2"/>
        <v>0.199999999999989</v>
      </c>
      <c r="K53">
        <f t="shared" si="1"/>
        <v>0</v>
      </c>
    </row>
    <row r="54" spans="1:11">
      <c r="A54">
        <v>1.705</v>
      </c>
      <c r="B54">
        <v>-202.7</v>
      </c>
      <c r="C54">
        <v>25.6</v>
      </c>
      <c r="E54">
        <v>1.672</v>
      </c>
      <c r="F54">
        <v>-202.7</v>
      </c>
      <c r="G54">
        <v>25.6</v>
      </c>
      <c r="I54">
        <f t="shared" si="0"/>
        <v>1.65</v>
      </c>
      <c r="J54">
        <f t="shared" si="2"/>
        <v>0.300000000000011</v>
      </c>
      <c r="K54">
        <f t="shared" si="1"/>
        <v>0</v>
      </c>
    </row>
    <row r="55" spans="1:11">
      <c r="A55">
        <v>1.738</v>
      </c>
      <c r="B55">
        <v>-202.7</v>
      </c>
      <c r="C55">
        <v>25.1</v>
      </c>
      <c r="E55">
        <v>1.705</v>
      </c>
      <c r="F55">
        <v>-202.7</v>
      </c>
      <c r="G55">
        <v>25.6</v>
      </c>
      <c r="I55">
        <f t="shared" si="0"/>
        <v>1.7</v>
      </c>
      <c r="J55">
        <f t="shared" si="2"/>
        <v>0.300000000000011</v>
      </c>
      <c r="K55">
        <f t="shared" si="1"/>
        <v>0</v>
      </c>
    </row>
    <row r="56" spans="1:11">
      <c r="A56">
        <v>1.772</v>
      </c>
      <c r="B56">
        <v>-202.7</v>
      </c>
      <c r="C56">
        <v>25.9</v>
      </c>
      <c r="E56">
        <v>1.738</v>
      </c>
      <c r="F56">
        <v>-202.7</v>
      </c>
      <c r="G56">
        <v>25.1</v>
      </c>
      <c r="I56">
        <f t="shared" si="0"/>
        <v>1.7</v>
      </c>
      <c r="J56">
        <f t="shared" si="2"/>
        <v>0.300000000000011</v>
      </c>
      <c r="K56">
        <f t="shared" si="1"/>
        <v>0</v>
      </c>
    </row>
    <row r="57" spans="1:11">
      <c r="A57">
        <v>1.805</v>
      </c>
      <c r="B57">
        <v>-202.8</v>
      </c>
      <c r="C57">
        <v>25.9</v>
      </c>
      <c r="E57">
        <v>1.772</v>
      </c>
      <c r="F57">
        <v>-202.7</v>
      </c>
      <c r="G57">
        <v>25.9</v>
      </c>
      <c r="I57">
        <f t="shared" si="0"/>
        <v>1.75</v>
      </c>
      <c r="J57">
        <f t="shared" si="2"/>
        <v>0.300000000000011</v>
      </c>
      <c r="K57">
        <f t="shared" si="1"/>
        <v>0</v>
      </c>
    </row>
    <row r="58" spans="1:11">
      <c r="A58">
        <v>1.839</v>
      </c>
      <c r="B58">
        <v>-202.7</v>
      </c>
      <c r="C58">
        <v>25.2</v>
      </c>
      <c r="E58">
        <v>1.805</v>
      </c>
      <c r="F58">
        <v>-202.8</v>
      </c>
      <c r="G58">
        <v>25.9</v>
      </c>
      <c r="I58">
        <f t="shared" si="0"/>
        <v>1.8</v>
      </c>
      <c r="J58">
        <f t="shared" si="2"/>
        <v>0.199999999999989</v>
      </c>
      <c r="K58">
        <f t="shared" si="1"/>
        <v>0</v>
      </c>
    </row>
    <row r="59" spans="1:11">
      <c r="A59">
        <v>1.872</v>
      </c>
      <c r="B59">
        <v>-202.7</v>
      </c>
      <c r="C59" s="2">
        <v>26.2</v>
      </c>
      <c r="D59" s="2"/>
      <c r="E59">
        <v>1.839</v>
      </c>
      <c r="F59">
        <v>-202.7</v>
      </c>
      <c r="G59">
        <v>25.2</v>
      </c>
      <c r="I59">
        <f t="shared" si="0"/>
        <v>1.8</v>
      </c>
      <c r="J59">
        <f t="shared" si="2"/>
        <v>0.300000000000011</v>
      </c>
      <c r="K59">
        <f t="shared" si="1"/>
        <v>0</v>
      </c>
    </row>
    <row r="60" spans="1:11">
      <c r="A60">
        <v>1.906</v>
      </c>
      <c r="B60">
        <v>-202.8</v>
      </c>
      <c r="C60" s="2">
        <v>25.6</v>
      </c>
      <c r="D60" s="2"/>
      <c r="E60">
        <v>1.872</v>
      </c>
      <c r="F60">
        <v>-202.7</v>
      </c>
      <c r="G60" s="2">
        <v>26.2</v>
      </c>
      <c r="I60">
        <f t="shared" si="0"/>
        <v>1.85</v>
      </c>
      <c r="J60">
        <f t="shared" si="2"/>
        <v>0.300000000000011</v>
      </c>
      <c r="K60">
        <f t="shared" si="1"/>
        <v>0</v>
      </c>
    </row>
    <row r="61" spans="1:11">
      <c r="A61">
        <v>1.939</v>
      </c>
      <c r="B61">
        <v>-202.7</v>
      </c>
      <c r="C61" s="2">
        <v>26.1</v>
      </c>
      <c r="D61" s="2"/>
      <c r="E61">
        <v>1.906</v>
      </c>
      <c r="F61">
        <v>-202.8</v>
      </c>
      <c r="G61" s="2">
        <v>25.6</v>
      </c>
      <c r="I61">
        <f t="shared" si="0"/>
        <v>1.9</v>
      </c>
      <c r="J61">
        <f t="shared" si="2"/>
        <v>0.199999999999989</v>
      </c>
      <c r="K61">
        <f t="shared" si="1"/>
        <v>0</v>
      </c>
    </row>
    <row r="62" spans="1:11">
      <c r="A62">
        <v>1.972</v>
      </c>
      <c r="B62">
        <v>-202.8</v>
      </c>
      <c r="C62" s="2">
        <v>26.1</v>
      </c>
      <c r="D62" s="2"/>
      <c r="E62">
        <v>1.939</v>
      </c>
      <c r="F62">
        <v>-202.7</v>
      </c>
      <c r="G62" s="2">
        <v>26.1</v>
      </c>
      <c r="I62">
        <f t="shared" si="0"/>
        <v>1.9</v>
      </c>
      <c r="J62">
        <f t="shared" si="2"/>
        <v>0.300000000000011</v>
      </c>
      <c r="K62">
        <f t="shared" si="1"/>
        <v>0</v>
      </c>
    </row>
    <row r="63" spans="1:11">
      <c r="A63">
        <v>2.006</v>
      </c>
      <c r="B63">
        <v>-202.7</v>
      </c>
      <c r="C63" s="2">
        <v>25</v>
      </c>
      <c r="D63" s="2"/>
      <c r="E63">
        <v>1.972</v>
      </c>
      <c r="F63">
        <v>-202.8</v>
      </c>
      <c r="G63" s="2">
        <v>26.1</v>
      </c>
      <c r="I63">
        <f t="shared" si="0"/>
        <v>1.95</v>
      </c>
      <c r="J63">
        <f t="shared" si="2"/>
        <v>0.199999999999989</v>
      </c>
      <c r="K63">
        <f t="shared" si="1"/>
        <v>0</v>
      </c>
    </row>
    <row r="64" spans="1:11">
      <c r="A64">
        <v>2.039</v>
      </c>
      <c r="B64">
        <v>-202.7</v>
      </c>
      <c r="C64" s="2">
        <v>25.4</v>
      </c>
      <c r="D64" s="2"/>
      <c r="E64">
        <v>2.006</v>
      </c>
      <c r="F64">
        <v>-202.7</v>
      </c>
      <c r="G64" s="2">
        <v>25</v>
      </c>
      <c r="I64">
        <f t="shared" si="0"/>
        <v>2</v>
      </c>
      <c r="J64">
        <f t="shared" si="2"/>
        <v>0.300000000000011</v>
      </c>
      <c r="K64">
        <f t="shared" si="1"/>
        <v>0</v>
      </c>
    </row>
    <row r="65" spans="1:11">
      <c r="A65">
        <v>2.073</v>
      </c>
      <c r="B65">
        <v>-202.7</v>
      </c>
      <c r="C65" s="2">
        <v>25.6</v>
      </c>
      <c r="D65" s="2"/>
      <c r="E65">
        <v>2.039</v>
      </c>
      <c r="F65">
        <v>-202.7</v>
      </c>
      <c r="G65" s="2">
        <v>25.4</v>
      </c>
      <c r="I65">
        <f t="shared" si="0"/>
        <v>2</v>
      </c>
      <c r="J65">
        <f t="shared" si="2"/>
        <v>0.300000000000011</v>
      </c>
      <c r="K65">
        <f t="shared" si="1"/>
        <v>0</v>
      </c>
    </row>
    <row r="66" spans="1:11">
      <c r="A66">
        <v>2.106</v>
      </c>
      <c r="B66">
        <v>-202.7</v>
      </c>
      <c r="C66" s="2">
        <v>25.3</v>
      </c>
      <c r="D66" s="2"/>
      <c r="E66">
        <v>2.073</v>
      </c>
      <c r="F66">
        <v>-202.7</v>
      </c>
      <c r="G66" s="2">
        <v>25.6</v>
      </c>
      <c r="I66">
        <f t="shared" si="0"/>
        <v>2.05</v>
      </c>
      <c r="J66">
        <f t="shared" si="2"/>
        <v>0.300000000000011</v>
      </c>
      <c r="K66">
        <f t="shared" si="1"/>
        <v>0</v>
      </c>
    </row>
    <row r="67" spans="1:11">
      <c r="A67">
        <v>2.14</v>
      </c>
      <c r="B67">
        <v>-202.7</v>
      </c>
      <c r="C67" s="2">
        <v>25.7</v>
      </c>
      <c r="D67" s="2"/>
      <c r="E67">
        <v>2.106</v>
      </c>
      <c r="F67">
        <v>-202.7</v>
      </c>
      <c r="G67" s="2">
        <v>25.3</v>
      </c>
      <c r="I67">
        <f t="shared" si="0"/>
        <v>2.1</v>
      </c>
      <c r="J67">
        <f t="shared" si="2"/>
        <v>0.300000000000011</v>
      </c>
      <c r="K67">
        <f t="shared" si="1"/>
        <v>0</v>
      </c>
    </row>
    <row r="68" spans="1:11">
      <c r="A68">
        <v>2.173</v>
      </c>
      <c r="B68">
        <v>-202.7</v>
      </c>
      <c r="C68" s="2">
        <v>26</v>
      </c>
      <c r="D68" s="2"/>
      <c r="E68">
        <v>2.14</v>
      </c>
      <c r="F68">
        <v>-202.7</v>
      </c>
      <c r="G68" s="2">
        <v>25.7</v>
      </c>
      <c r="I68">
        <f t="shared" ref="I68:I131" si="3">FLOOR(E68,0.05)</f>
        <v>2.1</v>
      </c>
      <c r="J68">
        <f t="shared" si="2"/>
        <v>0.300000000000011</v>
      </c>
      <c r="K68">
        <f t="shared" ref="K68:K131" si="4">IF(G68&lt;230,0,5)</f>
        <v>0</v>
      </c>
    </row>
    <row r="69" spans="1:11">
      <c r="A69">
        <v>2.206</v>
      </c>
      <c r="B69">
        <v>-202.8</v>
      </c>
      <c r="C69" s="2">
        <v>26.3</v>
      </c>
      <c r="D69" s="2"/>
      <c r="E69">
        <v>2.173</v>
      </c>
      <c r="F69">
        <v>-202.7</v>
      </c>
      <c r="G69" s="2">
        <v>26</v>
      </c>
      <c r="I69">
        <f t="shared" si="3"/>
        <v>2.15</v>
      </c>
      <c r="J69">
        <f t="shared" ref="J69:J132" si="5">F69+203</f>
        <v>0.300000000000011</v>
      </c>
      <c r="K69">
        <f t="shared" si="4"/>
        <v>0</v>
      </c>
    </row>
    <row r="70" spans="1:11">
      <c r="A70">
        <v>2.24</v>
      </c>
      <c r="B70">
        <v>-202.8</v>
      </c>
      <c r="C70" s="2">
        <v>25.9</v>
      </c>
      <c r="D70" s="2"/>
      <c r="E70">
        <v>2.206</v>
      </c>
      <c r="F70">
        <v>-202.8</v>
      </c>
      <c r="G70" s="2">
        <v>26.3</v>
      </c>
      <c r="I70">
        <f t="shared" si="3"/>
        <v>2.2</v>
      </c>
      <c r="J70">
        <f t="shared" si="5"/>
        <v>0.199999999999989</v>
      </c>
      <c r="K70">
        <f t="shared" si="4"/>
        <v>0</v>
      </c>
    </row>
    <row r="71" spans="1:11">
      <c r="A71">
        <v>2.273</v>
      </c>
      <c r="B71">
        <v>-202.7</v>
      </c>
      <c r="C71" s="2">
        <v>25.9</v>
      </c>
      <c r="D71" s="2"/>
      <c r="E71">
        <v>2.24</v>
      </c>
      <c r="F71">
        <v>-202.8</v>
      </c>
      <c r="G71" s="2">
        <v>25.9</v>
      </c>
      <c r="I71">
        <f t="shared" si="3"/>
        <v>2.2</v>
      </c>
      <c r="J71">
        <f t="shared" si="5"/>
        <v>0.199999999999989</v>
      </c>
      <c r="K71">
        <f t="shared" si="4"/>
        <v>0</v>
      </c>
    </row>
    <row r="72" spans="1:11">
      <c r="A72">
        <v>2.307</v>
      </c>
      <c r="B72">
        <v>-202.7</v>
      </c>
      <c r="C72" s="2">
        <v>25.6</v>
      </c>
      <c r="D72" s="2"/>
      <c r="E72">
        <v>2.273</v>
      </c>
      <c r="F72">
        <v>-202.7</v>
      </c>
      <c r="G72" s="2">
        <v>25.9</v>
      </c>
      <c r="I72">
        <f t="shared" si="3"/>
        <v>2.25</v>
      </c>
      <c r="J72">
        <f t="shared" si="5"/>
        <v>0.300000000000011</v>
      </c>
      <c r="K72">
        <f t="shared" si="4"/>
        <v>0</v>
      </c>
    </row>
    <row r="73" spans="1:11">
      <c r="A73">
        <v>2.34</v>
      </c>
      <c r="B73">
        <v>-202.8</v>
      </c>
      <c r="C73" s="2">
        <v>25.4</v>
      </c>
      <c r="D73" s="2"/>
      <c r="E73">
        <v>2.307</v>
      </c>
      <c r="F73">
        <v>-202.7</v>
      </c>
      <c r="G73" s="2">
        <v>25.6</v>
      </c>
      <c r="I73">
        <f t="shared" si="3"/>
        <v>2.3</v>
      </c>
      <c r="J73">
        <f t="shared" si="5"/>
        <v>0.300000000000011</v>
      </c>
      <c r="K73">
        <f t="shared" si="4"/>
        <v>0</v>
      </c>
    </row>
    <row r="74" spans="1:11">
      <c r="A74">
        <v>2.374</v>
      </c>
      <c r="B74">
        <v>-202.8</v>
      </c>
      <c r="C74" s="2">
        <v>25.4</v>
      </c>
      <c r="D74" s="2"/>
      <c r="E74">
        <v>2.34</v>
      </c>
      <c r="F74">
        <v>-202.8</v>
      </c>
      <c r="G74" s="2">
        <v>25.4</v>
      </c>
      <c r="I74">
        <f t="shared" si="3"/>
        <v>2.3</v>
      </c>
      <c r="J74">
        <f t="shared" si="5"/>
        <v>0.199999999999989</v>
      </c>
      <c r="K74">
        <f t="shared" si="4"/>
        <v>0</v>
      </c>
    </row>
    <row r="75" spans="1:11">
      <c r="A75">
        <v>2.407</v>
      </c>
      <c r="B75">
        <v>-202.7</v>
      </c>
      <c r="C75" s="2">
        <v>25.9</v>
      </c>
      <c r="D75" s="2"/>
      <c r="E75">
        <v>2.374</v>
      </c>
      <c r="F75">
        <v>-202.8</v>
      </c>
      <c r="G75" s="2">
        <v>25.4</v>
      </c>
      <c r="I75">
        <f t="shared" si="3"/>
        <v>2.35</v>
      </c>
      <c r="J75">
        <f t="shared" si="5"/>
        <v>0.199999999999989</v>
      </c>
      <c r="K75">
        <f t="shared" si="4"/>
        <v>0</v>
      </c>
    </row>
    <row r="76" spans="1:11">
      <c r="A76">
        <v>2.44</v>
      </c>
      <c r="B76">
        <v>-202.7</v>
      </c>
      <c r="C76" s="2">
        <v>25.8</v>
      </c>
      <c r="D76" s="2"/>
      <c r="E76">
        <v>2.407</v>
      </c>
      <c r="F76">
        <v>-202.7</v>
      </c>
      <c r="G76" s="2">
        <v>25.9</v>
      </c>
      <c r="I76">
        <f t="shared" si="3"/>
        <v>2.4</v>
      </c>
      <c r="J76">
        <f t="shared" si="5"/>
        <v>0.300000000000011</v>
      </c>
      <c r="K76">
        <f t="shared" si="4"/>
        <v>0</v>
      </c>
    </row>
    <row r="77" spans="1:11">
      <c r="A77">
        <v>2.474</v>
      </c>
      <c r="B77">
        <v>-202.8</v>
      </c>
      <c r="C77" s="2">
        <v>25.5</v>
      </c>
      <c r="D77" s="2"/>
      <c r="E77">
        <v>2.44</v>
      </c>
      <c r="F77">
        <v>-202.7</v>
      </c>
      <c r="G77" s="2">
        <v>25.8</v>
      </c>
      <c r="I77">
        <f t="shared" si="3"/>
        <v>2.4</v>
      </c>
      <c r="J77">
        <f t="shared" si="5"/>
        <v>0.300000000000011</v>
      </c>
      <c r="K77">
        <f t="shared" si="4"/>
        <v>0</v>
      </c>
    </row>
    <row r="78" spans="1:11">
      <c r="A78">
        <v>2.507</v>
      </c>
      <c r="B78">
        <v>-202.7</v>
      </c>
      <c r="C78" s="2">
        <v>25.6</v>
      </c>
      <c r="D78" s="2"/>
      <c r="E78">
        <v>2.474</v>
      </c>
      <c r="F78">
        <v>-202.8</v>
      </c>
      <c r="G78" s="2">
        <v>25.5</v>
      </c>
      <c r="I78">
        <f t="shared" si="3"/>
        <v>2.45</v>
      </c>
      <c r="J78">
        <f t="shared" si="5"/>
        <v>0.199999999999989</v>
      </c>
      <c r="K78">
        <f t="shared" si="4"/>
        <v>0</v>
      </c>
    </row>
    <row r="79" spans="1:11">
      <c r="A79">
        <v>2.541</v>
      </c>
      <c r="B79">
        <v>-202.7</v>
      </c>
      <c r="C79" s="2">
        <v>26.6</v>
      </c>
      <c r="D79" s="2"/>
      <c r="E79">
        <v>2.507</v>
      </c>
      <c r="F79">
        <v>-202.7</v>
      </c>
      <c r="G79" s="2">
        <v>25.6</v>
      </c>
      <c r="I79">
        <f t="shared" si="3"/>
        <v>2.5</v>
      </c>
      <c r="J79">
        <f t="shared" si="5"/>
        <v>0.300000000000011</v>
      </c>
      <c r="K79">
        <f t="shared" si="4"/>
        <v>0</v>
      </c>
    </row>
    <row r="80" spans="1:11">
      <c r="A80">
        <v>2.574</v>
      </c>
      <c r="B80">
        <v>-202.7</v>
      </c>
      <c r="C80" s="2">
        <v>102.3</v>
      </c>
      <c r="D80" s="2"/>
      <c r="E80">
        <v>2.541</v>
      </c>
      <c r="F80">
        <v>-202.7</v>
      </c>
      <c r="G80" s="2">
        <v>26.6</v>
      </c>
      <c r="I80">
        <f t="shared" si="3"/>
        <v>2.5</v>
      </c>
      <c r="J80">
        <f t="shared" si="5"/>
        <v>0.300000000000011</v>
      </c>
      <c r="K80">
        <f t="shared" si="4"/>
        <v>0</v>
      </c>
    </row>
    <row r="81" spans="1:11">
      <c r="A81">
        <v>2.608</v>
      </c>
      <c r="B81">
        <v>-202.7</v>
      </c>
      <c r="C81" s="2">
        <v>236.4</v>
      </c>
      <c r="D81" s="2"/>
      <c r="E81">
        <v>2.574</v>
      </c>
      <c r="F81">
        <v>-202.7</v>
      </c>
      <c r="G81" s="2">
        <v>102.3</v>
      </c>
      <c r="I81">
        <f t="shared" si="3"/>
        <v>2.55</v>
      </c>
      <c r="J81">
        <f t="shared" si="5"/>
        <v>0.300000000000011</v>
      </c>
      <c r="K81">
        <f t="shared" si="4"/>
        <v>0</v>
      </c>
    </row>
    <row r="82" spans="1:11">
      <c r="A82">
        <v>2.641</v>
      </c>
      <c r="B82">
        <v>-202.7</v>
      </c>
      <c r="C82" s="2">
        <v>236.8</v>
      </c>
      <c r="D82" s="2"/>
      <c r="E82">
        <v>2.608</v>
      </c>
      <c r="F82">
        <v>-202.7</v>
      </c>
      <c r="G82" s="2">
        <v>236.4</v>
      </c>
      <c r="I82">
        <f t="shared" si="3"/>
        <v>2.6</v>
      </c>
      <c r="J82">
        <f t="shared" si="5"/>
        <v>0.300000000000011</v>
      </c>
      <c r="K82">
        <f t="shared" si="4"/>
        <v>5</v>
      </c>
    </row>
    <row r="83" spans="1:11">
      <c r="A83">
        <v>2.674</v>
      </c>
      <c r="B83">
        <v>-202.7</v>
      </c>
      <c r="C83" s="2">
        <v>237</v>
      </c>
      <c r="D83" s="2"/>
      <c r="E83">
        <v>2.641</v>
      </c>
      <c r="F83">
        <v>-202.7</v>
      </c>
      <c r="G83" s="2">
        <v>236.8</v>
      </c>
      <c r="I83">
        <f t="shared" si="3"/>
        <v>2.6</v>
      </c>
      <c r="J83">
        <f t="shared" si="5"/>
        <v>0.300000000000011</v>
      </c>
      <c r="K83">
        <f t="shared" si="4"/>
        <v>5</v>
      </c>
    </row>
    <row r="84" spans="1:11">
      <c r="A84">
        <v>2.708</v>
      </c>
      <c r="B84">
        <v>-202.6</v>
      </c>
      <c r="C84" s="2">
        <v>236.9</v>
      </c>
      <c r="D84" s="2"/>
      <c r="E84">
        <v>2.674</v>
      </c>
      <c r="F84">
        <v>-202.7</v>
      </c>
      <c r="G84" s="2">
        <v>237</v>
      </c>
      <c r="I84">
        <f t="shared" si="3"/>
        <v>2.65</v>
      </c>
      <c r="J84">
        <f t="shared" si="5"/>
        <v>0.300000000000011</v>
      </c>
      <c r="K84">
        <f t="shared" si="4"/>
        <v>5</v>
      </c>
    </row>
    <row r="85" spans="1:11">
      <c r="A85">
        <v>2.741</v>
      </c>
      <c r="B85">
        <v>-202.7</v>
      </c>
      <c r="C85" s="2">
        <v>236.8</v>
      </c>
      <c r="D85" s="2"/>
      <c r="E85">
        <v>2.708</v>
      </c>
      <c r="F85">
        <v>-202.6</v>
      </c>
      <c r="G85" s="2">
        <v>236.9</v>
      </c>
      <c r="I85">
        <f t="shared" si="3"/>
        <v>2.7</v>
      </c>
      <c r="J85">
        <f t="shared" si="5"/>
        <v>0.400000000000006</v>
      </c>
      <c r="K85">
        <f t="shared" si="4"/>
        <v>5</v>
      </c>
    </row>
    <row r="86" spans="1:11">
      <c r="A86">
        <v>2.775</v>
      </c>
      <c r="B86">
        <v>-202.6</v>
      </c>
      <c r="C86" s="2">
        <v>236.6</v>
      </c>
      <c r="D86" s="2"/>
      <c r="E86">
        <v>2.741</v>
      </c>
      <c r="F86">
        <v>-202.7</v>
      </c>
      <c r="G86" s="2">
        <v>236.8</v>
      </c>
      <c r="I86">
        <f t="shared" si="3"/>
        <v>2.7</v>
      </c>
      <c r="J86">
        <f t="shared" si="5"/>
        <v>0.300000000000011</v>
      </c>
      <c r="K86">
        <f t="shared" si="4"/>
        <v>5</v>
      </c>
    </row>
    <row r="87" spans="1:11">
      <c r="A87">
        <v>2.808</v>
      </c>
      <c r="B87">
        <v>-202.5</v>
      </c>
      <c r="C87" s="2">
        <v>236.7</v>
      </c>
      <c r="D87" s="2"/>
      <c r="E87">
        <v>2.775</v>
      </c>
      <c r="F87">
        <v>-202.6</v>
      </c>
      <c r="G87" s="2">
        <v>236.6</v>
      </c>
      <c r="I87">
        <f t="shared" si="3"/>
        <v>2.75</v>
      </c>
      <c r="J87">
        <f t="shared" si="5"/>
        <v>0.400000000000006</v>
      </c>
      <c r="K87">
        <f t="shared" si="4"/>
        <v>5</v>
      </c>
    </row>
    <row r="88" spans="1:11">
      <c r="A88">
        <v>2.842</v>
      </c>
      <c r="B88">
        <v>-202.4</v>
      </c>
      <c r="C88" s="2">
        <v>236.9</v>
      </c>
      <c r="D88" s="2"/>
      <c r="E88">
        <v>2.808</v>
      </c>
      <c r="F88">
        <v>-202.5</v>
      </c>
      <c r="G88" s="2">
        <v>236.7</v>
      </c>
      <c r="I88">
        <f t="shared" si="3"/>
        <v>2.8</v>
      </c>
      <c r="J88">
        <f t="shared" si="5"/>
        <v>0.5</v>
      </c>
      <c r="K88">
        <f t="shared" si="4"/>
        <v>5</v>
      </c>
    </row>
    <row r="89" spans="1:11">
      <c r="A89">
        <v>2.875</v>
      </c>
      <c r="B89">
        <v>-202.5</v>
      </c>
      <c r="C89">
        <v>237</v>
      </c>
      <c r="E89">
        <v>2.842</v>
      </c>
      <c r="F89">
        <v>-202.4</v>
      </c>
      <c r="G89" s="2">
        <v>236.9</v>
      </c>
      <c r="I89">
        <f t="shared" si="3"/>
        <v>2.8</v>
      </c>
      <c r="J89">
        <f t="shared" si="5"/>
        <v>0.599999999999994</v>
      </c>
      <c r="K89">
        <f t="shared" si="4"/>
        <v>5</v>
      </c>
    </row>
    <row r="90" spans="1:11">
      <c r="A90">
        <v>2.908</v>
      </c>
      <c r="B90">
        <v>-202.4</v>
      </c>
      <c r="C90">
        <v>237.1</v>
      </c>
      <c r="E90">
        <v>2.875</v>
      </c>
      <c r="F90">
        <v>-202.5</v>
      </c>
      <c r="G90">
        <v>237</v>
      </c>
      <c r="I90">
        <f t="shared" si="3"/>
        <v>2.85</v>
      </c>
      <c r="J90">
        <f t="shared" si="5"/>
        <v>0.5</v>
      </c>
      <c r="K90">
        <f t="shared" si="4"/>
        <v>5</v>
      </c>
    </row>
    <row r="91" spans="1:11">
      <c r="A91">
        <v>2.942</v>
      </c>
      <c r="B91">
        <v>-202.4</v>
      </c>
      <c r="C91">
        <v>236.7</v>
      </c>
      <c r="E91">
        <v>2.908</v>
      </c>
      <c r="F91">
        <v>-202.4</v>
      </c>
      <c r="G91">
        <v>237.1</v>
      </c>
      <c r="I91">
        <f t="shared" si="3"/>
        <v>2.9</v>
      </c>
      <c r="J91">
        <f t="shared" si="5"/>
        <v>0.599999999999994</v>
      </c>
      <c r="K91">
        <f t="shared" si="4"/>
        <v>5</v>
      </c>
    </row>
    <row r="92" spans="1:11">
      <c r="A92">
        <v>2.975</v>
      </c>
      <c r="B92">
        <v>-202.3</v>
      </c>
      <c r="C92">
        <v>236.8</v>
      </c>
      <c r="E92">
        <v>2.942</v>
      </c>
      <c r="F92">
        <v>-202.4</v>
      </c>
      <c r="G92">
        <v>236.7</v>
      </c>
      <c r="I92">
        <f t="shared" si="3"/>
        <v>2.9</v>
      </c>
      <c r="J92">
        <f t="shared" si="5"/>
        <v>0.599999999999994</v>
      </c>
      <c r="K92">
        <f t="shared" si="4"/>
        <v>5</v>
      </c>
    </row>
    <row r="93" spans="1:11">
      <c r="A93">
        <v>3.009</v>
      </c>
      <c r="B93">
        <v>-202.4</v>
      </c>
      <c r="C93">
        <v>236.9</v>
      </c>
      <c r="E93">
        <v>2.975</v>
      </c>
      <c r="F93">
        <v>-202.3</v>
      </c>
      <c r="G93">
        <v>236.8</v>
      </c>
      <c r="I93">
        <f t="shared" si="3"/>
        <v>2.95</v>
      </c>
      <c r="J93">
        <f t="shared" si="5"/>
        <v>0.699999999999989</v>
      </c>
      <c r="K93">
        <f t="shared" si="4"/>
        <v>5</v>
      </c>
    </row>
    <row r="94" spans="1:11">
      <c r="A94">
        <v>3.042</v>
      </c>
      <c r="B94">
        <v>-202.2</v>
      </c>
      <c r="C94">
        <v>236.9</v>
      </c>
      <c r="E94">
        <v>3.009</v>
      </c>
      <c r="F94">
        <v>-202.4</v>
      </c>
      <c r="G94">
        <v>236.9</v>
      </c>
      <c r="I94">
        <f t="shared" si="3"/>
        <v>3</v>
      </c>
      <c r="J94">
        <f t="shared" si="5"/>
        <v>0.599999999999994</v>
      </c>
      <c r="K94">
        <f t="shared" si="4"/>
        <v>5</v>
      </c>
    </row>
    <row r="95" spans="1:11">
      <c r="A95">
        <v>3.076</v>
      </c>
      <c r="B95">
        <v>-202</v>
      </c>
      <c r="C95">
        <v>236.9</v>
      </c>
      <c r="E95">
        <v>3.042</v>
      </c>
      <c r="F95">
        <v>-202.2</v>
      </c>
      <c r="G95">
        <v>236.9</v>
      </c>
      <c r="I95">
        <f t="shared" si="3"/>
        <v>3</v>
      </c>
      <c r="J95">
        <f t="shared" si="5"/>
        <v>0.800000000000011</v>
      </c>
      <c r="K95">
        <f t="shared" si="4"/>
        <v>5</v>
      </c>
    </row>
    <row r="96" spans="1:11">
      <c r="A96">
        <v>3.109</v>
      </c>
      <c r="B96">
        <v>-201.8</v>
      </c>
      <c r="C96">
        <v>237</v>
      </c>
      <c r="E96">
        <v>3.076</v>
      </c>
      <c r="F96">
        <v>-202</v>
      </c>
      <c r="G96">
        <v>236.9</v>
      </c>
      <c r="I96">
        <f t="shared" si="3"/>
        <v>3.05</v>
      </c>
      <c r="J96">
        <f t="shared" si="5"/>
        <v>1</v>
      </c>
      <c r="K96">
        <f t="shared" si="4"/>
        <v>5</v>
      </c>
    </row>
    <row r="97" spans="1:11">
      <c r="A97">
        <v>3.142</v>
      </c>
      <c r="B97">
        <v>-201.8</v>
      </c>
      <c r="C97">
        <v>236.9</v>
      </c>
      <c r="E97">
        <v>3.109</v>
      </c>
      <c r="F97">
        <v>-201.8</v>
      </c>
      <c r="G97">
        <v>237</v>
      </c>
      <c r="I97">
        <f t="shared" si="3"/>
        <v>3.1</v>
      </c>
      <c r="J97">
        <f t="shared" si="5"/>
        <v>1.19999999999999</v>
      </c>
      <c r="K97">
        <f t="shared" si="4"/>
        <v>5</v>
      </c>
    </row>
    <row r="98" spans="1:11">
      <c r="A98">
        <v>3.176</v>
      </c>
      <c r="B98">
        <v>-201.7</v>
      </c>
      <c r="C98">
        <v>237.1</v>
      </c>
      <c r="E98">
        <v>3.142</v>
      </c>
      <c r="F98">
        <v>-201.8</v>
      </c>
      <c r="G98">
        <v>236.9</v>
      </c>
      <c r="I98">
        <f t="shared" si="3"/>
        <v>3.1</v>
      </c>
      <c r="J98">
        <f t="shared" si="5"/>
        <v>1.19999999999999</v>
      </c>
      <c r="K98">
        <f t="shared" si="4"/>
        <v>5</v>
      </c>
    </row>
    <row r="99" spans="1:11">
      <c r="A99">
        <v>3.209</v>
      </c>
      <c r="B99">
        <v>-201.7</v>
      </c>
      <c r="C99">
        <v>237.1</v>
      </c>
      <c r="E99">
        <v>3.176</v>
      </c>
      <c r="F99">
        <v>-201.7</v>
      </c>
      <c r="G99">
        <v>237.1</v>
      </c>
      <c r="I99">
        <f t="shared" si="3"/>
        <v>3.15</v>
      </c>
      <c r="J99">
        <f t="shared" si="5"/>
        <v>1.30000000000001</v>
      </c>
      <c r="K99">
        <f t="shared" si="4"/>
        <v>5</v>
      </c>
    </row>
    <row r="100" spans="1:11">
      <c r="A100">
        <v>3.243</v>
      </c>
      <c r="B100">
        <v>-201.7</v>
      </c>
      <c r="C100">
        <v>237</v>
      </c>
      <c r="E100">
        <v>3.209</v>
      </c>
      <c r="F100">
        <v>-201.7</v>
      </c>
      <c r="G100">
        <v>237.1</v>
      </c>
      <c r="I100">
        <f t="shared" si="3"/>
        <v>3.2</v>
      </c>
      <c r="J100">
        <f t="shared" si="5"/>
        <v>1.30000000000001</v>
      </c>
      <c r="K100">
        <f t="shared" si="4"/>
        <v>5</v>
      </c>
    </row>
    <row r="101" spans="1:11">
      <c r="A101">
        <v>3.276</v>
      </c>
      <c r="B101">
        <v>-201.7</v>
      </c>
      <c r="C101">
        <v>236.9</v>
      </c>
      <c r="E101">
        <v>3.243</v>
      </c>
      <c r="F101">
        <v>-201.7</v>
      </c>
      <c r="G101">
        <v>237</v>
      </c>
      <c r="I101">
        <f t="shared" si="3"/>
        <v>3.2</v>
      </c>
      <c r="J101">
        <f t="shared" si="5"/>
        <v>1.30000000000001</v>
      </c>
      <c r="K101">
        <f t="shared" si="4"/>
        <v>5</v>
      </c>
    </row>
    <row r="102" spans="1:11">
      <c r="A102">
        <v>3.31</v>
      </c>
      <c r="B102">
        <v>-201.7</v>
      </c>
      <c r="C102">
        <v>236.8</v>
      </c>
      <c r="E102">
        <v>3.276</v>
      </c>
      <c r="F102">
        <v>-201.7</v>
      </c>
      <c r="G102">
        <v>236.9</v>
      </c>
      <c r="I102">
        <f t="shared" si="3"/>
        <v>3.25</v>
      </c>
      <c r="J102">
        <f t="shared" si="5"/>
        <v>1.30000000000001</v>
      </c>
      <c r="K102">
        <f t="shared" si="4"/>
        <v>5</v>
      </c>
    </row>
    <row r="103" spans="1:11">
      <c r="A103">
        <v>3.343</v>
      </c>
      <c r="B103">
        <v>-201.6</v>
      </c>
      <c r="C103">
        <v>200.3</v>
      </c>
      <c r="E103">
        <v>3.31</v>
      </c>
      <c r="F103">
        <v>-201.7</v>
      </c>
      <c r="G103">
        <v>236.8</v>
      </c>
      <c r="I103">
        <f t="shared" si="3"/>
        <v>3.3</v>
      </c>
      <c r="J103">
        <f t="shared" si="5"/>
        <v>1.30000000000001</v>
      </c>
      <c r="K103">
        <f t="shared" si="4"/>
        <v>5</v>
      </c>
    </row>
    <row r="104" spans="1:11">
      <c r="A104">
        <v>3.376</v>
      </c>
      <c r="B104">
        <v>-201.6</v>
      </c>
      <c r="C104">
        <v>60</v>
      </c>
      <c r="E104">
        <v>3.343</v>
      </c>
      <c r="F104">
        <v>-201.6</v>
      </c>
      <c r="G104">
        <v>200.3</v>
      </c>
      <c r="I104">
        <f t="shared" si="3"/>
        <v>3.3</v>
      </c>
      <c r="J104">
        <f t="shared" si="5"/>
        <v>1.40000000000001</v>
      </c>
      <c r="K104">
        <f t="shared" si="4"/>
        <v>0</v>
      </c>
    </row>
    <row r="105" spans="1:11">
      <c r="A105">
        <v>3.41</v>
      </c>
      <c r="B105">
        <v>-201.7</v>
      </c>
      <c r="C105">
        <v>59.8</v>
      </c>
      <c r="E105">
        <v>3.376</v>
      </c>
      <c r="F105">
        <v>-201.6</v>
      </c>
      <c r="G105">
        <v>60</v>
      </c>
      <c r="I105">
        <f t="shared" si="3"/>
        <v>3.35</v>
      </c>
      <c r="J105">
        <f t="shared" si="5"/>
        <v>1.40000000000001</v>
      </c>
      <c r="K105">
        <f t="shared" si="4"/>
        <v>0</v>
      </c>
    </row>
    <row r="106" spans="1:11">
      <c r="A106">
        <v>3.443</v>
      </c>
      <c r="B106">
        <v>-201.7</v>
      </c>
      <c r="C106">
        <v>59.7</v>
      </c>
      <c r="E106">
        <v>3.41</v>
      </c>
      <c r="F106">
        <v>-201.7</v>
      </c>
      <c r="G106">
        <v>59.8</v>
      </c>
      <c r="I106">
        <f t="shared" si="3"/>
        <v>3.4</v>
      </c>
      <c r="J106">
        <f t="shared" si="5"/>
        <v>1.30000000000001</v>
      </c>
      <c r="K106">
        <f t="shared" si="4"/>
        <v>0</v>
      </c>
    </row>
    <row r="107" spans="1:11">
      <c r="A107">
        <v>3.477</v>
      </c>
      <c r="B107">
        <v>-201.7</v>
      </c>
      <c r="C107">
        <v>59.4</v>
      </c>
      <c r="E107">
        <v>3.443</v>
      </c>
      <c r="F107">
        <v>-201.7</v>
      </c>
      <c r="G107">
        <v>59.7</v>
      </c>
      <c r="I107">
        <f t="shared" si="3"/>
        <v>3.4</v>
      </c>
      <c r="J107">
        <f t="shared" si="5"/>
        <v>1.30000000000001</v>
      </c>
      <c r="K107">
        <f t="shared" si="4"/>
        <v>0</v>
      </c>
    </row>
    <row r="108" spans="1:11">
      <c r="A108">
        <v>3.51</v>
      </c>
      <c r="B108">
        <v>-201.7</v>
      </c>
      <c r="C108">
        <v>59.4</v>
      </c>
      <c r="E108">
        <v>3.477</v>
      </c>
      <c r="F108">
        <v>-201.7</v>
      </c>
      <c r="G108">
        <v>59.4</v>
      </c>
      <c r="I108">
        <f t="shared" si="3"/>
        <v>3.45</v>
      </c>
      <c r="J108">
        <f t="shared" si="5"/>
        <v>1.30000000000001</v>
      </c>
      <c r="K108">
        <f t="shared" si="4"/>
        <v>0</v>
      </c>
    </row>
    <row r="109" spans="1:11">
      <c r="A109">
        <v>3.544</v>
      </c>
      <c r="B109">
        <v>-201.7</v>
      </c>
      <c r="C109">
        <v>59</v>
      </c>
      <c r="E109">
        <v>3.51</v>
      </c>
      <c r="F109">
        <v>-201.7</v>
      </c>
      <c r="G109">
        <v>59.4</v>
      </c>
      <c r="I109">
        <f t="shared" si="3"/>
        <v>3.5</v>
      </c>
      <c r="J109">
        <f t="shared" si="5"/>
        <v>1.30000000000001</v>
      </c>
      <c r="K109">
        <f t="shared" si="4"/>
        <v>0</v>
      </c>
    </row>
    <row r="110" spans="1:11">
      <c r="A110">
        <v>3.577</v>
      </c>
      <c r="B110">
        <v>-201.8</v>
      </c>
      <c r="C110">
        <v>59.2</v>
      </c>
      <c r="E110">
        <v>3.544</v>
      </c>
      <c r="F110">
        <v>-201.7</v>
      </c>
      <c r="G110">
        <v>59</v>
      </c>
      <c r="I110">
        <f t="shared" si="3"/>
        <v>3.5</v>
      </c>
      <c r="J110">
        <f t="shared" si="5"/>
        <v>1.30000000000001</v>
      </c>
      <c r="K110">
        <f t="shared" si="4"/>
        <v>0</v>
      </c>
    </row>
    <row r="111" spans="1:11">
      <c r="A111">
        <v>3.61</v>
      </c>
      <c r="B111">
        <v>-201.7</v>
      </c>
      <c r="C111">
        <v>58.8</v>
      </c>
      <c r="E111">
        <v>3.577</v>
      </c>
      <c r="F111">
        <v>-201.8</v>
      </c>
      <c r="G111">
        <v>59.2</v>
      </c>
      <c r="I111">
        <f t="shared" si="3"/>
        <v>3.55</v>
      </c>
      <c r="J111">
        <f t="shared" si="5"/>
        <v>1.19999999999999</v>
      </c>
      <c r="K111">
        <f t="shared" si="4"/>
        <v>0</v>
      </c>
    </row>
    <row r="112" spans="1:11">
      <c r="A112">
        <v>3.644</v>
      </c>
      <c r="B112">
        <v>-201.8</v>
      </c>
      <c r="C112">
        <v>58.4</v>
      </c>
      <c r="E112">
        <v>3.61</v>
      </c>
      <c r="F112">
        <v>-201.7</v>
      </c>
      <c r="G112">
        <v>58.8</v>
      </c>
      <c r="I112">
        <f t="shared" si="3"/>
        <v>3.6</v>
      </c>
      <c r="J112">
        <f t="shared" si="5"/>
        <v>1.30000000000001</v>
      </c>
      <c r="K112">
        <f t="shared" si="4"/>
        <v>0</v>
      </c>
    </row>
    <row r="113" spans="1:11">
      <c r="A113">
        <v>3.677</v>
      </c>
      <c r="B113">
        <v>-201.8</v>
      </c>
      <c r="C113">
        <v>58.1</v>
      </c>
      <c r="E113">
        <v>3.644</v>
      </c>
      <c r="F113">
        <v>-201.8</v>
      </c>
      <c r="G113">
        <v>58.4</v>
      </c>
      <c r="I113">
        <f t="shared" si="3"/>
        <v>3.6</v>
      </c>
      <c r="J113">
        <f t="shared" si="5"/>
        <v>1.19999999999999</v>
      </c>
      <c r="K113">
        <f t="shared" si="4"/>
        <v>0</v>
      </c>
    </row>
    <row r="114" spans="1:11">
      <c r="A114">
        <v>3.711</v>
      </c>
      <c r="B114">
        <v>-201.7</v>
      </c>
      <c r="C114">
        <v>56.9</v>
      </c>
      <c r="E114">
        <v>3.677</v>
      </c>
      <c r="F114">
        <v>-201.8</v>
      </c>
      <c r="G114">
        <v>58.1</v>
      </c>
      <c r="I114">
        <f t="shared" si="3"/>
        <v>3.65</v>
      </c>
      <c r="J114">
        <f t="shared" si="5"/>
        <v>1.19999999999999</v>
      </c>
      <c r="K114">
        <f t="shared" si="4"/>
        <v>0</v>
      </c>
    </row>
    <row r="115" spans="1:11">
      <c r="A115">
        <v>3.744</v>
      </c>
      <c r="B115">
        <v>-201.8</v>
      </c>
      <c r="C115">
        <v>56.3</v>
      </c>
      <c r="E115">
        <v>3.711</v>
      </c>
      <c r="F115">
        <v>-201.7</v>
      </c>
      <c r="G115">
        <v>56.9</v>
      </c>
      <c r="I115">
        <f t="shared" si="3"/>
        <v>3.7</v>
      </c>
      <c r="J115">
        <f t="shared" si="5"/>
        <v>1.30000000000001</v>
      </c>
      <c r="K115">
        <f t="shared" si="4"/>
        <v>0</v>
      </c>
    </row>
    <row r="116" spans="1:11">
      <c r="A116">
        <v>3.778</v>
      </c>
      <c r="B116">
        <v>-201.8</v>
      </c>
      <c r="C116">
        <v>55.8</v>
      </c>
      <c r="E116">
        <v>3.744</v>
      </c>
      <c r="F116">
        <v>-201.8</v>
      </c>
      <c r="G116">
        <v>56.3</v>
      </c>
      <c r="I116">
        <f t="shared" si="3"/>
        <v>3.7</v>
      </c>
      <c r="J116">
        <f t="shared" si="5"/>
        <v>1.19999999999999</v>
      </c>
      <c r="K116">
        <f t="shared" si="4"/>
        <v>0</v>
      </c>
    </row>
    <row r="117" spans="1:11">
      <c r="A117">
        <v>3.811</v>
      </c>
      <c r="B117">
        <v>-201.8</v>
      </c>
      <c r="C117">
        <v>54.8</v>
      </c>
      <c r="E117">
        <v>3.778</v>
      </c>
      <c r="F117">
        <v>-201.8</v>
      </c>
      <c r="G117">
        <v>55.8</v>
      </c>
      <c r="I117">
        <f t="shared" si="3"/>
        <v>3.75</v>
      </c>
      <c r="J117">
        <f t="shared" si="5"/>
        <v>1.19999999999999</v>
      </c>
      <c r="K117">
        <f t="shared" si="4"/>
        <v>0</v>
      </c>
    </row>
    <row r="118" spans="1:11">
      <c r="A118">
        <v>3.844</v>
      </c>
      <c r="B118">
        <v>-201.7</v>
      </c>
      <c r="C118">
        <v>53.7</v>
      </c>
      <c r="E118">
        <v>3.811</v>
      </c>
      <c r="F118">
        <v>-201.8</v>
      </c>
      <c r="G118">
        <v>54.8</v>
      </c>
      <c r="I118">
        <f t="shared" si="3"/>
        <v>3.8</v>
      </c>
      <c r="J118">
        <f t="shared" si="5"/>
        <v>1.19999999999999</v>
      </c>
      <c r="K118">
        <f t="shared" si="4"/>
        <v>0</v>
      </c>
    </row>
    <row r="119" spans="1:11">
      <c r="A119">
        <v>3.878</v>
      </c>
      <c r="B119">
        <v>-201.8</v>
      </c>
      <c r="C119">
        <v>53.1</v>
      </c>
      <c r="E119">
        <v>3.844</v>
      </c>
      <c r="F119">
        <v>-201.7</v>
      </c>
      <c r="G119">
        <v>53.7</v>
      </c>
      <c r="I119">
        <f t="shared" si="3"/>
        <v>3.8</v>
      </c>
      <c r="J119">
        <f t="shared" si="5"/>
        <v>1.30000000000001</v>
      </c>
      <c r="K119">
        <f t="shared" si="4"/>
        <v>0</v>
      </c>
    </row>
    <row r="120" spans="1:11">
      <c r="A120">
        <v>3.911</v>
      </c>
      <c r="B120">
        <v>-201.8</v>
      </c>
      <c r="C120">
        <v>51.9</v>
      </c>
      <c r="E120">
        <v>3.878</v>
      </c>
      <c r="F120">
        <v>-201.8</v>
      </c>
      <c r="G120">
        <v>53.1</v>
      </c>
      <c r="I120">
        <f t="shared" si="3"/>
        <v>3.85</v>
      </c>
      <c r="J120">
        <f t="shared" si="5"/>
        <v>1.19999999999999</v>
      </c>
      <c r="K120">
        <f t="shared" si="4"/>
        <v>0</v>
      </c>
    </row>
    <row r="121" spans="1:11">
      <c r="A121">
        <v>3.945</v>
      </c>
      <c r="B121">
        <v>-201.8</v>
      </c>
      <c r="C121">
        <v>50.2</v>
      </c>
      <c r="E121">
        <v>3.911</v>
      </c>
      <c r="F121">
        <v>-201.8</v>
      </c>
      <c r="G121">
        <v>51.9</v>
      </c>
      <c r="I121">
        <f t="shared" si="3"/>
        <v>3.9</v>
      </c>
      <c r="J121">
        <f t="shared" si="5"/>
        <v>1.19999999999999</v>
      </c>
      <c r="K121">
        <f t="shared" si="4"/>
        <v>0</v>
      </c>
    </row>
    <row r="122" spans="1:11">
      <c r="A122">
        <v>3.978</v>
      </c>
      <c r="B122">
        <v>-201.8</v>
      </c>
      <c r="C122">
        <v>48.7</v>
      </c>
      <c r="E122">
        <v>3.945</v>
      </c>
      <c r="F122">
        <v>-201.8</v>
      </c>
      <c r="G122">
        <v>50.2</v>
      </c>
      <c r="I122">
        <f t="shared" si="3"/>
        <v>3.9</v>
      </c>
      <c r="J122">
        <f t="shared" si="5"/>
        <v>1.19999999999999</v>
      </c>
      <c r="K122">
        <f t="shared" si="4"/>
        <v>0</v>
      </c>
    </row>
    <row r="123" spans="1:11">
      <c r="A123">
        <v>4.012</v>
      </c>
      <c r="B123">
        <v>-201.8</v>
      </c>
      <c r="C123">
        <v>47.2</v>
      </c>
      <c r="E123">
        <v>3.978</v>
      </c>
      <c r="F123">
        <v>-201.8</v>
      </c>
      <c r="G123">
        <v>48.7</v>
      </c>
      <c r="I123">
        <f t="shared" si="3"/>
        <v>3.95</v>
      </c>
      <c r="J123">
        <f t="shared" si="5"/>
        <v>1.19999999999999</v>
      </c>
      <c r="K123">
        <f t="shared" si="4"/>
        <v>0</v>
      </c>
    </row>
    <row r="124" spans="1:11">
      <c r="A124">
        <v>4.045</v>
      </c>
      <c r="B124">
        <v>-201.8</v>
      </c>
      <c r="C124" s="2">
        <v>45.7</v>
      </c>
      <c r="D124" s="2"/>
      <c r="E124">
        <v>4.012</v>
      </c>
      <c r="F124">
        <v>-201.8</v>
      </c>
      <c r="G124">
        <v>47.2</v>
      </c>
      <c r="I124">
        <f t="shared" si="3"/>
        <v>4</v>
      </c>
      <c r="J124">
        <f t="shared" si="5"/>
        <v>1.19999999999999</v>
      </c>
      <c r="K124">
        <f t="shared" si="4"/>
        <v>0</v>
      </c>
    </row>
    <row r="125" spans="1:11">
      <c r="A125">
        <v>4.078</v>
      </c>
      <c r="B125">
        <v>-201.8</v>
      </c>
      <c r="C125" s="2">
        <v>165.9</v>
      </c>
      <c r="D125" s="2"/>
      <c r="E125">
        <v>4.045</v>
      </c>
      <c r="F125">
        <v>-201.8</v>
      </c>
      <c r="G125" s="2">
        <v>45.7</v>
      </c>
      <c r="I125">
        <f t="shared" si="3"/>
        <v>4</v>
      </c>
      <c r="J125">
        <f t="shared" si="5"/>
        <v>1.19999999999999</v>
      </c>
      <c r="K125">
        <f t="shared" si="4"/>
        <v>0</v>
      </c>
    </row>
    <row r="126" spans="1:11">
      <c r="A126">
        <v>4.112</v>
      </c>
      <c r="B126">
        <v>-201.8</v>
      </c>
      <c r="C126" s="2">
        <v>236.9</v>
      </c>
      <c r="D126" s="2"/>
      <c r="E126">
        <v>4.078</v>
      </c>
      <c r="F126">
        <v>-201.8</v>
      </c>
      <c r="G126" s="2">
        <v>165.9</v>
      </c>
      <c r="I126">
        <f t="shared" si="3"/>
        <v>4.05</v>
      </c>
      <c r="J126">
        <f t="shared" si="5"/>
        <v>1.19999999999999</v>
      </c>
      <c r="K126">
        <f t="shared" si="4"/>
        <v>0</v>
      </c>
    </row>
    <row r="127" spans="1:11">
      <c r="A127">
        <v>4.145</v>
      </c>
      <c r="B127">
        <v>-201.8</v>
      </c>
      <c r="C127" s="2">
        <v>237.2</v>
      </c>
      <c r="D127" s="2"/>
      <c r="E127">
        <v>4.112</v>
      </c>
      <c r="F127">
        <v>-201.8</v>
      </c>
      <c r="G127" s="2">
        <v>236.9</v>
      </c>
      <c r="I127">
        <f t="shared" si="3"/>
        <v>4.1</v>
      </c>
      <c r="J127">
        <f t="shared" si="5"/>
        <v>1.19999999999999</v>
      </c>
      <c r="K127">
        <f t="shared" si="4"/>
        <v>5</v>
      </c>
    </row>
    <row r="128" spans="1:11">
      <c r="A128">
        <v>4.179</v>
      </c>
      <c r="B128">
        <v>-201.6</v>
      </c>
      <c r="C128" s="2">
        <v>237.1</v>
      </c>
      <c r="D128" s="2"/>
      <c r="E128">
        <v>4.145</v>
      </c>
      <c r="F128">
        <v>-201.8</v>
      </c>
      <c r="G128" s="2">
        <v>237.2</v>
      </c>
      <c r="I128">
        <f t="shared" si="3"/>
        <v>4.1</v>
      </c>
      <c r="J128">
        <f t="shared" si="5"/>
        <v>1.19999999999999</v>
      </c>
      <c r="K128">
        <f t="shared" si="4"/>
        <v>5</v>
      </c>
    </row>
    <row r="129" spans="1:11">
      <c r="A129">
        <v>4.212</v>
      </c>
      <c r="B129">
        <v>-201.6</v>
      </c>
      <c r="C129" s="2">
        <v>237.2</v>
      </c>
      <c r="D129" s="2"/>
      <c r="E129">
        <v>4.179</v>
      </c>
      <c r="F129">
        <v>-201.6</v>
      </c>
      <c r="G129" s="2">
        <v>237.1</v>
      </c>
      <c r="I129">
        <f t="shared" si="3"/>
        <v>4.15</v>
      </c>
      <c r="J129">
        <f t="shared" si="5"/>
        <v>1.40000000000001</v>
      </c>
      <c r="K129">
        <f t="shared" si="4"/>
        <v>5</v>
      </c>
    </row>
    <row r="130" spans="1:11">
      <c r="A130">
        <v>4.246</v>
      </c>
      <c r="B130">
        <v>-201.6</v>
      </c>
      <c r="C130" s="2">
        <v>237</v>
      </c>
      <c r="D130" s="2"/>
      <c r="E130">
        <v>4.212</v>
      </c>
      <c r="F130">
        <v>-201.6</v>
      </c>
      <c r="G130" s="2">
        <v>237.2</v>
      </c>
      <c r="I130">
        <f t="shared" si="3"/>
        <v>4.2</v>
      </c>
      <c r="J130">
        <f t="shared" si="5"/>
        <v>1.40000000000001</v>
      </c>
      <c r="K130">
        <f t="shared" si="4"/>
        <v>5</v>
      </c>
    </row>
    <row r="131" spans="1:11">
      <c r="A131">
        <v>4.279</v>
      </c>
      <c r="B131">
        <v>-201.6</v>
      </c>
      <c r="C131" s="2">
        <v>237.1</v>
      </c>
      <c r="D131" s="2"/>
      <c r="E131">
        <v>4.246</v>
      </c>
      <c r="F131">
        <v>-201.6</v>
      </c>
      <c r="G131" s="2">
        <v>237</v>
      </c>
      <c r="I131">
        <f t="shared" si="3"/>
        <v>4.2</v>
      </c>
      <c r="J131">
        <f t="shared" si="5"/>
        <v>1.40000000000001</v>
      </c>
      <c r="K131">
        <f t="shared" si="4"/>
        <v>5</v>
      </c>
    </row>
    <row r="132" spans="1:11">
      <c r="A132">
        <v>4.312</v>
      </c>
      <c r="B132">
        <v>-201.6</v>
      </c>
      <c r="C132" s="2">
        <v>237.1</v>
      </c>
      <c r="D132" s="2"/>
      <c r="E132">
        <v>4.279</v>
      </c>
      <c r="F132">
        <v>-201.6</v>
      </c>
      <c r="G132" s="2">
        <v>237.1</v>
      </c>
      <c r="I132">
        <f t="shared" ref="I132:I195" si="6">FLOOR(E132,0.05)</f>
        <v>4.25</v>
      </c>
      <c r="J132">
        <f t="shared" si="5"/>
        <v>1.40000000000001</v>
      </c>
      <c r="K132">
        <f t="shared" ref="K132:K195" si="7">IF(G132&lt;230,0,5)</f>
        <v>5</v>
      </c>
    </row>
    <row r="133" spans="1:11">
      <c r="A133">
        <v>4.346</v>
      </c>
      <c r="B133">
        <v>-201.5</v>
      </c>
      <c r="C133" s="2">
        <v>237</v>
      </c>
      <c r="D133" s="2"/>
      <c r="E133">
        <v>4.312</v>
      </c>
      <c r="F133">
        <v>-201.6</v>
      </c>
      <c r="G133" s="2">
        <v>237.1</v>
      </c>
      <c r="I133">
        <f t="shared" si="6"/>
        <v>4.3</v>
      </c>
      <c r="J133">
        <f t="shared" ref="J133:J196" si="8">F133+203</f>
        <v>1.40000000000001</v>
      </c>
      <c r="K133">
        <f t="shared" si="7"/>
        <v>5</v>
      </c>
    </row>
    <row r="134" spans="1:11">
      <c r="A134">
        <v>4.379</v>
      </c>
      <c r="B134">
        <v>-201.6</v>
      </c>
      <c r="C134" s="2">
        <v>236.9</v>
      </c>
      <c r="D134" s="2"/>
      <c r="E134">
        <v>4.346</v>
      </c>
      <c r="F134">
        <v>-201.5</v>
      </c>
      <c r="G134" s="2">
        <v>237</v>
      </c>
      <c r="I134">
        <f t="shared" si="6"/>
        <v>4.3</v>
      </c>
      <c r="J134">
        <f t="shared" si="8"/>
        <v>1.5</v>
      </c>
      <c r="K134">
        <f t="shared" si="7"/>
        <v>5</v>
      </c>
    </row>
    <row r="135" spans="1:11">
      <c r="A135">
        <v>4.413</v>
      </c>
      <c r="B135">
        <v>-201.5</v>
      </c>
      <c r="C135" s="2">
        <v>237.1</v>
      </c>
      <c r="D135" s="2"/>
      <c r="E135">
        <v>4.379</v>
      </c>
      <c r="F135">
        <v>-201.6</v>
      </c>
      <c r="G135" s="2">
        <v>236.9</v>
      </c>
      <c r="I135">
        <f t="shared" si="6"/>
        <v>4.35</v>
      </c>
      <c r="J135">
        <f t="shared" si="8"/>
        <v>1.40000000000001</v>
      </c>
      <c r="K135">
        <f t="shared" si="7"/>
        <v>5</v>
      </c>
    </row>
    <row r="136" spans="1:11">
      <c r="A136">
        <v>4.446</v>
      </c>
      <c r="B136">
        <v>-201.4</v>
      </c>
      <c r="C136" s="2">
        <v>237</v>
      </c>
      <c r="D136" s="2"/>
      <c r="E136">
        <v>4.413</v>
      </c>
      <c r="F136">
        <v>-201.5</v>
      </c>
      <c r="G136" s="2">
        <v>237.1</v>
      </c>
      <c r="I136">
        <f t="shared" si="6"/>
        <v>4.4</v>
      </c>
      <c r="J136">
        <f t="shared" si="8"/>
        <v>1.5</v>
      </c>
      <c r="K136">
        <f t="shared" si="7"/>
        <v>5</v>
      </c>
    </row>
    <row r="137" spans="1:11">
      <c r="A137">
        <v>4.48</v>
      </c>
      <c r="B137">
        <v>-201.4</v>
      </c>
      <c r="C137" s="2">
        <v>237</v>
      </c>
      <c r="D137" s="2"/>
      <c r="E137">
        <v>4.446</v>
      </c>
      <c r="F137">
        <v>-201.4</v>
      </c>
      <c r="G137" s="2">
        <v>237</v>
      </c>
      <c r="I137">
        <f t="shared" si="6"/>
        <v>4.4</v>
      </c>
      <c r="J137">
        <f t="shared" si="8"/>
        <v>1.59999999999999</v>
      </c>
      <c r="K137">
        <f t="shared" si="7"/>
        <v>5</v>
      </c>
    </row>
    <row r="138" spans="1:11">
      <c r="A138">
        <v>4.513</v>
      </c>
      <c r="B138">
        <v>-201.4</v>
      </c>
      <c r="C138" s="2">
        <v>237</v>
      </c>
      <c r="D138" s="2"/>
      <c r="E138">
        <v>4.48</v>
      </c>
      <c r="F138">
        <v>-201.4</v>
      </c>
      <c r="G138" s="2">
        <v>237</v>
      </c>
      <c r="I138">
        <f t="shared" si="6"/>
        <v>4.45</v>
      </c>
      <c r="J138">
        <f t="shared" si="8"/>
        <v>1.59999999999999</v>
      </c>
      <c r="K138">
        <f t="shared" si="7"/>
        <v>5</v>
      </c>
    </row>
    <row r="139" spans="1:11">
      <c r="A139">
        <v>4.547</v>
      </c>
      <c r="B139">
        <v>-201.4</v>
      </c>
      <c r="C139" s="2">
        <v>237</v>
      </c>
      <c r="D139" s="2"/>
      <c r="E139">
        <v>4.513</v>
      </c>
      <c r="F139">
        <v>-201.4</v>
      </c>
      <c r="G139" s="2">
        <v>237</v>
      </c>
      <c r="I139">
        <f t="shared" si="6"/>
        <v>4.5</v>
      </c>
      <c r="J139">
        <f t="shared" si="8"/>
        <v>1.59999999999999</v>
      </c>
      <c r="K139">
        <f t="shared" si="7"/>
        <v>5</v>
      </c>
    </row>
    <row r="140" spans="1:11">
      <c r="A140">
        <v>4.58</v>
      </c>
      <c r="B140">
        <v>-201.3</v>
      </c>
      <c r="C140" s="2">
        <v>237</v>
      </c>
      <c r="D140" s="2"/>
      <c r="E140">
        <v>4.547</v>
      </c>
      <c r="F140">
        <v>-201.4</v>
      </c>
      <c r="G140" s="2">
        <v>237</v>
      </c>
      <c r="I140">
        <f t="shared" si="6"/>
        <v>4.5</v>
      </c>
      <c r="J140">
        <f t="shared" si="8"/>
        <v>1.59999999999999</v>
      </c>
      <c r="K140">
        <f t="shared" si="7"/>
        <v>5</v>
      </c>
    </row>
    <row r="141" spans="1:11">
      <c r="A141">
        <v>4.613</v>
      </c>
      <c r="B141">
        <v>-201.3</v>
      </c>
      <c r="C141" s="2">
        <v>237</v>
      </c>
      <c r="D141" s="2"/>
      <c r="E141">
        <v>4.58</v>
      </c>
      <c r="F141">
        <v>-201.3</v>
      </c>
      <c r="G141" s="2">
        <v>237</v>
      </c>
      <c r="I141">
        <f t="shared" si="6"/>
        <v>4.55</v>
      </c>
      <c r="J141">
        <f t="shared" si="8"/>
        <v>1.69999999999999</v>
      </c>
      <c r="K141">
        <f t="shared" si="7"/>
        <v>5</v>
      </c>
    </row>
    <row r="142" spans="1:11">
      <c r="A142">
        <v>4.647</v>
      </c>
      <c r="B142">
        <v>-201.4</v>
      </c>
      <c r="C142" s="2">
        <v>237.1</v>
      </c>
      <c r="D142" s="2"/>
      <c r="E142">
        <v>4.613</v>
      </c>
      <c r="F142">
        <v>-201.3</v>
      </c>
      <c r="G142" s="2">
        <v>237</v>
      </c>
      <c r="I142">
        <f t="shared" si="6"/>
        <v>4.6</v>
      </c>
      <c r="J142">
        <f t="shared" si="8"/>
        <v>1.69999999999999</v>
      </c>
      <c r="K142">
        <f t="shared" si="7"/>
        <v>5</v>
      </c>
    </row>
    <row r="143" spans="1:11">
      <c r="A143">
        <v>4.68</v>
      </c>
      <c r="B143">
        <v>-201.5</v>
      </c>
      <c r="C143" s="2">
        <v>237</v>
      </c>
      <c r="D143" s="2"/>
      <c r="E143">
        <v>4.647</v>
      </c>
      <c r="F143">
        <v>-201.4</v>
      </c>
      <c r="G143" s="2">
        <v>237.1</v>
      </c>
      <c r="I143">
        <f t="shared" si="6"/>
        <v>4.6</v>
      </c>
      <c r="J143">
        <f t="shared" si="8"/>
        <v>1.59999999999999</v>
      </c>
      <c r="K143">
        <f t="shared" si="7"/>
        <v>5</v>
      </c>
    </row>
    <row r="144" spans="1:11">
      <c r="A144">
        <v>4.714</v>
      </c>
      <c r="B144">
        <v>-201.4</v>
      </c>
      <c r="C144" s="2">
        <v>236.8</v>
      </c>
      <c r="D144" s="2"/>
      <c r="E144">
        <v>4.68</v>
      </c>
      <c r="F144">
        <v>-201.5</v>
      </c>
      <c r="G144" s="2">
        <v>237</v>
      </c>
      <c r="I144">
        <f t="shared" si="6"/>
        <v>4.65</v>
      </c>
      <c r="J144">
        <f t="shared" si="8"/>
        <v>1.5</v>
      </c>
      <c r="K144">
        <f t="shared" si="7"/>
        <v>5</v>
      </c>
    </row>
    <row r="145" spans="1:11">
      <c r="A145">
        <v>4.747</v>
      </c>
      <c r="B145">
        <v>-201.5</v>
      </c>
      <c r="C145" s="2">
        <v>237</v>
      </c>
      <c r="D145" s="2"/>
      <c r="E145">
        <v>4.714</v>
      </c>
      <c r="F145">
        <v>-201.4</v>
      </c>
      <c r="G145" s="2">
        <v>236.8</v>
      </c>
      <c r="I145">
        <f t="shared" si="6"/>
        <v>4.7</v>
      </c>
      <c r="J145">
        <f t="shared" si="8"/>
        <v>1.59999999999999</v>
      </c>
      <c r="K145">
        <f t="shared" si="7"/>
        <v>5</v>
      </c>
    </row>
    <row r="146" spans="1:11">
      <c r="A146">
        <v>4.781</v>
      </c>
      <c r="B146">
        <v>-201.5</v>
      </c>
      <c r="C146" s="2">
        <v>236.8</v>
      </c>
      <c r="D146" s="2"/>
      <c r="E146">
        <v>4.747</v>
      </c>
      <c r="F146">
        <v>-201.5</v>
      </c>
      <c r="G146" s="2">
        <v>237</v>
      </c>
      <c r="I146">
        <f t="shared" si="6"/>
        <v>4.7</v>
      </c>
      <c r="J146">
        <f t="shared" si="8"/>
        <v>1.5</v>
      </c>
      <c r="K146">
        <f t="shared" si="7"/>
        <v>5</v>
      </c>
    </row>
    <row r="147" spans="1:11">
      <c r="A147">
        <v>4.814</v>
      </c>
      <c r="B147">
        <v>-201.6</v>
      </c>
      <c r="C147" s="2">
        <v>236.9</v>
      </c>
      <c r="D147" s="2"/>
      <c r="E147">
        <v>4.781</v>
      </c>
      <c r="F147">
        <v>-201.5</v>
      </c>
      <c r="G147" s="2">
        <v>236.8</v>
      </c>
      <c r="I147">
        <f t="shared" si="6"/>
        <v>4.75</v>
      </c>
      <c r="J147">
        <f t="shared" si="8"/>
        <v>1.5</v>
      </c>
      <c r="K147">
        <f t="shared" si="7"/>
        <v>5</v>
      </c>
    </row>
    <row r="148" spans="1:11">
      <c r="A148">
        <v>4.847</v>
      </c>
      <c r="B148">
        <v>-201.6</v>
      </c>
      <c r="C148" s="2">
        <v>181.7</v>
      </c>
      <c r="D148" s="2"/>
      <c r="E148">
        <v>4.814</v>
      </c>
      <c r="F148">
        <v>-201.6</v>
      </c>
      <c r="G148" s="2">
        <v>236.9</v>
      </c>
      <c r="I148">
        <f t="shared" si="6"/>
        <v>4.8</v>
      </c>
      <c r="J148">
        <f t="shared" si="8"/>
        <v>1.40000000000001</v>
      </c>
      <c r="K148">
        <f t="shared" si="7"/>
        <v>5</v>
      </c>
    </row>
    <row r="149" spans="1:11">
      <c r="A149">
        <v>4.881</v>
      </c>
      <c r="B149">
        <v>-201.6</v>
      </c>
      <c r="C149" s="2">
        <v>67.6</v>
      </c>
      <c r="D149" s="2"/>
      <c r="E149">
        <v>4.847</v>
      </c>
      <c r="F149">
        <v>-201.6</v>
      </c>
      <c r="G149" s="2">
        <v>181.7</v>
      </c>
      <c r="I149">
        <f t="shared" si="6"/>
        <v>4.8</v>
      </c>
      <c r="J149">
        <f t="shared" si="8"/>
        <v>1.40000000000001</v>
      </c>
      <c r="K149">
        <f t="shared" si="7"/>
        <v>0</v>
      </c>
    </row>
    <row r="150" spans="1:11">
      <c r="A150">
        <v>4.914</v>
      </c>
      <c r="B150">
        <v>-201.7</v>
      </c>
      <c r="C150" s="2">
        <v>73.4</v>
      </c>
      <c r="D150" s="2"/>
      <c r="E150">
        <v>4.881</v>
      </c>
      <c r="F150">
        <v>-201.6</v>
      </c>
      <c r="G150" s="2">
        <v>67.6</v>
      </c>
      <c r="I150">
        <f t="shared" si="6"/>
        <v>4.85</v>
      </c>
      <c r="J150">
        <f t="shared" si="8"/>
        <v>1.40000000000001</v>
      </c>
      <c r="K150">
        <f t="shared" si="7"/>
        <v>0</v>
      </c>
    </row>
    <row r="151" spans="1:11">
      <c r="A151">
        <v>4.948</v>
      </c>
      <c r="B151">
        <v>-201.8</v>
      </c>
      <c r="C151" s="2">
        <v>72.2</v>
      </c>
      <c r="D151" s="2"/>
      <c r="E151">
        <v>4.914</v>
      </c>
      <c r="F151">
        <v>-201.7</v>
      </c>
      <c r="G151" s="2">
        <v>73.4</v>
      </c>
      <c r="I151">
        <f t="shared" si="6"/>
        <v>4.9</v>
      </c>
      <c r="J151">
        <f t="shared" si="8"/>
        <v>1.30000000000001</v>
      </c>
      <c r="K151">
        <f t="shared" si="7"/>
        <v>0</v>
      </c>
    </row>
    <row r="152" spans="1:11">
      <c r="A152">
        <v>4.981</v>
      </c>
      <c r="B152">
        <v>-201.8</v>
      </c>
      <c r="C152" s="2">
        <v>71.5</v>
      </c>
      <c r="D152" s="2"/>
      <c r="E152">
        <v>4.948</v>
      </c>
      <c r="F152">
        <v>-201.8</v>
      </c>
      <c r="G152" s="2">
        <v>72.2</v>
      </c>
      <c r="I152">
        <f t="shared" si="6"/>
        <v>4.9</v>
      </c>
      <c r="J152">
        <f t="shared" si="8"/>
        <v>1.19999999999999</v>
      </c>
      <c r="K152">
        <f t="shared" si="7"/>
        <v>0</v>
      </c>
    </row>
    <row r="153" spans="1:11">
      <c r="A153">
        <v>5.015</v>
      </c>
      <c r="B153">
        <v>-201.9</v>
      </c>
      <c r="C153">
        <v>69.8</v>
      </c>
      <c r="E153">
        <v>4.981</v>
      </c>
      <c r="F153">
        <v>-201.8</v>
      </c>
      <c r="G153" s="2">
        <v>71.5</v>
      </c>
      <c r="I153">
        <f t="shared" si="6"/>
        <v>4.95</v>
      </c>
      <c r="J153">
        <f t="shared" si="8"/>
        <v>1.19999999999999</v>
      </c>
      <c r="K153">
        <f t="shared" si="7"/>
        <v>0</v>
      </c>
    </row>
    <row r="154" spans="1:11">
      <c r="A154">
        <v>5.048</v>
      </c>
      <c r="B154">
        <v>-202</v>
      </c>
      <c r="C154">
        <v>68.8</v>
      </c>
      <c r="E154">
        <v>5.015</v>
      </c>
      <c r="F154">
        <v>-201.9</v>
      </c>
      <c r="G154">
        <v>69.8</v>
      </c>
      <c r="I154">
        <f t="shared" si="6"/>
        <v>5</v>
      </c>
      <c r="J154">
        <f t="shared" si="8"/>
        <v>1.09999999999999</v>
      </c>
      <c r="K154">
        <f t="shared" si="7"/>
        <v>0</v>
      </c>
    </row>
    <row r="155" spans="1:11">
      <c r="A155">
        <v>5.081</v>
      </c>
      <c r="B155">
        <v>-202.1</v>
      </c>
      <c r="C155">
        <v>67.4</v>
      </c>
      <c r="E155">
        <v>5.048</v>
      </c>
      <c r="F155">
        <v>-202</v>
      </c>
      <c r="G155">
        <v>68.8</v>
      </c>
      <c r="I155">
        <f t="shared" si="6"/>
        <v>5</v>
      </c>
      <c r="J155">
        <f t="shared" si="8"/>
        <v>1</v>
      </c>
      <c r="K155">
        <f t="shared" si="7"/>
        <v>0</v>
      </c>
    </row>
    <row r="156" spans="1:11">
      <c r="A156">
        <v>5.115</v>
      </c>
      <c r="B156">
        <v>-202.2</v>
      </c>
      <c r="C156">
        <v>66.4</v>
      </c>
      <c r="E156">
        <v>5.081</v>
      </c>
      <c r="F156">
        <v>-202.1</v>
      </c>
      <c r="G156">
        <v>67.4</v>
      </c>
      <c r="I156">
        <f t="shared" si="6"/>
        <v>5.05</v>
      </c>
      <c r="J156">
        <f t="shared" si="8"/>
        <v>0.900000000000006</v>
      </c>
      <c r="K156">
        <f t="shared" si="7"/>
        <v>0</v>
      </c>
    </row>
    <row r="157" spans="1:11">
      <c r="A157">
        <v>5.148</v>
      </c>
      <c r="B157">
        <v>-202.2</v>
      </c>
      <c r="C157">
        <v>66.2</v>
      </c>
      <c r="E157">
        <v>5.115</v>
      </c>
      <c r="F157">
        <v>-202.2</v>
      </c>
      <c r="G157">
        <v>66.4</v>
      </c>
      <c r="I157">
        <f t="shared" si="6"/>
        <v>5.1</v>
      </c>
      <c r="J157">
        <f t="shared" si="8"/>
        <v>0.800000000000011</v>
      </c>
      <c r="K157">
        <f t="shared" si="7"/>
        <v>0</v>
      </c>
    </row>
    <row r="158" spans="1:11">
      <c r="A158">
        <v>5.182</v>
      </c>
      <c r="B158">
        <v>-202.3</v>
      </c>
      <c r="C158">
        <v>64.7</v>
      </c>
      <c r="E158">
        <v>5.148</v>
      </c>
      <c r="F158">
        <v>-202.2</v>
      </c>
      <c r="G158">
        <v>66.2</v>
      </c>
      <c r="I158">
        <f t="shared" si="6"/>
        <v>5.1</v>
      </c>
      <c r="J158">
        <f t="shared" si="8"/>
        <v>0.800000000000011</v>
      </c>
      <c r="K158">
        <f t="shared" si="7"/>
        <v>0</v>
      </c>
    </row>
    <row r="159" spans="1:11">
      <c r="A159">
        <v>5.215</v>
      </c>
      <c r="B159">
        <v>-202.5</v>
      </c>
      <c r="C159">
        <v>64.2</v>
      </c>
      <c r="E159">
        <v>5.182</v>
      </c>
      <c r="F159">
        <v>-202.3</v>
      </c>
      <c r="G159">
        <v>64.7</v>
      </c>
      <c r="I159">
        <f t="shared" si="6"/>
        <v>5.15</v>
      </c>
      <c r="J159">
        <f t="shared" si="8"/>
        <v>0.699999999999989</v>
      </c>
      <c r="K159">
        <f t="shared" si="7"/>
        <v>0</v>
      </c>
    </row>
    <row r="160" spans="1:11">
      <c r="A160">
        <v>5.249</v>
      </c>
      <c r="B160">
        <v>-202.8</v>
      </c>
      <c r="C160">
        <v>63.5</v>
      </c>
      <c r="E160">
        <v>5.215</v>
      </c>
      <c r="F160">
        <v>-202.5</v>
      </c>
      <c r="G160">
        <v>64.2</v>
      </c>
      <c r="I160">
        <f t="shared" si="6"/>
        <v>5.2</v>
      </c>
      <c r="J160">
        <f t="shared" si="8"/>
        <v>0.5</v>
      </c>
      <c r="K160">
        <f t="shared" si="7"/>
        <v>0</v>
      </c>
    </row>
    <row r="161" spans="1:11">
      <c r="A161">
        <v>5.282</v>
      </c>
      <c r="B161">
        <v>-203</v>
      </c>
      <c r="C161">
        <v>63</v>
      </c>
      <c r="E161">
        <v>5.249</v>
      </c>
      <c r="F161">
        <v>-202.8</v>
      </c>
      <c r="G161">
        <v>63.5</v>
      </c>
      <c r="I161">
        <f t="shared" si="6"/>
        <v>5.2</v>
      </c>
      <c r="J161">
        <f t="shared" si="8"/>
        <v>0.199999999999989</v>
      </c>
      <c r="K161">
        <f t="shared" si="7"/>
        <v>0</v>
      </c>
    </row>
    <row r="162" spans="1:11">
      <c r="A162">
        <v>5.315</v>
      </c>
      <c r="B162">
        <v>-203.1</v>
      </c>
      <c r="C162">
        <v>62.5</v>
      </c>
      <c r="E162">
        <v>5.282</v>
      </c>
      <c r="F162">
        <v>-203</v>
      </c>
      <c r="G162">
        <v>63</v>
      </c>
      <c r="I162">
        <f t="shared" si="6"/>
        <v>5.25</v>
      </c>
      <c r="J162">
        <f t="shared" si="8"/>
        <v>0</v>
      </c>
      <c r="K162">
        <f t="shared" si="7"/>
        <v>0</v>
      </c>
    </row>
    <row r="163" spans="1:11">
      <c r="A163">
        <v>5.349</v>
      </c>
      <c r="B163">
        <v>-203.2</v>
      </c>
      <c r="C163">
        <v>62</v>
      </c>
      <c r="E163">
        <v>5.315</v>
      </c>
      <c r="F163">
        <v>-203.1</v>
      </c>
      <c r="G163">
        <v>62.5</v>
      </c>
      <c r="I163">
        <f t="shared" si="6"/>
        <v>5.3</v>
      </c>
      <c r="J163">
        <f t="shared" si="8"/>
        <v>-0.0999999999999943</v>
      </c>
      <c r="K163">
        <f t="shared" si="7"/>
        <v>0</v>
      </c>
    </row>
    <row r="164" spans="1:11">
      <c r="A164">
        <v>5.382</v>
      </c>
      <c r="B164">
        <v>-203.1</v>
      </c>
      <c r="C164">
        <v>61.8</v>
      </c>
      <c r="E164">
        <v>5.349</v>
      </c>
      <c r="F164">
        <v>-203.2</v>
      </c>
      <c r="G164">
        <v>62</v>
      </c>
      <c r="I164">
        <f t="shared" si="6"/>
        <v>5.3</v>
      </c>
      <c r="J164">
        <f t="shared" si="8"/>
        <v>-0.199999999999989</v>
      </c>
      <c r="K164">
        <f t="shared" si="7"/>
        <v>0</v>
      </c>
    </row>
    <row r="165" spans="1:11">
      <c r="A165">
        <v>5.416</v>
      </c>
      <c r="B165">
        <v>-203</v>
      </c>
      <c r="C165">
        <v>61.6</v>
      </c>
      <c r="E165">
        <v>5.382</v>
      </c>
      <c r="F165">
        <v>-203.1</v>
      </c>
      <c r="G165">
        <v>61.8</v>
      </c>
      <c r="I165">
        <f t="shared" si="6"/>
        <v>5.35</v>
      </c>
      <c r="J165">
        <f t="shared" si="8"/>
        <v>-0.0999999999999943</v>
      </c>
      <c r="K165">
        <f t="shared" si="7"/>
        <v>0</v>
      </c>
    </row>
    <row r="166" spans="1:11">
      <c r="A166">
        <v>5.449</v>
      </c>
      <c r="B166">
        <v>-203</v>
      </c>
      <c r="C166">
        <v>61.2</v>
      </c>
      <c r="E166">
        <v>5.416</v>
      </c>
      <c r="F166">
        <v>-203</v>
      </c>
      <c r="G166">
        <v>61.6</v>
      </c>
      <c r="I166">
        <f t="shared" si="6"/>
        <v>5.4</v>
      </c>
      <c r="J166">
        <f t="shared" si="8"/>
        <v>0</v>
      </c>
      <c r="K166">
        <f t="shared" si="7"/>
        <v>0</v>
      </c>
    </row>
    <row r="167" spans="1:11">
      <c r="A167">
        <v>5.483</v>
      </c>
      <c r="B167">
        <v>-203.2</v>
      </c>
      <c r="C167">
        <v>61.3</v>
      </c>
      <c r="E167">
        <v>5.449</v>
      </c>
      <c r="F167">
        <v>-203</v>
      </c>
      <c r="G167">
        <v>61.2</v>
      </c>
      <c r="I167">
        <f t="shared" si="6"/>
        <v>5.4</v>
      </c>
      <c r="J167">
        <f t="shared" si="8"/>
        <v>0</v>
      </c>
      <c r="K167">
        <f t="shared" si="7"/>
        <v>0</v>
      </c>
    </row>
    <row r="168" spans="1:11">
      <c r="A168">
        <v>5.516</v>
      </c>
      <c r="B168">
        <v>-203</v>
      </c>
      <c r="C168">
        <v>61.2</v>
      </c>
      <c r="E168">
        <v>5.483</v>
      </c>
      <c r="F168">
        <v>-203.2</v>
      </c>
      <c r="G168">
        <v>61.3</v>
      </c>
      <c r="I168">
        <f t="shared" si="6"/>
        <v>5.45</v>
      </c>
      <c r="J168">
        <f t="shared" si="8"/>
        <v>-0.199999999999989</v>
      </c>
      <c r="K168">
        <f t="shared" si="7"/>
        <v>0</v>
      </c>
    </row>
    <row r="169" spans="1:11">
      <c r="A169">
        <v>5.549</v>
      </c>
      <c r="B169">
        <v>-203</v>
      </c>
      <c r="C169">
        <v>60.8</v>
      </c>
      <c r="E169">
        <v>5.516</v>
      </c>
      <c r="F169">
        <v>-203</v>
      </c>
      <c r="G169">
        <v>61.2</v>
      </c>
      <c r="I169">
        <f t="shared" si="6"/>
        <v>5.5</v>
      </c>
      <c r="J169">
        <f t="shared" si="8"/>
        <v>0</v>
      </c>
      <c r="K169">
        <f t="shared" si="7"/>
        <v>0</v>
      </c>
    </row>
    <row r="170" spans="1:11">
      <c r="A170">
        <v>5.583</v>
      </c>
      <c r="B170">
        <v>-202.9</v>
      </c>
      <c r="C170">
        <v>199.9</v>
      </c>
      <c r="E170">
        <v>5.549</v>
      </c>
      <c r="F170">
        <v>-203</v>
      </c>
      <c r="G170">
        <v>60.8</v>
      </c>
      <c r="I170">
        <f t="shared" si="6"/>
        <v>5.5</v>
      </c>
      <c r="J170">
        <f t="shared" si="8"/>
        <v>0</v>
      </c>
      <c r="K170">
        <f t="shared" si="7"/>
        <v>0</v>
      </c>
    </row>
    <row r="171" spans="1:11">
      <c r="A171">
        <v>5.616</v>
      </c>
      <c r="B171">
        <v>-202.8</v>
      </c>
      <c r="C171">
        <v>236.9</v>
      </c>
      <c r="E171">
        <v>5.583</v>
      </c>
      <c r="F171">
        <v>-202.9</v>
      </c>
      <c r="G171">
        <v>199.9</v>
      </c>
      <c r="I171">
        <f t="shared" si="6"/>
        <v>5.55</v>
      </c>
      <c r="J171">
        <f t="shared" si="8"/>
        <v>0.0999999999999943</v>
      </c>
      <c r="K171">
        <f t="shared" si="7"/>
        <v>0</v>
      </c>
    </row>
    <row r="172" spans="1:11">
      <c r="A172">
        <v>5.65</v>
      </c>
      <c r="B172">
        <v>-202.7</v>
      </c>
      <c r="C172">
        <v>237.1</v>
      </c>
      <c r="E172">
        <v>5.616</v>
      </c>
      <c r="F172">
        <v>-202.8</v>
      </c>
      <c r="G172">
        <v>236.9</v>
      </c>
      <c r="I172">
        <f t="shared" si="6"/>
        <v>5.6</v>
      </c>
      <c r="J172">
        <f t="shared" si="8"/>
        <v>0.199999999999989</v>
      </c>
      <c r="K172">
        <f t="shared" si="7"/>
        <v>5</v>
      </c>
    </row>
    <row r="173" spans="1:11">
      <c r="A173">
        <v>5.683</v>
      </c>
      <c r="B173">
        <v>-202.7</v>
      </c>
      <c r="C173">
        <v>237</v>
      </c>
      <c r="E173">
        <v>5.65</v>
      </c>
      <c r="F173">
        <v>-202.7</v>
      </c>
      <c r="G173">
        <v>237.1</v>
      </c>
      <c r="I173">
        <f t="shared" si="6"/>
        <v>5.65</v>
      </c>
      <c r="J173">
        <f t="shared" si="8"/>
        <v>0.300000000000011</v>
      </c>
      <c r="K173">
        <f t="shared" si="7"/>
        <v>5</v>
      </c>
    </row>
    <row r="174" spans="1:11">
      <c r="A174">
        <v>5.717</v>
      </c>
      <c r="B174">
        <v>-202.6</v>
      </c>
      <c r="C174">
        <v>237.1</v>
      </c>
      <c r="E174">
        <v>5.683</v>
      </c>
      <c r="F174">
        <v>-202.7</v>
      </c>
      <c r="G174">
        <v>237</v>
      </c>
      <c r="I174">
        <f t="shared" si="6"/>
        <v>5.65</v>
      </c>
      <c r="J174">
        <f t="shared" si="8"/>
        <v>0.300000000000011</v>
      </c>
      <c r="K174">
        <f t="shared" si="7"/>
        <v>5</v>
      </c>
    </row>
    <row r="175" spans="1:11">
      <c r="A175">
        <v>5.75</v>
      </c>
      <c r="B175">
        <v>-202.6</v>
      </c>
      <c r="C175">
        <v>237</v>
      </c>
      <c r="E175">
        <v>5.717</v>
      </c>
      <c r="F175">
        <v>-202.6</v>
      </c>
      <c r="G175">
        <v>237.1</v>
      </c>
      <c r="I175">
        <f t="shared" si="6"/>
        <v>5.7</v>
      </c>
      <c r="J175">
        <f t="shared" si="8"/>
        <v>0.400000000000006</v>
      </c>
      <c r="K175">
        <f t="shared" si="7"/>
        <v>5</v>
      </c>
    </row>
    <row r="176" spans="1:11">
      <c r="A176">
        <v>5.783</v>
      </c>
      <c r="B176">
        <v>-202.5</v>
      </c>
      <c r="C176">
        <v>236.9</v>
      </c>
      <c r="E176">
        <v>5.75</v>
      </c>
      <c r="F176">
        <v>-202.6</v>
      </c>
      <c r="G176">
        <v>237</v>
      </c>
      <c r="I176">
        <f t="shared" si="6"/>
        <v>5.75</v>
      </c>
      <c r="J176">
        <f t="shared" si="8"/>
        <v>0.400000000000006</v>
      </c>
      <c r="K176">
        <f t="shared" si="7"/>
        <v>5</v>
      </c>
    </row>
    <row r="177" spans="1:11">
      <c r="A177">
        <v>5.817</v>
      </c>
      <c r="B177">
        <v>-202.4</v>
      </c>
      <c r="C177">
        <v>236.7</v>
      </c>
      <c r="E177">
        <v>5.783</v>
      </c>
      <c r="F177">
        <v>-202.5</v>
      </c>
      <c r="G177">
        <v>236.9</v>
      </c>
      <c r="I177">
        <f t="shared" si="6"/>
        <v>5.75</v>
      </c>
      <c r="J177">
        <f t="shared" si="8"/>
        <v>0.5</v>
      </c>
      <c r="K177">
        <f t="shared" si="7"/>
        <v>5</v>
      </c>
    </row>
    <row r="178" spans="1:11">
      <c r="A178">
        <v>5.85</v>
      </c>
      <c r="B178">
        <v>-202.4</v>
      </c>
      <c r="C178">
        <v>236.6</v>
      </c>
      <c r="E178">
        <v>5.817</v>
      </c>
      <c r="F178">
        <v>-202.4</v>
      </c>
      <c r="G178">
        <v>236.7</v>
      </c>
      <c r="I178">
        <f t="shared" si="6"/>
        <v>5.8</v>
      </c>
      <c r="J178">
        <f t="shared" si="8"/>
        <v>0.599999999999994</v>
      </c>
      <c r="K178">
        <f t="shared" si="7"/>
        <v>5</v>
      </c>
    </row>
    <row r="179" spans="1:11">
      <c r="A179">
        <v>5.884</v>
      </c>
      <c r="B179">
        <v>-202.4</v>
      </c>
      <c r="C179">
        <v>236.8</v>
      </c>
      <c r="E179">
        <v>5.85</v>
      </c>
      <c r="F179">
        <v>-202.4</v>
      </c>
      <c r="G179">
        <v>236.6</v>
      </c>
      <c r="I179">
        <f t="shared" si="6"/>
        <v>5.85</v>
      </c>
      <c r="J179">
        <f t="shared" si="8"/>
        <v>0.599999999999994</v>
      </c>
      <c r="K179">
        <f t="shared" si="7"/>
        <v>5</v>
      </c>
    </row>
    <row r="180" spans="1:11">
      <c r="A180">
        <v>5.917</v>
      </c>
      <c r="B180">
        <v>-202.3</v>
      </c>
      <c r="C180">
        <v>236.8</v>
      </c>
      <c r="E180">
        <v>5.884</v>
      </c>
      <c r="F180">
        <v>-202.4</v>
      </c>
      <c r="G180">
        <v>236.8</v>
      </c>
      <c r="I180">
        <f t="shared" si="6"/>
        <v>5.85</v>
      </c>
      <c r="J180">
        <f t="shared" si="8"/>
        <v>0.599999999999994</v>
      </c>
      <c r="K180">
        <f t="shared" si="7"/>
        <v>5</v>
      </c>
    </row>
    <row r="181" spans="1:11">
      <c r="A181">
        <v>5.951</v>
      </c>
      <c r="B181">
        <v>-202.3</v>
      </c>
      <c r="C181">
        <v>236.9</v>
      </c>
      <c r="E181">
        <v>5.917</v>
      </c>
      <c r="F181">
        <v>-202.3</v>
      </c>
      <c r="G181">
        <v>236.8</v>
      </c>
      <c r="I181">
        <f t="shared" si="6"/>
        <v>5.9</v>
      </c>
      <c r="J181">
        <f t="shared" si="8"/>
        <v>0.699999999999989</v>
      </c>
      <c r="K181">
        <f t="shared" si="7"/>
        <v>5</v>
      </c>
    </row>
    <row r="182" spans="1:11">
      <c r="A182">
        <v>5.984</v>
      </c>
      <c r="B182">
        <v>-202.3</v>
      </c>
      <c r="C182">
        <v>236.8</v>
      </c>
      <c r="E182">
        <v>5.951</v>
      </c>
      <c r="F182">
        <v>-202.3</v>
      </c>
      <c r="G182">
        <v>236.9</v>
      </c>
      <c r="I182">
        <f t="shared" si="6"/>
        <v>5.95</v>
      </c>
      <c r="J182">
        <f t="shared" si="8"/>
        <v>0.699999999999989</v>
      </c>
      <c r="K182">
        <f t="shared" si="7"/>
        <v>5</v>
      </c>
    </row>
    <row r="183" spans="1:11">
      <c r="A183">
        <v>6.017</v>
      </c>
      <c r="B183">
        <v>-202.1</v>
      </c>
      <c r="C183">
        <v>236.7</v>
      </c>
      <c r="E183">
        <v>5.984</v>
      </c>
      <c r="F183">
        <v>-202.3</v>
      </c>
      <c r="G183">
        <v>236.8</v>
      </c>
      <c r="I183">
        <f t="shared" si="6"/>
        <v>5.95</v>
      </c>
      <c r="J183">
        <f t="shared" si="8"/>
        <v>0.699999999999989</v>
      </c>
      <c r="K183">
        <f t="shared" si="7"/>
        <v>5</v>
      </c>
    </row>
    <row r="184" spans="1:11">
      <c r="A184">
        <v>6.051</v>
      </c>
      <c r="B184">
        <v>-201.6</v>
      </c>
      <c r="C184">
        <v>236.7</v>
      </c>
      <c r="E184">
        <v>6.017</v>
      </c>
      <c r="F184">
        <v>-202.1</v>
      </c>
      <c r="G184">
        <v>236.7</v>
      </c>
      <c r="I184">
        <f t="shared" si="6"/>
        <v>6</v>
      </c>
      <c r="J184">
        <f t="shared" si="8"/>
        <v>0.900000000000006</v>
      </c>
      <c r="K184">
        <f t="shared" si="7"/>
        <v>5</v>
      </c>
    </row>
    <row r="185" spans="1:11">
      <c r="A185">
        <v>6.084</v>
      </c>
      <c r="B185">
        <v>-201.3</v>
      </c>
      <c r="C185">
        <v>236.7</v>
      </c>
      <c r="E185">
        <v>6.051</v>
      </c>
      <c r="F185">
        <v>-201.6</v>
      </c>
      <c r="G185">
        <v>236.7</v>
      </c>
      <c r="I185">
        <f t="shared" si="6"/>
        <v>6.05</v>
      </c>
      <c r="J185">
        <f t="shared" si="8"/>
        <v>1.40000000000001</v>
      </c>
      <c r="K185">
        <f t="shared" si="7"/>
        <v>5</v>
      </c>
    </row>
    <row r="186" spans="1:11">
      <c r="A186">
        <v>6.118</v>
      </c>
      <c r="B186">
        <v>-201.2</v>
      </c>
      <c r="C186">
        <v>236.7</v>
      </c>
      <c r="E186">
        <v>6.084</v>
      </c>
      <c r="F186">
        <v>-201.3</v>
      </c>
      <c r="G186">
        <v>236.7</v>
      </c>
      <c r="I186">
        <f t="shared" si="6"/>
        <v>6.05</v>
      </c>
      <c r="J186">
        <f t="shared" si="8"/>
        <v>1.69999999999999</v>
      </c>
      <c r="K186">
        <f t="shared" si="7"/>
        <v>5</v>
      </c>
    </row>
    <row r="187" spans="1:11">
      <c r="A187">
        <v>6.151</v>
      </c>
      <c r="B187">
        <v>-200.7</v>
      </c>
      <c r="C187">
        <v>236.9</v>
      </c>
      <c r="E187">
        <v>6.118</v>
      </c>
      <c r="F187">
        <v>-201.2</v>
      </c>
      <c r="G187">
        <v>236.7</v>
      </c>
      <c r="I187">
        <f t="shared" si="6"/>
        <v>6.1</v>
      </c>
      <c r="J187">
        <f t="shared" si="8"/>
        <v>1.80000000000001</v>
      </c>
      <c r="K187">
        <f t="shared" si="7"/>
        <v>5</v>
      </c>
    </row>
    <row r="188" spans="1:11">
      <c r="A188">
        <v>6.185</v>
      </c>
      <c r="B188">
        <v>-200.7</v>
      </c>
      <c r="C188">
        <v>236.8</v>
      </c>
      <c r="E188">
        <v>6.151</v>
      </c>
      <c r="F188">
        <v>-200.7</v>
      </c>
      <c r="G188">
        <v>236.9</v>
      </c>
      <c r="I188">
        <f t="shared" si="6"/>
        <v>6.15</v>
      </c>
      <c r="J188">
        <f t="shared" si="8"/>
        <v>2.30000000000001</v>
      </c>
      <c r="K188">
        <f t="shared" si="7"/>
        <v>5</v>
      </c>
    </row>
    <row r="189" spans="1:11">
      <c r="A189">
        <v>6.218</v>
      </c>
      <c r="B189">
        <v>-200.6</v>
      </c>
      <c r="C189" s="2">
        <v>236.8</v>
      </c>
      <c r="D189" s="2"/>
      <c r="E189">
        <v>6.185</v>
      </c>
      <c r="F189">
        <v>-200.7</v>
      </c>
      <c r="G189">
        <v>236.8</v>
      </c>
      <c r="I189">
        <f t="shared" si="6"/>
        <v>6.15</v>
      </c>
      <c r="J189">
        <f t="shared" si="8"/>
        <v>2.30000000000001</v>
      </c>
      <c r="K189">
        <f t="shared" si="7"/>
        <v>5</v>
      </c>
    </row>
    <row r="190" spans="1:11">
      <c r="A190">
        <v>6.251</v>
      </c>
      <c r="B190">
        <v>-200.6</v>
      </c>
      <c r="C190" s="2">
        <v>236.8</v>
      </c>
      <c r="D190" s="2"/>
      <c r="E190">
        <v>6.218</v>
      </c>
      <c r="F190">
        <v>-200.6</v>
      </c>
      <c r="G190" s="2">
        <v>236.8</v>
      </c>
      <c r="I190">
        <f t="shared" si="6"/>
        <v>6.2</v>
      </c>
      <c r="J190">
        <f t="shared" si="8"/>
        <v>2.40000000000001</v>
      </c>
      <c r="K190">
        <f t="shared" si="7"/>
        <v>5</v>
      </c>
    </row>
    <row r="191" spans="1:11">
      <c r="A191">
        <v>6.285</v>
      </c>
      <c r="B191">
        <v>-200.6</v>
      </c>
      <c r="C191" s="2">
        <v>236.8</v>
      </c>
      <c r="D191" s="2"/>
      <c r="E191">
        <v>6.251</v>
      </c>
      <c r="F191">
        <v>-200.6</v>
      </c>
      <c r="G191" s="2">
        <v>236.8</v>
      </c>
      <c r="I191">
        <f t="shared" si="6"/>
        <v>6.25</v>
      </c>
      <c r="J191">
        <f t="shared" si="8"/>
        <v>2.40000000000001</v>
      </c>
      <c r="K191">
        <f t="shared" si="7"/>
        <v>5</v>
      </c>
    </row>
    <row r="192" spans="1:11">
      <c r="A192">
        <v>6.318</v>
      </c>
      <c r="B192">
        <v>-200.6</v>
      </c>
      <c r="C192" s="2">
        <v>236.8</v>
      </c>
      <c r="D192" s="2"/>
      <c r="E192">
        <v>6.285</v>
      </c>
      <c r="F192">
        <v>-200.6</v>
      </c>
      <c r="G192" s="2">
        <v>236.8</v>
      </c>
      <c r="I192">
        <f t="shared" si="6"/>
        <v>6.25</v>
      </c>
      <c r="J192">
        <f t="shared" si="8"/>
        <v>2.40000000000001</v>
      </c>
      <c r="K192">
        <f t="shared" si="7"/>
        <v>5</v>
      </c>
    </row>
    <row r="193" spans="1:11">
      <c r="A193">
        <v>6.352</v>
      </c>
      <c r="B193">
        <v>-200.7</v>
      </c>
      <c r="C193" s="2">
        <v>159.4</v>
      </c>
      <c r="D193" s="2"/>
      <c r="E193">
        <v>6.318</v>
      </c>
      <c r="F193">
        <v>-200.6</v>
      </c>
      <c r="G193" s="2">
        <v>236.8</v>
      </c>
      <c r="I193">
        <f t="shared" si="6"/>
        <v>6.3</v>
      </c>
      <c r="J193">
        <f t="shared" si="8"/>
        <v>2.40000000000001</v>
      </c>
      <c r="K193">
        <f t="shared" si="7"/>
        <v>5</v>
      </c>
    </row>
    <row r="194" spans="1:11">
      <c r="A194">
        <v>6.385</v>
      </c>
      <c r="B194">
        <v>-200.7</v>
      </c>
      <c r="C194" s="2">
        <v>85.5</v>
      </c>
      <c r="D194" s="2"/>
      <c r="E194">
        <v>6.352</v>
      </c>
      <c r="F194">
        <v>-200.7</v>
      </c>
      <c r="G194" s="2">
        <v>159.4</v>
      </c>
      <c r="I194">
        <f t="shared" si="6"/>
        <v>6.35</v>
      </c>
      <c r="J194">
        <f t="shared" si="8"/>
        <v>2.30000000000001</v>
      </c>
      <c r="K194">
        <f t="shared" si="7"/>
        <v>0</v>
      </c>
    </row>
    <row r="195" spans="1:11">
      <c r="A195">
        <v>6.419</v>
      </c>
      <c r="B195">
        <v>-200.9</v>
      </c>
      <c r="C195" s="2">
        <v>93.5</v>
      </c>
      <c r="D195" s="2"/>
      <c r="E195">
        <v>6.385</v>
      </c>
      <c r="F195">
        <v>-200.7</v>
      </c>
      <c r="G195" s="2">
        <v>85.5</v>
      </c>
      <c r="I195">
        <f t="shared" si="6"/>
        <v>6.35</v>
      </c>
      <c r="J195">
        <f t="shared" si="8"/>
        <v>2.30000000000001</v>
      </c>
      <c r="K195">
        <f t="shared" si="7"/>
        <v>0</v>
      </c>
    </row>
    <row r="196" spans="1:11">
      <c r="A196">
        <v>6.452</v>
      </c>
      <c r="B196">
        <v>-201.1</v>
      </c>
      <c r="C196" s="2">
        <v>90.1</v>
      </c>
      <c r="D196" s="2"/>
      <c r="E196">
        <v>6.419</v>
      </c>
      <c r="F196">
        <v>-200.9</v>
      </c>
      <c r="G196" s="2">
        <v>93.5</v>
      </c>
      <c r="I196">
        <f t="shared" ref="I196:I259" si="9">FLOOR(E196,0.05)</f>
        <v>6.4</v>
      </c>
      <c r="J196">
        <f t="shared" si="8"/>
        <v>2.09999999999999</v>
      </c>
      <c r="K196">
        <f t="shared" ref="K196:K259" si="10">IF(G196&lt;230,0,5)</f>
        <v>0</v>
      </c>
    </row>
    <row r="197" spans="1:11">
      <c r="A197">
        <v>6.485</v>
      </c>
      <c r="B197">
        <v>-201.1</v>
      </c>
      <c r="C197" s="2">
        <v>87.2</v>
      </c>
      <c r="D197" s="2"/>
      <c r="E197">
        <v>6.452</v>
      </c>
      <c r="F197">
        <v>-201.1</v>
      </c>
      <c r="G197" s="2">
        <v>90.1</v>
      </c>
      <c r="I197">
        <f t="shared" si="9"/>
        <v>6.45</v>
      </c>
      <c r="J197">
        <f t="shared" ref="J197:J260" si="11">F197+203</f>
        <v>1.90000000000001</v>
      </c>
      <c r="K197">
        <f t="shared" si="10"/>
        <v>0</v>
      </c>
    </row>
    <row r="198" spans="1:11">
      <c r="A198">
        <v>6.519</v>
      </c>
      <c r="B198">
        <v>-201.4</v>
      </c>
      <c r="C198" s="2">
        <v>86.4</v>
      </c>
      <c r="D198" s="2"/>
      <c r="E198">
        <v>6.485</v>
      </c>
      <c r="F198">
        <v>-201.1</v>
      </c>
      <c r="G198" s="2">
        <v>87.2</v>
      </c>
      <c r="I198">
        <f t="shared" si="9"/>
        <v>6.45</v>
      </c>
      <c r="J198">
        <f t="shared" si="11"/>
        <v>1.90000000000001</v>
      </c>
      <c r="K198">
        <f t="shared" si="10"/>
        <v>0</v>
      </c>
    </row>
    <row r="199" spans="1:11">
      <c r="A199">
        <v>6.552</v>
      </c>
      <c r="B199">
        <v>-201.8</v>
      </c>
      <c r="C199" s="2">
        <v>83.9</v>
      </c>
      <c r="D199" s="2"/>
      <c r="E199">
        <v>6.519</v>
      </c>
      <c r="F199">
        <v>-201.4</v>
      </c>
      <c r="G199" s="2">
        <v>86.4</v>
      </c>
      <c r="I199">
        <f t="shared" si="9"/>
        <v>6.5</v>
      </c>
      <c r="J199">
        <f t="shared" si="11"/>
        <v>1.59999999999999</v>
      </c>
      <c r="K199">
        <f t="shared" si="10"/>
        <v>0</v>
      </c>
    </row>
    <row r="200" spans="1:11">
      <c r="A200">
        <v>6.586</v>
      </c>
      <c r="B200">
        <v>-202.2</v>
      </c>
      <c r="C200" s="2">
        <v>82.1</v>
      </c>
      <c r="D200" s="2"/>
      <c r="E200">
        <v>6.552</v>
      </c>
      <c r="F200">
        <v>-201.8</v>
      </c>
      <c r="G200" s="2">
        <v>83.9</v>
      </c>
      <c r="I200">
        <f t="shared" si="9"/>
        <v>6.55</v>
      </c>
      <c r="J200">
        <f t="shared" si="11"/>
        <v>1.19999999999999</v>
      </c>
      <c r="K200">
        <f t="shared" si="10"/>
        <v>0</v>
      </c>
    </row>
    <row r="201" spans="1:11">
      <c r="A201">
        <v>6.619</v>
      </c>
      <c r="B201">
        <v>-202.6</v>
      </c>
      <c r="C201" s="2">
        <v>80</v>
      </c>
      <c r="D201" s="2"/>
      <c r="E201">
        <v>6.586</v>
      </c>
      <c r="F201">
        <v>-202.2</v>
      </c>
      <c r="G201" s="2">
        <v>82.1</v>
      </c>
      <c r="I201">
        <f t="shared" si="9"/>
        <v>6.55</v>
      </c>
      <c r="J201">
        <f t="shared" si="11"/>
        <v>0.800000000000011</v>
      </c>
      <c r="K201">
        <f t="shared" si="10"/>
        <v>0</v>
      </c>
    </row>
    <row r="202" spans="1:11">
      <c r="A202">
        <v>6.653</v>
      </c>
      <c r="B202">
        <v>-203</v>
      </c>
      <c r="C202" s="2">
        <v>79.2</v>
      </c>
      <c r="D202" s="2"/>
      <c r="E202">
        <v>6.619</v>
      </c>
      <c r="F202">
        <v>-202.6</v>
      </c>
      <c r="G202" s="2">
        <v>80</v>
      </c>
      <c r="I202">
        <f t="shared" si="9"/>
        <v>6.6</v>
      </c>
      <c r="J202">
        <f t="shared" si="11"/>
        <v>0.400000000000006</v>
      </c>
      <c r="K202">
        <f t="shared" si="10"/>
        <v>0</v>
      </c>
    </row>
    <row r="203" spans="1:11">
      <c r="A203">
        <v>6.686</v>
      </c>
      <c r="B203">
        <v>-203.3</v>
      </c>
      <c r="C203" s="2">
        <v>77.6</v>
      </c>
      <c r="D203" s="2"/>
      <c r="E203">
        <v>6.653</v>
      </c>
      <c r="F203">
        <v>-203</v>
      </c>
      <c r="G203" s="2">
        <v>79.2</v>
      </c>
      <c r="I203">
        <f t="shared" si="9"/>
        <v>6.65</v>
      </c>
      <c r="J203">
        <f t="shared" si="11"/>
        <v>0</v>
      </c>
      <c r="K203">
        <f t="shared" si="10"/>
        <v>0</v>
      </c>
    </row>
    <row r="204" spans="1:11">
      <c r="A204">
        <v>6.719</v>
      </c>
      <c r="B204">
        <v>-204</v>
      </c>
      <c r="C204" s="2">
        <v>75.5</v>
      </c>
      <c r="D204" s="2"/>
      <c r="E204">
        <v>6.686</v>
      </c>
      <c r="F204">
        <v>-203.3</v>
      </c>
      <c r="G204" s="2">
        <v>77.6</v>
      </c>
      <c r="I204">
        <f t="shared" si="9"/>
        <v>6.65</v>
      </c>
      <c r="J204">
        <f t="shared" si="11"/>
        <v>-0.300000000000011</v>
      </c>
      <c r="K204">
        <f t="shared" si="10"/>
        <v>0</v>
      </c>
    </row>
    <row r="205" spans="1:11">
      <c r="A205">
        <v>6.753</v>
      </c>
      <c r="B205">
        <v>-204.3</v>
      </c>
      <c r="C205" s="2">
        <v>74.8</v>
      </c>
      <c r="D205" s="2"/>
      <c r="E205">
        <v>6.719</v>
      </c>
      <c r="F205">
        <v>-204</v>
      </c>
      <c r="G205" s="2">
        <v>75.5</v>
      </c>
      <c r="I205">
        <f t="shared" si="9"/>
        <v>6.7</v>
      </c>
      <c r="J205">
        <f t="shared" si="11"/>
        <v>-1</v>
      </c>
      <c r="K205">
        <f t="shared" si="10"/>
        <v>0</v>
      </c>
    </row>
    <row r="206" spans="1:11">
      <c r="A206">
        <v>6.786</v>
      </c>
      <c r="B206">
        <v>-204.7</v>
      </c>
      <c r="C206" s="2">
        <v>72.7</v>
      </c>
      <c r="D206" s="2"/>
      <c r="E206">
        <v>6.753</v>
      </c>
      <c r="F206">
        <v>-204.3</v>
      </c>
      <c r="G206" s="2">
        <v>74.8</v>
      </c>
      <c r="I206">
        <f t="shared" si="9"/>
        <v>6.75</v>
      </c>
      <c r="J206">
        <f t="shared" si="11"/>
        <v>-1.30000000000001</v>
      </c>
      <c r="K206">
        <f t="shared" si="10"/>
        <v>0</v>
      </c>
    </row>
    <row r="207" spans="1:11">
      <c r="A207">
        <v>6.82</v>
      </c>
      <c r="B207">
        <v>-205</v>
      </c>
      <c r="C207" s="2">
        <v>71.3</v>
      </c>
      <c r="D207" s="2"/>
      <c r="E207">
        <v>6.786</v>
      </c>
      <c r="F207">
        <v>-204.7</v>
      </c>
      <c r="G207" s="2">
        <v>72.7</v>
      </c>
      <c r="I207">
        <f t="shared" si="9"/>
        <v>6.75</v>
      </c>
      <c r="J207">
        <f t="shared" si="11"/>
        <v>-1.69999999999999</v>
      </c>
      <c r="K207">
        <f t="shared" si="10"/>
        <v>0</v>
      </c>
    </row>
    <row r="208" spans="1:11">
      <c r="A208">
        <v>6.853</v>
      </c>
      <c r="B208">
        <v>-205.1</v>
      </c>
      <c r="C208" s="2">
        <v>70.5</v>
      </c>
      <c r="D208" s="2"/>
      <c r="E208">
        <v>6.82</v>
      </c>
      <c r="F208">
        <v>-205</v>
      </c>
      <c r="G208" s="2">
        <v>71.3</v>
      </c>
      <c r="I208">
        <f t="shared" si="9"/>
        <v>6.8</v>
      </c>
      <c r="J208">
        <f t="shared" si="11"/>
        <v>-2</v>
      </c>
      <c r="K208">
        <f t="shared" si="10"/>
        <v>0</v>
      </c>
    </row>
    <row r="209" spans="1:11">
      <c r="A209">
        <v>6.887</v>
      </c>
      <c r="B209">
        <v>-205.5</v>
      </c>
      <c r="C209" s="2">
        <v>69.2</v>
      </c>
      <c r="D209" s="2"/>
      <c r="E209">
        <v>6.853</v>
      </c>
      <c r="F209">
        <v>-205.1</v>
      </c>
      <c r="G209" s="2">
        <v>70.5</v>
      </c>
      <c r="I209">
        <f t="shared" si="9"/>
        <v>6.85</v>
      </c>
      <c r="J209">
        <f t="shared" si="11"/>
        <v>-2.09999999999999</v>
      </c>
      <c r="K209">
        <f t="shared" si="10"/>
        <v>0</v>
      </c>
    </row>
    <row r="210" spans="1:11">
      <c r="A210">
        <v>6.92</v>
      </c>
      <c r="B210">
        <v>-205.9</v>
      </c>
      <c r="C210" s="2">
        <v>68.6</v>
      </c>
      <c r="D210" s="2"/>
      <c r="E210">
        <v>6.887</v>
      </c>
      <c r="F210">
        <v>-205.5</v>
      </c>
      <c r="G210" s="2">
        <v>69.2</v>
      </c>
      <c r="I210">
        <f t="shared" si="9"/>
        <v>6.85</v>
      </c>
      <c r="J210">
        <f t="shared" si="11"/>
        <v>-2.5</v>
      </c>
      <c r="K210">
        <f t="shared" si="10"/>
        <v>0</v>
      </c>
    </row>
    <row r="211" spans="1:11">
      <c r="A211">
        <v>6.953</v>
      </c>
      <c r="B211">
        <v>-206.2</v>
      </c>
      <c r="C211" s="2">
        <v>67.5</v>
      </c>
      <c r="D211" s="2"/>
      <c r="E211">
        <v>6.92</v>
      </c>
      <c r="F211">
        <v>-205.9</v>
      </c>
      <c r="G211" s="2">
        <v>68.6</v>
      </c>
      <c r="I211">
        <f t="shared" si="9"/>
        <v>6.9</v>
      </c>
      <c r="J211">
        <f t="shared" si="11"/>
        <v>-2.90000000000001</v>
      </c>
      <c r="K211">
        <f t="shared" si="10"/>
        <v>0</v>
      </c>
    </row>
    <row r="212" spans="1:11">
      <c r="A212">
        <v>6.987</v>
      </c>
      <c r="B212">
        <v>-206.3</v>
      </c>
      <c r="C212" s="2">
        <v>66.8</v>
      </c>
      <c r="D212" s="2"/>
      <c r="E212">
        <v>6.953</v>
      </c>
      <c r="F212">
        <v>-206.2</v>
      </c>
      <c r="G212" s="2">
        <v>67.5</v>
      </c>
      <c r="I212">
        <f t="shared" si="9"/>
        <v>6.95</v>
      </c>
      <c r="J212">
        <f t="shared" si="11"/>
        <v>-3.19999999999999</v>
      </c>
      <c r="K212">
        <f t="shared" si="10"/>
        <v>0</v>
      </c>
    </row>
    <row r="213" spans="1:11">
      <c r="A213">
        <v>7.02</v>
      </c>
      <c r="B213">
        <v>-206.4</v>
      </c>
      <c r="C213" s="2">
        <v>66.2</v>
      </c>
      <c r="D213" s="2"/>
      <c r="E213">
        <v>6.987</v>
      </c>
      <c r="F213">
        <v>-206.3</v>
      </c>
      <c r="G213" s="2">
        <v>66.8</v>
      </c>
      <c r="I213">
        <f t="shared" si="9"/>
        <v>6.95</v>
      </c>
      <c r="J213">
        <f t="shared" si="11"/>
        <v>-3.30000000000001</v>
      </c>
      <c r="K213">
        <f t="shared" si="10"/>
        <v>0</v>
      </c>
    </row>
    <row r="214" spans="1:11">
      <c r="A214">
        <v>7.054</v>
      </c>
      <c r="B214">
        <v>-206.6</v>
      </c>
      <c r="C214" s="2">
        <v>65.2</v>
      </c>
      <c r="D214" s="2"/>
      <c r="E214">
        <v>7.02</v>
      </c>
      <c r="F214">
        <v>-206.4</v>
      </c>
      <c r="G214" s="2">
        <v>66.2</v>
      </c>
      <c r="I214">
        <f t="shared" si="9"/>
        <v>7</v>
      </c>
      <c r="J214">
        <f t="shared" si="11"/>
        <v>-3.40000000000001</v>
      </c>
      <c r="K214">
        <f t="shared" si="10"/>
        <v>0</v>
      </c>
    </row>
    <row r="215" spans="1:11">
      <c r="A215">
        <v>7.087</v>
      </c>
      <c r="B215">
        <v>-206.6</v>
      </c>
      <c r="C215">
        <v>216.5</v>
      </c>
      <c r="E215">
        <v>7.054</v>
      </c>
      <c r="F215">
        <v>-206.6</v>
      </c>
      <c r="G215" s="2">
        <v>65.2</v>
      </c>
      <c r="I215">
        <f t="shared" si="9"/>
        <v>7.05</v>
      </c>
      <c r="J215">
        <f t="shared" si="11"/>
        <v>-3.59999999999999</v>
      </c>
      <c r="K215">
        <f t="shared" si="10"/>
        <v>0</v>
      </c>
    </row>
    <row r="216" spans="1:11">
      <c r="A216">
        <v>7.121</v>
      </c>
      <c r="B216">
        <v>-206.6</v>
      </c>
      <c r="C216">
        <v>236.9</v>
      </c>
      <c r="E216">
        <v>7.087</v>
      </c>
      <c r="F216">
        <v>-206.6</v>
      </c>
      <c r="G216">
        <v>216.5</v>
      </c>
      <c r="I216">
        <f t="shared" si="9"/>
        <v>7.05</v>
      </c>
      <c r="J216">
        <f t="shared" si="11"/>
        <v>-3.59999999999999</v>
      </c>
      <c r="K216">
        <f t="shared" si="10"/>
        <v>0</v>
      </c>
    </row>
    <row r="217" spans="1:11">
      <c r="A217">
        <v>7.154</v>
      </c>
      <c r="B217">
        <v>-206.5</v>
      </c>
      <c r="C217">
        <v>237.2</v>
      </c>
      <c r="E217">
        <v>7.121</v>
      </c>
      <c r="F217">
        <v>-206.6</v>
      </c>
      <c r="G217">
        <v>236.9</v>
      </c>
      <c r="I217">
        <f t="shared" si="9"/>
        <v>7.1</v>
      </c>
      <c r="J217">
        <f t="shared" si="11"/>
        <v>-3.59999999999999</v>
      </c>
      <c r="K217">
        <f t="shared" si="10"/>
        <v>5</v>
      </c>
    </row>
    <row r="218" spans="1:11">
      <c r="A218">
        <v>7.187</v>
      </c>
      <c r="B218">
        <v>-206.5</v>
      </c>
      <c r="C218">
        <v>237.1</v>
      </c>
      <c r="E218">
        <v>7.154</v>
      </c>
      <c r="F218">
        <v>-206.5</v>
      </c>
      <c r="G218">
        <v>237.2</v>
      </c>
      <c r="I218">
        <f t="shared" si="9"/>
        <v>7.15</v>
      </c>
      <c r="J218">
        <f t="shared" si="11"/>
        <v>-3.5</v>
      </c>
      <c r="K218">
        <f t="shared" si="10"/>
        <v>5</v>
      </c>
    </row>
    <row r="219" spans="1:11">
      <c r="A219">
        <v>7.221</v>
      </c>
      <c r="B219">
        <v>-206.3</v>
      </c>
      <c r="C219">
        <v>237.1</v>
      </c>
      <c r="E219">
        <v>7.187</v>
      </c>
      <c r="F219">
        <v>-206.5</v>
      </c>
      <c r="G219">
        <v>237.1</v>
      </c>
      <c r="I219">
        <f t="shared" si="9"/>
        <v>7.15</v>
      </c>
      <c r="J219">
        <f t="shared" si="11"/>
        <v>-3.5</v>
      </c>
      <c r="K219">
        <f t="shared" si="10"/>
        <v>5</v>
      </c>
    </row>
    <row r="220" spans="1:11">
      <c r="A220">
        <v>7.254</v>
      </c>
      <c r="B220">
        <v>-205.9</v>
      </c>
      <c r="C220">
        <v>237</v>
      </c>
      <c r="E220">
        <v>7.221</v>
      </c>
      <c r="F220">
        <v>-206.3</v>
      </c>
      <c r="G220">
        <v>237.1</v>
      </c>
      <c r="I220">
        <f t="shared" si="9"/>
        <v>7.2</v>
      </c>
      <c r="J220">
        <f t="shared" si="11"/>
        <v>-3.30000000000001</v>
      </c>
      <c r="K220">
        <f t="shared" si="10"/>
        <v>5</v>
      </c>
    </row>
    <row r="221" spans="1:11">
      <c r="A221">
        <v>7.288</v>
      </c>
      <c r="B221">
        <v>-205.5</v>
      </c>
      <c r="C221">
        <v>236.9</v>
      </c>
      <c r="E221">
        <v>7.254</v>
      </c>
      <c r="F221">
        <v>-205.9</v>
      </c>
      <c r="G221">
        <v>237</v>
      </c>
      <c r="I221">
        <f t="shared" si="9"/>
        <v>7.25</v>
      </c>
      <c r="J221">
        <f t="shared" si="11"/>
        <v>-2.90000000000001</v>
      </c>
      <c r="K221">
        <f t="shared" si="10"/>
        <v>5</v>
      </c>
    </row>
    <row r="222" spans="1:11">
      <c r="A222">
        <v>7.321</v>
      </c>
      <c r="B222">
        <v>-205.3</v>
      </c>
      <c r="C222">
        <v>237.1</v>
      </c>
      <c r="E222">
        <v>7.288</v>
      </c>
      <c r="F222">
        <v>-205.5</v>
      </c>
      <c r="G222">
        <v>236.9</v>
      </c>
      <c r="I222">
        <f t="shared" si="9"/>
        <v>7.25</v>
      </c>
      <c r="J222">
        <f t="shared" si="11"/>
        <v>-2.5</v>
      </c>
      <c r="K222">
        <f t="shared" si="10"/>
        <v>5</v>
      </c>
    </row>
    <row r="223" spans="1:11">
      <c r="A223">
        <v>7.355</v>
      </c>
      <c r="B223">
        <v>-205.2</v>
      </c>
      <c r="C223">
        <v>237</v>
      </c>
      <c r="E223">
        <v>7.321</v>
      </c>
      <c r="F223">
        <v>-205.3</v>
      </c>
      <c r="G223">
        <v>237.1</v>
      </c>
      <c r="I223">
        <f t="shared" si="9"/>
        <v>7.3</v>
      </c>
      <c r="J223">
        <f t="shared" si="11"/>
        <v>-2.30000000000001</v>
      </c>
      <c r="K223">
        <f t="shared" si="10"/>
        <v>5</v>
      </c>
    </row>
    <row r="224" spans="1:11">
      <c r="A224">
        <v>7.388</v>
      </c>
      <c r="B224">
        <v>-204.4</v>
      </c>
      <c r="C224">
        <v>237.1</v>
      </c>
      <c r="E224">
        <v>7.355</v>
      </c>
      <c r="F224">
        <v>-205.2</v>
      </c>
      <c r="G224">
        <v>237</v>
      </c>
      <c r="I224">
        <f t="shared" si="9"/>
        <v>7.35</v>
      </c>
      <c r="J224">
        <f t="shared" si="11"/>
        <v>-2.19999999999999</v>
      </c>
      <c r="K224">
        <f t="shared" si="10"/>
        <v>5</v>
      </c>
    </row>
    <row r="225" spans="1:11">
      <c r="A225">
        <v>7.422</v>
      </c>
      <c r="B225">
        <v>-203.9</v>
      </c>
      <c r="C225">
        <v>236.9</v>
      </c>
      <c r="E225">
        <v>7.388</v>
      </c>
      <c r="F225">
        <v>-204.4</v>
      </c>
      <c r="G225">
        <v>237.1</v>
      </c>
      <c r="I225">
        <f t="shared" si="9"/>
        <v>7.35</v>
      </c>
      <c r="J225">
        <f t="shared" si="11"/>
        <v>-1.40000000000001</v>
      </c>
      <c r="K225">
        <f t="shared" si="10"/>
        <v>5</v>
      </c>
    </row>
    <row r="226" spans="1:11">
      <c r="A226">
        <v>7.455</v>
      </c>
      <c r="B226">
        <v>-203.6</v>
      </c>
      <c r="C226">
        <v>237</v>
      </c>
      <c r="E226">
        <v>7.422</v>
      </c>
      <c r="F226">
        <v>-203.9</v>
      </c>
      <c r="G226">
        <v>236.9</v>
      </c>
      <c r="I226">
        <f t="shared" si="9"/>
        <v>7.4</v>
      </c>
      <c r="J226">
        <f t="shared" si="11"/>
        <v>-0.900000000000006</v>
      </c>
      <c r="K226">
        <f t="shared" si="10"/>
        <v>5</v>
      </c>
    </row>
    <row r="227" spans="1:11">
      <c r="A227">
        <v>7.488</v>
      </c>
      <c r="B227">
        <v>-203</v>
      </c>
      <c r="C227">
        <v>237.1</v>
      </c>
      <c r="E227">
        <v>7.455</v>
      </c>
      <c r="F227">
        <v>-203.6</v>
      </c>
      <c r="G227">
        <v>237</v>
      </c>
      <c r="I227">
        <f t="shared" si="9"/>
        <v>7.45</v>
      </c>
      <c r="J227">
        <f t="shared" si="11"/>
        <v>-0.599999999999994</v>
      </c>
      <c r="K227">
        <f t="shared" si="10"/>
        <v>5</v>
      </c>
    </row>
    <row r="228" spans="1:11">
      <c r="A228">
        <v>7.522</v>
      </c>
      <c r="B228">
        <v>-202.5</v>
      </c>
      <c r="C228">
        <v>236.9</v>
      </c>
      <c r="E228">
        <v>7.488</v>
      </c>
      <c r="F228">
        <v>-203</v>
      </c>
      <c r="G228">
        <v>237.1</v>
      </c>
      <c r="I228">
        <f t="shared" si="9"/>
        <v>7.45</v>
      </c>
      <c r="J228">
        <f t="shared" si="11"/>
        <v>0</v>
      </c>
      <c r="K228">
        <f t="shared" si="10"/>
        <v>5</v>
      </c>
    </row>
    <row r="229" spans="1:11">
      <c r="A229">
        <v>7.555</v>
      </c>
      <c r="B229">
        <v>-201.8</v>
      </c>
      <c r="C229">
        <v>236.9</v>
      </c>
      <c r="E229">
        <v>7.522</v>
      </c>
      <c r="F229">
        <v>-202.5</v>
      </c>
      <c r="G229">
        <v>236.9</v>
      </c>
      <c r="I229">
        <f t="shared" si="9"/>
        <v>7.5</v>
      </c>
      <c r="J229">
        <f t="shared" si="11"/>
        <v>0.5</v>
      </c>
      <c r="K229">
        <f t="shared" si="10"/>
        <v>5</v>
      </c>
    </row>
    <row r="230" spans="1:11">
      <c r="A230">
        <v>7.589</v>
      </c>
      <c r="B230">
        <v>-201.5</v>
      </c>
      <c r="C230">
        <v>237</v>
      </c>
      <c r="E230">
        <v>7.555</v>
      </c>
      <c r="F230">
        <v>-201.8</v>
      </c>
      <c r="G230">
        <v>236.9</v>
      </c>
      <c r="I230">
        <f t="shared" si="9"/>
        <v>7.55</v>
      </c>
      <c r="J230">
        <f t="shared" si="11"/>
        <v>1.19999999999999</v>
      </c>
      <c r="K230">
        <f t="shared" si="10"/>
        <v>5</v>
      </c>
    </row>
    <row r="231" spans="1:11">
      <c r="A231">
        <v>7.622</v>
      </c>
      <c r="B231">
        <v>-201.1</v>
      </c>
      <c r="C231">
        <v>236.9</v>
      </c>
      <c r="E231">
        <v>7.589</v>
      </c>
      <c r="F231">
        <v>-201.5</v>
      </c>
      <c r="G231">
        <v>237</v>
      </c>
      <c r="I231">
        <f t="shared" si="9"/>
        <v>7.55</v>
      </c>
      <c r="J231">
        <f t="shared" si="11"/>
        <v>1.5</v>
      </c>
      <c r="K231">
        <f t="shared" si="10"/>
        <v>5</v>
      </c>
    </row>
    <row r="232" spans="1:11">
      <c r="A232">
        <v>7.656</v>
      </c>
      <c r="B232">
        <v>-200.4</v>
      </c>
      <c r="C232">
        <v>237</v>
      </c>
      <c r="E232">
        <v>7.622</v>
      </c>
      <c r="F232">
        <v>-201.1</v>
      </c>
      <c r="G232">
        <v>236.9</v>
      </c>
      <c r="I232">
        <f t="shared" si="9"/>
        <v>7.6</v>
      </c>
      <c r="J232">
        <f t="shared" si="11"/>
        <v>1.90000000000001</v>
      </c>
      <c r="K232">
        <f t="shared" si="10"/>
        <v>5</v>
      </c>
    </row>
    <row r="233" spans="1:11">
      <c r="A233">
        <v>7.689</v>
      </c>
      <c r="B233">
        <v>-200.4</v>
      </c>
      <c r="C233">
        <v>237.3</v>
      </c>
      <c r="E233">
        <v>7.656</v>
      </c>
      <c r="F233">
        <v>-200.4</v>
      </c>
      <c r="G233">
        <v>237</v>
      </c>
      <c r="I233">
        <f t="shared" si="9"/>
        <v>7.65</v>
      </c>
      <c r="J233">
        <f t="shared" si="11"/>
        <v>2.59999999999999</v>
      </c>
      <c r="K233">
        <f t="shared" si="10"/>
        <v>5</v>
      </c>
    </row>
    <row r="234" spans="1:11">
      <c r="A234">
        <v>7.722</v>
      </c>
      <c r="B234">
        <v>-200.2</v>
      </c>
      <c r="C234">
        <v>237</v>
      </c>
      <c r="E234">
        <v>7.689</v>
      </c>
      <c r="F234">
        <v>-200.4</v>
      </c>
      <c r="G234">
        <v>237.3</v>
      </c>
      <c r="I234">
        <f t="shared" si="9"/>
        <v>7.65</v>
      </c>
      <c r="J234">
        <f t="shared" si="11"/>
        <v>2.59999999999999</v>
      </c>
      <c r="K234">
        <f t="shared" si="10"/>
        <v>5</v>
      </c>
    </row>
    <row r="235" spans="1:11">
      <c r="A235">
        <v>7.756</v>
      </c>
      <c r="B235">
        <v>-199.9</v>
      </c>
      <c r="C235">
        <v>237.1</v>
      </c>
      <c r="E235">
        <v>7.722</v>
      </c>
      <c r="F235">
        <v>-200.2</v>
      </c>
      <c r="G235">
        <v>237</v>
      </c>
      <c r="I235">
        <f t="shared" si="9"/>
        <v>7.7</v>
      </c>
      <c r="J235">
        <f t="shared" si="11"/>
        <v>2.80000000000001</v>
      </c>
      <c r="K235">
        <f t="shared" si="10"/>
        <v>5</v>
      </c>
    </row>
    <row r="236" spans="1:11">
      <c r="A236">
        <v>7.789</v>
      </c>
      <c r="B236">
        <v>-199.8</v>
      </c>
      <c r="C236">
        <v>237.1</v>
      </c>
      <c r="E236">
        <v>7.756</v>
      </c>
      <c r="F236">
        <v>-199.9</v>
      </c>
      <c r="G236">
        <v>237.1</v>
      </c>
      <c r="I236">
        <f t="shared" si="9"/>
        <v>7.75</v>
      </c>
      <c r="J236">
        <f t="shared" si="11"/>
        <v>3.09999999999999</v>
      </c>
      <c r="K236">
        <f t="shared" si="10"/>
        <v>5</v>
      </c>
    </row>
    <row r="237" spans="1:11">
      <c r="A237">
        <v>7.823</v>
      </c>
      <c r="B237">
        <v>-199.7</v>
      </c>
      <c r="C237">
        <v>237.1</v>
      </c>
      <c r="E237">
        <v>7.789</v>
      </c>
      <c r="F237">
        <v>-199.8</v>
      </c>
      <c r="G237">
        <v>237.1</v>
      </c>
      <c r="I237">
        <f t="shared" si="9"/>
        <v>7.75</v>
      </c>
      <c r="J237">
        <f t="shared" si="11"/>
        <v>3.19999999999999</v>
      </c>
      <c r="K237">
        <f t="shared" si="10"/>
        <v>5</v>
      </c>
    </row>
    <row r="238" spans="1:11">
      <c r="A238">
        <v>7.856</v>
      </c>
      <c r="B238">
        <v>-199.9</v>
      </c>
      <c r="C238">
        <v>122.3</v>
      </c>
      <c r="E238">
        <v>7.823</v>
      </c>
      <c r="F238">
        <v>-199.7</v>
      </c>
      <c r="G238">
        <v>237.1</v>
      </c>
      <c r="I238">
        <f t="shared" si="9"/>
        <v>7.8</v>
      </c>
      <c r="J238">
        <f t="shared" si="11"/>
        <v>3.30000000000001</v>
      </c>
      <c r="K238">
        <f t="shared" si="10"/>
        <v>5</v>
      </c>
    </row>
    <row r="239" spans="1:11">
      <c r="A239">
        <v>7.89</v>
      </c>
      <c r="B239">
        <v>-200</v>
      </c>
      <c r="C239">
        <v>101.2</v>
      </c>
      <c r="E239">
        <v>7.856</v>
      </c>
      <c r="F239">
        <v>-199.9</v>
      </c>
      <c r="G239">
        <v>122.3</v>
      </c>
      <c r="I239">
        <f t="shared" si="9"/>
        <v>7.85</v>
      </c>
      <c r="J239">
        <f t="shared" si="11"/>
        <v>3.09999999999999</v>
      </c>
      <c r="K239">
        <f t="shared" si="10"/>
        <v>0</v>
      </c>
    </row>
    <row r="240" spans="1:11">
      <c r="A240">
        <v>7.923</v>
      </c>
      <c r="B240">
        <v>-200.1</v>
      </c>
      <c r="C240">
        <v>102</v>
      </c>
      <c r="E240">
        <v>7.89</v>
      </c>
      <c r="F240">
        <v>-200</v>
      </c>
      <c r="G240">
        <v>101.2</v>
      </c>
      <c r="I240">
        <f t="shared" si="9"/>
        <v>7.85</v>
      </c>
      <c r="J240">
        <f t="shared" si="11"/>
        <v>3</v>
      </c>
      <c r="K240">
        <f t="shared" si="10"/>
        <v>0</v>
      </c>
    </row>
    <row r="241" spans="1:11">
      <c r="A241">
        <v>7.956</v>
      </c>
      <c r="B241">
        <v>-200.2</v>
      </c>
      <c r="C241">
        <v>98.8</v>
      </c>
      <c r="E241">
        <v>7.923</v>
      </c>
      <c r="F241">
        <v>-200.1</v>
      </c>
      <c r="G241">
        <v>102</v>
      </c>
      <c r="I241">
        <f t="shared" si="9"/>
        <v>7.9</v>
      </c>
      <c r="J241">
        <f t="shared" si="11"/>
        <v>2.90000000000001</v>
      </c>
      <c r="K241">
        <f t="shared" si="10"/>
        <v>0</v>
      </c>
    </row>
    <row r="242" spans="1:11">
      <c r="A242">
        <v>7.99</v>
      </c>
      <c r="B242">
        <v>-200.5</v>
      </c>
      <c r="C242">
        <v>97.9</v>
      </c>
      <c r="E242">
        <v>7.956</v>
      </c>
      <c r="F242">
        <v>-200.2</v>
      </c>
      <c r="G242">
        <v>98.8</v>
      </c>
      <c r="I242">
        <f t="shared" si="9"/>
        <v>7.95</v>
      </c>
      <c r="J242">
        <f t="shared" si="11"/>
        <v>2.80000000000001</v>
      </c>
      <c r="K242">
        <f t="shared" si="10"/>
        <v>0</v>
      </c>
    </row>
    <row r="243" spans="1:11">
      <c r="A243">
        <v>8.023</v>
      </c>
      <c r="B243">
        <v>-200.9</v>
      </c>
      <c r="C243">
        <v>95.5</v>
      </c>
      <c r="E243">
        <v>7.99</v>
      </c>
      <c r="F243">
        <v>-200.5</v>
      </c>
      <c r="G243">
        <v>97.9</v>
      </c>
      <c r="I243">
        <f t="shared" si="9"/>
        <v>7.95</v>
      </c>
      <c r="J243">
        <f t="shared" si="11"/>
        <v>2.5</v>
      </c>
      <c r="K243">
        <f t="shared" si="10"/>
        <v>0</v>
      </c>
    </row>
    <row r="244" spans="1:11">
      <c r="A244">
        <v>8.057</v>
      </c>
      <c r="B244">
        <v>-201.4</v>
      </c>
      <c r="C244">
        <v>93.1</v>
      </c>
      <c r="E244">
        <v>8.023</v>
      </c>
      <c r="F244">
        <v>-200.9</v>
      </c>
      <c r="G244">
        <v>95.5</v>
      </c>
      <c r="I244">
        <f t="shared" si="9"/>
        <v>8</v>
      </c>
      <c r="J244">
        <f t="shared" si="11"/>
        <v>2.09999999999999</v>
      </c>
      <c r="K244">
        <f t="shared" si="10"/>
        <v>0</v>
      </c>
    </row>
    <row r="245" spans="1:11">
      <c r="A245">
        <v>8.09</v>
      </c>
      <c r="B245">
        <v>-202.1</v>
      </c>
      <c r="C245">
        <v>91.3</v>
      </c>
      <c r="E245">
        <v>8.057</v>
      </c>
      <c r="F245">
        <v>-201.4</v>
      </c>
      <c r="G245">
        <v>93.1</v>
      </c>
      <c r="I245">
        <f t="shared" si="9"/>
        <v>8.05</v>
      </c>
      <c r="J245">
        <f t="shared" si="11"/>
        <v>1.59999999999999</v>
      </c>
      <c r="K245">
        <f t="shared" si="10"/>
        <v>0</v>
      </c>
    </row>
    <row r="246" spans="1:11">
      <c r="A246">
        <v>8.124</v>
      </c>
      <c r="B246">
        <v>-202.7</v>
      </c>
      <c r="C246">
        <v>89.3</v>
      </c>
      <c r="E246">
        <v>8.09</v>
      </c>
      <c r="F246">
        <v>-202.1</v>
      </c>
      <c r="G246">
        <v>91.3</v>
      </c>
      <c r="I246">
        <f t="shared" si="9"/>
        <v>8.05</v>
      </c>
      <c r="J246">
        <f t="shared" si="11"/>
        <v>0.900000000000006</v>
      </c>
      <c r="K246">
        <f t="shared" si="10"/>
        <v>0</v>
      </c>
    </row>
    <row r="247" spans="1:11">
      <c r="A247">
        <v>8.157</v>
      </c>
      <c r="B247">
        <v>-204</v>
      </c>
      <c r="C247" s="2">
        <v>86.6</v>
      </c>
      <c r="D247" s="2"/>
      <c r="E247">
        <v>8.124</v>
      </c>
      <c r="F247">
        <v>-202.7</v>
      </c>
      <c r="G247">
        <v>89.3</v>
      </c>
      <c r="I247">
        <f t="shared" si="9"/>
        <v>8.1</v>
      </c>
      <c r="J247">
        <f t="shared" si="11"/>
        <v>0.300000000000011</v>
      </c>
      <c r="K247">
        <f t="shared" si="10"/>
        <v>0</v>
      </c>
    </row>
    <row r="248" spans="1:11">
      <c r="A248">
        <v>8.19</v>
      </c>
      <c r="B248">
        <v>-204.5</v>
      </c>
      <c r="C248" s="2">
        <v>85.5</v>
      </c>
      <c r="D248" s="2"/>
      <c r="E248">
        <v>8.157</v>
      </c>
      <c r="F248">
        <v>-204</v>
      </c>
      <c r="G248" s="2">
        <v>86.6</v>
      </c>
      <c r="I248">
        <f t="shared" si="9"/>
        <v>8.15</v>
      </c>
      <c r="J248">
        <f t="shared" si="11"/>
        <v>-1</v>
      </c>
      <c r="K248">
        <f t="shared" si="10"/>
        <v>0</v>
      </c>
    </row>
    <row r="249" spans="1:11">
      <c r="A249">
        <v>8.224</v>
      </c>
      <c r="B249">
        <v>-205.1</v>
      </c>
      <c r="C249" s="2">
        <v>84.2</v>
      </c>
      <c r="D249" s="2"/>
      <c r="E249">
        <v>8.19</v>
      </c>
      <c r="F249">
        <v>-204.5</v>
      </c>
      <c r="G249" s="2">
        <v>85.5</v>
      </c>
      <c r="I249">
        <f t="shared" si="9"/>
        <v>8.15</v>
      </c>
      <c r="J249">
        <f t="shared" si="11"/>
        <v>-1.5</v>
      </c>
      <c r="K249">
        <f t="shared" si="10"/>
        <v>0</v>
      </c>
    </row>
    <row r="250" spans="1:11">
      <c r="A250">
        <v>8.257</v>
      </c>
      <c r="B250">
        <v>-205.3</v>
      </c>
      <c r="C250" s="2">
        <v>82.3</v>
      </c>
      <c r="D250" s="2"/>
      <c r="E250">
        <v>8.224</v>
      </c>
      <c r="F250">
        <v>-205.1</v>
      </c>
      <c r="G250" s="2">
        <v>84.2</v>
      </c>
      <c r="I250">
        <f t="shared" si="9"/>
        <v>8.2</v>
      </c>
      <c r="J250">
        <f t="shared" si="11"/>
        <v>-2.09999999999999</v>
      </c>
      <c r="K250">
        <f t="shared" si="10"/>
        <v>0</v>
      </c>
    </row>
    <row r="251" spans="1:11">
      <c r="A251">
        <v>8.291</v>
      </c>
      <c r="B251">
        <v>-205.9</v>
      </c>
      <c r="C251" s="2">
        <v>81.5</v>
      </c>
      <c r="D251" s="2"/>
      <c r="E251">
        <v>8.257</v>
      </c>
      <c r="F251">
        <v>-205.3</v>
      </c>
      <c r="G251" s="2">
        <v>82.3</v>
      </c>
      <c r="I251">
        <f t="shared" si="9"/>
        <v>8.25</v>
      </c>
      <c r="J251">
        <f t="shared" si="11"/>
        <v>-2.30000000000001</v>
      </c>
      <c r="K251">
        <f t="shared" si="10"/>
        <v>0</v>
      </c>
    </row>
    <row r="252" spans="1:11">
      <c r="A252">
        <v>8.324</v>
      </c>
      <c r="B252">
        <v>-206.4</v>
      </c>
      <c r="C252" s="2">
        <v>79.6</v>
      </c>
      <c r="D252" s="2"/>
      <c r="E252">
        <v>8.291</v>
      </c>
      <c r="F252">
        <v>-205.9</v>
      </c>
      <c r="G252" s="2">
        <v>81.5</v>
      </c>
      <c r="I252">
        <f t="shared" si="9"/>
        <v>8.25</v>
      </c>
      <c r="J252">
        <f t="shared" si="11"/>
        <v>-2.90000000000001</v>
      </c>
      <c r="K252">
        <f t="shared" si="10"/>
        <v>0</v>
      </c>
    </row>
    <row r="253" spans="1:11">
      <c r="A253">
        <v>8.358</v>
      </c>
      <c r="B253">
        <v>-207.1</v>
      </c>
      <c r="C253" s="2">
        <v>77.1</v>
      </c>
      <c r="D253" s="2"/>
      <c r="E253">
        <v>8.324</v>
      </c>
      <c r="F253">
        <v>-206.4</v>
      </c>
      <c r="G253" s="2">
        <v>79.6</v>
      </c>
      <c r="I253">
        <f t="shared" si="9"/>
        <v>8.3</v>
      </c>
      <c r="J253">
        <f t="shared" si="11"/>
        <v>-3.40000000000001</v>
      </c>
      <c r="K253">
        <f t="shared" si="10"/>
        <v>0</v>
      </c>
    </row>
    <row r="254" spans="1:11">
      <c r="A254">
        <v>8.391</v>
      </c>
      <c r="B254">
        <v>-207.5</v>
      </c>
      <c r="C254" s="2">
        <v>76.6</v>
      </c>
      <c r="D254" s="2"/>
      <c r="E254">
        <v>8.358</v>
      </c>
      <c r="F254">
        <v>-207.1</v>
      </c>
      <c r="G254" s="2">
        <v>77.1</v>
      </c>
      <c r="I254">
        <f t="shared" si="9"/>
        <v>8.35</v>
      </c>
      <c r="J254">
        <f t="shared" si="11"/>
        <v>-4.09999999999999</v>
      </c>
      <c r="K254">
        <f t="shared" si="10"/>
        <v>0</v>
      </c>
    </row>
    <row r="255" spans="1:11">
      <c r="A255">
        <v>8.424</v>
      </c>
      <c r="B255">
        <v>-208</v>
      </c>
      <c r="C255" s="2">
        <v>74.9</v>
      </c>
      <c r="D255" s="2"/>
      <c r="E255">
        <v>8.391</v>
      </c>
      <c r="F255">
        <v>-207.5</v>
      </c>
      <c r="G255" s="2">
        <v>76.6</v>
      </c>
      <c r="I255">
        <f t="shared" si="9"/>
        <v>8.35</v>
      </c>
      <c r="J255">
        <f t="shared" si="11"/>
        <v>-4.5</v>
      </c>
      <c r="K255">
        <f t="shared" si="10"/>
        <v>0</v>
      </c>
    </row>
    <row r="256" spans="1:11">
      <c r="A256">
        <v>8.458</v>
      </c>
      <c r="B256">
        <v>-207.9</v>
      </c>
      <c r="C256" s="2">
        <v>73.1</v>
      </c>
      <c r="D256" s="2"/>
      <c r="E256">
        <v>8.424</v>
      </c>
      <c r="F256">
        <v>-208</v>
      </c>
      <c r="G256" s="2">
        <v>74.9</v>
      </c>
      <c r="I256">
        <f t="shared" si="9"/>
        <v>8.4</v>
      </c>
      <c r="J256">
        <f t="shared" si="11"/>
        <v>-5</v>
      </c>
      <c r="K256">
        <f t="shared" si="10"/>
        <v>0</v>
      </c>
    </row>
    <row r="257" spans="1:11">
      <c r="A257">
        <v>8.491</v>
      </c>
      <c r="B257">
        <v>-208</v>
      </c>
      <c r="C257" s="2">
        <v>72.6</v>
      </c>
      <c r="D257" s="2"/>
      <c r="E257">
        <v>8.458</v>
      </c>
      <c r="F257">
        <v>-207.9</v>
      </c>
      <c r="G257" s="2">
        <v>73.1</v>
      </c>
      <c r="I257">
        <f t="shared" si="9"/>
        <v>8.45</v>
      </c>
      <c r="J257">
        <f t="shared" si="11"/>
        <v>-4.90000000000001</v>
      </c>
      <c r="K257">
        <f t="shared" si="10"/>
        <v>0</v>
      </c>
    </row>
    <row r="258" spans="1:11">
      <c r="A258">
        <v>8.525</v>
      </c>
      <c r="B258">
        <v>-208.1</v>
      </c>
      <c r="C258" s="2">
        <v>71.1</v>
      </c>
      <c r="D258" s="2"/>
      <c r="E258">
        <v>8.491</v>
      </c>
      <c r="F258">
        <v>-208</v>
      </c>
      <c r="G258" s="2">
        <v>72.6</v>
      </c>
      <c r="I258">
        <f t="shared" si="9"/>
        <v>8.45</v>
      </c>
      <c r="J258">
        <f t="shared" si="11"/>
        <v>-5</v>
      </c>
      <c r="K258">
        <f t="shared" si="10"/>
        <v>0</v>
      </c>
    </row>
    <row r="259" spans="1:11">
      <c r="A259">
        <v>8.558</v>
      </c>
      <c r="B259">
        <v>-208</v>
      </c>
      <c r="C259" s="2">
        <v>69.9</v>
      </c>
      <c r="D259" s="2"/>
      <c r="E259">
        <v>8.525</v>
      </c>
      <c r="F259">
        <v>-208.1</v>
      </c>
      <c r="G259" s="2">
        <v>71.1</v>
      </c>
      <c r="I259">
        <f t="shared" si="9"/>
        <v>8.5</v>
      </c>
      <c r="J259">
        <f t="shared" si="11"/>
        <v>-5.09999999999999</v>
      </c>
      <c r="K259">
        <f t="shared" si="10"/>
        <v>0</v>
      </c>
    </row>
    <row r="260" spans="1:11">
      <c r="A260">
        <v>8.592</v>
      </c>
      <c r="B260">
        <v>-207.8</v>
      </c>
      <c r="C260" s="2">
        <v>225.4</v>
      </c>
      <c r="D260" s="2"/>
      <c r="E260">
        <v>8.558</v>
      </c>
      <c r="F260">
        <v>-208</v>
      </c>
      <c r="G260" s="2">
        <v>69.9</v>
      </c>
      <c r="I260">
        <f t="shared" ref="I260:I323" si="12">FLOOR(E260,0.05)</f>
        <v>8.55</v>
      </c>
      <c r="J260">
        <f t="shared" si="11"/>
        <v>-5</v>
      </c>
      <c r="K260">
        <f t="shared" ref="K260:K323" si="13">IF(G260&lt;230,0,5)</f>
        <v>0</v>
      </c>
    </row>
    <row r="261" spans="1:11">
      <c r="A261">
        <v>8.625</v>
      </c>
      <c r="B261">
        <v>-207.7</v>
      </c>
      <c r="C261" s="2">
        <v>237</v>
      </c>
      <c r="D261" s="2"/>
      <c r="E261">
        <v>8.592</v>
      </c>
      <c r="F261">
        <v>-207.8</v>
      </c>
      <c r="G261" s="2">
        <v>225.4</v>
      </c>
      <c r="I261">
        <f t="shared" si="12"/>
        <v>8.55</v>
      </c>
      <c r="J261">
        <f t="shared" ref="J261:J324" si="14">F261+203</f>
        <v>-4.80000000000001</v>
      </c>
      <c r="K261">
        <f t="shared" si="13"/>
        <v>0</v>
      </c>
    </row>
    <row r="262" spans="1:11">
      <c r="A262">
        <v>8.658</v>
      </c>
      <c r="B262">
        <v>-207.6</v>
      </c>
      <c r="C262" s="2">
        <v>236.9</v>
      </c>
      <c r="D262" s="2"/>
      <c r="E262">
        <v>8.625</v>
      </c>
      <c r="F262">
        <v>-207.7</v>
      </c>
      <c r="G262" s="2">
        <v>237</v>
      </c>
      <c r="I262">
        <f t="shared" si="12"/>
        <v>8.6</v>
      </c>
      <c r="J262">
        <f t="shared" si="14"/>
        <v>-4.69999999999999</v>
      </c>
      <c r="K262">
        <f t="shared" si="13"/>
        <v>5</v>
      </c>
    </row>
    <row r="263" spans="1:11">
      <c r="A263">
        <v>8.692</v>
      </c>
      <c r="B263">
        <v>-207.5</v>
      </c>
      <c r="C263" s="2">
        <v>237</v>
      </c>
      <c r="D263" s="2"/>
      <c r="E263">
        <v>8.658</v>
      </c>
      <c r="F263">
        <v>-207.6</v>
      </c>
      <c r="G263" s="2">
        <v>236.9</v>
      </c>
      <c r="I263">
        <f t="shared" si="12"/>
        <v>8.65</v>
      </c>
      <c r="J263">
        <f t="shared" si="14"/>
        <v>-4.59999999999999</v>
      </c>
      <c r="K263">
        <f t="shared" si="13"/>
        <v>5</v>
      </c>
    </row>
    <row r="264" spans="1:11">
      <c r="A264">
        <v>8.725</v>
      </c>
      <c r="B264">
        <v>-207.2</v>
      </c>
      <c r="C264" s="2">
        <v>236.7</v>
      </c>
      <c r="D264" s="2"/>
      <c r="E264">
        <v>8.692</v>
      </c>
      <c r="F264">
        <v>-207.5</v>
      </c>
      <c r="G264" s="2">
        <v>237</v>
      </c>
      <c r="I264">
        <f t="shared" si="12"/>
        <v>8.65</v>
      </c>
      <c r="J264">
        <f t="shared" si="14"/>
        <v>-4.5</v>
      </c>
      <c r="K264">
        <f t="shared" si="13"/>
        <v>5</v>
      </c>
    </row>
    <row r="265" spans="1:11">
      <c r="A265">
        <v>8.759</v>
      </c>
      <c r="B265">
        <v>-206.5</v>
      </c>
      <c r="C265" s="2">
        <v>236.8</v>
      </c>
      <c r="D265" s="2"/>
      <c r="E265">
        <v>8.725</v>
      </c>
      <c r="F265">
        <v>-207.2</v>
      </c>
      <c r="G265" s="2">
        <v>236.7</v>
      </c>
      <c r="I265">
        <f t="shared" si="12"/>
        <v>8.7</v>
      </c>
      <c r="J265">
        <f t="shared" si="14"/>
        <v>-4.19999999999999</v>
      </c>
      <c r="K265">
        <f t="shared" si="13"/>
        <v>5</v>
      </c>
    </row>
    <row r="266" spans="1:11">
      <c r="A266">
        <v>8.792</v>
      </c>
      <c r="B266">
        <v>-205.8</v>
      </c>
      <c r="C266" s="2">
        <v>236.9</v>
      </c>
      <c r="D266" s="2"/>
      <c r="E266">
        <v>8.759</v>
      </c>
      <c r="F266">
        <v>-206.5</v>
      </c>
      <c r="G266" s="2">
        <v>236.8</v>
      </c>
      <c r="I266">
        <f t="shared" si="12"/>
        <v>8.75</v>
      </c>
      <c r="J266">
        <f t="shared" si="14"/>
        <v>-3.5</v>
      </c>
      <c r="K266">
        <f t="shared" si="13"/>
        <v>5</v>
      </c>
    </row>
    <row r="267" spans="1:11">
      <c r="A267">
        <v>8.826</v>
      </c>
      <c r="B267">
        <v>-205.5</v>
      </c>
      <c r="C267" s="2">
        <v>237</v>
      </c>
      <c r="D267" s="2"/>
      <c r="E267">
        <v>8.792</v>
      </c>
      <c r="F267">
        <v>-205.8</v>
      </c>
      <c r="G267" s="2">
        <v>236.9</v>
      </c>
      <c r="I267">
        <f t="shared" si="12"/>
        <v>8.75</v>
      </c>
      <c r="J267">
        <f t="shared" si="14"/>
        <v>-2.80000000000001</v>
      </c>
      <c r="K267">
        <f t="shared" si="13"/>
        <v>5</v>
      </c>
    </row>
    <row r="268" spans="1:11">
      <c r="A268">
        <v>8.859</v>
      </c>
      <c r="B268">
        <v>-205</v>
      </c>
      <c r="C268">
        <v>236.9</v>
      </c>
      <c r="E268">
        <v>8.826</v>
      </c>
      <c r="F268">
        <v>-205.5</v>
      </c>
      <c r="G268" s="2">
        <v>237</v>
      </c>
      <c r="I268">
        <f t="shared" si="12"/>
        <v>8.8</v>
      </c>
      <c r="J268">
        <f t="shared" si="14"/>
        <v>-2.5</v>
      </c>
      <c r="K268">
        <f t="shared" si="13"/>
        <v>5</v>
      </c>
    </row>
    <row r="269" spans="1:11">
      <c r="A269">
        <v>8.892</v>
      </c>
      <c r="B269">
        <v>-204.3</v>
      </c>
      <c r="C269">
        <v>237</v>
      </c>
      <c r="E269">
        <v>8.859</v>
      </c>
      <c r="F269">
        <v>-205</v>
      </c>
      <c r="G269">
        <v>236.9</v>
      </c>
      <c r="I269">
        <f t="shared" si="12"/>
        <v>8.85</v>
      </c>
      <c r="J269">
        <f t="shared" si="14"/>
        <v>-2</v>
      </c>
      <c r="K269">
        <f t="shared" si="13"/>
        <v>5</v>
      </c>
    </row>
    <row r="270" spans="1:11">
      <c r="A270">
        <v>8.926</v>
      </c>
      <c r="B270">
        <v>-203.9</v>
      </c>
      <c r="C270">
        <v>236.7</v>
      </c>
      <c r="E270">
        <v>8.892</v>
      </c>
      <c r="F270">
        <v>-204.3</v>
      </c>
      <c r="G270">
        <v>237</v>
      </c>
      <c r="I270">
        <f t="shared" si="12"/>
        <v>8.85</v>
      </c>
      <c r="J270">
        <f t="shared" si="14"/>
        <v>-1.30000000000001</v>
      </c>
      <c r="K270">
        <f t="shared" si="13"/>
        <v>5</v>
      </c>
    </row>
    <row r="271" spans="1:11">
      <c r="A271">
        <v>8.959</v>
      </c>
      <c r="B271">
        <v>-203.1</v>
      </c>
      <c r="C271">
        <v>236.8</v>
      </c>
      <c r="E271">
        <v>8.926</v>
      </c>
      <c r="F271">
        <v>-203.9</v>
      </c>
      <c r="G271">
        <v>236.7</v>
      </c>
      <c r="I271">
        <f t="shared" si="12"/>
        <v>8.9</v>
      </c>
      <c r="J271">
        <f t="shared" si="14"/>
        <v>-0.900000000000006</v>
      </c>
      <c r="K271">
        <f t="shared" si="13"/>
        <v>5</v>
      </c>
    </row>
    <row r="272" spans="1:11">
      <c r="A272">
        <v>8.993</v>
      </c>
      <c r="B272">
        <v>-202.5</v>
      </c>
      <c r="C272">
        <v>237.2</v>
      </c>
      <c r="E272">
        <v>8.959</v>
      </c>
      <c r="F272">
        <v>-203.1</v>
      </c>
      <c r="G272">
        <v>236.8</v>
      </c>
      <c r="I272">
        <f t="shared" si="12"/>
        <v>8.95</v>
      </c>
      <c r="J272">
        <f t="shared" si="14"/>
        <v>-0.0999999999999943</v>
      </c>
      <c r="K272">
        <f t="shared" si="13"/>
        <v>5</v>
      </c>
    </row>
    <row r="273" spans="1:11">
      <c r="A273">
        <v>9.026</v>
      </c>
      <c r="B273">
        <v>-201.4</v>
      </c>
      <c r="C273">
        <v>236.8</v>
      </c>
      <c r="E273">
        <v>8.993</v>
      </c>
      <c r="F273">
        <v>-202.5</v>
      </c>
      <c r="G273">
        <v>237.2</v>
      </c>
      <c r="I273">
        <f t="shared" si="12"/>
        <v>8.95</v>
      </c>
      <c r="J273">
        <f t="shared" si="14"/>
        <v>0.5</v>
      </c>
      <c r="K273">
        <f t="shared" si="13"/>
        <v>5</v>
      </c>
    </row>
    <row r="274" spans="1:11">
      <c r="A274">
        <v>9.06</v>
      </c>
      <c r="B274">
        <v>-200.7</v>
      </c>
      <c r="C274">
        <v>236.9</v>
      </c>
      <c r="E274">
        <v>9.026</v>
      </c>
      <c r="F274">
        <v>-201.4</v>
      </c>
      <c r="G274">
        <v>236.8</v>
      </c>
      <c r="I274">
        <f t="shared" si="12"/>
        <v>9</v>
      </c>
      <c r="J274">
        <f t="shared" si="14"/>
        <v>1.59999999999999</v>
      </c>
      <c r="K274">
        <f t="shared" si="13"/>
        <v>5</v>
      </c>
    </row>
    <row r="275" spans="1:11">
      <c r="A275">
        <v>9.093</v>
      </c>
      <c r="B275">
        <v>-200.3</v>
      </c>
      <c r="C275">
        <v>237</v>
      </c>
      <c r="E275">
        <v>9.06</v>
      </c>
      <c r="F275">
        <v>-200.7</v>
      </c>
      <c r="G275">
        <v>236.9</v>
      </c>
      <c r="I275">
        <f t="shared" si="12"/>
        <v>9.05</v>
      </c>
      <c r="J275">
        <f t="shared" si="14"/>
        <v>2.30000000000001</v>
      </c>
      <c r="K275">
        <f t="shared" si="13"/>
        <v>5</v>
      </c>
    </row>
    <row r="276" spans="1:11">
      <c r="A276">
        <v>9.126</v>
      </c>
      <c r="B276">
        <v>-200</v>
      </c>
      <c r="C276">
        <v>236.9</v>
      </c>
      <c r="E276">
        <v>9.093</v>
      </c>
      <c r="F276">
        <v>-200.3</v>
      </c>
      <c r="G276">
        <v>237</v>
      </c>
      <c r="I276">
        <f t="shared" si="12"/>
        <v>9.05</v>
      </c>
      <c r="J276">
        <f t="shared" si="14"/>
        <v>2.69999999999999</v>
      </c>
      <c r="K276">
        <f t="shared" si="13"/>
        <v>5</v>
      </c>
    </row>
    <row r="277" spans="1:11">
      <c r="A277">
        <v>9.16</v>
      </c>
      <c r="B277">
        <v>-199.6</v>
      </c>
      <c r="C277">
        <v>236.9</v>
      </c>
      <c r="E277">
        <v>9.126</v>
      </c>
      <c r="F277">
        <v>-200</v>
      </c>
      <c r="G277">
        <v>236.9</v>
      </c>
      <c r="I277">
        <f t="shared" si="12"/>
        <v>9.1</v>
      </c>
      <c r="J277">
        <f t="shared" si="14"/>
        <v>3</v>
      </c>
      <c r="K277">
        <f t="shared" si="13"/>
        <v>5</v>
      </c>
    </row>
    <row r="278" spans="1:11">
      <c r="A278">
        <v>9.193</v>
      </c>
      <c r="B278">
        <v>-199.4</v>
      </c>
      <c r="C278">
        <v>236.9</v>
      </c>
      <c r="E278">
        <v>9.16</v>
      </c>
      <c r="F278">
        <v>-199.6</v>
      </c>
      <c r="G278">
        <v>236.9</v>
      </c>
      <c r="I278">
        <f t="shared" si="12"/>
        <v>9.15</v>
      </c>
      <c r="J278">
        <f t="shared" si="14"/>
        <v>3.40000000000001</v>
      </c>
      <c r="K278">
        <f t="shared" si="13"/>
        <v>5</v>
      </c>
    </row>
    <row r="279" spans="1:11">
      <c r="A279">
        <v>9.227</v>
      </c>
      <c r="B279">
        <v>-199.4</v>
      </c>
      <c r="C279">
        <v>237</v>
      </c>
      <c r="E279">
        <v>9.193</v>
      </c>
      <c r="F279">
        <v>-199.4</v>
      </c>
      <c r="G279">
        <v>236.9</v>
      </c>
      <c r="I279">
        <f t="shared" si="12"/>
        <v>9.15</v>
      </c>
      <c r="J279">
        <f t="shared" si="14"/>
        <v>3.59999999999999</v>
      </c>
      <c r="K279">
        <f t="shared" si="13"/>
        <v>5</v>
      </c>
    </row>
    <row r="280" spans="1:11">
      <c r="A280">
        <v>9.26</v>
      </c>
      <c r="B280">
        <v>-199.4</v>
      </c>
      <c r="C280">
        <v>237.1</v>
      </c>
      <c r="E280">
        <v>9.227</v>
      </c>
      <c r="F280">
        <v>-199.4</v>
      </c>
      <c r="G280">
        <v>237</v>
      </c>
      <c r="I280">
        <f t="shared" si="12"/>
        <v>9.2</v>
      </c>
      <c r="J280">
        <f t="shared" si="14"/>
        <v>3.59999999999999</v>
      </c>
      <c r="K280">
        <f t="shared" si="13"/>
        <v>5</v>
      </c>
    </row>
    <row r="281" spans="1:11">
      <c r="A281">
        <v>9.294</v>
      </c>
      <c r="B281">
        <v>-199.5</v>
      </c>
      <c r="C281">
        <v>236.9</v>
      </c>
      <c r="E281">
        <v>9.26</v>
      </c>
      <c r="F281">
        <v>-199.4</v>
      </c>
      <c r="G281">
        <v>237.1</v>
      </c>
      <c r="I281">
        <f t="shared" si="12"/>
        <v>9.25</v>
      </c>
      <c r="J281">
        <f t="shared" si="14"/>
        <v>3.59999999999999</v>
      </c>
      <c r="K281">
        <f t="shared" si="13"/>
        <v>5</v>
      </c>
    </row>
    <row r="282" spans="1:11">
      <c r="A282">
        <v>9.327</v>
      </c>
      <c r="B282">
        <v>-199.5</v>
      </c>
      <c r="C282">
        <v>236.2</v>
      </c>
      <c r="E282">
        <v>9.294</v>
      </c>
      <c r="F282">
        <v>-199.5</v>
      </c>
      <c r="G282">
        <v>236.9</v>
      </c>
      <c r="I282">
        <f t="shared" si="12"/>
        <v>9.25</v>
      </c>
      <c r="J282">
        <f t="shared" si="14"/>
        <v>3.5</v>
      </c>
      <c r="K282">
        <f t="shared" si="13"/>
        <v>5</v>
      </c>
    </row>
    <row r="283" spans="1:11">
      <c r="A283">
        <v>9.36</v>
      </c>
      <c r="B283">
        <v>-199.7</v>
      </c>
      <c r="C283">
        <v>95.2</v>
      </c>
      <c r="E283">
        <v>9.327</v>
      </c>
      <c r="F283">
        <v>-199.5</v>
      </c>
      <c r="G283">
        <v>236.2</v>
      </c>
      <c r="I283">
        <f t="shared" si="12"/>
        <v>9.3</v>
      </c>
      <c r="J283">
        <f t="shared" si="14"/>
        <v>3.5</v>
      </c>
      <c r="K283">
        <f t="shared" si="13"/>
        <v>5</v>
      </c>
    </row>
    <row r="284" spans="1:11">
      <c r="A284">
        <v>9.394</v>
      </c>
      <c r="B284">
        <v>-199.9</v>
      </c>
      <c r="C284">
        <v>109.9</v>
      </c>
      <c r="E284">
        <v>9.36</v>
      </c>
      <c r="F284">
        <v>-199.7</v>
      </c>
      <c r="G284">
        <v>95.2</v>
      </c>
      <c r="I284">
        <f t="shared" si="12"/>
        <v>9.35</v>
      </c>
      <c r="J284">
        <f t="shared" si="14"/>
        <v>3.30000000000001</v>
      </c>
      <c r="K284">
        <f t="shared" si="13"/>
        <v>0</v>
      </c>
    </row>
    <row r="285" spans="1:11">
      <c r="A285">
        <v>9.427</v>
      </c>
      <c r="B285">
        <v>-200</v>
      </c>
      <c r="C285">
        <v>106.4</v>
      </c>
      <c r="E285">
        <v>9.394</v>
      </c>
      <c r="F285">
        <v>-199.9</v>
      </c>
      <c r="G285">
        <v>109.9</v>
      </c>
      <c r="I285">
        <f t="shared" si="12"/>
        <v>9.35</v>
      </c>
      <c r="J285">
        <f t="shared" si="14"/>
        <v>3.09999999999999</v>
      </c>
      <c r="K285">
        <f t="shared" si="13"/>
        <v>0</v>
      </c>
    </row>
    <row r="286" spans="1:11">
      <c r="A286">
        <v>9.461</v>
      </c>
      <c r="B286">
        <v>-200.1</v>
      </c>
      <c r="C286">
        <v>105.1</v>
      </c>
      <c r="E286">
        <v>9.427</v>
      </c>
      <c r="F286">
        <v>-200</v>
      </c>
      <c r="G286">
        <v>106.4</v>
      </c>
      <c r="I286">
        <f t="shared" si="12"/>
        <v>9.4</v>
      </c>
      <c r="J286">
        <f t="shared" si="14"/>
        <v>3</v>
      </c>
      <c r="K286">
        <f t="shared" si="13"/>
        <v>0</v>
      </c>
    </row>
    <row r="287" spans="1:11">
      <c r="A287">
        <v>9.494</v>
      </c>
      <c r="B287">
        <v>-200.5</v>
      </c>
      <c r="C287">
        <v>101.6</v>
      </c>
      <c r="E287">
        <v>9.461</v>
      </c>
      <c r="F287">
        <v>-200.1</v>
      </c>
      <c r="G287">
        <v>105.1</v>
      </c>
      <c r="I287">
        <f t="shared" si="12"/>
        <v>9.45</v>
      </c>
      <c r="J287">
        <f t="shared" si="14"/>
        <v>2.90000000000001</v>
      </c>
      <c r="K287">
        <f t="shared" si="13"/>
        <v>0</v>
      </c>
    </row>
    <row r="288" spans="1:11">
      <c r="A288">
        <v>9.528</v>
      </c>
      <c r="B288">
        <v>-201.2</v>
      </c>
      <c r="C288">
        <v>99.8</v>
      </c>
      <c r="E288">
        <v>9.494</v>
      </c>
      <c r="F288">
        <v>-200.5</v>
      </c>
      <c r="G288">
        <v>101.6</v>
      </c>
      <c r="I288">
        <f t="shared" si="12"/>
        <v>9.45</v>
      </c>
      <c r="J288">
        <f t="shared" si="14"/>
        <v>2.5</v>
      </c>
      <c r="K288">
        <f t="shared" si="13"/>
        <v>0</v>
      </c>
    </row>
    <row r="289" spans="1:11">
      <c r="A289">
        <v>9.561</v>
      </c>
      <c r="B289">
        <v>-201.6</v>
      </c>
      <c r="C289">
        <v>97.5</v>
      </c>
      <c r="E289">
        <v>9.528</v>
      </c>
      <c r="F289">
        <v>-201.2</v>
      </c>
      <c r="G289">
        <v>99.8</v>
      </c>
      <c r="I289">
        <f t="shared" si="12"/>
        <v>9.5</v>
      </c>
      <c r="J289">
        <f t="shared" si="14"/>
        <v>1.80000000000001</v>
      </c>
      <c r="K289">
        <f t="shared" si="13"/>
        <v>0</v>
      </c>
    </row>
    <row r="290" spans="1:11">
      <c r="A290">
        <v>9.594</v>
      </c>
      <c r="B290">
        <v>-202.7</v>
      </c>
      <c r="C290">
        <v>95.8</v>
      </c>
      <c r="E290">
        <v>9.561</v>
      </c>
      <c r="F290">
        <v>-201.6</v>
      </c>
      <c r="G290">
        <v>97.5</v>
      </c>
      <c r="I290">
        <f t="shared" si="12"/>
        <v>9.55</v>
      </c>
      <c r="J290">
        <f t="shared" si="14"/>
        <v>1.40000000000001</v>
      </c>
      <c r="K290">
        <f t="shared" si="13"/>
        <v>0</v>
      </c>
    </row>
    <row r="291" spans="1:11">
      <c r="A291">
        <v>9.628</v>
      </c>
      <c r="B291">
        <v>-203.7</v>
      </c>
      <c r="C291">
        <v>94.4</v>
      </c>
      <c r="E291">
        <v>9.594</v>
      </c>
      <c r="F291">
        <v>-202.7</v>
      </c>
      <c r="G291">
        <v>95.8</v>
      </c>
      <c r="I291">
        <f t="shared" si="12"/>
        <v>9.55</v>
      </c>
      <c r="J291">
        <f t="shared" si="14"/>
        <v>0.300000000000011</v>
      </c>
      <c r="K291">
        <f t="shared" si="13"/>
        <v>0</v>
      </c>
    </row>
    <row r="292" spans="1:11">
      <c r="A292">
        <v>9.661</v>
      </c>
      <c r="B292">
        <v>-204.4</v>
      </c>
      <c r="C292">
        <v>92.2</v>
      </c>
      <c r="E292">
        <v>9.628</v>
      </c>
      <c r="F292">
        <v>-203.7</v>
      </c>
      <c r="G292">
        <v>94.4</v>
      </c>
      <c r="I292">
        <f t="shared" si="12"/>
        <v>9.6</v>
      </c>
      <c r="J292">
        <f t="shared" si="14"/>
        <v>-0.699999999999989</v>
      </c>
      <c r="K292">
        <f t="shared" si="13"/>
        <v>0</v>
      </c>
    </row>
    <row r="293" spans="1:11">
      <c r="A293">
        <v>9.695</v>
      </c>
      <c r="B293">
        <v>-205.3</v>
      </c>
      <c r="C293">
        <v>90.7</v>
      </c>
      <c r="E293">
        <v>9.661</v>
      </c>
      <c r="F293">
        <v>-204.4</v>
      </c>
      <c r="G293">
        <v>92.2</v>
      </c>
      <c r="I293">
        <f t="shared" si="12"/>
        <v>9.65</v>
      </c>
      <c r="J293">
        <f t="shared" si="14"/>
        <v>-1.40000000000001</v>
      </c>
      <c r="K293">
        <f t="shared" si="13"/>
        <v>0</v>
      </c>
    </row>
    <row r="294" spans="1:11">
      <c r="A294">
        <v>9.728</v>
      </c>
      <c r="B294">
        <v>-205.9</v>
      </c>
      <c r="C294">
        <v>88.9</v>
      </c>
      <c r="E294">
        <v>9.695</v>
      </c>
      <c r="F294">
        <v>-205.3</v>
      </c>
      <c r="G294">
        <v>90.7</v>
      </c>
      <c r="I294">
        <f t="shared" si="12"/>
        <v>9.65</v>
      </c>
      <c r="J294">
        <f t="shared" si="14"/>
        <v>-2.30000000000001</v>
      </c>
      <c r="K294">
        <f t="shared" si="13"/>
        <v>0</v>
      </c>
    </row>
    <row r="295" spans="1:11">
      <c r="A295">
        <v>9.762</v>
      </c>
      <c r="B295">
        <v>-206.6</v>
      </c>
      <c r="C295">
        <v>86.4</v>
      </c>
      <c r="E295">
        <v>9.728</v>
      </c>
      <c r="F295">
        <v>-205.9</v>
      </c>
      <c r="G295">
        <v>88.9</v>
      </c>
      <c r="I295">
        <f t="shared" si="12"/>
        <v>9.7</v>
      </c>
      <c r="J295">
        <f t="shared" si="14"/>
        <v>-2.90000000000001</v>
      </c>
      <c r="K295">
        <f t="shared" si="13"/>
        <v>0</v>
      </c>
    </row>
    <row r="296" spans="1:11">
      <c r="A296">
        <v>9.795</v>
      </c>
      <c r="B296">
        <v>-207.5</v>
      </c>
      <c r="C296">
        <v>85.5</v>
      </c>
      <c r="E296">
        <v>9.762</v>
      </c>
      <c r="F296">
        <v>-206.6</v>
      </c>
      <c r="G296">
        <v>86.4</v>
      </c>
      <c r="I296">
        <f t="shared" si="12"/>
        <v>9.75</v>
      </c>
      <c r="J296">
        <f t="shared" si="14"/>
        <v>-3.59999999999999</v>
      </c>
      <c r="K296">
        <f t="shared" si="13"/>
        <v>0</v>
      </c>
    </row>
    <row r="297" spans="1:11">
      <c r="A297">
        <v>9.828</v>
      </c>
      <c r="B297">
        <v>-208.1</v>
      </c>
      <c r="C297">
        <v>83.9</v>
      </c>
      <c r="E297">
        <v>9.795</v>
      </c>
      <c r="F297">
        <v>-207.5</v>
      </c>
      <c r="G297">
        <v>85.5</v>
      </c>
      <c r="I297">
        <f t="shared" si="12"/>
        <v>9.75</v>
      </c>
      <c r="J297">
        <f t="shared" si="14"/>
        <v>-4.5</v>
      </c>
      <c r="K297">
        <f t="shared" si="13"/>
        <v>0</v>
      </c>
    </row>
    <row r="298" spans="1:11">
      <c r="A298">
        <v>9.862</v>
      </c>
      <c r="B298">
        <v>-208.4</v>
      </c>
      <c r="C298">
        <v>81.4</v>
      </c>
      <c r="E298">
        <v>9.828</v>
      </c>
      <c r="F298">
        <v>-208.1</v>
      </c>
      <c r="G298">
        <v>83.9</v>
      </c>
      <c r="I298">
        <f t="shared" si="12"/>
        <v>9.8</v>
      </c>
      <c r="J298">
        <f t="shared" si="14"/>
        <v>-5.09999999999999</v>
      </c>
      <c r="K298">
        <f t="shared" si="13"/>
        <v>0</v>
      </c>
    </row>
    <row r="299" spans="1:11">
      <c r="A299">
        <v>9.895</v>
      </c>
      <c r="B299">
        <v>-208.8</v>
      </c>
      <c r="C299">
        <v>80.1</v>
      </c>
      <c r="E299">
        <v>9.862</v>
      </c>
      <c r="F299">
        <v>-208.4</v>
      </c>
      <c r="G299">
        <v>81.4</v>
      </c>
      <c r="I299">
        <f t="shared" si="12"/>
        <v>9.85</v>
      </c>
      <c r="J299">
        <f t="shared" si="14"/>
        <v>-5.40000000000001</v>
      </c>
      <c r="K299">
        <f t="shared" si="13"/>
        <v>0</v>
      </c>
    </row>
    <row r="300" spans="1:11">
      <c r="A300">
        <v>9.929</v>
      </c>
      <c r="B300">
        <v>-209</v>
      </c>
      <c r="C300" s="2">
        <v>78.6</v>
      </c>
      <c r="D300" s="2"/>
      <c r="E300">
        <v>9.895</v>
      </c>
      <c r="F300">
        <v>-208.8</v>
      </c>
      <c r="G300">
        <v>80.1</v>
      </c>
      <c r="I300">
        <f t="shared" si="12"/>
        <v>9.85</v>
      </c>
      <c r="J300">
        <f t="shared" si="14"/>
        <v>-5.80000000000001</v>
      </c>
      <c r="K300">
        <f t="shared" si="13"/>
        <v>0</v>
      </c>
    </row>
    <row r="301" spans="1:11">
      <c r="A301">
        <v>9.962</v>
      </c>
      <c r="B301">
        <v>-209</v>
      </c>
      <c r="C301" s="2">
        <v>76.8</v>
      </c>
      <c r="D301" s="2"/>
      <c r="E301">
        <v>9.929</v>
      </c>
      <c r="F301">
        <v>-209</v>
      </c>
      <c r="G301" s="2">
        <v>78.6</v>
      </c>
      <c r="I301">
        <f t="shared" si="12"/>
        <v>9.9</v>
      </c>
      <c r="J301">
        <f t="shared" si="14"/>
        <v>-6</v>
      </c>
      <c r="K301">
        <f t="shared" si="13"/>
        <v>0</v>
      </c>
    </row>
    <row r="302" spans="1:11">
      <c r="A302">
        <v>9.996</v>
      </c>
      <c r="B302">
        <v>-209</v>
      </c>
      <c r="C302" s="2">
        <v>75.8</v>
      </c>
      <c r="D302" s="2"/>
      <c r="E302">
        <v>9.962</v>
      </c>
      <c r="F302">
        <v>-209</v>
      </c>
      <c r="G302" s="2">
        <v>76.8</v>
      </c>
      <c r="I302">
        <f t="shared" si="12"/>
        <v>9.95</v>
      </c>
      <c r="J302">
        <f t="shared" si="14"/>
        <v>-6</v>
      </c>
      <c r="K302">
        <f t="shared" si="13"/>
        <v>0</v>
      </c>
    </row>
    <row r="303" spans="1:11">
      <c r="A303">
        <v>10.029</v>
      </c>
      <c r="B303">
        <v>-209.1</v>
      </c>
      <c r="C303" s="2">
        <v>73.4</v>
      </c>
      <c r="D303" s="2"/>
      <c r="E303">
        <v>9.996</v>
      </c>
      <c r="F303">
        <v>-209</v>
      </c>
      <c r="G303" s="2">
        <v>75.8</v>
      </c>
      <c r="I303">
        <f t="shared" si="12"/>
        <v>9.95</v>
      </c>
      <c r="J303">
        <f t="shared" si="14"/>
        <v>-6</v>
      </c>
      <c r="K303">
        <f t="shared" si="13"/>
        <v>0</v>
      </c>
    </row>
    <row r="304" spans="1:11">
      <c r="A304">
        <v>10.062</v>
      </c>
      <c r="B304">
        <v>-208.9</v>
      </c>
      <c r="C304" s="2">
        <v>72.1</v>
      </c>
      <c r="D304" s="2"/>
      <c r="E304">
        <v>10.029</v>
      </c>
      <c r="F304">
        <v>-209.1</v>
      </c>
      <c r="G304" s="2">
        <v>73.4</v>
      </c>
      <c r="I304">
        <f t="shared" si="12"/>
        <v>10</v>
      </c>
      <c r="J304">
        <f t="shared" si="14"/>
        <v>-6.09999999999999</v>
      </c>
      <c r="K304">
        <f t="shared" si="13"/>
        <v>0</v>
      </c>
    </row>
    <row r="305" spans="1:11">
      <c r="A305">
        <v>10.096</v>
      </c>
      <c r="B305">
        <v>-208.8</v>
      </c>
      <c r="C305" s="2">
        <v>231.7</v>
      </c>
      <c r="D305" s="2"/>
      <c r="E305">
        <v>10.062</v>
      </c>
      <c r="F305">
        <v>-208.9</v>
      </c>
      <c r="G305" s="2">
        <v>72.1</v>
      </c>
      <c r="I305">
        <f t="shared" si="12"/>
        <v>10.05</v>
      </c>
      <c r="J305">
        <f t="shared" si="14"/>
        <v>-5.90000000000001</v>
      </c>
      <c r="K305">
        <f t="shared" si="13"/>
        <v>0</v>
      </c>
    </row>
    <row r="306" spans="1:11">
      <c r="A306">
        <v>10.129</v>
      </c>
      <c r="B306">
        <v>-208.7</v>
      </c>
      <c r="C306" s="2">
        <v>236.6</v>
      </c>
      <c r="D306" s="2"/>
      <c r="E306">
        <v>10.096</v>
      </c>
      <c r="F306">
        <v>-208.8</v>
      </c>
      <c r="G306" s="2">
        <v>231.7</v>
      </c>
      <c r="I306">
        <f t="shared" si="12"/>
        <v>10.05</v>
      </c>
      <c r="J306">
        <f t="shared" si="14"/>
        <v>-5.80000000000001</v>
      </c>
      <c r="K306">
        <f t="shared" si="13"/>
        <v>5</v>
      </c>
    </row>
    <row r="307" spans="1:11">
      <c r="A307">
        <v>10.163</v>
      </c>
      <c r="B307">
        <v>-208.6</v>
      </c>
      <c r="C307" s="2">
        <v>236.6</v>
      </c>
      <c r="D307" s="2"/>
      <c r="E307">
        <v>10.129</v>
      </c>
      <c r="F307">
        <v>-208.7</v>
      </c>
      <c r="G307" s="2">
        <v>236.6</v>
      </c>
      <c r="I307">
        <f t="shared" si="12"/>
        <v>10.1</v>
      </c>
      <c r="J307">
        <f t="shared" si="14"/>
        <v>-5.69999999999999</v>
      </c>
      <c r="K307">
        <f t="shared" si="13"/>
        <v>5</v>
      </c>
    </row>
    <row r="308" spans="1:11">
      <c r="A308">
        <v>10.196</v>
      </c>
      <c r="B308">
        <v>-208.5</v>
      </c>
      <c r="C308" s="2">
        <v>236.8</v>
      </c>
      <c r="D308" s="2"/>
      <c r="E308">
        <v>10.163</v>
      </c>
      <c r="F308">
        <v>-208.6</v>
      </c>
      <c r="G308" s="2">
        <v>236.6</v>
      </c>
      <c r="I308">
        <f t="shared" si="12"/>
        <v>10.15</v>
      </c>
      <c r="J308">
        <f t="shared" si="14"/>
        <v>-5.59999999999999</v>
      </c>
      <c r="K308">
        <f t="shared" si="13"/>
        <v>5</v>
      </c>
    </row>
    <row r="309" spans="1:11">
      <c r="A309">
        <v>10.23</v>
      </c>
      <c r="B309">
        <v>-208.2</v>
      </c>
      <c r="C309" s="2">
        <v>236.7</v>
      </c>
      <c r="D309" s="2"/>
      <c r="E309">
        <v>10.196</v>
      </c>
      <c r="F309">
        <v>-208.5</v>
      </c>
      <c r="G309" s="2">
        <v>236.8</v>
      </c>
      <c r="I309">
        <f t="shared" si="12"/>
        <v>10.15</v>
      </c>
      <c r="J309">
        <f t="shared" si="14"/>
        <v>-5.5</v>
      </c>
      <c r="K309">
        <f t="shared" si="13"/>
        <v>5</v>
      </c>
    </row>
    <row r="310" spans="1:11">
      <c r="A310">
        <v>10.263</v>
      </c>
      <c r="B310">
        <v>-207.5</v>
      </c>
      <c r="C310" s="2">
        <v>236.9</v>
      </c>
      <c r="D310" s="2"/>
      <c r="E310">
        <v>10.23</v>
      </c>
      <c r="F310">
        <v>-208.2</v>
      </c>
      <c r="G310" s="2">
        <v>236.7</v>
      </c>
      <c r="I310">
        <f t="shared" si="12"/>
        <v>10.2</v>
      </c>
      <c r="J310">
        <f t="shared" si="14"/>
        <v>-5.19999999999999</v>
      </c>
      <c r="K310">
        <f t="shared" si="13"/>
        <v>5</v>
      </c>
    </row>
    <row r="311" spans="1:11">
      <c r="A311">
        <v>10.297</v>
      </c>
      <c r="B311">
        <v>-206.7</v>
      </c>
      <c r="C311" s="2">
        <v>236.7</v>
      </c>
      <c r="D311" s="2"/>
      <c r="E311">
        <v>10.263</v>
      </c>
      <c r="F311">
        <v>-207.5</v>
      </c>
      <c r="G311" s="2">
        <v>236.9</v>
      </c>
      <c r="I311">
        <f t="shared" si="12"/>
        <v>10.25</v>
      </c>
      <c r="J311">
        <f t="shared" si="14"/>
        <v>-4.5</v>
      </c>
      <c r="K311">
        <f t="shared" si="13"/>
        <v>5</v>
      </c>
    </row>
    <row r="312" spans="1:11">
      <c r="A312">
        <v>10.33</v>
      </c>
      <c r="B312">
        <v>-205.9</v>
      </c>
      <c r="C312" s="2">
        <v>236.8</v>
      </c>
      <c r="D312" s="2"/>
      <c r="E312">
        <v>10.297</v>
      </c>
      <c r="F312">
        <v>-206.7</v>
      </c>
      <c r="G312" s="2">
        <v>236.7</v>
      </c>
      <c r="I312">
        <f t="shared" si="12"/>
        <v>10.25</v>
      </c>
      <c r="J312">
        <f t="shared" si="14"/>
        <v>-3.69999999999999</v>
      </c>
      <c r="K312">
        <f t="shared" si="13"/>
        <v>5</v>
      </c>
    </row>
    <row r="313" spans="1:11">
      <c r="A313">
        <v>10.363</v>
      </c>
      <c r="B313">
        <v>-205.2</v>
      </c>
      <c r="C313" s="2">
        <v>236.9</v>
      </c>
      <c r="D313" s="2"/>
      <c r="E313">
        <v>10.33</v>
      </c>
      <c r="F313">
        <v>-205.9</v>
      </c>
      <c r="G313" s="2">
        <v>236.8</v>
      </c>
      <c r="I313">
        <f t="shared" si="12"/>
        <v>10.3</v>
      </c>
      <c r="J313">
        <f t="shared" si="14"/>
        <v>-2.90000000000001</v>
      </c>
      <c r="K313">
        <f t="shared" si="13"/>
        <v>5</v>
      </c>
    </row>
    <row r="314" spans="1:11">
      <c r="A314">
        <v>10.397</v>
      </c>
      <c r="B314">
        <v>-204.3</v>
      </c>
      <c r="C314" s="2">
        <v>237</v>
      </c>
      <c r="D314" s="2"/>
      <c r="E314">
        <v>10.363</v>
      </c>
      <c r="F314">
        <v>-205.2</v>
      </c>
      <c r="G314" s="2">
        <v>236.9</v>
      </c>
      <c r="I314">
        <f t="shared" si="12"/>
        <v>10.35</v>
      </c>
      <c r="J314">
        <f t="shared" si="14"/>
        <v>-2.19999999999999</v>
      </c>
      <c r="K314">
        <f t="shared" si="13"/>
        <v>5</v>
      </c>
    </row>
    <row r="315" spans="1:11">
      <c r="A315">
        <v>10.43</v>
      </c>
      <c r="B315">
        <v>-203.8</v>
      </c>
      <c r="C315" s="2">
        <v>237</v>
      </c>
      <c r="D315" s="2"/>
      <c r="E315">
        <v>10.397</v>
      </c>
      <c r="F315">
        <v>-204.3</v>
      </c>
      <c r="G315" s="2">
        <v>237</v>
      </c>
      <c r="I315">
        <f t="shared" si="12"/>
        <v>10.35</v>
      </c>
      <c r="J315">
        <f t="shared" si="14"/>
        <v>-1.30000000000001</v>
      </c>
      <c r="K315">
        <f t="shared" si="13"/>
        <v>5</v>
      </c>
    </row>
    <row r="316" spans="1:11">
      <c r="A316">
        <v>10.464</v>
      </c>
      <c r="B316">
        <v>-202.9</v>
      </c>
      <c r="C316" s="2">
        <v>237</v>
      </c>
      <c r="D316" s="2"/>
      <c r="E316">
        <v>10.43</v>
      </c>
      <c r="F316">
        <v>-203.8</v>
      </c>
      <c r="G316" s="2">
        <v>237</v>
      </c>
      <c r="I316">
        <f t="shared" si="12"/>
        <v>10.4</v>
      </c>
      <c r="J316">
        <f t="shared" si="14"/>
        <v>-0.800000000000011</v>
      </c>
      <c r="K316">
        <f t="shared" si="13"/>
        <v>5</v>
      </c>
    </row>
    <row r="317" spans="1:11">
      <c r="A317">
        <v>10.497</v>
      </c>
      <c r="B317">
        <v>-201.4</v>
      </c>
      <c r="C317">
        <v>236.8</v>
      </c>
      <c r="E317">
        <v>10.464</v>
      </c>
      <c r="F317">
        <v>-202.9</v>
      </c>
      <c r="G317" s="2">
        <v>237</v>
      </c>
      <c r="I317">
        <f t="shared" si="12"/>
        <v>10.45</v>
      </c>
      <c r="J317">
        <f t="shared" si="14"/>
        <v>0.0999999999999943</v>
      </c>
      <c r="K317">
        <f t="shared" si="13"/>
        <v>5</v>
      </c>
    </row>
    <row r="318" spans="1:11">
      <c r="A318">
        <v>10.531</v>
      </c>
      <c r="B318">
        <v>-200.5</v>
      </c>
      <c r="C318">
        <v>236.9</v>
      </c>
      <c r="E318">
        <v>10.497</v>
      </c>
      <c r="F318">
        <v>-201.4</v>
      </c>
      <c r="G318">
        <v>236.8</v>
      </c>
      <c r="I318">
        <f t="shared" si="12"/>
        <v>10.45</v>
      </c>
      <c r="J318">
        <f t="shared" si="14"/>
        <v>1.59999999999999</v>
      </c>
      <c r="K318">
        <f t="shared" si="13"/>
        <v>5</v>
      </c>
    </row>
    <row r="319" spans="1:11">
      <c r="A319">
        <v>10.564</v>
      </c>
      <c r="B319">
        <v>-200.1</v>
      </c>
      <c r="C319">
        <v>237</v>
      </c>
      <c r="E319">
        <v>10.531</v>
      </c>
      <c r="F319">
        <v>-200.5</v>
      </c>
      <c r="G319">
        <v>236.9</v>
      </c>
      <c r="I319">
        <f t="shared" si="12"/>
        <v>10.5</v>
      </c>
      <c r="J319">
        <f t="shared" si="14"/>
        <v>2.5</v>
      </c>
      <c r="K319">
        <f t="shared" si="13"/>
        <v>5</v>
      </c>
    </row>
    <row r="320" spans="1:11">
      <c r="A320">
        <v>10.597</v>
      </c>
      <c r="B320">
        <v>-199.5</v>
      </c>
      <c r="C320">
        <v>237</v>
      </c>
      <c r="E320">
        <v>10.564</v>
      </c>
      <c r="F320">
        <v>-200.1</v>
      </c>
      <c r="G320">
        <v>237</v>
      </c>
      <c r="I320">
        <f t="shared" si="12"/>
        <v>10.55</v>
      </c>
      <c r="J320">
        <f t="shared" si="14"/>
        <v>2.90000000000001</v>
      </c>
      <c r="K320">
        <f t="shared" si="13"/>
        <v>5</v>
      </c>
    </row>
    <row r="321" spans="1:11">
      <c r="A321">
        <v>10.631</v>
      </c>
      <c r="B321">
        <v>-199.2</v>
      </c>
      <c r="C321">
        <v>236.9</v>
      </c>
      <c r="E321">
        <v>10.597</v>
      </c>
      <c r="F321">
        <v>-199.5</v>
      </c>
      <c r="G321">
        <v>237</v>
      </c>
      <c r="I321">
        <f t="shared" si="12"/>
        <v>10.55</v>
      </c>
      <c r="J321">
        <f t="shared" si="14"/>
        <v>3.5</v>
      </c>
      <c r="K321">
        <f t="shared" si="13"/>
        <v>5</v>
      </c>
    </row>
    <row r="322" spans="1:11">
      <c r="A322">
        <v>10.664</v>
      </c>
      <c r="B322">
        <v>-198.6</v>
      </c>
      <c r="C322">
        <v>236.9</v>
      </c>
      <c r="E322">
        <v>10.631</v>
      </c>
      <c r="F322">
        <v>-199.2</v>
      </c>
      <c r="G322">
        <v>236.9</v>
      </c>
      <c r="I322">
        <f t="shared" si="12"/>
        <v>10.6</v>
      </c>
      <c r="J322">
        <f t="shared" si="14"/>
        <v>3.80000000000001</v>
      </c>
      <c r="K322">
        <f t="shared" si="13"/>
        <v>5</v>
      </c>
    </row>
    <row r="323" spans="1:11">
      <c r="A323">
        <v>10.698</v>
      </c>
      <c r="B323">
        <v>-198.4</v>
      </c>
      <c r="C323">
        <v>237.2</v>
      </c>
      <c r="E323">
        <v>10.664</v>
      </c>
      <c r="F323">
        <v>-198.6</v>
      </c>
      <c r="G323">
        <v>236.9</v>
      </c>
      <c r="I323">
        <f t="shared" si="12"/>
        <v>10.65</v>
      </c>
      <c r="J323">
        <f t="shared" si="14"/>
        <v>4.40000000000001</v>
      </c>
      <c r="K323">
        <f t="shared" si="13"/>
        <v>5</v>
      </c>
    </row>
    <row r="324" spans="1:11">
      <c r="A324">
        <v>10.731</v>
      </c>
      <c r="B324">
        <v>-198.2</v>
      </c>
      <c r="C324">
        <v>237</v>
      </c>
      <c r="E324">
        <v>10.698</v>
      </c>
      <c r="F324">
        <v>-198.4</v>
      </c>
      <c r="G324">
        <v>237.2</v>
      </c>
      <c r="I324">
        <f t="shared" ref="I324:I387" si="15">FLOOR(E324,0.05)</f>
        <v>10.65</v>
      </c>
      <c r="J324">
        <f t="shared" si="14"/>
        <v>4.59999999999999</v>
      </c>
      <c r="K324">
        <f t="shared" ref="K324:K387" si="16">IF(G324&lt;230,0,5)</f>
        <v>5</v>
      </c>
    </row>
    <row r="325" spans="1:11">
      <c r="A325">
        <v>10.765</v>
      </c>
      <c r="B325">
        <v>-197.8</v>
      </c>
      <c r="C325">
        <v>237.1</v>
      </c>
      <c r="E325">
        <v>10.731</v>
      </c>
      <c r="F325">
        <v>-198.2</v>
      </c>
      <c r="G325">
        <v>237</v>
      </c>
      <c r="I325">
        <f t="shared" si="15"/>
        <v>10.7</v>
      </c>
      <c r="J325">
        <f t="shared" ref="J325:J388" si="17">F325+203</f>
        <v>4.80000000000001</v>
      </c>
      <c r="K325">
        <f t="shared" si="16"/>
        <v>5</v>
      </c>
    </row>
    <row r="326" spans="1:11">
      <c r="A326">
        <v>10.798</v>
      </c>
      <c r="B326">
        <v>-197.8</v>
      </c>
      <c r="C326">
        <v>237</v>
      </c>
      <c r="E326">
        <v>10.765</v>
      </c>
      <c r="F326">
        <v>-197.8</v>
      </c>
      <c r="G326">
        <v>237.1</v>
      </c>
      <c r="I326">
        <f t="shared" si="15"/>
        <v>10.75</v>
      </c>
      <c r="J326">
        <f t="shared" si="17"/>
        <v>5.19999999999999</v>
      </c>
      <c r="K326">
        <f t="shared" si="16"/>
        <v>5</v>
      </c>
    </row>
    <row r="327" spans="1:11">
      <c r="A327">
        <v>10.831</v>
      </c>
      <c r="B327">
        <v>-197.8</v>
      </c>
      <c r="C327">
        <v>234.7</v>
      </c>
      <c r="E327">
        <v>10.798</v>
      </c>
      <c r="F327">
        <v>-197.8</v>
      </c>
      <c r="G327">
        <v>237</v>
      </c>
      <c r="I327">
        <f t="shared" si="15"/>
        <v>10.75</v>
      </c>
      <c r="J327">
        <f t="shared" si="17"/>
        <v>5.19999999999999</v>
      </c>
      <c r="K327">
        <f t="shared" si="16"/>
        <v>5</v>
      </c>
    </row>
    <row r="328" spans="1:11">
      <c r="A328">
        <v>10.865</v>
      </c>
      <c r="B328">
        <v>-198</v>
      </c>
      <c r="C328">
        <v>96.2</v>
      </c>
      <c r="E328">
        <v>10.831</v>
      </c>
      <c r="F328">
        <v>-197.8</v>
      </c>
      <c r="G328">
        <v>234.7</v>
      </c>
      <c r="I328">
        <f t="shared" si="15"/>
        <v>10.8</v>
      </c>
      <c r="J328">
        <f t="shared" si="17"/>
        <v>5.19999999999999</v>
      </c>
      <c r="K328">
        <f t="shared" si="16"/>
        <v>5</v>
      </c>
    </row>
    <row r="329" spans="1:11">
      <c r="A329">
        <v>10.898</v>
      </c>
      <c r="B329">
        <v>-198.1</v>
      </c>
      <c r="C329">
        <v>113.3</v>
      </c>
      <c r="E329">
        <v>10.865</v>
      </c>
      <c r="F329">
        <v>-198</v>
      </c>
      <c r="G329">
        <v>96.2</v>
      </c>
      <c r="I329">
        <f t="shared" si="15"/>
        <v>10.85</v>
      </c>
      <c r="J329">
        <f t="shared" si="17"/>
        <v>5</v>
      </c>
      <c r="K329">
        <f t="shared" si="16"/>
        <v>0</v>
      </c>
    </row>
    <row r="330" spans="1:11">
      <c r="A330">
        <v>10.932</v>
      </c>
      <c r="B330">
        <v>-198.3</v>
      </c>
      <c r="C330">
        <v>109</v>
      </c>
      <c r="E330">
        <v>10.898</v>
      </c>
      <c r="F330">
        <v>-198.1</v>
      </c>
      <c r="G330">
        <v>113.3</v>
      </c>
      <c r="I330">
        <f t="shared" si="15"/>
        <v>10.85</v>
      </c>
      <c r="J330">
        <f t="shared" si="17"/>
        <v>4.90000000000001</v>
      </c>
      <c r="K330">
        <f t="shared" si="16"/>
        <v>0</v>
      </c>
    </row>
    <row r="331" spans="1:11">
      <c r="A331">
        <v>10.965</v>
      </c>
      <c r="B331">
        <v>-199.1</v>
      </c>
      <c r="C331">
        <v>107.3</v>
      </c>
      <c r="E331">
        <v>10.932</v>
      </c>
      <c r="F331">
        <v>-198.3</v>
      </c>
      <c r="G331">
        <v>109</v>
      </c>
      <c r="I331">
        <f t="shared" si="15"/>
        <v>10.9</v>
      </c>
      <c r="J331">
        <f t="shared" si="17"/>
        <v>4.69999999999999</v>
      </c>
      <c r="K331">
        <f t="shared" si="16"/>
        <v>0</v>
      </c>
    </row>
    <row r="332" spans="1:11">
      <c r="A332">
        <v>10.999</v>
      </c>
      <c r="B332">
        <v>-199.8</v>
      </c>
      <c r="C332">
        <v>105.8</v>
      </c>
      <c r="E332">
        <v>10.965</v>
      </c>
      <c r="F332">
        <v>-199.1</v>
      </c>
      <c r="G332">
        <v>107.3</v>
      </c>
      <c r="I332">
        <f t="shared" si="15"/>
        <v>10.95</v>
      </c>
      <c r="J332">
        <f t="shared" si="17"/>
        <v>3.90000000000001</v>
      </c>
      <c r="K332">
        <f t="shared" si="16"/>
        <v>0</v>
      </c>
    </row>
    <row r="333" spans="1:11">
      <c r="A333">
        <v>11.032</v>
      </c>
      <c r="B333">
        <v>-200.5</v>
      </c>
      <c r="C333">
        <v>103.1</v>
      </c>
      <c r="E333">
        <v>10.999</v>
      </c>
      <c r="F333">
        <v>-199.8</v>
      </c>
      <c r="G333">
        <v>105.8</v>
      </c>
      <c r="I333">
        <f t="shared" si="15"/>
        <v>10.95</v>
      </c>
      <c r="J333">
        <f t="shared" si="17"/>
        <v>3.19999999999999</v>
      </c>
      <c r="K333">
        <f t="shared" si="16"/>
        <v>0</v>
      </c>
    </row>
    <row r="334" spans="1:11">
      <c r="A334">
        <v>11.065</v>
      </c>
      <c r="B334">
        <v>-201.5</v>
      </c>
      <c r="C334">
        <v>100.9</v>
      </c>
      <c r="E334">
        <v>11.032</v>
      </c>
      <c r="F334">
        <v>-200.5</v>
      </c>
      <c r="G334">
        <v>103.1</v>
      </c>
      <c r="I334">
        <f t="shared" si="15"/>
        <v>11</v>
      </c>
      <c r="J334">
        <f t="shared" si="17"/>
        <v>2.5</v>
      </c>
      <c r="K334">
        <f t="shared" si="16"/>
        <v>0</v>
      </c>
    </row>
    <row r="335" spans="1:11">
      <c r="A335">
        <v>11.099</v>
      </c>
      <c r="B335">
        <v>-202.6</v>
      </c>
      <c r="C335">
        <v>99.3</v>
      </c>
      <c r="E335">
        <v>11.065</v>
      </c>
      <c r="F335">
        <v>-201.5</v>
      </c>
      <c r="G335">
        <v>100.9</v>
      </c>
      <c r="I335">
        <f t="shared" si="15"/>
        <v>11.05</v>
      </c>
      <c r="J335">
        <f t="shared" si="17"/>
        <v>1.5</v>
      </c>
      <c r="K335">
        <f t="shared" si="16"/>
        <v>0</v>
      </c>
    </row>
    <row r="336" spans="1:11">
      <c r="A336">
        <v>11.132</v>
      </c>
      <c r="B336">
        <v>-203.5</v>
      </c>
      <c r="C336">
        <v>97</v>
      </c>
      <c r="E336">
        <v>11.099</v>
      </c>
      <c r="F336">
        <v>-202.6</v>
      </c>
      <c r="G336">
        <v>99.3</v>
      </c>
      <c r="I336">
        <f t="shared" si="15"/>
        <v>11.05</v>
      </c>
      <c r="J336">
        <f t="shared" si="17"/>
        <v>0.400000000000006</v>
      </c>
      <c r="K336">
        <f t="shared" si="16"/>
        <v>0</v>
      </c>
    </row>
    <row r="337" spans="1:11">
      <c r="A337">
        <v>11.166</v>
      </c>
      <c r="B337">
        <v>-204.1</v>
      </c>
      <c r="C337">
        <v>94.5</v>
      </c>
      <c r="E337">
        <v>11.132</v>
      </c>
      <c r="F337">
        <v>-203.5</v>
      </c>
      <c r="G337">
        <v>97</v>
      </c>
      <c r="I337">
        <f t="shared" si="15"/>
        <v>11.1</v>
      </c>
      <c r="J337">
        <f t="shared" si="17"/>
        <v>-0.5</v>
      </c>
      <c r="K337">
        <f t="shared" si="16"/>
        <v>0</v>
      </c>
    </row>
    <row r="338" spans="1:11">
      <c r="A338">
        <v>11.199</v>
      </c>
      <c r="B338">
        <v>-204.7</v>
      </c>
      <c r="C338">
        <v>94.1</v>
      </c>
      <c r="E338">
        <v>11.166</v>
      </c>
      <c r="F338">
        <v>-204.1</v>
      </c>
      <c r="G338">
        <v>94.5</v>
      </c>
      <c r="I338">
        <f t="shared" si="15"/>
        <v>11.15</v>
      </c>
      <c r="J338">
        <f t="shared" si="17"/>
        <v>-1.09999999999999</v>
      </c>
      <c r="K338">
        <f t="shared" si="16"/>
        <v>0</v>
      </c>
    </row>
    <row r="339" spans="1:11">
      <c r="A339">
        <v>11.233</v>
      </c>
      <c r="B339">
        <v>-205.9</v>
      </c>
      <c r="C339">
        <v>90.8</v>
      </c>
      <c r="E339">
        <v>11.199</v>
      </c>
      <c r="F339">
        <v>-204.7</v>
      </c>
      <c r="G339">
        <v>94.1</v>
      </c>
      <c r="I339">
        <f t="shared" si="15"/>
        <v>11.15</v>
      </c>
      <c r="J339">
        <f t="shared" si="17"/>
        <v>-1.69999999999999</v>
      </c>
      <c r="K339">
        <f t="shared" si="16"/>
        <v>0</v>
      </c>
    </row>
    <row r="340" spans="1:11">
      <c r="A340">
        <v>11.266</v>
      </c>
      <c r="B340">
        <v>-206.9</v>
      </c>
      <c r="C340">
        <v>90.7</v>
      </c>
      <c r="E340">
        <v>11.233</v>
      </c>
      <c r="F340">
        <v>-205.9</v>
      </c>
      <c r="G340">
        <v>90.8</v>
      </c>
      <c r="I340">
        <f t="shared" si="15"/>
        <v>11.2</v>
      </c>
      <c r="J340">
        <f t="shared" si="17"/>
        <v>-2.90000000000001</v>
      </c>
      <c r="K340">
        <f t="shared" si="16"/>
        <v>0</v>
      </c>
    </row>
    <row r="341" spans="1:11">
      <c r="A341">
        <v>11.299</v>
      </c>
      <c r="B341">
        <v>-207.8</v>
      </c>
      <c r="C341">
        <v>87.6</v>
      </c>
      <c r="E341">
        <v>11.266</v>
      </c>
      <c r="F341">
        <v>-206.9</v>
      </c>
      <c r="G341">
        <v>90.7</v>
      </c>
      <c r="I341">
        <f t="shared" si="15"/>
        <v>11.25</v>
      </c>
      <c r="J341">
        <f t="shared" si="17"/>
        <v>-3.90000000000001</v>
      </c>
      <c r="K341">
        <f t="shared" si="16"/>
        <v>0</v>
      </c>
    </row>
    <row r="342" spans="1:11">
      <c r="A342">
        <v>11.333</v>
      </c>
      <c r="B342">
        <v>-208.2</v>
      </c>
      <c r="C342">
        <v>84.8</v>
      </c>
      <c r="E342">
        <v>11.299</v>
      </c>
      <c r="F342">
        <v>-207.8</v>
      </c>
      <c r="G342">
        <v>87.6</v>
      </c>
      <c r="I342">
        <f t="shared" si="15"/>
        <v>11.25</v>
      </c>
      <c r="J342">
        <f t="shared" si="17"/>
        <v>-4.80000000000001</v>
      </c>
      <c r="K342">
        <f t="shared" si="16"/>
        <v>0</v>
      </c>
    </row>
    <row r="343" spans="1:11">
      <c r="A343">
        <v>11.366</v>
      </c>
      <c r="B343">
        <v>-208.5</v>
      </c>
      <c r="C343">
        <v>83.9</v>
      </c>
      <c r="E343">
        <v>11.333</v>
      </c>
      <c r="F343">
        <v>-208.2</v>
      </c>
      <c r="G343">
        <v>84.8</v>
      </c>
      <c r="I343">
        <f t="shared" si="15"/>
        <v>11.3</v>
      </c>
      <c r="J343">
        <f t="shared" si="17"/>
        <v>-5.19999999999999</v>
      </c>
      <c r="K343">
        <f t="shared" si="16"/>
        <v>0</v>
      </c>
    </row>
    <row r="344" spans="1:11">
      <c r="A344">
        <v>11.4</v>
      </c>
      <c r="B344">
        <v>-208.8</v>
      </c>
      <c r="C344">
        <v>82.4</v>
      </c>
      <c r="E344">
        <v>11.366</v>
      </c>
      <c r="F344">
        <v>-208.5</v>
      </c>
      <c r="G344">
        <v>83.9</v>
      </c>
      <c r="I344">
        <f t="shared" si="15"/>
        <v>11.35</v>
      </c>
      <c r="J344">
        <f t="shared" si="17"/>
        <v>-5.5</v>
      </c>
      <c r="K344">
        <f t="shared" si="16"/>
        <v>0</v>
      </c>
    </row>
    <row r="345" spans="1:11">
      <c r="A345">
        <v>11.433</v>
      </c>
      <c r="B345">
        <v>-209.1</v>
      </c>
      <c r="C345">
        <v>80.8</v>
      </c>
      <c r="E345">
        <v>11.4</v>
      </c>
      <c r="F345">
        <v>-208.8</v>
      </c>
      <c r="G345">
        <v>82.4</v>
      </c>
      <c r="I345">
        <f t="shared" si="15"/>
        <v>11.4</v>
      </c>
      <c r="J345">
        <f t="shared" si="17"/>
        <v>-5.80000000000001</v>
      </c>
      <c r="K345">
        <f t="shared" si="16"/>
        <v>0</v>
      </c>
    </row>
    <row r="346" spans="1:11">
      <c r="A346">
        <v>11.467</v>
      </c>
      <c r="B346">
        <v>-209.3</v>
      </c>
      <c r="C346">
        <v>78.8</v>
      </c>
      <c r="E346">
        <v>11.433</v>
      </c>
      <c r="F346">
        <v>-209.1</v>
      </c>
      <c r="G346">
        <v>80.8</v>
      </c>
      <c r="I346">
        <f t="shared" si="15"/>
        <v>11.4</v>
      </c>
      <c r="J346">
        <f t="shared" si="17"/>
        <v>-6.09999999999999</v>
      </c>
      <c r="K346">
        <f t="shared" si="16"/>
        <v>0</v>
      </c>
    </row>
    <row r="347" spans="1:11">
      <c r="A347">
        <v>11.5</v>
      </c>
      <c r="B347">
        <v>-209.6</v>
      </c>
      <c r="C347">
        <v>77.1</v>
      </c>
      <c r="E347">
        <v>11.467</v>
      </c>
      <c r="F347">
        <v>-209.3</v>
      </c>
      <c r="G347">
        <v>78.8</v>
      </c>
      <c r="I347">
        <f t="shared" si="15"/>
        <v>11.45</v>
      </c>
      <c r="J347">
        <f t="shared" si="17"/>
        <v>-6.30000000000001</v>
      </c>
      <c r="K347">
        <f t="shared" si="16"/>
        <v>0</v>
      </c>
    </row>
    <row r="348" spans="1:11">
      <c r="A348">
        <v>11.533</v>
      </c>
      <c r="B348">
        <v>-209.7</v>
      </c>
      <c r="C348" s="2">
        <v>75.8</v>
      </c>
      <c r="D348" s="2"/>
      <c r="E348">
        <v>11.5</v>
      </c>
      <c r="F348">
        <v>-209.6</v>
      </c>
      <c r="G348">
        <v>77.1</v>
      </c>
      <c r="I348">
        <f t="shared" si="15"/>
        <v>11.5</v>
      </c>
      <c r="J348">
        <f t="shared" si="17"/>
        <v>-6.59999999999999</v>
      </c>
      <c r="K348">
        <f t="shared" si="16"/>
        <v>0</v>
      </c>
    </row>
    <row r="349" spans="1:11">
      <c r="A349">
        <v>11.567</v>
      </c>
      <c r="B349">
        <v>-209.7</v>
      </c>
      <c r="C349" s="2">
        <v>74.7</v>
      </c>
      <c r="D349" s="2"/>
      <c r="E349">
        <v>11.533</v>
      </c>
      <c r="F349">
        <v>-209.7</v>
      </c>
      <c r="G349" s="2">
        <v>75.8</v>
      </c>
      <c r="I349">
        <f t="shared" si="15"/>
        <v>11.5</v>
      </c>
      <c r="J349">
        <f t="shared" si="17"/>
        <v>-6.69999999999999</v>
      </c>
      <c r="K349">
        <f t="shared" si="16"/>
        <v>0</v>
      </c>
    </row>
    <row r="350" spans="1:11">
      <c r="A350">
        <v>11.6</v>
      </c>
      <c r="B350">
        <v>-209.4</v>
      </c>
      <c r="C350" s="2">
        <v>233.8</v>
      </c>
      <c r="D350" s="2"/>
      <c r="E350">
        <v>11.567</v>
      </c>
      <c r="F350">
        <v>-209.7</v>
      </c>
      <c r="G350" s="2">
        <v>74.7</v>
      </c>
      <c r="I350">
        <f t="shared" si="15"/>
        <v>11.55</v>
      </c>
      <c r="J350">
        <f t="shared" si="17"/>
        <v>-6.69999999999999</v>
      </c>
      <c r="K350">
        <f t="shared" si="16"/>
        <v>0</v>
      </c>
    </row>
    <row r="351" spans="1:11">
      <c r="A351">
        <v>11.634</v>
      </c>
      <c r="B351">
        <v>-209.1</v>
      </c>
      <c r="C351" s="2">
        <v>237</v>
      </c>
      <c r="D351" s="2"/>
      <c r="E351">
        <v>11.6</v>
      </c>
      <c r="F351">
        <v>-209.4</v>
      </c>
      <c r="G351" s="2">
        <v>233.8</v>
      </c>
      <c r="I351">
        <f t="shared" si="15"/>
        <v>11.6</v>
      </c>
      <c r="J351">
        <f t="shared" si="17"/>
        <v>-6.40000000000001</v>
      </c>
      <c r="K351">
        <f t="shared" si="16"/>
        <v>5</v>
      </c>
    </row>
    <row r="352" spans="1:11">
      <c r="A352">
        <v>11.667</v>
      </c>
      <c r="B352">
        <v>-208.6</v>
      </c>
      <c r="C352" s="2">
        <v>237</v>
      </c>
      <c r="D352" s="2"/>
      <c r="E352">
        <v>11.634</v>
      </c>
      <c r="F352">
        <v>-209.1</v>
      </c>
      <c r="G352" s="2">
        <v>237</v>
      </c>
      <c r="I352">
        <f t="shared" si="15"/>
        <v>11.6</v>
      </c>
      <c r="J352">
        <f t="shared" si="17"/>
        <v>-6.09999999999999</v>
      </c>
      <c r="K352">
        <f t="shared" si="16"/>
        <v>5</v>
      </c>
    </row>
    <row r="353" spans="1:11">
      <c r="A353">
        <v>11.701</v>
      </c>
      <c r="B353">
        <v>-208.4</v>
      </c>
      <c r="C353" s="2">
        <v>237</v>
      </c>
      <c r="D353" s="2"/>
      <c r="E353">
        <v>11.667</v>
      </c>
      <c r="F353">
        <v>-208.6</v>
      </c>
      <c r="G353" s="2">
        <v>237</v>
      </c>
      <c r="I353">
        <f t="shared" si="15"/>
        <v>11.65</v>
      </c>
      <c r="J353">
        <f t="shared" si="17"/>
        <v>-5.59999999999999</v>
      </c>
      <c r="K353">
        <f t="shared" si="16"/>
        <v>5</v>
      </c>
    </row>
    <row r="354" spans="1:11">
      <c r="A354">
        <v>11.734</v>
      </c>
      <c r="B354">
        <v>-208.1</v>
      </c>
      <c r="C354" s="2">
        <v>237.1</v>
      </c>
      <c r="D354" s="2"/>
      <c r="E354">
        <v>11.701</v>
      </c>
      <c r="F354">
        <v>-208.4</v>
      </c>
      <c r="G354" s="2">
        <v>237</v>
      </c>
      <c r="I354">
        <f t="shared" si="15"/>
        <v>11.7</v>
      </c>
      <c r="J354">
        <f t="shared" si="17"/>
        <v>-5.40000000000001</v>
      </c>
      <c r="K354">
        <f t="shared" si="16"/>
        <v>5</v>
      </c>
    </row>
    <row r="355" spans="1:11">
      <c r="A355">
        <v>11.767</v>
      </c>
      <c r="B355">
        <v>-207.4</v>
      </c>
      <c r="C355" s="2">
        <v>237.1</v>
      </c>
      <c r="D355" s="2"/>
      <c r="E355">
        <v>11.734</v>
      </c>
      <c r="F355">
        <v>-208.1</v>
      </c>
      <c r="G355" s="2">
        <v>237.1</v>
      </c>
      <c r="I355">
        <f t="shared" si="15"/>
        <v>11.7</v>
      </c>
      <c r="J355">
        <f t="shared" si="17"/>
        <v>-5.09999999999999</v>
      </c>
      <c r="K355">
        <f t="shared" si="16"/>
        <v>5</v>
      </c>
    </row>
    <row r="356" spans="1:11">
      <c r="A356">
        <v>11.801</v>
      </c>
      <c r="B356">
        <v>-206.4</v>
      </c>
      <c r="C356" s="2">
        <v>237</v>
      </c>
      <c r="D356" s="2"/>
      <c r="E356">
        <v>11.767</v>
      </c>
      <c r="F356">
        <v>-207.4</v>
      </c>
      <c r="G356" s="2">
        <v>237.1</v>
      </c>
      <c r="I356">
        <f t="shared" si="15"/>
        <v>11.75</v>
      </c>
      <c r="J356">
        <f t="shared" si="17"/>
        <v>-4.40000000000001</v>
      </c>
      <c r="K356">
        <f t="shared" si="16"/>
        <v>5</v>
      </c>
    </row>
    <row r="357" spans="1:11">
      <c r="A357">
        <v>11.834</v>
      </c>
      <c r="B357">
        <v>-205.5</v>
      </c>
      <c r="C357" s="2">
        <v>236.9</v>
      </c>
      <c r="D357" s="2"/>
      <c r="E357">
        <v>11.801</v>
      </c>
      <c r="F357">
        <v>-206.4</v>
      </c>
      <c r="G357" s="2">
        <v>237</v>
      </c>
      <c r="I357">
        <f t="shared" si="15"/>
        <v>11.8</v>
      </c>
      <c r="J357">
        <f t="shared" si="17"/>
        <v>-3.40000000000001</v>
      </c>
      <c r="K357">
        <f t="shared" si="16"/>
        <v>5</v>
      </c>
    </row>
    <row r="358" spans="1:11">
      <c r="A358">
        <v>11.868</v>
      </c>
      <c r="B358">
        <v>-204.9</v>
      </c>
      <c r="C358" s="2">
        <v>236.9</v>
      </c>
      <c r="D358" s="2"/>
      <c r="E358">
        <v>11.834</v>
      </c>
      <c r="F358">
        <v>-205.5</v>
      </c>
      <c r="G358" s="2">
        <v>236.9</v>
      </c>
      <c r="I358">
        <f t="shared" si="15"/>
        <v>11.8</v>
      </c>
      <c r="J358">
        <f t="shared" si="17"/>
        <v>-2.5</v>
      </c>
      <c r="K358">
        <f t="shared" si="16"/>
        <v>5</v>
      </c>
    </row>
    <row r="359" spans="1:11">
      <c r="A359">
        <v>11.901</v>
      </c>
      <c r="B359">
        <v>-204.1</v>
      </c>
      <c r="C359" s="2">
        <v>237</v>
      </c>
      <c r="D359" s="2"/>
      <c r="E359">
        <v>11.868</v>
      </c>
      <c r="F359">
        <v>-204.9</v>
      </c>
      <c r="G359" s="2">
        <v>236.9</v>
      </c>
      <c r="I359">
        <f t="shared" si="15"/>
        <v>11.85</v>
      </c>
      <c r="J359">
        <f t="shared" si="17"/>
        <v>-1.90000000000001</v>
      </c>
      <c r="K359">
        <f t="shared" si="16"/>
        <v>5</v>
      </c>
    </row>
    <row r="360" spans="1:11">
      <c r="A360">
        <v>11.935</v>
      </c>
      <c r="B360">
        <v>-203.1</v>
      </c>
      <c r="C360" s="2">
        <v>237</v>
      </c>
      <c r="D360" s="2"/>
      <c r="E360">
        <v>11.901</v>
      </c>
      <c r="F360">
        <v>-204.1</v>
      </c>
      <c r="G360" s="2">
        <v>237</v>
      </c>
      <c r="I360">
        <f t="shared" si="15"/>
        <v>11.9</v>
      </c>
      <c r="J360">
        <f t="shared" si="17"/>
        <v>-1.09999999999999</v>
      </c>
      <c r="K360">
        <f t="shared" si="16"/>
        <v>5</v>
      </c>
    </row>
    <row r="361" spans="1:11">
      <c r="A361">
        <v>11.968</v>
      </c>
      <c r="B361">
        <v>-201.4</v>
      </c>
      <c r="C361" s="2">
        <v>237.1</v>
      </c>
      <c r="D361" s="2"/>
      <c r="E361">
        <v>11.935</v>
      </c>
      <c r="F361">
        <v>-203.1</v>
      </c>
      <c r="G361" s="2">
        <v>237</v>
      </c>
      <c r="I361">
        <f t="shared" si="15"/>
        <v>11.9</v>
      </c>
      <c r="J361">
        <f t="shared" si="17"/>
        <v>-0.0999999999999943</v>
      </c>
      <c r="K361">
        <f t="shared" si="16"/>
        <v>5</v>
      </c>
    </row>
    <row r="362" spans="1:11">
      <c r="A362">
        <v>12.001</v>
      </c>
      <c r="B362">
        <v>-200.6</v>
      </c>
      <c r="C362">
        <v>236.9</v>
      </c>
      <c r="E362">
        <v>11.968</v>
      </c>
      <c r="F362">
        <v>-201.4</v>
      </c>
      <c r="G362" s="2">
        <v>237.1</v>
      </c>
      <c r="I362">
        <f t="shared" si="15"/>
        <v>11.95</v>
      </c>
      <c r="J362">
        <f t="shared" si="17"/>
        <v>1.59999999999999</v>
      </c>
      <c r="K362">
        <f t="shared" si="16"/>
        <v>5</v>
      </c>
    </row>
    <row r="363" spans="1:11">
      <c r="A363">
        <v>12.035</v>
      </c>
      <c r="B363">
        <v>-199.8</v>
      </c>
      <c r="C363">
        <v>236.8</v>
      </c>
      <c r="E363">
        <v>12.001</v>
      </c>
      <c r="F363">
        <v>-200.6</v>
      </c>
      <c r="G363">
        <v>236.9</v>
      </c>
      <c r="I363">
        <f t="shared" si="15"/>
        <v>12</v>
      </c>
      <c r="J363">
        <f t="shared" si="17"/>
        <v>2.40000000000001</v>
      </c>
      <c r="K363">
        <f t="shared" si="16"/>
        <v>5</v>
      </c>
    </row>
    <row r="364" spans="1:11">
      <c r="A364">
        <v>12.068</v>
      </c>
      <c r="B364">
        <v>-199.2</v>
      </c>
      <c r="C364">
        <v>236.9</v>
      </c>
      <c r="E364">
        <v>12.035</v>
      </c>
      <c r="F364">
        <v>-199.8</v>
      </c>
      <c r="G364">
        <v>236.8</v>
      </c>
      <c r="I364">
        <f t="shared" si="15"/>
        <v>12</v>
      </c>
      <c r="J364">
        <f t="shared" si="17"/>
        <v>3.19999999999999</v>
      </c>
      <c r="K364">
        <f t="shared" si="16"/>
        <v>5</v>
      </c>
    </row>
    <row r="365" spans="1:11">
      <c r="A365">
        <v>12.102</v>
      </c>
      <c r="B365">
        <v>-198.6</v>
      </c>
      <c r="C365">
        <v>236.9</v>
      </c>
      <c r="E365">
        <v>12.068</v>
      </c>
      <c r="F365">
        <v>-199.2</v>
      </c>
      <c r="G365">
        <v>236.9</v>
      </c>
      <c r="I365">
        <f t="shared" si="15"/>
        <v>12.05</v>
      </c>
      <c r="J365">
        <f t="shared" si="17"/>
        <v>3.80000000000001</v>
      </c>
      <c r="K365">
        <f t="shared" si="16"/>
        <v>5</v>
      </c>
    </row>
    <row r="366" spans="1:11">
      <c r="A366">
        <v>12.135</v>
      </c>
      <c r="B366">
        <v>-198</v>
      </c>
      <c r="C366">
        <v>236.5</v>
      </c>
      <c r="E366">
        <v>12.102</v>
      </c>
      <c r="F366">
        <v>-198.6</v>
      </c>
      <c r="G366">
        <v>236.9</v>
      </c>
      <c r="I366">
        <f t="shared" si="15"/>
        <v>12.1</v>
      </c>
      <c r="J366">
        <f t="shared" si="17"/>
        <v>4.40000000000001</v>
      </c>
      <c r="K366">
        <f t="shared" si="16"/>
        <v>5</v>
      </c>
    </row>
    <row r="367" spans="1:11">
      <c r="A367">
        <v>12.169</v>
      </c>
      <c r="B367">
        <v>-197.5</v>
      </c>
      <c r="C367">
        <v>236.9</v>
      </c>
      <c r="E367">
        <v>12.135</v>
      </c>
      <c r="F367">
        <v>-198</v>
      </c>
      <c r="G367">
        <v>236.5</v>
      </c>
      <c r="I367">
        <f t="shared" si="15"/>
        <v>12.1</v>
      </c>
      <c r="J367">
        <f t="shared" si="17"/>
        <v>5</v>
      </c>
      <c r="K367">
        <f t="shared" si="16"/>
        <v>5</v>
      </c>
    </row>
    <row r="368" spans="1:11">
      <c r="A368">
        <v>12.202</v>
      </c>
      <c r="B368">
        <v>-197.1</v>
      </c>
      <c r="C368">
        <v>236.8</v>
      </c>
      <c r="E368">
        <v>12.169</v>
      </c>
      <c r="F368">
        <v>-197.5</v>
      </c>
      <c r="G368">
        <v>236.9</v>
      </c>
      <c r="I368">
        <f t="shared" si="15"/>
        <v>12.15</v>
      </c>
      <c r="J368">
        <f t="shared" si="17"/>
        <v>5.5</v>
      </c>
      <c r="K368">
        <f t="shared" si="16"/>
        <v>5</v>
      </c>
    </row>
    <row r="369" spans="1:11">
      <c r="A369">
        <v>12.235</v>
      </c>
      <c r="B369">
        <v>-196.8</v>
      </c>
      <c r="C369">
        <v>236.8</v>
      </c>
      <c r="E369">
        <v>12.202</v>
      </c>
      <c r="F369">
        <v>-197.1</v>
      </c>
      <c r="G369">
        <v>236.8</v>
      </c>
      <c r="I369">
        <f t="shared" si="15"/>
        <v>12.2</v>
      </c>
      <c r="J369">
        <f t="shared" si="17"/>
        <v>5.90000000000001</v>
      </c>
      <c r="K369">
        <f t="shared" si="16"/>
        <v>5</v>
      </c>
    </row>
    <row r="370" spans="1:11">
      <c r="A370">
        <v>12.269</v>
      </c>
      <c r="B370">
        <v>-196.6</v>
      </c>
      <c r="C370">
        <v>236.9</v>
      </c>
      <c r="E370">
        <v>12.235</v>
      </c>
      <c r="F370">
        <v>-196.8</v>
      </c>
      <c r="G370">
        <v>236.8</v>
      </c>
      <c r="I370">
        <f t="shared" si="15"/>
        <v>12.2</v>
      </c>
      <c r="J370">
        <f t="shared" si="17"/>
        <v>6.19999999999999</v>
      </c>
      <c r="K370">
        <f t="shared" si="16"/>
        <v>5</v>
      </c>
    </row>
    <row r="371" spans="1:11">
      <c r="A371">
        <v>12.302</v>
      </c>
      <c r="B371">
        <v>-196.7</v>
      </c>
      <c r="C371">
        <v>237</v>
      </c>
      <c r="E371">
        <v>12.269</v>
      </c>
      <c r="F371">
        <v>-196.6</v>
      </c>
      <c r="G371">
        <v>236.9</v>
      </c>
      <c r="I371">
        <f t="shared" si="15"/>
        <v>12.25</v>
      </c>
      <c r="J371">
        <f t="shared" si="17"/>
        <v>6.40000000000001</v>
      </c>
      <c r="K371">
        <f t="shared" si="16"/>
        <v>5</v>
      </c>
    </row>
    <row r="372" spans="1:11">
      <c r="A372">
        <v>12.336</v>
      </c>
      <c r="B372">
        <v>-196.9</v>
      </c>
      <c r="C372">
        <v>231.7</v>
      </c>
      <c r="E372">
        <v>12.302</v>
      </c>
      <c r="F372">
        <v>-196.7</v>
      </c>
      <c r="G372">
        <v>237</v>
      </c>
      <c r="I372">
        <f t="shared" si="15"/>
        <v>12.3</v>
      </c>
      <c r="J372">
        <f t="shared" si="17"/>
        <v>6.30000000000001</v>
      </c>
      <c r="K372">
        <f t="shared" si="16"/>
        <v>5</v>
      </c>
    </row>
    <row r="373" spans="1:11">
      <c r="A373">
        <v>12.369</v>
      </c>
      <c r="B373">
        <v>-197.1</v>
      </c>
      <c r="C373">
        <v>97.2</v>
      </c>
      <c r="E373">
        <v>12.336</v>
      </c>
      <c r="F373">
        <v>-196.9</v>
      </c>
      <c r="G373">
        <v>231.7</v>
      </c>
      <c r="I373">
        <f t="shared" si="15"/>
        <v>12.3</v>
      </c>
      <c r="J373">
        <f t="shared" si="17"/>
        <v>6.09999999999999</v>
      </c>
      <c r="K373">
        <f t="shared" si="16"/>
        <v>5</v>
      </c>
    </row>
    <row r="374" spans="1:11">
      <c r="A374">
        <v>12.403</v>
      </c>
      <c r="B374">
        <v>-197.6</v>
      </c>
      <c r="C374">
        <v>112.9</v>
      </c>
      <c r="E374">
        <v>12.369</v>
      </c>
      <c r="F374">
        <v>-197.1</v>
      </c>
      <c r="G374">
        <v>97.2</v>
      </c>
      <c r="I374">
        <f t="shared" si="15"/>
        <v>12.35</v>
      </c>
      <c r="J374">
        <f t="shared" si="17"/>
        <v>5.90000000000001</v>
      </c>
      <c r="K374">
        <f t="shared" si="16"/>
        <v>0</v>
      </c>
    </row>
    <row r="375" spans="1:11">
      <c r="A375">
        <v>12.436</v>
      </c>
      <c r="B375">
        <v>-198.2</v>
      </c>
      <c r="C375">
        <v>111</v>
      </c>
      <c r="E375">
        <v>12.403</v>
      </c>
      <c r="F375">
        <v>-197.6</v>
      </c>
      <c r="G375">
        <v>112.9</v>
      </c>
      <c r="I375">
        <f t="shared" si="15"/>
        <v>12.4</v>
      </c>
      <c r="J375">
        <f t="shared" si="17"/>
        <v>5.40000000000001</v>
      </c>
      <c r="K375">
        <f t="shared" si="16"/>
        <v>0</v>
      </c>
    </row>
    <row r="376" spans="1:11">
      <c r="A376">
        <v>12.469</v>
      </c>
      <c r="B376">
        <v>-198.8</v>
      </c>
      <c r="C376">
        <v>109.1</v>
      </c>
      <c r="E376">
        <v>12.436</v>
      </c>
      <c r="F376">
        <v>-198.2</v>
      </c>
      <c r="G376">
        <v>111</v>
      </c>
      <c r="I376">
        <f t="shared" si="15"/>
        <v>12.4</v>
      </c>
      <c r="J376">
        <f t="shared" si="17"/>
        <v>4.80000000000001</v>
      </c>
      <c r="K376">
        <f t="shared" si="16"/>
        <v>0</v>
      </c>
    </row>
    <row r="377" spans="1:11">
      <c r="A377">
        <v>12.503</v>
      </c>
      <c r="B377">
        <v>-199.7</v>
      </c>
      <c r="C377">
        <v>105.5</v>
      </c>
      <c r="E377">
        <v>12.469</v>
      </c>
      <c r="F377">
        <v>-198.8</v>
      </c>
      <c r="G377">
        <v>109.1</v>
      </c>
      <c r="I377">
        <f t="shared" si="15"/>
        <v>12.45</v>
      </c>
      <c r="J377">
        <f t="shared" si="17"/>
        <v>4.19999999999999</v>
      </c>
      <c r="K377">
        <f t="shared" si="16"/>
        <v>0</v>
      </c>
    </row>
    <row r="378" spans="1:11">
      <c r="A378">
        <v>12.536</v>
      </c>
      <c r="B378">
        <v>-200.4</v>
      </c>
      <c r="C378">
        <v>103.4</v>
      </c>
      <c r="E378">
        <v>12.503</v>
      </c>
      <c r="F378">
        <v>-199.7</v>
      </c>
      <c r="G378">
        <v>105.5</v>
      </c>
      <c r="I378">
        <f t="shared" si="15"/>
        <v>12.5</v>
      </c>
      <c r="J378">
        <f t="shared" si="17"/>
        <v>3.30000000000001</v>
      </c>
      <c r="K378">
        <f t="shared" si="16"/>
        <v>0</v>
      </c>
    </row>
    <row r="379" spans="1:11">
      <c r="A379">
        <v>12.57</v>
      </c>
      <c r="B379">
        <v>-201.4</v>
      </c>
      <c r="C379">
        <v>102.6</v>
      </c>
      <c r="E379">
        <v>12.536</v>
      </c>
      <c r="F379">
        <v>-200.4</v>
      </c>
      <c r="G379">
        <v>103.4</v>
      </c>
      <c r="I379">
        <f t="shared" si="15"/>
        <v>12.5</v>
      </c>
      <c r="J379">
        <f t="shared" si="17"/>
        <v>2.59999999999999</v>
      </c>
      <c r="K379">
        <f t="shared" si="16"/>
        <v>0</v>
      </c>
    </row>
    <row r="380" spans="1:11">
      <c r="A380">
        <v>12.603</v>
      </c>
      <c r="B380">
        <v>-202.2</v>
      </c>
      <c r="C380">
        <v>99.8</v>
      </c>
      <c r="E380">
        <v>12.57</v>
      </c>
      <c r="F380">
        <v>-201.4</v>
      </c>
      <c r="G380">
        <v>102.6</v>
      </c>
      <c r="I380">
        <f t="shared" si="15"/>
        <v>12.55</v>
      </c>
      <c r="J380">
        <f t="shared" si="17"/>
        <v>1.59999999999999</v>
      </c>
      <c r="K380">
        <f t="shared" si="16"/>
        <v>0</v>
      </c>
    </row>
    <row r="381" spans="1:11">
      <c r="A381">
        <v>12.637</v>
      </c>
      <c r="B381">
        <v>-203.1</v>
      </c>
      <c r="C381">
        <v>97.9</v>
      </c>
      <c r="E381">
        <v>12.603</v>
      </c>
      <c r="F381">
        <v>-202.2</v>
      </c>
      <c r="G381">
        <v>99.8</v>
      </c>
      <c r="I381">
        <f t="shared" si="15"/>
        <v>12.6</v>
      </c>
      <c r="J381">
        <f t="shared" si="17"/>
        <v>0.800000000000011</v>
      </c>
      <c r="K381">
        <f t="shared" si="16"/>
        <v>0</v>
      </c>
    </row>
    <row r="382" spans="1:11">
      <c r="A382">
        <v>12.67</v>
      </c>
      <c r="B382">
        <v>-203.7</v>
      </c>
      <c r="C382">
        <v>96.2</v>
      </c>
      <c r="E382">
        <v>12.637</v>
      </c>
      <c r="F382">
        <v>-203.1</v>
      </c>
      <c r="G382">
        <v>97.9</v>
      </c>
      <c r="I382">
        <f t="shared" si="15"/>
        <v>12.6</v>
      </c>
      <c r="J382">
        <f t="shared" si="17"/>
        <v>-0.0999999999999943</v>
      </c>
      <c r="K382">
        <f t="shared" si="16"/>
        <v>0</v>
      </c>
    </row>
    <row r="383" spans="1:11">
      <c r="A383">
        <v>12.703</v>
      </c>
      <c r="B383">
        <v>-204.9</v>
      </c>
      <c r="C383">
        <v>94.1</v>
      </c>
      <c r="E383">
        <v>12.67</v>
      </c>
      <c r="F383">
        <v>-203.7</v>
      </c>
      <c r="G383">
        <v>96.2</v>
      </c>
      <c r="I383">
        <f t="shared" si="15"/>
        <v>12.65</v>
      </c>
      <c r="J383">
        <f t="shared" si="17"/>
        <v>-0.699999999999989</v>
      </c>
      <c r="K383">
        <f t="shared" si="16"/>
        <v>0</v>
      </c>
    </row>
    <row r="384" spans="1:11">
      <c r="A384">
        <v>12.737</v>
      </c>
      <c r="B384">
        <v>-206.3</v>
      </c>
      <c r="C384">
        <v>92</v>
      </c>
      <c r="E384">
        <v>12.703</v>
      </c>
      <c r="F384">
        <v>-204.9</v>
      </c>
      <c r="G384">
        <v>94.1</v>
      </c>
      <c r="I384">
        <f t="shared" si="15"/>
        <v>12.7</v>
      </c>
      <c r="J384">
        <f t="shared" si="17"/>
        <v>-1.90000000000001</v>
      </c>
      <c r="K384">
        <f t="shared" si="16"/>
        <v>0</v>
      </c>
    </row>
    <row r="385" spans="1:11">
      <c r="A385">
        <v>12.77</v>
      </c>
      <c r="B385">
        <v>-207.5</v>
      </c>
      <c r="C385">
        <v>91</v>
      </c>
      <c r="E385">
        <v>12.737</v>
      </c>
      <c r="F385">
        <v>-206.3</v>
      </c>
      <c r="G385">
        <v>92</v>
      </c>
      <c r="I385">
        <f t="shared" si="15"/>
        <v>12.7</v>
      </c>
      <c r="J385">
        <f t="shared" si="17"/>
        <v>-3.30000000000001</v>
      </c>
      <c r="K385">
        <f t="shared" si="16"/>
        <v>0</v>
      </c>
    </row>
    <row r="386" spans="1:11">
      <c r="A386">
        <v>12.804</v>
      </c>
      <c r="B386">
        <v>-208.1</v>
      </c>
      <c r="C386">
        <v>89.5</v>
      </c>
      <c r="E386">
        <v>12.77</v>
      </c>
      <c r="F386">
        <v>-207.5</v>
      </c>
      <c r="G386">
        <v>91</v>
      </c>
      <c r="I386">
        <f t="shared" si="15"/>
        <v>12.75</v>
      </c>
      <c r="J386">
        <f t="shared" si="17"/>
        <v>-4.5</v>
      </c>
      <c r="K386">
        <f t="shared" si="16"/>
        <v>0</v>
      </c>
    </row>
    <row r="387" spans="1:11">
      <c r="A387">
        <v>12.837</v>
      </c>
      <c r="B387">
        <v>-208.2</v>
      </c>
      <c r="C387">
        <v>86.7</v>
      </c>
      <c r="E387">
        <v>12.804</v>
      </c>
      <c r="F387">
        <v>-208.1</v>
      </c>
      <c r="G387">
        <v>89.5</v>
      </c>
      <c r="I387">
        <f t="shared" si="15"/>
        <v>12.8</v>
      </c>
      <c r="J387">
        <f t="shared" si="17"/>
        <v>-5.09999999999999</v>
      </c>
      <c r="K387">
        <f t="shared" si="16"/>
        <v>0</v>
      </c>
    </row>
    <row r="388" spans="1:11">
      <c r="A388">
        <v>12.871</v>
      </c>
      <c r="B388">
        <v>-208.8</v>
      </c>
      <c r="C388">
        <v>85.9</v>
      </c>
      <c r="E388">
        <v>12.837</v>
      </c>
      <c r="F388">
        <v>-208.2</v>
      </c>
      <c r="G388">
        <v>86.7</v>
      </c>
      <c r="I388">
        <f t="shared" ref="I388:I451" si="18">FLOOR(E388,0.05)</f>
        <v>12.8</v>
      </c>
      <c r="J388">
        <f t="shared" si="17"/>
        <v>-5.19999999999999</v>
      </c>
      <c r="K388">
        <f t="shared" ref="K388:K451" si="19">IF(G388&lt;230,0,5)</f>
        <v>0</v>
      </c>
    </row>
    <row r="389" spans="1:11">
      <c r="A389">
        <v>12.904</v>
      </c>
      <c r="B389">
        <v>-209.3</v>
      </c>
      <c r="C389">
        <v>82.7</v>
      </c>
      <c r="E389">
        <v>12.871</v>
      </c>
      <c r="F389">
        <v>-208.8</v>
      </c>
      <c r="G389">
        <v>85.9</v>
      </c>
      <c r="I389">
        <f t="shared" si="18"/>
        <v>12.85</v>
      </c>
      <c r="J389">
        <f t="shared" ref="J389:J452" si="20">F389+203</f>
        <v>-5.80000000000001</v>
      </c>
      <c r="K389">
        <f t="shared" si="19"/>
        <v>0</v>
      </c>
    </row>
    <row r="390" spans="1:11">
      <c r="A390">
        <v>12.937</v>
      </c>
      <c r="B390">
        <v>-209.9</v>
      </c>
      <c r="C390">
        <v>82.7</v>
      </c>
      <c r="E390">
        <v>12.904</v>
      </c>
      <c r="F390">
        <v>-209.3</v>
      </c>
      <c r="G390">
        <v>82.7</v>
      </c>
      <c r="I390">
        <f t="shared" si="18"/>
        <v>12.9</v>
      </c>
      <c r="J390">
        <f t="shared" si="20"/>
        <v>-6.30000000000001</v>
      </c>
      <c r="K390">
        <f t="shared" si="19"/>
        <v>0</v>
      </c>
    </row>
    <row r="391" spans="1:11">
      <c r="A391">
        <v>12.971</v>
      </c>
      <c r="B391">
        <v>-209.8</v>
      </c>
      <c r="C391">
        <v>80</v>
      </c>
      <c r="E391">
        <v>12.937</v>
      </c>
      <c r="F391">
        <v>-209.9</v>
      </c>
      <c r="G391">
        <v>82.7</v>
      </c>
      <c r="I391">
        <f t="shared" si="18"/>
        <v>12.9</v>
      </c>
      <c r="J391">
        <f t="shared" si="20"/>
        <v>-6.90000000000001</v>
      </c>
      <c r="K391">
        <f t="shared" si="19"/>
        <v>0</v>
      </c>
    </row>
    <row r="392" spans="1:11">
      <c r="A392">
        <v>13.004</v>
      </c>
      <c r="B392">
        <v>-209.8</v>
      </c>
      <c r="C392">
        <v>77.8</v>
      </c>
      <c r="E392">
        <v>12.971</v>
      </c>
      <c r="F392">
        <v>-209.8</v>
      </c>
      <c r="G392">
        <v>80</v>
      </c>
      <c r="I392">
        <f t="shared" si="18"/>
        <v>12.95</v>
      </c>
      <c r="J392">
        <f t="shared" si="20"/>
        <v>-6.80000000000001</v>
      </c>
      <c r="K392">
        <f t="shared" si="19"/>
        <v>0</v>
      </c>
    </row>
    <row r="393" spans="1:11">
      <c r="A393">
        <v>13.038</v>
      </c>
      <c r="B393">
        <v>-209.7</v>
      </c>
      <c r="C393">
        <v>76.7</v>
      </c>
      <c r="E393">
        <v>13.004</v>
      </c>
      <c r="F393">
        <v>-209.8</v>
      </c>
      <c r="G393">
        <v>77.8</v>
      </c>
      <c r="I393">
        <f t="shared" si="18"/>
        <v>13</v>
      </c>
      <c r="J393">
        <f t="shared" si="20"/>
        <v>-6.80000000000001</v>
      </c>
      <c r="K393">
        <f t="shared" si="19"/>
        <v>0</v>
      </c>
    </row>
    <row r="394" spans="1:11">
      <c r="A394">
        <v>13.071</v>
      </c>
      <c r="B394">
        <v>-209.7</v>
      </c>
      <c r="C394" s="2">
        <v>76.6</v>
      </c>
      <c r="D394" s="2"/>
      <c r="E394">
        <v>13.038</v>
      </c>
      <c r="F394">
        <v>-209.7</v>
      </c>
      <c r="G394">
        <v>76.7</v>
      </c>
      <c r="I394">
        <f t="shared" si="18"/>
        <v>13</v>
      </c>
      <c r="J394">
        <f t="shared" si="20"/>
        <v>-6.69999999999999</v>
      </c>
      <c r="K394">
        <f t="shared" si="19"/>
        <v>0</v>
      </c>
    </row>
    <row r="395" spans="1:11">
      <c r="A395">
        <v>13.105</v>
      </c>
      <c r="B395">
        <v>-209.6</v>
      </c>
      <c r="C395" s="2">
        <v>235.9</v>
      </c>
      <c r="D395" s="2"/>
      <c r="E395">
        <v>13.071</v>
      </c>
      <c r="F395">
        <v>-209.7</v>
      </c>
      <c r="G395" s="2">
        <v>76.6</v>
      </c>
      <c r="I395">
        <f t="shared" si="18"/>
        <v>13.05</v>
      </c>
      <c r="J395">
        <f t="shared" si="20"/>
        <v>-6.69999999999999</v>
      </c>
      <c r="K395">
        <f t="shared" si="19"/>
        <v>0</v>
      </c>
    </row>
    <row r="396" spans="1:11">
      <c r="A396">
        <v>13.138</v>
      </c>
      <c r="B396">
        <v>-209.3</v>
      </c>
      <c r="C396" s="2">
        <v>237</v>
      </c>
      <c r="D396" s="2"/>
      <c r="E396">
        <v>13.105</v>
      </c>
      <c r="F396">
        <v>-209.6</v>
      </c>
      <c r="G396" s="2">
        <v>235.9</v>
      </c>
      <c r="I396">
        <f t="shared" si="18"/>
        <v>13.1</v>
      </c>
      <c r="J396">
        <f t="shared" si="20"/>
        <v>-6.59999999999999</v>
      </c>
      <c r="K396">
        <f t="shared" si="19"/>
        <v>5</v>
      </c>
    </row>
    <row r="397" spans="1:11">
      <c r="A397">
        <v>13.172</v>
      </c>
      <c r="B397">
        <v>-208.9</v>
      </c>
      <c r="C397" s="2">
        <v>236.9</v>
      </c>
      <c r="D397" s="2"/>
      <c r="E397">
        <v>13.138</v>
      </c>
      <c r="F397">
        <v>-209.3</v>
      </c>
      <c r="G397" s="2">
        <v>237</v>
      </c>
      <c r="I397">
        <f t="shared" si="18"/>
        <v>13.1</v>
      </c>
      <c r="J397">
        <f t="shared" si="20"/>
        <v>-6.30000000000001</v>
      </c>
      <c r="K397">
        <f t="shared" si="19"/>
        <v>5</v>
      </c>
    </row>
    <row r="398" spans="1:11">
      <c r="A398">
        <v>13.205</v>
      </c>
      <c r="B398">
        <v>-208.1</v>
      </c>
      <c r="C398" s="2">
        <v>237</v>
      </c>
      <c r="D398" s="2"/>
      <c r="E398">
        <v>13.172</v>
      </c>
      <c r="F398">
        <v>-208.9</v>
      </c>
      <c r="G398" s="2">
        <v>236.9</v>
      </c>
      <c r="I398">
        <f t="shared" si="18"/>
        <v>13.15</v>
      </c>
      <c r="J398">
        <f t="shared" si="20"/>
        <v>-5.90000000000001</v>
      </c>
      <c r="K398">
        <f t="shared" si="19"/>
        <v>5</v>
      </c>
    </row>
    <row r="399" spans="1:11">
      <c r="A399">
        <v>13.238</v>
      </c>
      <c r="B399">
        <v>-207.7</v>
      </c>
      <c r="C399" s="2">
        <v>237</v>
      </c>
      <c r="D399" s="2"/>
      <c r="E399">
        <v>13.205</v>
      </c>
      <c r="F399">
        <v>-208.1</v>
      </c>
      <c r="G399" s="2">
        <v>237</v>
      </c>
      <c r="I399">
        <f t="shared" si="18"/>
        <v>13.2</v>
      </c>
      <c r="J399">
        <f t="shared" si="20"/>
        <v>-5.09999999999999</v>
      </c>
      <c r="K399">
        <f t="shared" si="19"/>
        <v>5</v>
      </c>
    </row>
    <row r="400" spans="1:11">
      <c r="A400">
        <v>13.272</v>
      </c>
      <c r="B400">
        <v>-206.9</v>
      </c>
      <c r="C400" s="2">
        <v>237</v>
      </c>
      <c r="D400" s="2"/>
      <c r="E400">
        <v>13.238</v>
      </c>
      <c r="F400">
        <v>-207.7</v>
      </c>
      <c r="G400" s="2">
        <v>237</v>
      </c>
      <c r="I400">
        <f t="shared" si="18"/>
        <v>13.2</v>
      </c>
      <c r="J400">
        <f t="shared" si="20"/>
        <v>-4.69999999999999</v>
      </c>
      <c r="K400">
        <f t="shared" si="19"/>
        <v>5</v>
      </c>
    </row>
    <row r="401" spans="1:11">
      <c r="A401">
        <v>13.305</v>
      </c>
      <c r="B401">
        <v>-205.9</v>
      </c>
      <c r="C401" s="2">
        <v>236.7</v>
      </c>
      <c r="D401" s="2"/>
      <c r="E401">
        <v>13.272</v>
      </c>
      <c r="F401">
        <v>-206.9</v>
      </c>
      <c r="G401" s="2">
        <v>237</v>
      </c>
      <c r="I401">
        <f t="shared" si="18"/>
        <v>13.25</v>
      </c>
      <c r="J401">
        <f t="shared" si="20"/>
        <v>-3.90000000000001</v>
      </c>
      <c r="K401">
        <f t="shared" si="19"/>
        <v>5</v>
      </c>
    </row>
    <row r="402" spans="1:11">
      <c r="A402">
        <v>13.339</v>
      </c>
      <c r="B402">
        <v>-204.3</v>
      </c>
      <c r="C402" s="2">
        <v>236.8</v>
      </c>
      <c r="D402" s="2"/>
      <c r="E402">
        <v>13.305</v>
      </c>
      <c r="F402">
        <v>-205.9</v>
      </c>
      <c r="G402" s="2">
        <v>236.7</v>
      </c>
      <c r="I402">
        <f t="shared" si="18"/>
        <v>13.3</v>
      </c>
      <c r="J402">
        <f t="shared" si="20"/>
        <v>-2.90000000000001</v>
      </c>
      <c r="K402">
        <f t="shared" si="19"/>
        <v>5</v>
      </c>
    </row>
    <row r="403" spans="1:11">
      <c r="A403">
        <v>13.372</v>
      </c>
      <c r="B403">
        <v>-203.7</v>
      </c>
      <c r="C403" s="2">
        <v>237</v>
      </c>
      <c r="D403" s="2"/>
      <c r="E403">
        <v>13.339</v>
      </c>
      <c r="F403">
        <v>-204.3</v>
      </c>
      <c r="G403" s="2">
        <v>236.8</v>
      </c>
      <c r="I403">
        <f t="shared" si="18"/>
        <v>13.3</v>
      </c>
      <c r="J403">
        <f t="shared" si="20"/>
        <v>-1.30000000000001</v>
      </c>
      <c r="K403">
        <f t="shared" si="19"/>
        <v>5</v>
      </c>
    </row>
    <row r="404" spans="1:11">
      <c r="A404">
        <v>13.406</v>
      </c>
      <c r="B404">
        <v>-202.9</v>
      </c>
      <c r="C404" s="2">
        <v>236.9</v>
      </c>
      <c r="D404" s="2"/>
      <c r="E404">
        <v>13.372</v>
      </c>
      <c r="F404">
        <v>-203.7</v>
      </c>
      <c r="G404" s="2">
        <v>237</v>
      </c>
      <c r="I404">
        <f t="shared" si="18"/>
        <v>13.35</v>
      </c>
      <c r="J404">
        <f t="shared" si="20"/>
        <v>-0.699999999999989</v>
      </c>
      <c r="K404">
        <f t="shared" si="19"/>
        <v>5</v>
      </c>
    </row>
    <row r="405" spans="1:11">
      <c r="A405">
        <v>13.439</v>
      </c>
      <c r="B405">
        <v>-202</v>
      </c>
      <c r="C405" s="2">
        <v>236.9</v>
      </c>
      <c r="D405" s="2"/>
      <c r="E405">
        <v>13.406</v>
      </c>
      <c r="F405">
        <v>-202.9</v>
      </c>
      <c r="G405" s="2">
        <v>236.9</v>
      </c>
      <c r="I405">
        <f t="shared" si="18"/>
        <v>13.4</v>
      </c>
      <c r="J405">
        <f t="shared" si="20"/>
        <v>0.0999999999999943</v>
      </c>
      <c r="K405">
        <f t="shared" si="19"/>
        <v>5</v>
      </c>
    </row>
    <row r="406" spans="1:11">
      <c r="A406">
        <v>13.472</v>
      </c>
      <c r="B406">
        <v>-201.1</v>
      </c>
      <c r="C406" s="2">
        <v>237</v>
      </c>
      <c r="D406" s="2"/>
      <c r="E406">
        <v>13.439</v>
      </c>
      <c r="F406">
        <v>-202</v>
      </c>
      <c r="G406" s="2">
        <v>236.9</v>
      </c>
      <c r="I406">
        <f t="shared" si="18"/>
        <v>13.4</v>
      </c>
      <c r="J406">
        <f t="shared" si="20"/>
        <v>1</v>
      </c>
      <c r="K406">
        <f t="shared" si="19"/>
        <v>5</v>
      </c>
    </row>
    <row r="407" spans="1:11">
      <c r="A407">
        <v>13.506</v>
      </c>
      <c r="B407">
        <v>-200</v>
      </c>
      <c r="C407" s="2">
        <v>237.1</v>
      </c>
      <c r="D407" s="2"/>
      <c r="E407">
        <v>13.472</v>
      </c>
      <c r="F407">
        <v>-201.1</v>
      </c>
      <c r="G407" s="2">
        <v>237</v>
      </c>
      <c r="I407">
        <f t="shared" si="18"/>
        <v>13.45</v>
      </c>
      <c r="J407">
        <f t="shared" si="20"/>
        <v>1.90000000000001</v>
      </c>
      <c r="K407">
        <f t="shared" si="19"/>
        <v>5</v>
      </c>
    </row>
    <row r="408" spans="1:11">
      <c r="A408">
        <v>13.539</v>
      </c>
      <c r="B408">
        <v>-199</v>
      </c>
      <c r="C408">
        <v>237</v>
      </c>
      <c r="E408">
        <v>13.506</v>
      </c>
      <c r="F408">
        <v>-200</v>
      </c>
      <c r="G408" s="2">
        <v>237.1</v>
      </c>
      <c r="I408">
        <f t="shared" si="18"/>
        <v>13.5</v>
      </c>
      <c r="J408">
        <f t="shared" si="20"/>
        <v>3</v>
      </c>
      <c r="K408">
        <f t="shared" si="19"/>
        <v>5</v>
      </c>
    </row>
    <row r="409" spans="1:11">
      <c r="A409">
        <v>13.573</v>
      </c>
      <c r="B409">
        <v>-198.3</v>
      </c>
      <c r="C409">
        <v>236.9</v>
      </c>
      <c r="E409">
        <v>13.539</v>
      </c>
      <c r="F409">
        <v>-199</v>
      </c>
      <c r="G409">
        <v>237</v>
      </c>
      <c r="I409">
        <f t="shared" si="18"/>
        <v>13.5</v>
      </c>
      <c r="J409">
        <f t="shared" si="20"/>
        <v>4</v>
      </c>
      <c r="K409">
        <f t="shared" si="19"/>
        <v>5</v>
      </c>
    </row>
    <row r="410" spans="1:11">
      <c r="A410">
        <v>13.606</v>
      </c>
      <c r="B410">
        <v>-197.7</v>
      </c>
      <c r="C410">
        <v>236.9</v>
      </c>
      <c r="E410">
        <v>13.573</v>
      </c>
      <c r="F410">
        <v>-198.3</v>
      </c>
      <c r="G410">
        <v>236.9</v>
      </c>
      <c r="I410">
        <f t="shared" si="18"/>
        <v>13.55</v>
      </c>
      <c r="J410">
        <f t="shared" si="20"/>
        <v>4.69999999999999</v>
      </c>
      <c r="K410">
        <f t="shared" si="19"/>
        <v>5</v>
      </c>
    </row>
    <row r="411" spans="1:11">
      <c r="A411">
        <v>13.64</v>
      </c>
      <c r="B411">
        <v>-197</v>
      </c>
      <c r="C411">
        <v>236.8</v>
      </c>
      <c r="E411">
        <v>13.606</v>
      </c>
      <c r="F411">
        <v>-197.7</v>
      </c>
      <c r="G411">
        <v>236.9</v>
      </c>
      <c r="I411">
        <f t="shared" si="18"/>
        <v>13.6</v>
      </c>
      <c r="J411">
        <f t="shared" si="20"/>
        <v>5.30000000000001</v>
      </c>
      <c r="K411">
        <f t="shared" si="19"/>
        <v>5</v>
      </c>
    </row>
    <row r="412" spans="1:11">
      <c r="A412">
        <v>13.673</v>
      </c>
      <c r="B412">
        <v>-195.6</v>
      </c>
      <c r="C412">
        <v>236.9</v>
      </c>
      <c r="E412">
        <v>13.64</v>
      </c>
      <c r="F412">
        <v>-197</v>
      </c>
      <c r="G412">
        <v>236.8</v>
      </c>
      <c r="I412">
        <f t="shared" si="18"/>
        <v>13.6</v>
      </c>
      <c r="J412">
        <f t="shared" si="20"/>
        <v>6</v>
      </c>
      <c r="K412">
        <f t="shared" si="19"/>
        <v>5</v>
      </c>
    </row>
    <row r="413" spans="1:11">
      <c r="A413">
        <v>13.706</v>
      </c>
      <c r="B413">
        <v>-195.5</v>
      </c>
      <c r="C413">
        <v>236.9</v>
      </c>
      <c r="E413">
        <v>13.673</v>
      </c>
      <c r="F413">
        <v>-195.6</v>
      </c>
      <c r="G413">
        <v>236.9</v>
      </c>
      <c r="I413">
        <f t="shared" si="18"/>
        <v>13.65</v>
      </c>
      <c r="J413">
        <f t="shared" si="20"/>
        <v>7.40000000000001</v>
      </c>
      <c r="K413">
        <f t="shared" si="19"/>
        <v>5</v>
      </c>
    </row>
    <row r="414" spans="1:11">
      <c r="A414">
        <v>13.74</v>
      </c>
      <c r="B414">
        <v>-195.4</v>
      </c>
      <c r="C414">
        <v>237</v>
      </c>
      <c r="E414">
        <v>13.706</v>
      </c>
      <c r="F414">
        <v>-195.5</v>
      </c>
      <c r="G414">
        <v>236.9</v>
      </c>
      <c r="I414">
        <f t="shared" si="18"/>
        <v>13.7</v>
      </c>
      <c r="J414">
        <f t="shared" si="20"/>
        <v>7.5</v>
      </c>
      <c r="K414">
        <f t="shared" si="19"/>
        <v>5</v>
      </c>
    </row>
    <row r="415" spans="1:11">
      <c r="A415">
        <v>13.773</v>
      </c>
      <c r="B415">
        <v>-195.5</v>
      </c>
      <c r="C415">
        <v>237</v>
      </c>
      <c r="E415">
        <v>13.74</v>
      </c>
      <c r="F415">
        <v>-195.4</v>
      </c>
      <c r="G415">
        <v>237</v>
      </c>
      <c r="I415">
        <f t="shared" si="18"/>
        <v>13.7</v>
      </c>
      <c r="J415">
        <f t="shared" si="20"/>
        <v>7.59999999999999</v>
      </c>
      <c r="K415">
        <f t="shared" si="19"/>
        <v>5</v>
      </c>
    </row>
    <row r="416" spans="1:11">
      <c r="A416">
        <v>13.807</v>
      </c>
      <c r="B416">
        <v>-195.7</v>
      </c>
      <c r="C416">
        <v>236.8</v>
      </c>
      <c r="E416">
        <v>13.773</v>
      </c>
      <c r="F416">
        <v>-195.5</v>
      </c>
      <c r="G416">
        <v>237</v>
      </c>
      <c r="I416">
        <f t="shared" si="18"/>
        <v>13.75</v>
      </c>
      <c r="J416">
        <f t="shared" si="20"/>
        <v>7.5</v>
      </c>
      <c r="K416">
        <f t="shared" si="19"/>
        <v>5</v>
      </c>
    </row>
    <row r="417" spans="1:11">
      <c r="A417">
        <v>13.84</v>
      </c>
      <c r="B417">
        <v>-195.8</v>
      </c>
      <c r="C417">
        <v>227</v>
      </c>
      <c r="E417">
        <v>13.807</v>
      </c>
      <c r="F417">
        <v>-195.7</v>
      </c>
      <c r="G417">
        <v>236.8</v>
      </c>
      <c r="I417">
        <f t="shared" si="18"/>
        <v>13.8</v>
      </c>
      <c r="J417">
        <f t="shared" si="20"/>
        <v>7.30000000000001</v>
      </c>
      <c r="K417">
        <f t="shared" si="19"/>
        <v>5</v>
      </c>
    </row>
    <row r="418" spans="1:11">
      <c r="A418">
        <v>13.874</v>
      </c>
      <c r="B418">
        <v>-196.1</v>
      </c>
      <c r="C418">
        <v>97.7</v>
      </c>
      <c r="E418">
        <v>13.84</v>
      </c>
      <c r="F418">
        <v>-195.8</v>
      </c>
      <c r="G418">
        <v>227</v>
      </c>
      <c r="I418">
        <f t="shared" si="18"/>
        <v>13.8</v>
      </c>
      <c r="J418">
        <f t="shared" si="20"/>
        <v>7.19999999999999</v>
      </c>
      <c r="K418">
        <f t="shared" si="19"/>
        <v>0</v>
      </c>
    </row>
    <row r="419" spans="1:11">
      <c r="A419">
        <v>13.907</v>
      </c>
      <c r="B419">
        <v>-196.6</v>
      </c>
      <c r="C419">
        <v>113.4</v>
      </c>
      <c r="E419">
        <v>13.874</v>
      </c>
      <c r="F419">
        <v>-196.1</v>
      </c>
      <c r="G419">
        <v>97.7</v>
      </c>
      <c r="I419">
        <f t="shared" si="18"/>
        <v>13.85</v>
      </c>
      <c r="J419">
        <f t="shared" si="20"/>
        <v>6.90000000000001</v>
      </c>
      <c r="K419">
        <f t="shared" si="19"/>
        <v>0</v>
      </c>
    </row>
    <row r="420" spans="1:11">
      <c r="A420">
        <v>13.94</v>
      </c>
      <c r="B420">
        <v>-197.6</v>
      </c>
      <c r="C420">
        <v>111.1</v>
      </c>
      <c r="E420">
        <v>13.907</v>
      </c>
      <c r="F420">
        <v>-196.6</v>
      </c>
      <c r="G420">
        <v>113.4</v>
      </c>
      <c r="I420">
        <f t="shared" si="18"/>
        <v>13.9</v>
      </c>
      <c r="J420">
        <f t="shared" si="20"/>
        <v>6.40000000000001</v>
      </c>
      <c r="K420">
        <f t="shared" si="19"/>
        <v>0</v>
      </c>
    </row>
    <row r="421" spans="1:11">
      <c r="A421">
        <v>13.974</v>
      </c>
      <c r="B421">
        <v>-198.5</v>
      </c>
      <c r="C421">
        <v>108.4</v>
      </c>
      <c r="E421">
        <v>13.94</v>
      </c>
      <c r="F421">
        <v>-197.6</v>
      </c>
      <c r="G421">
        <v>111.1</v>
      </c>
      <c r="I421">
        <f t="shared" si="18"/>
        <v>13.9</v>
      </c>
      <c r="J421">
        <f t="shared" si="20"/>
        <v>5.40000000000001</v>
      </c>
      <c r="K421">
        <f t="shared" si="19"/>
        <v>0</v>
      </c>
    </row>
    <row r="422" spans="1:11">
      <c r="A422">
        <v>14.007</v>
      </c>
      <c r="B422">
        <v>-199.5</v>
      </c>
      <c r="C422">
        <v>106.6</v>
      </c>
      <c r="E422">
        <v>13.974</v>
      </c>
      <c r="F422">
        <v>-198.5</v>
      </c>
      <c r="G422">
        <v>108.4</v>
      </c>
      <c r="I422">
        <f t="shared" si="18"/>
        <v>13.95</v>
      </c>
      <c r="J422">
        <f t="shared" si="20"/>
        <v>4.5</v>
      </c>
      <c r="K422">
        <f t="shared" si="19"/>
        <v>0</v>
      </c>
    </row>
    <row r="423" spans="1:11">
      <c r="A423">
        <v>14.041</v>
      </c>
      <c r="B423">
        <v>-200.7</v>
      </c>
      <c r="C423">
        <v>104.9</v>
      </c>
      <c r="E423">
        <v>14.007</v>
      </c>
      <c r="F423">
        <v>-199.5</v>
      </c>
      <c r="G423">
        <v>106.6</v>
      </c>
      <c r="I423">
        <f t="shared" si="18"/>
        <v>14</v>
      </c>
      <c r="J423">
        <f t="shared" si="20"/>
        <v>3.5</v>
      </c>
      <c r="K423">
        <f t="shared" si="19"/>
        <v>0</v>
      </c>
    </row>
    <row r="424" spans="1:11">
      <c r="A424">
        <v>14.074</v>
      </c>
      <c r="B424">
        <v>-201.8</v>
      </c>
      <c r="C424">
        <v>102.4</v>
      </c>
      <c r="E424">
        <v>14.041</v>
      </c>
      <c r="F424">
        <v>-200.7</v>
      </c>
      <c r="G424">
        <v>104.9</v>
      </c>
      <c r="I424">
        <f t="shared" si="18"/>
        <v>14</v>
      </c>
      <c r="J424">
        <f t="shared" si="20"/>
        <v>2.30000000000001</v>
      </c>
      <c r="K424">
        <f t="shared" si="19"/>
        <v>0</v>
      </c>
    </row>
    <row r="425" spans="1:11">
      <c r="A425">
        <v>14.108</v>
      </c>
      <c r="B425">
        <v>-202.6</v>
      </c>
      <c r="C425">
        <v>100.9</v>
      </c>
      <c r="E425">
        <v>14.074</v>
      </c>
      <c r="F425">
        <v>-201.8</v>
      </c>
      <c r="G425">
        <v>102.4</v>
      </c>
      <c r="I425">
        <f t="shared" si="18"/>
        <v>14.05</v>
      </c>
      <c r="J425">
        <f t="shared" si="20"/>
        <v>1.19999999999999</v>
      </c>
      <c r="K425">
        <f t="shared" si="19"/>
        <v>0</v>
      </c>
    </row>
    <row r="426" spans="1:11">
      <c r="A426">
        <v>14.141</v>
      </c>
      <c r="B426">
        <v>-203.6</v>
      </c>
      <c r="C426">
        <v>98.7</v>
      </c>
      <c r="E426">
        <v>14.108</v>
      </c>
      <c r="F426">
        <v>-202.6</v>
      </c>
      <c r="G426">
        <v>100.9</v>
      </c>
      <c r="I426">
        <f t="shared" si="18"/>
        <v>14.1</v>
      </c>
      <c r="J426">
        <f t="shared" si="20"/>
        <v>0.400000000000006</v>
      </c>
      <c r="K426">
        <f t="shared" si="19"/>
        <v>0</v>
      </c>
    </row>
    <row r="427" spans="1:11">
      <c r="A427">
        <v>14.174</v>
      </c>
      <c r="B427">
        <v>-204.3</v>
      </c>
      <c r="C427">
        <v>97</v>
      </c>
      <c r="E427">
        <v>14.141</v>
      </c>
      <c r="F427">
        <v>-203.6</v>
      </c>
      <c r="G427">
        <v>98.7</v>
      </c>
      <c r="I427">
        <f t="shared" si="18"/>
        <v>14.1</v>
      </c>
      <c r="J427">
        <f t="shared" si="20"/>
        <v>-0.599999999999994</v>
      </c>
      <c r="K427">
        <f t="shared" si="19"/>
        <v>0</v>
      </c>
    </row>
    <row r="428" spans="1:11">
      <c r="A428">
        <v>14.208</v>
      </c>
      <c r="B428">
        <v>-206</v>
      </c>
      <c r="C428">
        <v>95.2</v>
      </c>
      <c r="E428">
        <v>14.174</v>
      </c>
      <c r="F428">
        <v>-204.3</v>
      </c>
      <c r="G428">
        <v>97</v>
      </c>
      <c r="I428">
        <f t="shared" si="18"/>
        <v>14.15</v>
      </c>
      <c r="J428">
        <f t="shared" si="20"/>
        <v>-1.30000000000001</v>
      </c>
      <c r="K428">
        <f t="shared" si="19"/>
        <v>0</v>
      </c>
    </row>
    <row r="429" spans="1:11">
      <c r="A429">
        <v>14.241</v>
      </c>
      <c r="B429">
        <v>-207.1</v>
      </c>
      <c r="C429">
        <v>92.2</v>
      </c>
      <c r="E429">
        <v>14.208</v>
      </c>
      <c r="F429">
        <v>-206</v>
      </c>
      <c r="G429">
        <v>95.2</v>
      </c>
      <c r="I429">
        <f t="shared" si="18"/>
        <v>14.2</v>
      </c>
      <c r="J429">
        <f t="shared" si="20"/>
        <v>-3</v>
      </c>
      <c r="K429">
        <f t="shared" si="19"/>
        <v>0</v>
      </c>
    </row>
    <row r="430" spans="1:11">
      <c r="A430">
        <v>14.275</v>
      </c>
      <c r="B430">
        <v>-207.7</v>
      </c>
      <c r="C430">
        <v>90.7</v>
      </c>
      <c r="E430">
        <v>14.241</v>
      </c>
      <c r="F430">
        <v>-207.1</v>
      </c>
      <c r="G430">
        <v>92.2</v>
      </c>
      <c r="I430">
        <f t="shared" si="18"/>
        <v>14.2</v>
      </c>
      <c r="J430">
        <f t="shared" si="20"/>
        <v>-4.09999999999999</v>
      </c>
      <c r="K430">
        <f t="shared" si="19"/>
        <v>0</v>
      </c>
    </row>
    <row r="431" spans="1:11">
      <c r="A431">
        <v>14.308</v>
      </c>
      <c r="B431">
        <v>-208.2</v>
      </c>
      <c r="C431">
        <v>89.1</v>
      </c>
      <c r="E431">
        <v>14.275</v>
      </c>
      <c r="F431">
        <v>-207.7</v>
      </c>
      <c r="G431">
        <v>90.7</v>
      </c>
      <c r="I431">
        <f t="shared" si="18"/>
        <v>14.25</v>
      </c>
      <c r="J431">
        <f t="shared" si="20"/>
        <v>-4.69999999999999</v>
      </c>
      <c r="K431">
        <f t="shared" si="19"/>
        <v>0</v>
      </c>
    </row>
    <row r="432" spans="1:11">
      <c r="A432">
        <v>14.342</v>
      </c>
      <c r="B432">
        <v>-208.7</v>
      </c>
      <c r="C432">
        <v>87</v>
      </c>
      <c r="E432">
        <v>14.308</v>
      </c>
      <c r="F432">
        <v>-208.2</v>
      </c>
      <c r="G432">
        <v>89.1</v>
      </c>
      <c r="I432">
        <f t="shared" si="18"/>
        <v>14.3</v>
      </c>
      <c r="J432">
        <f t="shared" si="20"/>
        <v>-5.19999999999999</v>
      </c>
      <c r="K432">
        <f t="shared" si="19"/>
        <v>0</v>
      </c>
    </row>
    <row r="433" spans="1:11">
      <c r="A433">
        <v>14.375</v>
      </c>
      <c r="B433">
        <v>-209.4</v>
      </c>
      <c r="C433">
        <v>85</v>
      </c>
      <c r="E433">
        <v>14.342</v>
      </c>
      <c r="F433">
        <v>-208.7</v>
      </c>
      <c r="G433">
        <v>87</v>
      </c>
      <c r="I433">
        <f t="shared" si="18"/>
        <v>14.3</v>
      </c>
      <c r="J433">
        <f t="shared" si="20"/>
        <v>-5.69999999999999</v>
      </c>
      <c r="K433">
        <f t="shared" si="19"/>
        <v>0</v>
      </c>
    </row>
    <row r="434" spans="1:11">
      <c r="A434">
        <v>14.408</v>
      </c>
      <c r="B434">
        <v>-209.8</v>
      </c>
      <c r="C434">
        <v>84.9</v>
      </c>
      <c r="E434">
        <v>14.375</v>
      </c>
      <c r="F434">
        <v>-209.4</v>
      </c>
      <c r="G434">
        <v>85</v>
      </c>
      <c r="I434">
        <f t="shared" si="18"/>
        <v>14.35</v>
      </c>
      <c r="J434">
        <f t="shared" si="20"/>
        <v>-6.40000000000001</v>
      </c>
      <c r="K434">
        <f t="shared" si="19"/>
        <v>0</v>
      </c>
    </row>
    <row r="435" spans="1:11">
      <c r="A435">
        <v>14.442</v>
      </c>
      <c r="B435">
        <v>-209.8</v>
      </c>
      <c r="C435">
        <v>82.1</v>
      </c>
      <c r="E435">
        <v>14.408</v>
      </c>
      <c r="F435">
        <v>-209.8</v>
      </c>
      <c r="G435">
        <v>84.9</v>
      </c>
      <c r="I435">
        <f t="shared" si="18"/>
        <v>14.4</v>
      </c>
      <c r="J435">
        <f t="shared" si="20"/>
        <v>-6.80000000000001</v>
      </c>
      <c r="K435">
        <f t="shared" si="19"/>
        <v>0</v>
      </c>
    </row>
    <row r="436" spans="1:11">
      <c r="A436">
        <v>14.475</v>
      </c>
      <c r="B436">
        <v>-209.8</v>
      </c>
      <c r="C436">
        <v>81.1</v>
      </c>
      <c r="E436">
        <v>14.442</v>
      </c>
      <c r="F436">
        <v>-209.8</v>
      </c>
      <c r="G436">
        <v>82.1</v>
      </c>
      <c r="I436">
        <f t="shared" si="18"/>
        <v>14.4</v>
      </c>
      <c r="J436">
        <f t="shared" si="20"/>
        <v>-6.80000000000001</v>
      </c>
      <c r="K436">
        <f t="shared" si="19"/>
        <v>0</v>
      </c>
    </row>
    <row r="437" spans="1:11">
      <c r="A437">
        <v>14.509</v>
      </c>
      <c r="B437">
        <v>-209.8</v>
      </c>
      <c r="C437">
        <v>79.3</v>
      </c>
      <c r="E437">
        <v>14.475</v>
      </c>
      <c r="F437">
        <v>-209.8</v>
      </c>
      <c r="G437">
        <v>81.1</v>
      </c>
      <c r="I437">
        <f t="shared" si="18"/>
        <v>14.45</v>
      </c>
      <c r="J437">
        <f t="shared" si="20"/>
        <v>-6.80000000000001</v>
      </c>
      <c r="K437">
        <f t="shared" si="19"/>
        <v>0</v>
      </c>
    </row>
    <row r="438" spans="1:11">
      <c r="A438">
        <v>14.542</v>
      </c>
      <c r="B438">
        <v>-209.7</v>
      </c>
      <c r="C438">
        <v>78.2</v>
      </c>
      <c r="E438">
        <v>14.509</v>
      </c>
      <c r="F438">
        <v>-209.8</v>
      </c>
      <c r="G438">
        <v>79.3</v>
      </c>
      <c r="I438">
        <f t="shared" si="18"/>
        <v>14.5</v>
      </c>
      <c r="J438">
        <f t="shared" si="20"/>
        <v>-6.80000000000001</v>
      </c>
      <c r="K438">
        <f t="shared" si="19"/>
        <v>0</v>
      </c>
    </row>
    <row r="439" spans="1:11">
      <c r="A439">
        <v>14.576</v>
      </c>
      <c r="B439">
        <v>-209.7</v>
      </c>
      <c r="C439">
        <v>96.9</v>
      </c>
      <c r="E439">
        <v>14.542</v>
      </c>
      <c r="F439">
        <v>-209.7</v>
      </c>
      <c r="G439">
        <v>78.2</v>
      </c>
      <c r="I439">
        <f t="shared" si="18"/>
        <v>14.5</v>
      </c>
      <c r="J439">
        <f t="shared" si="20"/>
        <v>-6.69999999999999</v>
      </c>
      <c r="K439">
        <f t="shared" si="19"/>
        <v>0</v>
      </c>
    </row>
    <row r="440" spans="1:11">
      <c r="A440">
        <v>14.609</v>
      </c>
      <c r="B440">
        <v>-209.6</v>
      </c>
      <c r="C440" s="2">
        <v>236.9</v>
      </c>
      <c r="D440" s="2"/>
      <c r="E440">
        <v>14.576</v>
      </c>
      <c r="F440">
        <v>-209.7</v>
      </c>
      <c r="G440">
        <v>96.9</v>
      </c>
      <c r="I440">
        <f t="shared" si="18"/>
        <v>14.55</v>
      </c>
      <c r="J440">
        <f t="shared" si="20"/>
        <v>-6.69999999999999</v>
      </c>
      <c r="K440">
        <f t="shared" si="19"/>
        <v>0</v>
      </c>
    </row>
    <row r="441" spans="1:11">
      <c r="A441">
        <v>14.642</v>
      </c>
      <c r="B441">
        <v>-209.4</v>
      </c>
      <c r="C441" s="2">
        <v>236.7</v>
      </c>
      <c r="D441" s="2"/>
      <c r="E441">
        <v>14.609</v>
      </c>
      <c r="F441">
        <v>-209.6</v>
      </c>
      <c r="G441" s="2">
        <v>236.9</v>
      </c>
      <c r="I441">
        <f t="shared" si="18"/>
        <v>14.6</v>
      </c>
      <c r="J441">
        <f t="shared" si="20"/>
        <v>-6.59999999999999</v>
      </c>
      <c r="K441">
        <f t="shared" si="19"/>
        <v>5</v>
      </c>
    </row>
    <row r="442" spans="1:11">
      <c r="A442">
        <v>14.676</v>
      </c>
      <c r="B442">
        <v>-209</v>
      </c>
      <c r="C442" s="2">
        <v>236.9</v>
      </c>
      <c r="D442" s="2"/>
      <c r="E442">
        <v>14.642</v>
      </c>
      <c r="F442">
        <v>-209.4</v>
      </c>
      <c r="G442" s="2">
        <v>236.7</v>
      </c>
      <c r="I442">
        <f t="shared" si="18"/>
        <v>14.6</v>
      </c>
      <c r="J442">
        <f t="shared" si="20"/>
        <v>-6.40000000000001</v>
      </c>
      <c r="K442">
        <f t="shared" si="19"/>
        <v>5</v>
      </c>
    </row>
    <row r="443" spans="1:11">
      <c r="A443">
        <v>14.709</v>
      </c>
      <c r="B443">
        <v>-208.1</v>
      </c>
      <c r="C443" s="2">
        <v>237</v>
      </c>
      <c r="D443" s="2"/>
      <c r="E443">
        <v>14.676</v>
      </c>
      <c r="F443">
        <v>-209</v>
      </c>
      <c r="G443" s="2">
        <v>236.9</v>
      </c>
      <c r="I443">
        <f t="shared" si="18"/>
        <v>14.65</v>
      </c>
      <c r="J443">
        <f t="shared" si="20"/>
        <v>-6</v>
      </c>
      <c r="K443">
        <f t="shared" si="19"/>
        <v>5</v>
      </c>
    </row>
    <row r="444" spans="1:11">
      <c r="A444">
        <v>14.743</v>
      </c>
      <c r="B444">
        <v>-207.7</v>
      </c>
      <c r="C444" s="2">
        <v>236.9</v>
      </c>
      <c r="D444" s="2"/>
      <c r="E444">
        <v>14.709</v>
      </c>
      <c r="F444">
        <v>-208.1</v>
      </c>
      <c r="G444" s="2">
        <v>237</v>
      </c>
      <c r="I444">
        <f t="shared" si="18"/>
        <v>14.7</v>
      </c>
      <c r="J444">
        <f t="shared" si="20"/>
        <v>-5.09999999999999</v>
      </c>
      <c r="K444">
        <f t="shared" si="19"/>
        <v>5</v>
      </c>
    </row>
    <row r="445" spans="1:11">
      <c r="A445">
        <v>14.776</v>
      </c>
      <c r="B445">
        <v>-206.7</v>
      </c>
      <c r="C445" s="2">
        <v>236.8</v>
      </c>
      <c r="D445" s="2"/>
      <c r="E445">
        <v>14.743</v>
      </c>
      <c r="F445">
        <v>-207.7</v>
      </c>
      <c r="G445" s="2">
        <v>236.9</v>
      </c>
      <c r="I445">
        <f t="shared" si="18"/>
        <v>14.7</v>
      </c>
      <c r="J445">
        <f t="shared" si="20"/>
        <v>-4.69999999999999</v>
      </c>
      <c r="K445">
        <f t="shared" si="19"/>
        <v>5</v>
      </c>
    </row>
    <row r="446" spans="1:11">
      <c r="A446">
        <v>14.81</v>
      </c>
      <c r="B446">
        <v>-205.8</v>
      </c>
      <c r="C446" s="2">
        <v>236.7</v>
      </c>
      <c r="D446" s="2"/>
      <c r="E446">
        <v>14.776</v>
      </c>
      <c r="F446">
        <v>-206.7</v>
      </c>
      <c r="G446" s="2">
        <v>236.8</v>
      </c>
      <c r="I446">
        <f t="shared" si="18"/>
        <v>14.75</v>
      </c>
      <c r="J446">
        <f t="shared" si="20"/>
        <v>-3.69999999999999</v>
      </c>
      <c r="K446">
        <f t="shared" si="19"/>
        <v>5</v>
      </c>
    </row>
    <row r="447" spans="1:11">
      <c r="A447">
        <v>14.843</v>
      </c>
      <c r="B447">
        <v>-204.2</v>
      </c>
      <c r="C447" s="2">
        <v>237</v>
      </c>
      <c r="D447" s="2"/>
      <c r="E447">
        <v>14.81</v>
      </c>
      <c r="F447">
        <v>-205.8</v>
      </c>
      <c r="G447" s="2">
        <v>236.7</v>
      </c>
      <c r="I447">
        <f t="shared" si="18"/>
        <v>14.8</v>
      </c>
      <c r="J447">
        <f t="shared" si="20"/>
        <v>-2.80000000000001</v>
      </c>
      <c r="K447">
        <f t="shared" si="19"/>
        <v>5</v>
      </c>
    </row>
    <row r="448" spans="1:11">
      <c r="A448">
        <v>14.876</v>
      </c>
      <c r="B448">
        <v>-203.2</v>
      </c>
      <c r="C448" s="2">
        <v>237.1</v>
      </c>
      <c r="D448" s="2"/>
      <c r="E448">
        <v>14.843</v>
      </c>
      <c r="F448">
        <v>-204.2</v>
      </c>
      <c r="G448" s="2">
        <v>237</v>
      </c>
      <c r="I448">
        <f t="shared" si="18"/>
        <v>14.8</v>
      </c>
      <c r="J448">
        <f t="shared" si="20"/>
        <v>-1.19999999999999</v>
      </c>
      <c r="K448">
        <f t="shared" si="19"/>
        <v>5</v>
      </c>
    </row>
    <row r="449" spans="1:11">
      <c r="A449">
        <v>14.91</v>
      </c>
      <c r="B449">
        <v>-202.1</v>
      </c>
      <c r="C449" s="2">
        <v>237.1</v>
      </c>
      <c r="D449" s="2"/>
      <c r="E449">
        <v>14.876</v>
      </c>
      <c r="F449">
        <v>-203.2</v>
      </c>
      <c r="G449" s="2">
        <v>237.1</v>
      </c>
      <c r="I449">
        <f t="shared" si="18"/>
        <v>14.85</v>
      </c>
      <c r="J449">
        <f t="shared" si="20"/>
        <v>-0.199999999999989</v>
      </c>
      <c r="K449">
        <f t="shared" si="19"/>
        <v>5</v>
      </c>
    </row>
    <row r="450" spans="1:11">
      <c r="A450">
        <v>14.943</v>
      </c>
      <c r="B450">
        <v>-201.1</v>
      </c>
      <c r="C450" s="2">
        <v>237</v>
      </c>
      <c r="D450" s="2"/>
      <c r="E450">
        <v>14.91</v>
      </c>
      <c r="F450">
        <v>-202.1</v>
      </c>
      <c r="G450" s="2">
        <v>237.1</v>
      </c>
      <c r="I450">
        <f t="shared" si="18"/>
        <v>14.9</v>
      </c>
      <c r="J450">
        <f t="shared" si="20"/>
        <v>0.900000000000006</v>
      </c>
      <c r="K450">
        <f t="shared" si="19"/>
        <v>5</v>
      </c>
    </row>
    <row r="451" spans="1:11">
      <c r="A451">
        <v>14.977</v>
      </c>
      <c r="B451">
        <v>-200.4</v>
      </c>
      <c r="C451">
        <v>236.9</v>
      </c>
      <c r="E451">
        <v>14.943</v>
      </c>
      <c r="F451">
        <v>-201.1</v>
      </c>
      <c r="G451" s="2">
        <v>237</v>
      </c>
      <c r="I451">
        <f t="shared" si="18"/>
        <v>14.9</v>
      </c>
      <c r="J451">
        <f t="shared" si="20"/>
        <v>1.90000000000001</v>
      </c>
      <c r="K451">
        <f t="shared" si="19"/>
        <v>5</v>
      </c>
    </row>
    <row r="452" spans="1:11">
      <c r="A452">
        <v>15.01</v>
      </c>
      <c r="B452">
        <v>-199.5</v>
      </c>
      <c r="C452">
        <v>237</v>
      </c>
      <c r="E452">
        <v>14.977</v>
      </c>
      <c r="F452">
        <v>-200.4</v>
      </c>
      <c r="G452">
        <v>236.9</v>
      </c>
      <c r="I452">
        <f t="shared" ref="I452:I515" si="21">FLOOR(E452,0.05)</f>
        <v>14.95</v>
      </c>
      <c r="J452">
        <f t="shared" si="20"/>
        <v>2.59999999999999</v>
      </c>
      <c r="K452">
        <f t="shared" ref="K452:K515" si="22">IF(G452&lt;230,0,5)</f>
        <v>5</v>
      </c>
    </row>
    <row r="453" spans="1:11">
      <c r="A453">
        <v>15.044</v>
      </c>
      <c r="B453">
        <v>-198.7</v>
      </c>
      <c r="C453">
        <v>236.7</v>
      </c>
      <c r="E453">
        <v>15.01</v>
      </c>
      <c r="F453">
        <v>-199.5</v>
      </c>
      <c r="G453">
        <v>237</v>
      </c>
      <c r="I453">
        <f t="shared" si="21"/>
        <v>15</v>
      </c>
      <c r="J453">
        <f t="shared" ref="J453:J516" si="23">F453+203</f>
        <v>3.5</v>
      </c>
      <c r="K453">
        <f t="shared" si="22"/>
        <v>5</v>
      </c>
    </row>
    <row r="454" spans="1:11">
      <c r="A454">
        <v>15.077</v>
      </c>
      <c r="B454">
        <v>-197.5</v>
      </c>
      <c r="C454">
        <v>236.7</v>
      </c>
      <c r="E454">
        <v>15.044</v>
      </c>
      <c r="F454">
        <v>-198.7</v>
      </c>
      <c r="G454">
        <v>236.7</v>
      </c>
      <c r="I454">
        <f t="shared" si="21"/>
        <v>15</v>
      </c>
      <c r="J454">
        <f t="shared" si="23"/>
        <v>4.30000000000001</v>
      </c>
      <c r="K454">
        <f t="shared" si="22"/>
        <v>5</v>
      </c>
    </row>
    <row r="455" spans="1:11">
      <c r="A455">
        <v>15.11</v>
      </c>
      <c r="B455">
        <v>-196.9</v>
      </c>
      <c r="C455">
        <v>236.9</v>
      </c>
      <c r="E455">
        <v>15.077</v>
      </c>
      <c r="F455">
        <v>-197.5</v>
      </c>
      <c r="G455">
        <v>236.7</v>
      </c>
      <c r="I455">
        <f t="shared" si="21"/>
        <v>15.05</v>
      </c>
      <c r="J455">
        <f t="shared" si="23"/>
        <v>5.5</v>
      </c>
      <c r="K455">
        <f t="shared" si="22"/>
        <v>5</v>
      </c>
    </row>
    <row r="456" spans="1:11">
      <c r="A456">
        <v>15.144</v>
      </c>
      <c r="B456">
        <v>-196.1</v>
      </c>
      <c r="C456">
        <v>237.1</v>
      </c>
      <c r="E456">
        <v>15.11</v>
      </c>
      <c r="F456">
        <v>-196.9</v>
      </c>
      <c r="G456">
        <v>236.9</v>
      </c>
      <c r="I456">
        <f t="shared" si="21"/>
        <v>15.1</v>
      </c>
      <c r="J456">
        <f t="shared" si="23"/>
        <v>6.09999999999999</v>
      </c>
      <c r="K456">
        <f t="shared" si="22"/>
        <v>5</v>
      </c>
    </row>
    <row r="457" spans="1:11">
      <c r="A457">
        <v>15.177</v>
      </c>
      <c r="B457">
        <v>-195.7</v>
      </c>
      <c r="C457">
        <v>236.9</v>
      </c>
      <c r="E457">
        <v>15.144</v>
      </c>
      <c r="F457">
        <v>-196.1</v>
      </c>
      <c r="G457">
        <v>237.1</v>
      </c>
      <c r="I457">
        <f t="shared" si="21"/>
        <v>15.1</v>
      </c>
      <c r="J457">
        <f t="shared" si="23"/>
        <v>6.90000000000001</v>
      </c>
      <c r="K457">
        <f t="shared" si="22"/>
        <v>5</v>
      </c>
    </row>
    <row r="458" spans="1:11">
      <c r="A458">
        <v>15.211</v>
      </c>
      <c r="B458">
        <v>-195.4</v>
      </c>
      <c r="C458">
        <v>236.8</v>
      </c>
      <c r="E458">
        <v>15.177</v>
      </c>
      <c r="F458">
        <v>-195.7</v>
      </c>
      <c r="G458">
        <v>236.9</v>
      </c>
      <c r="I458">
        <f t="shared" si="21"/>
        <v>15.15</v>
      </c>
      <c r="J458">
        <f t="shared" si="23"/>
        <v>7.30000000000001</v>
      </c>
      <c r="K458">
        <f t="shared" si="22"/>
        <v>5</v>
      </c>
    </row>
    <row r="459" spans="1:11">
      <c r="A459">
        <v>15.244</v>
      </c>
      <c r="B459">
        <v>-195.3</v>
      </c>
      <c r="C459">
        <v>237</v>
      </c>
      <c r="E459">
        <v>15.211</v>
      </c>
      <c r="F459">
        <v>-195.4</v>
      </c>
      <c r="G459">
        <v>236.8</v>
      </c>
      <c r="I459">
        <f t="shared" si="21"/>
        <v>15.2</v>
      </c>
      <c r="J459">
        <f t="shared" si="23"/>
        <v>7.59999999999999</v>
      </c>
      <c r="K459">
        <f t="shared" si="22"/>
        <v>5</v>
      </c>
    </row>
    <row r="460" spans="1:11">
      <c r="A460">
        <v>15.278</v>
      </c>
      <c r="B460">
        <v>-195.5</v>
      </c>
      <c r="C460">
        <v>237.1</v>
      </c>
      <c r="E460">
        <v>15.244</v>
      </c>
      <c r="F460">
        <v>-195.3</v>
      </c>
      <c r="G460">
        <v>237</v>
      </c>
      <c r="I460">
        <f t="shared" si="21"/>
        <v>15.2</v>
      </c>
      <c r="J460">
        <f t="shared" si="23"/>
        <v>7.69999999999999</v>
      </c>
      <c r="K460">
        <f t="shared" si="22"/>
        <v>5</v>
      </c>
    </row>
    <row r="461" spans="1:11">
      <c r="A461">
        <v>15.311</v>
      </c>
      <c r="B461">
        <v>-195.7</v>
      </c>
      <c r="C461">
        <v>237.2</v>
      </c>
      <c r="E461">
        <v>15.278</v>
      </c>
      <c r="F461">
        <v>-195.5</v>
      </c>
      <c r="G461">
        <v>237.1</v>
      </c>
      <c r="I461">
        <f t="shared" si="21"/>
        <v>15.25</v>
      </c>
      <c r="J461">
        <f t="shared" si="23"/>
        <v>7.5</v>
      </c>
      <c r="K461">
        <f t="shared" si="22"/>
        <v>5</v>
      </c>
    </row>
    <row r="462" spans="1:11">
      <c r="A462">
        <v>15.344</v>
      </c>
      <c r="B462">
        <v>-195.9</v>
      </c>
      <c r="C462">
        <v>217.7</v>
      </c>
      <c r="E462">
        <v>15.311</v>
      </c>
      <c r="F462">
        <v>-195.7</v>
      </c>
      <c r="G462">
        <v>237.2</v>
      </c>
      <c r="I462">
        <f t="shared" si="21"/>
        <v>15.3</v>
      </c>
      <c r="J462">
        <f t="shared" si="23"/>
        <v>7.30000000000001</v>
      </c>
      <c r="K462">
        <f t="shared" si="22"/>
        <v>5</v>
      </c>
    </row>
    <row r="463" spans="1:11">
      <c r="A463">
        <v>15.378</v>
      </c>
      <c r="B463">
        <v>-196.2</v>
      </c>
      <c r="C463">
        <v>99.3</v>
      </c>
      <c r="E463">
        <v>15.344</v>
      </c>
      <c r="F463">
        <v>-195.9</v>
      </c>
      <c r="G463">
        <v>217.7</v>
      </c>
      <c r="I463">
        <f t="shared" si="21"/>
        <v>15.3</v>
      </c>
      <c r="J463">
        <f t="shared" si="23"/>
        <v>7.09999999999999</v>
      </c>
      <c r="K463">
        <f t="shared" si="22"/>
        <v>0</v>
      </c>
    </row>
    <row r="464" spans="1:11">
      <c r="A464">
        <v>15.411</v>
      </c>
      <c r="B464">
        <v>-196.7</v>
      </c>
      <c r="C464">
        <v>113.9</v>
      </c>
      <c r="E464">
        <v>15.378</v>
      </c>
      <c r="F464">
        <v>-196.2</v>
      </c>
      <c r="G464">
        <v>99.3</v>
      </c>
      <c r="I464">
        <f t="shared" si="21"/>
        <v>15.35</v>
      </c>
      <c r="J464">
        <f t="shared" si="23"/>
        <v>6.80000000000001</v>
      </c>
      <c r="K464">
        <f t="shared" si="22"/>
        <v>0</v>
      </c>
    </row>
    <row r="465" spans="1:11">
      <c r="A465">
        <v>15.445</v>
      </c>
      <c r="B465">
        <v>-197.7</v>
      </c>
      <c r="C465">
        <v>111.8</v>
      </c>
      <c r="E465">
        <v>15.411</v>
      </c>
      <c r="F465">
        <v>-196.7</v>
      </c>
      <c r="G465">
        <v>113.9</v>
      </c>
      <c r="I465">
        <f t="shared" si="21"/>
        <v>15.4</v>
      </c>
      <c r="J465">
        <f t="shared" si="23"/>
        <v>6.30000000000001</v>
      </c>
      <c r="K465">
        <f t="shared" si="22"/>
        <v>0</v>
      </c>
    </row>
    <row r="466" spans="1:11">
      <c r="A466">
        <v>15.478</v>
      </c>
      <c r="B466">
        <v>-198.6</v>
      </c>
      <c r="C466">
        <v>109.2</v>
      </c>
      <c r="E466">
        <v>15.445</v>
      </c>
      <c r="F466">
        <v>-197.7</v>
      </c>
      <c r="G466">
        <v>111.8</v>
      </c>
      <c r="I466">
        <f t="shared" si="21"/>
        <v>15.4</v>
      </c>
      <c r="J466">
        <f t="shared" si="23"/>
        <v>5.30000000000001</v>
      </c>
      <c r="K466">
        <f t="shared" si="22"/>
        <v>0</v>
      </c>
    </row>
    <row r="467" spans="1:11">
      <c r="A467">
        <v>15.512</v>
      </c>
      <c r="B467">
        <v>-200</v>
      </c>
      <c r="C467">
        <v>106.6</v>
      </c>
      <c r="E467">
        <v>15.478</v>
      </c>
      <c r="F467">
        <v>-198.6</v>
      </c>
      <c r="G467">
        <v>109.2</v>
      </c>
      <c r="I467">
        <f t="shared" si="21"/>
        <v>15.45</v>
      </c>
      <c r="J467">
        <f t="shared" si="23"/>
        <v>4.40000000000001</v>
      </c>
      <c r="K467">
        <f t="shared" si="22"/>
        <v>0</v>
      </c>
    </row>
    <row r="468" spans="1:11">
      <c r="A468">
        <v>15.545</v>
      </c>
      <c r="B468">
        <v>-200.9</v>
      </c>
      <c r="C468">
        <v>104.1</v>
      </c>
      <c r="E468">
        <v>15.512</v>
      </c>
      <c r="F468">
        <v>-200</v>
      </c>
      <c r="G468">
        <v>106.6</v>
      </c>
      <c r="I468">
        <f t="shared" si="21"/>
        <v>15.5</v>
      </c>
      <c r="J468">
        <f t="shared" si="23"/>
        <v>3</v>
      </c>
      <c r="K468">
        <f t="shared" si="22"/>
        <v>0</v>
      </c>
    </row>
    <row r="469" spans="1:11">
      <c r="A469">
        <v>15.578</v>
      </c>
      <c r="B469">
        <v>-201.9</v>
      </c>
      <c r="C469">
        <v>102.7</v>
      </c>
      <c r="E469">
        <v>15.545</v>
      </c>
      <c r="F469">
        <v>-200.9</v>
      </c>
      <c r="G469">
        <v>104.1</v>
      </c>
      <c r="I469">
        <f t="shared" si="21"/>
        <v>15.5</v>
      </c>
      <c r="J469">
        <f t="shared" si="23"/>
        <v>2.09999999999999</v>
      </c>
      <c r="K469">
        <f t="shared" si="22"/>
        <v>0</v>
      </c>
    </row>
    <row r="470" spans="1:11">
      <c r="A470">
        <v>15.612</v>
      </c>
      <c r="B470">
        <v>-202.6</v>
      </c>
      <c r="C470">
        <v>100</v>
      </c>
      <c r="E470">
        <v>15.578</v>
      </c>
      <c r="F470">
        <v>-201.9</v>
      </c>
      <c r="G470">
        <v>102.7</v>
      </c>
      <c r="I470">
        <f t="shared" si="21"/>
        <v>15.55</v>
      </c>
      <c r="J470">
        <f t="shared" si="23"/>
        <v>1.09999999999999</v>
      </c>
      <c r="K470">
        <f t="shared" si="22"/>
        <v>0</v>
      </c>
    </row>
    <row r="471" spans="1:11">
      <c r="A471">
        <v>15.645</v>
      </c>
      <c r="B471">
        <v>-203.6</v>
      </c>
      <c r="C471">
        <v>98.8</v>
      </c>
      <c r="E471">
        <v>15.612</v>
      </c>
      <c r="F471">
        <v>-202.6</v>
      </c>
      <c r="G471">
        <v>100</v>
      </c>
      <c r="I471">
        <f t="shared" si="21"/>
        <v>15.6</v>
      </c>
      <c r="J471">
        <f t="shared" si="23"/>
        <v>0.400000000000006</v>
      </c>
      <c r="K471">
        <f t="shared" si="22"/>
        <v>0</v>
      </c>
    </row>
    <row r="472" spans="1:11">
      <c r="A472">
        <v>15.679</v>
      </c>
      <c r="B472">
        <v>-204.8</v>
      </c>
      <c r="C472">
        <v>96.8</v>
      </c>
      <c r="E472">
        <v>15.645</v>
      </c>
      <c r="F472">
        <v>-203.6</v>
      </c>
      <c r="G472">
        <v>98.8</v>
      </c>
      <c r="I472">
        <f t="shared" si="21"/>
        <v>15.6</v>
      </c>
      <c r="J472">
        <f t="shared" si="23"/>
        <v>-0.599999999999994</v>
      </c>
      <c r="K472">
        <f t="shared" si="22"/>
        <v>0</v>
      </c>
    </row>
    <row r="473" spans="1:11">
      <c r="A473">
        <v>15.712</v>
      </c>
      <c r="B473">
        <v>-206.9</v>
      </c>
      <c r="C473">
        <v>95.1</v>
      </c>
      <c r="E473">
        <v>15.679</v>
      </c>
      <c r="F473">
        <v>-204.8</v>
      </c>
      <c r="G473">
        <v>96.8</v>
      </c>
      <c r="I473">
        <f t="shared" si="21"/>
        <v>15.65</v>
      </c>
      <c r="J473">
        <f t="shared" si="23"/>
        <v>-1.80000000000001</v>
      </c>
      <c r="K473">
        <f t="shared" si="22"/>
        <v>0</v>
      </c>
    </row>
    <row r="474" spans="1:11">
      <c r="A474">
        <v>15.746</v>
      </c>
      <c r="B474">
        <v>-207.9</v>
      </c>
      <c r="C474">
        <v>94.5</v>
      </c>
      <c r="E474">
        <v>15.712</v>
      </c>
      <c r="F474">
        <v>-206.9</v>
      </c>
      <c r="G474">
        <v>95.1</v>
      </c>
      <c r="I474">
        <f t="shared" si="21"/>
        <v>15.7</v>
      </c>
      <c r="J474">
        <f t="shared" si="23"/>
        <v>-3.90000000000001</v>
      </c>
      <c r="K474">
        <f t="shared" si="22"/>
        <v>0</v>
      </c>
    </row>
    <row r="475" spans="1:11">
      <c r="A475">
        <v>15.779</v>
      </c>
      <c r="B475">
        <v>-208.5</v>
      </c>
      <c r="C475">
        <v>89.7</v>
      </c>
      <c r="E475">
        <v>15.746</v>
      </c>
      <c r="F475">
        <v>-207.9</v>
      </c>
      <c r="G475">
        <v>94.5</v>
      </c>
      <c r="I475">
        <f t="shared" si="21"/>
        <v>15.7</v>
      </c>
      <c r="J475">
        <f t="shared" si="23"/>
        <v>-4.90000000000001</v>
      </c>
      <c r="K475">
        <f t="shared" si="22"/>
        <v>0</v>
      </c>
    </row>
    <row r="476" spans="1:11">
      <c r="A476">
        <v>15.812</v>
      </c>
      <c r="B476">
        <v>-209.7</v>
      </c>
      <c r="C476">
        <v>88.8</v>
      </c>
      <c r="E476">
        <v>15.779</v>
      </c>
      <c r="F476">
        <v>-208.5</v>
      </c>
      <c r="G476">
        <v>89.7</v>
      </c>
      <c r="I476">
        <f t="shared" si="21"/>
        <v>15.75</v>
      </c>
      <c r="J476">
        <f t="shared" si="23"/>
        <v>-5.5</v>
      </c>
      <c r="K476">
        <f t="shared" si="22"/>
        <v>0</v>
      </c>
    </row>
    <row r="477" spans="1:11">
      <c r="A477">
        <v>15.846</v>
      </c>
      <c r="B477">
        <v>-210.3</v>
      </c>
      <c r="C477">
        <v>87.7</v>
      </c>
      <c r="E477">
        <v>15.812</v>
      </c>
      <c r="F477">
        <v>-209.7</v>
      </c>
      <c r="G477">
        <v>88.8</v>
      </c>
      <c r="I477">
        <f t="shared" si="21"/>
        <v>15.8</v>
      </c>
      <c r="J477">
        <f t="shared" si="23"/>
        <v>-6.69999999999999</v>
      </c>
      <c r="K477">
        <f t="shared" si="22"/>
        <v>0</v>
      </c>
    </row>
    <row r="478" spans="1:11">
      <c r="A478">
        <v>15.879</v>
      </c>
      <c r="B478">
        <v>-210.9</v>
      </c>
      <c r="C478">
        <v>85.5</v>
      </c>
      <c r="E478">
        <v>15.846</v>
      </c>
      <c r="F478">
        <v>-210.3</v>
      </c>
      <c r="G478">
        <v>87.7</v>
      </c>
      <c r="I478">
        <f t="shared" si="21"/>
        <v>15.8</v>
      </c>
      <c r="J478">
        <f t="shared" si="23"/>
        <v>-7.30000000000001</v>
      </c>
      <c r="K478">
        <f t="shared" si="22"/>
        <v>0</v>
      </c>
    </row>
    <row r="479" spans="1:11">
      <c r="A479">
        <v>15.913</v>
      </c>
      <c r="B479">
        <v>-211.1</v>
      </c>
      <c r="C479">
        <v>85.4</v>
      </c>
      <c r="E479">
        <v>15.879</v>
      </c>
      <c r="F479">
        <v>-210.9</v>
      </c>
      <c r="G479">
        <v>85.5</v>
      </c>
      <c r="I479">
        <f t="shared" si="21"/>
        <v>15.85</v>
      </c>
      <c r="J479">
        <f t="shared" si="23"/>
        <v>-7.90000000000001</v>
      </c>
      <c r="K479">
        <f t="shared" si="22"/>
        <v>0</v>
      </c>
    </row>
    <row r="480" spans="1:11">
      <c r="A480">
        <v>15.946</v>
      </c>
      <c r="B480">
        <v>-211.2</v>
      </c>
      <c r="C480">
        <v>83.3</v>
      </c>
      <c r="E480">
        <v>15.913</v>
      </c>
      <c r="F480">
        <v>-211.1</v>
      </c>
      <c r="G480">
        <v>85.4</v>
      </c>
      <c r="I480">
        <f t="shared" si="21"/>
        <v>15.9</v>
      </c>
      <c r="J480">
        <f t="shared" si="23"/>
        <v>-8.09999999999999</v>
      </c>
      <c r="K480">
        <f t="shared" si="22"/>
        <v>0</v>
      </c>
    </row>
    <row r="481" spans="1:11">
      <c r="A481">
        <v>15.98</v>
      </c>
      <c r="B481">
        <v>-211.1</v>
      </c>
      <c r="C481">
        <v>81.7</v>
      </c>
      <c r="E481">
        <v>15.946</v>
      </c>
      <c r="F481">
        <v>-211.2</v>
      </c>
      <c r="G481">
        <v>83.3</v>
      </c>
      <c r="I481">
        <f t="shared" si="21"/>
        <v>15.9</v>
      </c>
      <c r="J481">
        <f t="shared" si="23"/>
        <v>-8.19999999999999</v>
      </c>
      <c r="K481">
        <f t="shared" si="22"/>
        <v>0</v>
      </c>
    </row>
    <row r="482" spans="1:11">
      <c r="A482">
        <v>16.013</v>
      </c>
      <c r="B482">
        <v>-211.1</v>
      </c>
      <c r="C482">
        <v>80.1</v>
      </c>
      <c r="E482">
        <v>15.98</v>
      </c>
      <c r="F482">
        <v>-211.1</v>
      </c>
      <c r="G482">
        <v>81.7</v>
      </c>
      <c r="I482">
        <f t="shared" si="21"/>
        <v>15.95</v>
      </c>
      <c r="J482">
        <f t="shared" si="23"/>
        <v>-8.09999999999999</v>
      </c>
      <c r="K482">
        <f t="shared" si="22"/>
        <v>0</v>
      </c>
    </row>
    <row r="483" spans="1:11">
      <c r="A483">
        <v>16.047</v>
      </c>
      <c r="B483">
        <v>-210.8</v>
      </c>
      <c r="C483">
        <v>77.7</v>
      </c>
      <c r="E483">
        <v>16.013</v>
      </c>
      <c r="F483">
        <v>-211.1</v>
      </c>
      <c r="G483">
        <v>80.1</v>
      </c>
      <c r="I483">
        <f t="shared" si="21"/>
        <v>16</v>
      </c>
      <c r="J483">
        <f t="shared" si="23"/>
        <v>-8.09999999999999</v>
      </c>
      <c r="K483">
        <f t="shared" si="22"/>
        <v>0</v>
      </c>
    </row>
    <row r="484" spans="1:11">
      <c r="A484">
        <v>16.08</v>
      </c>
      <c r="B484">
        <v>-210.7</v>
      </c>
      <c r="C484">
        <v>169</v>
      </c>
      <c r="E484">
        <v>16.047</v>
      </c>
      <c r="F484">
        <v>-210.8</v>
      </c>
      <c r="G484">
        <v>77.7</v>
      </c>
      <c r="I484">
        <f t="shared" si="21"/>
        <v>16</v>
      </c>
      <c r="J484">
        <f t="shared" si="23"/>
        <v>-7.80000000000001</v>
      </c>
      <c r="K484">
        <f t="shared" si="22"/>
        <v>0</v>
      </c>
    </row>
    <row r="485" spans="1:11">
      <c r="A485">
        <v>16.113</v>
      </c>
      <c r="B485">
        <v>-210.5</v>
      </c>
      <c r="C485">
        <v>237</v>
      </c>
      <c r="E485">
        <v>16.08</v>
      </c>
      <c r="F485">
        <v>-210.7</v>
      </c>
      <c r="G485">
        <v>169</v>
      </c>
      <c r="I485">
        <f t="shared" si="21"/>
        <v>16.05</v>
      </c>
      <c r="J485">
        <f t="shared" si="23"/>
        <v>-7.69999999999999</v>
      </c>
      <c r="K485">
        <f t="shared" si="22"/>
        <v>0</v>
      </c>
    </row>
    <row r="486" spans="1:11">
      <c r="A486">
        <v>16.147</v>
      </c>
      <c r="B486">
        <v>-210.4</v>
      </c>
      <c r="C486">
        <v>237</v>
      </c>
      <c r="E486">
        <v>16.113</v>
      </c>
      <c r="F486">
        <v>-210.5</v>
      </c>
      <c r="G486">
        <v>237</v>
      </c>
      <c r="I486">
        <f t="shared" si="21"/>
        <v>16.1</v>
      </c>
      <c r="J486">
        <f t="shared" si="23"/>
        <v>-7.5</v>
      </c>
      <c r="K486">
        <f t="shared" si="22"/>
        <v>5</v>
      </c>
    </row>
    <row r="487" spans="1:11">
      <c r="A487">
        <v>16.18</v>
      </c>
      <c r="B487">
        <v>-209.8</v>
      </c>
      <c r="C487">
        <v>237</v>
      </c>
      <c r="E487">
        <v>16.147</v>
      </c>
      <c r="F487">
        <v>-210.4</v>
      </c>
      <c r="G487">
        <v>237</v>
      </c>
      <c r="I487">
        <f t="shared" si="21"/>
        <v>16.1</v>
      </c>
      <c r="J487">
        <f t="shared" si="23"/>
        <v>-7.40000000000001</v>
      </c>
      <c r="K487">
        <f t="shared" si="22"/>
        <v>5</v>
      </c>
    </row>
    <row r="488" spans="1:11">
      <c r="A488">
        <v>16.214</v>
      </c>
      <c r="B488">
        <v>-208.8</v>
      </c>
      <c r="C488" s="2">
        <v>237</v>
      </c>
      <c r="D488" s="2"/>
      <c r="E488">
        <v>16.18</v>
      </c>
      <c r="F488">
        <v>-209.8</v>
      </c>
      <c r="G488">
        <v>237</v>
      </c>
      <c r="I488">
        <f t="shared" si="21"/>
        <v>16.15</v>
      </c>
      <c r="J488">
        <f t="shared" si="23"/>
        <v>-6.80000000000001</v>
      </c>
      <c r="K488">
        <f t="shared" si="22"/>
        <v>5</v>
      </c>
    </row>
    <row r="489" spans="1:11">
      <c r="A489">
        <v>16.247</v>
      </c>
      <c r="B489">
        <v>-208.2</v>
      </c>
      <c r="C489">
        <v>237</v>
      </c>
      <c r="E489">
        <v>16.214</v>
      </c>
      <c r="F489">
        <v>-208.8</v>
      </c>
      <c r="G489" s="2">
        <v>237</v>
      </c>
      <c r="I489">
        <f t="shared" si="21"/>
        <v>16.2</v>
      </c>
      <c r="J489">
        <f t="shared" si="23"/>
        <v>-5.80000000000001</v>
      </c>
      <c r="K489">
        <f t="shared" si="22"/>
        <v>5</v>
      </c>
    </row>
    <row r="490" spans="1:11">
      <c r="A490">
        <v>16.281</v>
      </c>
      <c r="B490">
        <v>-207.1</v>
      </c>
      <c r="C490">
        <v>237</v>
      </c>
      <c r="E490">
        <v>16.247</v>
      </c>
      <c r="F490">
        <v>-208.2</v>
      </c>
      <c r="G490">
        <v>237</v>
      </c>
      <c r="I490">
        <f t="shared" si="21"/>
        <v>16.2</v>
      </c>
      <c r="J490">
        <f t="shared" si="23"/>
        <v>-5.19999999999999</v>
      </c>
      <c r="K490">
        <f t="shared" si="22"/>
        <v>5</v>
      </c>
    </row>
    <row r="491" spans="1:11">
      <c r="A491">
        <v>16.314</v>
      </c>
      <c r="B491">
        <v>-205.6</v>
      </c>
      <c r="C491">
        <v>237.1</v>
      </c>
      <c r="E491">
        <v>16.281</v>
      </c>
      <c r="F491">
        <v>-207.1</v>
      </c>
      <c r="G491">
        <v>237</v>
      </c>
      <c r="I491">
        <f t="shared" si="21"/>
        <v>16.25</v>
      </c>
      <c r="J491">
        <f t="shared" si="23"/>
        <v>-4.09999999999999</v>
      </c>
      <c r="K491">
        <f t="shared" si="22"/>
        <v>5</v>
      </c>
    </row>
    <row r="492" spans="1:11">
      <c r="A492">
        <v>16.347</v>
      </c>
      <c r="B492">
        <v>-204.2</v>
      </c>
      <c r="C492">
        <v>237</v>
      </c>
      <c r="E492">
        <v>16.314</v>
      </c>
      <c r="F492">
        <v>-205.6</v>
      </c>
      <c r="G492">
        <v>237.1</v>
      </c>
      <c r="I492">
        <f t="shared" si="21"/>
        <v>16.3</v>
      </c>
      <c r="J492">
        <f t="shared" si="23"/>
        <v>-2.59999999999999</v>
      </c>
      <c r="K492">
        <f t="shared" si="22"/>
        <v>5</v>
      </c>
    </row>
    <row r="493" spans="1:11">
      <c r="A493">
        <v>16.381</v>
      </c>
      <c r="B493">
        <v>-203.3</v>
      </c>
      <c r="C493">
        <v>237</v>
      </c>
      <c r="E493">
        <v>16.347</v>
      </c>
      <c r="F493">
        <v>-204.2</v>
      </c>
      <c r="G493">
        <v>237</v>
      </c>
      <c r="I493">
        <f t="shared" si="21"/>
        <v>16.3</v>
      </c>
      <c r="J493">
        <f t="shared" si="23"/>
        <v>-1.19999999999999</v>
      </c>
      <c r="K493">
        <f t="shared" si="22"/>
        <v>5</v>
      </c>
    </row>
    <row r="494" spans="1:11">
      <c r="A494">
        <v>16.414</v>
      </c>
      <c r="B494">
        <v>-202.5</v>
      </c>
      <c r="C494">
        <v>237</v>
      </c>
      <c r="E494">
        <v>16.381</v>
      </c>
      <c r="F494">
        <v>-203.3</v>
      </c>
      <c r="G494">
        <v>237</v>
      </c>
      <c r="I494">
        <f t="shared" si="21"/>
        <v>16.35</v>
      </c>
      <c r="J494">
        <f t="shared" si="23"/>
        <v>-0.300000000000011</v>
      </c>
      <c r="K494">
        <f t="shared" si="22"/>
        <v>5</v>
      </c>
    </row>
    <row r="495" spans="1:11">
      <c r="A495">
        <v>16.448</v>
      </c>
      <c r="B495">
        <v>-201.5</v>
      </c>
      <c r="C495">
        <v>237.1</v>
      </c>
      <c r="E495">
        <v>16.414</v>
      </c>
      <c r="F495">
        <v>-202.5</v>
      </c>
      <c r="G495">
        <v>237</v>
      </c>
      <c r="I495">
        <f t="shared" si="21"/>
        <v>16.4</v>
      </c>
      <c r="J495">
        <f t="shared" si="23"/>
        <v>0.5</v>
      </c>
      <c r="K495">
        <f t="shared" si="22"/>
        <v>5</v>
      </c>
    </row>
    <row r="496" spans="1:11">
      <c r="A496">
        <v>16.481</v>
      </c>
      <c r="B496">
        <v>-200.6</v>
      </c>
      <c r="C496">
        <v>236.9</v>
      </c>
      <c r="E496">
        <v>16.448</v>
      </c>
      <c r="F496">
        <v>-201.5</v>
      </c>
      <c r="G496">
        <v>237.1</v>
      </c>
      <c r="I496">
        <f t="shared" si="21"/>
        <v>16.4</v>
      </c>
      <c r="J496">
        <f t="shared" si="23"/>
        <v>1.5</v>
      </c>
      <c r="K496">
        <f t="shared" si="22"/>
        <v>5</v>
      </c>
    </row>
    <row r="497" spans="1:11">
      <c r="A497">
        <v>16.515</v>
      </c>
      <c r="B497">
        <v>-199.4</v>
      </c>
      <c r="C497">
        <v>236.9</v>
      </c>
      <c r="E497">
        <v>16.481</v>
      </c>
      <c r="F497">
        <v>-200.6</v>
      </c>
      <c r="G497">
        <v>236.9</v>
      </c>
      <c r="I497">
        <f t="shared" si="21"/>
        <v>16.45</v>
      </c>
      <c r="J497">
        <f t="shared" si="23"/>
        <v>2.40000000000001</v>
      </c>
      <c r="K497">
        <f t="shared" si="22"/>
        <v>5</v>
      </c>
    </row>
    <row r="498" spans="1:11">
      <c r="A498">
        <v>16.548</v>
      </c>
      <c r="B498">
        <v>-198.5</v>
      </c>
      <c r="C498">
        <v>236.7</v>
      </c>
      <c r="E498">
        <v>16.515</v>
      </c>
      <c r="F498">
        <v>-199.4</v>
      </c>
      <c r="G498">
        <v>236.9</v>
      </c>
      <c r="I498">
        <f t="shared" si="21"/>
        <v>16.5</v>
      </c>
      <c r="J498">
        <f t="shared" si="23"/>
        <v>3.59999999999999</v>
      </c>
      <c r="K498">
        <f t="shared" si="22"/>
        <v>5</v>
      </c>
    </row>
    <row r="499" spans="1:11">
      <c r="A499">
        <v>16.581</v>
      </c>
      <c r="B499">
        <v>-197.8</v>
      </c>
      <c r="C499">
        <v>236.8</v>
      </c>
      <c r="E499">
        <v>16.548</v>
      </c>
      <c r="F499">
        <v>-198.5</v>
      </c>
      <c r="G499">
        <v>236.7</v>
      </c>
      <c r="I499">
        <f t="shared" si="21"/>
        <v>16.5</v>
      </c>
      <c r="J499">
        <f t="shared" si="23"/>
        <v>4.5</v>
      </c>
      <c r="K499">
        <f t="shared" si="22"/>
        <v>5</v>
      </c>
    </row>
    <row r="500" spans="1:11">
      <c r="A500">
        <v>16.615</v>
      </c>
      <c r="B500">
        <v>-196.3</v>
      </c>
      <c r="C500">
        <v>236.9</v>
      </c>
      <c r="E500">
        <v>16.581</v>
      </c>
      <c r="F500">
        <v>-197.8</v>
      </c>
      <c r="G500">
        <v>236.8</v>
      </c>
      <c r="I500">
        <f t="shared" si="21"/>
        <v>16.55</v>
      </c>
      <c r="J500">
        <f t="shared" si="23"/>
        <v>5.19999999999999</v>
      </c>
      <c r="K500">
        <f t="shared" si="22"/>
        <v>5</v>
      </c>
    </row>
    <row r="501" spans="1:11">
      <c r="A501">
        <v>16.648</v>
      </c>
      <c r="B501">
        <v>-195.7</v>
      </c>
      <c r="C501">
        <v>236.9</v>
      </c>
      <c r="E501">
        <v>16.615</v>
      </c>
      <c r="F501">
        <v>-196.3</v>
      </c>
      <c r="G501">
        <v>236.9</v>
      </c>
      <c r="I501">
        <f t="shared" si="21"/>
        <v>16.6</v>
      </c>
      <c r="J501">
        <f t="shared" si="23"/>
        <v>6.69999999999999</v>
      </c>
      <c r="K501">
        <f t="shared" si="22"/>
        <v>5</v>
      </c>
    </row>
    <row r="502" spans="1:11">
      <c r="A502">
        <v>16.682</v>
      </c>
      <c r="B502">
        <v>-195.2</v>
      </c>
      <c r="C502">
        <v>237</v>
      </c>
      <c r="E502">
        <v>16.648</v>
      </c>
      <c r="F502">
        <v>-195.7</v>
      </c>
      <c r="G502">
        <v>236.9</v>
      </c>
      <c r="I502">
        <f t="shared" si="21"/>
        <v>16.6</v>
      </c>
      <c r="J502">
        <f t="shared" si="23"/>
        <v>7.30000000000001</v>
      </c>
      <c r="K502">
        <f t="shared" si="22"/>
        <v>5</v>
      </c>
    </row>
    <row r="503" spans="1:11">
      <c r="A503">
        <v>16.715</v>
      </c>
      <c r="B503">
        <v>-194.8</v>
      </c>
      <c r="C503">
        <v>236.8</v>
      </c>
      <c r="E503">
        <v>16.682</v>
      </c>
      <c r="F503">
        <v>-195.2</v>
      </c>
      <c r="G503">
        <v>237</v>
      </c>
      <c r="I503">
        <f t="shared" si="21"/>
        <v>16.65</v>
      </c>
      <c r="J503">
        <f t="shared" si="23"/>
        <v>7.80000000000001</v>
      </c>
      <c r="K503">
        <f t="shared" si="22"/>
        <v>5</v>
      </c>
    </row>
    <row r="504" spans="1:11">
      <c r="A504">
        <v>16.749</v>
      </c>
      <c r="B504">
        <v>-194.6</v>
      </c>
      <c r="C504">
        <v>236.7</v>
      </c>
      <c r="E504">
        <v>16.715</v>
      </c>
      <c r="F504">
        <v>-194.8</v>
      </c>
      <c r="G504">
        <v>236.8</v>
      </c>
      <c r="I504">
        <f t="shared" si="21"/>
        <v>16.7</v>
      </c>
      <c r="J504">
        <f t="shared" si="23"/>
        <v>8.19999999999999</v>
      </c>
      <c r="K504">
        <f t="shared" si="22"/>
        <v>5</v>
      </c>
    </row>
    <row r="505" spans="1:11">
      <c r="A505">
        <v>16.782</v>
      </c>
      <c r="B505">
        <v>-194.7</v>
      </c>
      <c r="C505">
        <v>236.8</v>
      </c>
      <c r="E505">
        <v>16.749</v>
      </c>
      <c r="F505">
        <v>-194.6</v>
      </c>
      <c r="G505">
        <v>236.7</v>
      </c>
      <c r="I505">
        <f t="shared" si="21"/>
        <v>16.7</v>
      </c>
      <c r="J505">
        <f t="shared" si="23"/>
        <v>8.40000000000001</v>
      </c>
      <c r="K505">
        <f t="shared" si="22"/>
        <v>5</v>
      </c>
    </row>
    <row r="506" spans="1:11">
      <c r="A506">
        <v>16.815</v>
      </c>
      <c r="B506">
        <v>-194.8</v>
      </c>
      <c r="C506">
        <v>236.9</v>
      </c>
      <c r="E506">
        <v>16.782</v>
      </c>
      <c r="F506">
        <v>-194.7</v>
      </c>
      <c r="G506">
        <v>236.8</v>
      </c>
      <c r="I506">
        <f t="shared" si="21"/>
        <v>16.75</v>
      </c>
      <c r="J506">
        <f t="shared" si="23"/>
        <v>8.30000000000001</v>
      </c>
      <c r="K506">
        <f t="shared" si="22"/>
        <v>5</v>
      </c>
    </row>
    <row r="507" spans="1:11">
      <c r="A507">
        <v>16.849</v>
      </c>
      <c r="B507">
        <v>-195.1</v>
      </c>
      <c r="C507">
        <v>200.3</v>
      </c>
      <c r="E507">
        <v>16.815</v>
      </c>
      <c r="F507">
        <v>-194.8</v>
      </c>
      <c r="G507">
        <v>236.9</v>
      </c>
      <c r="I507">
        <f t="shared" si="21"/>
        <v>16.8</v>
      </c>
      <c r="J507">
        <f t="shared" si="23"/>
        <v>8.19999999999999</v>
      </c>
      <c r="K507">
        <f t="shared" si="22"/>
        <v>5</v>
      </c>
    </row>
    <row r="508" spans="1:11">
      <c r="A508">
        <v>16.882</v>
      </c>
      <c r="B508">
        <v>-195.5</v>
      </c>
      <c r="C508">
        <v>101.8</v>
      </c>
      <c r="E508">
        <v>16.849</v>
      </c>
      <c r="F508">
        <v>-195.1</v>
      </c>
      <c r="G508">
        <v>200.3</v>
      </c>
      <c r="I508">
        <f t="shared" si="21"/>
        <v>16.8</v>
      </c>
      <c r="J508">
        <f t="shared" si="23"/>
        <v>7.90000000000001</v>
      </c>
      <c r="K508">
        <f t="shared" si="22"/>
        <v>0</v>
      </c>
    </row>
    <row r="509" spans="1:11">
      <c r="A509">
        <v>16.916</v>
      </c>
      <c r="B509">
        <v>-196.2</v>
      </c>
      <c r="C509">
        <v>113</v>
      </c>
      <c r="E509">
        <v>16.882</v>
      </c>
      <c r="F509">
        <v>-195.5</v>
      </c>
      <c r="G509">
        <v>101.8</v>
      </c>
      <c r="I509">
        <f t="shared" si="21"/>
        <v>16.85</v>
      </c>
      <c r="J509">
        <f t="shared" si="23"/>
        <v>7.5</v>
      </c>
      <c r="K509">
        <f t="shared" si="22"/>
        <v>0</v>
      </c>
    </row>
    <row r="510" spans="1:11">
      <c r="A510">
        <v>16.949</v>
      </c>
      <c r="B510">
        <v>-197.2</v>
      </c>
      <c r="C510">
        <v>111.4</v>
      </c>
      <c r="E510">
        <v>16.916</v>
      </c>
      <c r="F510">
        <v>-196.2</v>
      </c>
      <c r="G510">
        <v>113</v>
      </c>
      <c r="I510">
        <f t="shared" si="21"/>
        <v>16.9</v>
      </c>
      <c r="J510">
        <f t="shared" si="23"/>
        <v>6.80000000000001</v>
      </c>
      <c r="K510">
        <f t="shared" si="22"/>
        <v>0</v>
      </c>
    </row>
    <row r="511" spans="1:11">
      <c r="A511">
        <v>16.983</v>
      </c>
      <c r="B511">
        <v>-198.5</v>
      </c>
      <c r="C511">
        <v>109.2</v>
      </c>
      <c r="E511">
        <v>16.949</v>
      </c>
      <c r="F511">
        <v>-197.2</v>
      </c>
      <c r="G511">
        <v>111.4</v>
      </c>
      <c r="I511">
        <f t="shared" si="21"/>
        <v>16.9</v>
      </c>
      <c r="J511">
        <f t="shared" si="23"/>
        <v>5.80000000000001</v>
      </c>
      <c r="K511">
        <f t="shared" si="22"/>
        <v>0</v>
      </c>
    </row>
    <row r="512" spans="1:11">
      <c r="A512">
        <v>17.016</v>
      </c>
      <c r="B512">
        <v>-199.6</v>
      </c>
      <c r="C512">
        <v>106.7</v>
      </c>
      <c r="E512">
        <v>16.983</v>
      </c>
      <c r="F512">
        <v>-198.5</v>
      </c>
      <c r="G512">
        <v>109.2</v>
      </c>
      <c r="I512">
        <f t="shared" si="21"/>
        <v>16.95</v>
      </c>
      <c r="J512">
        <f t="shared" si="23"/>
        <v>4.5</v>
      </c>
      <c r="K512">
        <f t="shared" si="22"/>
        <v>0</v>
      </c>
    </row>
    <row r="513" spans="1:11">
      <c r="A513">
        <v>17.049</v>
      </c>
      <c r="B513">
        <v>-200.7</v>
      </c>
      <c r="C513">
        <v>104.8</v>
      </c>
      <c r="E513">
        <v>17.016</v>
      </c>
      <c r="F513">
        <v>-199.6</v>
      </c>
      <c r="G513">
        <v>106.7</v>
      </c>
      <c r="I513">
        <f t="shared" si="21"/>
        <v>17</v>
      </c>
      <c r="J513">
        <f t="shared" si="23"/>
        <v>3.40000000000001</v>
      </c>
      <c r="K513">
        <f t="shared" si="22"/>
        <v>0</v>
      </c>
    </row>
    <row r="514" spans="1:11">
      <c r="A514">
        <v>17.083</v>
      </c>
      <c r="B514">
        <v>-201.8</v>
      </c>
      <c r="C514">
        <v>102.6</v>
      </c>
      <c r="E514">
        <v>17.049</v>
      </c>
      <c r="F514">
        <v>-200.7</v>
      </c>
      <c r="G514">
        <v>104.8</v>
      </c>
      <c r="I514">
        <f t="shared" si="21"/>
        <v>17</v>
      </c>
      <c r="J514">
        <f t="shared" si="23"/>
        <v>2.30000000000001</v>
      </c>
      <c r="K514">
        <f t="shared" si="22"/>
        <v>0</v>
      </c>
    </row>
    <row r="515" spans="1:11">
      <c r="A515">
        <v>17.116</v>
      </c>
      <c r="B515">
        <v>-202.6</v>
      </c>
      <c r="C515">
        <v>100.6</v>
      </c>
      <c r="E515">
        <v>17.083</v>
      </c>
      <c r="F515">
        <v>-201.8</v>
      </c>
      <c r="G515">
        <v>102.6</v>
      </c>
      <c r="I515">
        <f t="shared" si="21"/>
        <v>17.05</v>
      </c>
      <c r="J515">
        <f t="shared" si="23"/>
        <v>1.19999999999999</v>
      </c>
      <c r="K515">
        <f t="shared" si="22"/>
        <v>0</v>
      </c>
    </row>
    <row r="516" spans="1:11">
      <c r="A516">
        <v>17.15</v>
      </c>
      <c r="B516">
        <v>-204.5</v>
      </c>
      <c r="C516">
        <v>98.7</v>
      </c>
      <c r="E516">
        <v>17.116</v>
      </c>
      <c r="F516">
        <v>-202.6</v>
      </c>
      <c r="G516">
        <v>100.6</v>
      </c>
      <c r="I516">
        <f t="shared" ref="I516:I579" si="24">FLOOR(E516,0.05)</f>
        <v>17.1</v>
      </c>
      <c r="J516">
        <f t="shared" si="23"/>
        <v>0.400000000000006</v>
      </c>
      <c r="K516">
        <f t="shared" ref="K516:K579" si="25">IF(G516&lt;230,0,5)</f>
        <v>0</v>
      </c>
    </row>
    <row r="517" spans="1:11">
      <c r="A517">
        <v>17.183</v>
      </c>
      <c r="B517">
        <v>-206</v>
      </c>
      <c r="C517">
        <v>96.9</v>
      </c>
      <c r="E517">
        <v>17.15</v>
      </c>
      <c r="F517">
        <v>-204.5</v>
      </c>
      <c r="G517">
        <v>98.7</v>
      </c>
      <c r="I517">
        <f t="shared" si="24"/>
        <v>17.15</v>
      </c>
      <c r="J517">
        <f t="shared" ref="J517:J580" si="26">F517+203</f>
        <v>-1.5</v>
      </c>
      <c r="K517">
        <f t="shared" si="25"/>
        <v>0</v>
      </c>
    </row>
    <row r="518" spans="1:11">
      <c r="A518">
        <v>17.217</v>
      </c>
      <c r="B518">
        <v>-207.1</v>
      </c>
      <c r="C518">
        <v>94</v>
      </c>
      <c r="E518">
        <v>17.183</v>
      </c>
      <c r="F518">
        <v>-206</v>
      </c>
      <c r="G518">
        <v>96.9</v>
      </c>
      <c r="I518">
        <f t="shared" si="24"/>
        <v>17.15</v>
      </c>
      <c r="J518">
        <f t="shared" si="26"/>
        <v>-3</v>
      </c>
      <c r="K518">
        <f t="shared" si="25"/>
        <v>0</v>
      </c>
    </row>
    <row r="519" spans="1:11">
      <c r="A519">
        <v>17.25</v>
      </c>
      <c r="B519">
        <v>-208.2</v>
      </c>
      <c r="C519">
        <v>92.6</v>
      </c>
      <c r="E519">
        <v>17.217</v>
      </c>
      <c r="F519">
        <v>-207.1</v>
      </c>
      <c r="G519">
        <v>94</v>
      </c>
      <c r="I519">
        <f t="shared" si="24"/>
        <v>17.2</v>
      </c>
      <c r="J519">
        <f t="shared" si="26"/>
        <v>-4.09999999999999</v>
      </c>
      <c r="K519">
        <f t="shared" si="25"/>
        <v>0</v>
      </c>
    </row>
    <row r="520" spans="1:11">
      <c r="A520">
        <v>17.283</v>
      </c>
      <c r="B520">
        <v>-209</v>
      </c>
      <c r="C520">
        <v>91.3</v>
      </c>
      <c r="E520">
        <v>17.25</v>
      </c>
      <c r="F520">
        <v>-208.2</v>
      </c>
      <c r="G520">
        <v>92.6</v>
      </c>
      <c r="I520">
        <f t="shared" si="24"/>
        <v>17.25</v>
      </c>
      <c r="J520">
        <f t="shared" si="26"/>
        <v>-5.19999999999999</v>
      </c>
      <c r="K520">
        <f t="shared" si="25"/>
        <v>0</v>
      </c>
    </row>
    <row r="521" spans="1:11">
      <c r="A521">
        <v>17.317</v>
      </c>
      <c r="B521">
        <v>-209.8</v>
      </c>
      <c r="C521">
        <v>90.1</v>
      </c>
      <c r="E521">
        <v>17.283</v>
      </c>
      <c r="F521">
        <v>-209</v>
      </c>
      <c r="G521">
        <v>91.3</v>
      </c>
      <c r="I521">
        <f t="shared" si="24"/>
        <v>17.25</v>
      </c>
      <c r="J521">
        <f t="shared" si="26"/>
        <v>-6</v>
      </c>
      <c r="K521">
        <f t="shared" si="25"/>
        <v>0</v>
      </c>
    </row>
    <row r="522" spans="1:11">
      <c r="A522">
        <v>17.35</v>
      </c>
      <c r="B522">
        <v>-210.6</v>
      </c>
      <c r="C522">
        <v>87.4</v>
      </c>
      <c r="E522">
        <v>17.317</v>
      </c>
      <c r="F522">
        <v>-209.8</v>
      </c>
      <c r="G522">
        <v>90.1</v>
      </c>
      <c r="I522">
        <f t="shared" si="24"/>
        <v>17.3</v>
      </c>
      <c r="J522">
        <f t="shared" si="26"/>
        <v>-6.80000000000001</v>
      </c>
      <c r="K522">
        <f t="shared" si="25"/>
        <v>0</v>
      </c>
    </row>
    <row r="523" spans="1:11">
      <c r="A523">
        <v>17.384</v>
      </c>
      <c r="B523">
        <v>-211.1</v>
      </c>
      <c r="C523">
        <v>86.6</v>
      </c>
      <c r="E523">
        <v>17.35</v>
      </c>
      <c r="F523">
        <v>-210.6</v>
      </c>
      <c r="G523">
        <v>87.4</v>
      </c>
      <c r="I523">
        <f t="shared" si="24"/>
        <v>17.35</v>
      </c>
      <c r="J523">
        <f t="shared" si="26"/>
        <v>-7.59999999999999</v>
      </c>
      <c r="K523">
        <f t="shared" si="25"/>
        <v>0</v>
      </c>
    </row>
    <row r="524" spans="1:11">
      <c r="A524">
        <v>17.417</v>
      </c>
      <c r="B524">
        <v>-211.3</v>
      </c>
      <c r="C524">
        <v>84</v>
      </c>
      <c r="E524">
        <v>17.384</v>
      </c>
      <c r="F524">
        <v>-211.1</v>
      </c>
      <c r="G524">
        <v>86.6</v>
      </c>
      <c r="I524">
        <f t="shared" si="24"/>
        <v>17.35</v>
      </c>
      <c r="J524">
        <f t="shared" si="26"/>
        <v>-8.09999999999999</v>
      </c>
      <c r="K524">
        <f t="shared" si="25"/>
        <v>0</v>
      </c>
    </row>
    <row r="525" spans="1:11">
      <c r="A525">
        <v>17.451</v>
      </c>
      <c r="B525">
        <v>-212</v>
      </c>
      <c r="C525">
        <v>82.5</v>
      </c>
      <c r="E525">
        <v>17.417</v>
      </c>
      <c r="F525">
        <v>-211.3</v>
      </c>
      <c r="G525">
        <v>84</v>
      </c>
      <c r="I525">
        <f t="shared" si="24"/>
        <v>17.4</v>
      </c>
      <c r="J525">
        <f t="shared" si="26"/>
        <v>-8.30000000000001</v>
      </c>
      <c r="K525">
        <f t="shared" si="25"/>
        <v>0</v>
      </c>
    </row>
    <row r="526" spans="1:11">
      <c r="A526">
        <v>17.484</v>
      </c>
      <c r="B526">
        <v>-211.7</v>
      </c>
      <c r="C526">
        <v>81.3</v>
      </c>
      <c r="E526">
        <v>17.451</v>
      </c>
      <c r="F526">
        <v>-212</v>
      </c>
      <c r="G526">
        <v>82.5</v>
      </c>
      <c r="I526">
        <f t="shared" si="24"/>
        <v>17.45</v>
      </c>
      <c r="J526">
        <f t="shared" si="26"/>
        <v>-9</v>
      </c>
      <c r="K526">
        <f t="shared" si="25"/>
        <v>0</v>
      </c>
    </row>
    <row r="527" spans="1:11">
      <c r="A527">
        <v>17.517</v>
      </c>
      <c r="B527">
        <v>-211.8</v>
      </c>
      <c r="C527">
        <v>80</v>
      </c>
      <c r="E527">
        <v>17.484</v>
      </c>
      <c r="F527">
        <v>-211.7</v>
      </c>
      <c r="G527">
        <v>81.3</v>
      </c>
      <c r="I527">
        <f t="shared" si="24"/>
        <v>17.45</v>
      </c>
      <c r="J527">
        <f t="shared" si="26"/>
        <v>-8.69999999999999</v>
      </c>
      <c r="K527">
        <f t="shared" si="25"/>
        <v>0</v>
      </c>
    </row>
    <row r="528" spans="1:11">
      <c r="A528">
        <v>17.551</v>
      </c>
      <c r="B528">
        <v>-211.8</v>
      </c>
      <c r="C528">
        <v>78.1</v>
      </c>
      <c r="E528">
        <v>17.517</v>
      </c>
      <c r="F528">
        <v>-211.8</v>
      </c>
      <c r="G528">
        <v>80</v>
      </c>
      <c r="I528">
        <f t="shared" si="24"/>
        <v>17.5</v>
      </c>
      <c r="J528">
        <f t="shared" si="26"/>
        <v>-8.80000000000001</v>
      </c>
      <c r="K528">
        <f t="shared" si="25"/>
        <v>0</v>
      </c>
    </row>
    <row r="529" spans="1:11">
      <c r="A529">
        <v>17.584</v>
      </c>
      <c r="B529">
        <v>-211.6</v>
      </c>
      <c r="C529">
        <v>192.8</v>
      </c>
      <c r="E529">
        <v>17.551</v>
      </c>
      <c r="F529">
        <v>-211.8</v>
      </c>
      <c r="G529">
        <v>78.1</v>
      </c>
      <c r="I529">
        <f t="shared" si="24"/>
        <v>17.55</v>
      </c>
      <c r="J529">
        <f t="shared" si="26"/>
        <v>-8.80000000000001</v>
      </c>
      <c r="K529">
        <f t="shared" si="25"/>
        <v>0</v>
      </c>
    </row>
    <row r="530" spans="1:11">
      <c r="A530">
        <v>17.618</v>
      </c>
      <c r="B530">
        <v>-211.3</v>
      </c>
      <c r="C530">
        <v>236.9</v>
      </c>
      <c r="E530">
        <v>17.584</v>
      </c>
      <c r="F530">
        <v>-211.6</v>
      </c>
      <c r="G530">
        <v>192.8</v>
      </c>
      <c r="I530">
        <f t="shared" si="24"/>
        <v>17.55</v>
      </c>
      <c r="J530">
        <f t="shared" si="26"/>
        <v>-8.59999999999999</v>
      </c>
      <c r="K530">
        <f t="shared" si="25"/>
        <v>0</v>
      </c>
    </row>
    <row r="531" spans="1:11">
      <c r="A531">
        <v>17.651</v>
      </c>
      <c r="B531">
        <v>-210.8</v>
      </c>
      <c r="C531">
        <v>237</v>
      </c>
      <c r="E531">
        <v>17.618</v>
      </c>
      <c r="F531">
        <v>-211.3</v>
      </c>
      <c r="G531">
        <v>236.9</v>
      </c>
      <c r="I531">
        <f t="shared" si="24"/>
        <v>17.6</v>
      </c>
      <c r="J531">
        <f t="shared" si="26"/>
        <v>-8.30000000000001</v>
      </c>
      <c r="K531">
        <f t="shared" si="25"/>
        <v>5</v>
      </c>
    </row>
    <row r="532" spans="1:11">
      <c r="A532">
        <v>17.685</v>
      </c>
      <c r="B532">
        <v>-210</v>
      </c>
      <c r="C532">
        <v>237</v>
      </c>
      <c r="E532">
        <v>17.651</v>
      </c>
      <c r="F532">
        <v>-210.8</v>
      </c>
      <c r="G532">
        <v>237</v>
      </c>
      <c r="I532">
        <f t="shared" si="24"/>
        <v>17.65</v>
      </c>
      <c r="J532">
        <f t="shared" si="26"/>
        <v>-7.80000000000001</v>
      </c>
      <c r="K532">
        <f t="shared" si="25"/>
        <v>5</v>
      </c>
    </row>
    <row r="533" spans="1:11">
      <c r="A533">
        <v>17.718</v>
      </c>
      <c r="B533">
        <v>-209.1</v>
      </c>
      <c r="C533">
        <v>237</v>
      </c>
      <c r="E533">
        <v>17.685</v>
      </c>
      <c r="F533">
        <v>-210</v>
      </c>
      <c r="G533">
        <v>237</v>
      </c>
      <c r="I533">
        <f t="shared" si="24"/>
        <v>17.65</v>
      </c>
      <c r="J533">
        <f t="shared" si="26"/>
        <v>-7</v>
      </c>
      <c r="K533">
        <f t="shared" si="25"/>
        <v>5</v>
      </c>
    </row>
    <row r="534" spans="1:11">
      <c r="A534">
        <v>17.751</v>
      </c>
      <c r="B534">
        <v>-208.3</v>
      </c>
      <c r="C534">
        <v>236.8</v>
      </c>
      <c r="E534">
        <v>17.718</v>
      </c>
      <c r="F534">
        <v>-209.1</v>
      </c>
      <c r="G534">
        <v>237</v>
      </c>
      <c r="I534">
        <f t="shared" si="24"/>
        <v>17.7</v>
      </c>
      <c r="J534">
        <f t="shared" si="26"/>
        <v>-6.09999999999999</v>
      </c>
      <c r="K534">
        <f t="shared" si="25"/>
        <v>5</v>
      </c>
    </row>
    <row r="535" spans="1:11">
      <c r="A535">
        <v>17.785</v>
      </c>
      <c r="B535">
        <v>-207.4</v>
      </c>
      <c r="C535">
        <v>236.8</v>
      </c>
      <c r="E535">
        <v>17.751</v>
      </c>
      <c r="F535">
        <v>-208.3</v>
      </c>
      <c r="G535">
        <v>236.8</v>
      </c>
      <c r="I535">
        <f t="shared" si="24"/>
        <v>17.75</v>
      </c>
      <c r="J535">
        <f t="shared" si="26"/>
        <v>-5.30000000000001</v>
      </c>
      <c r="K535">
        <f t="shared" si="25"/>
        <v>5</v>
      </c>
    </row>
    <row r="536" spans="1:11">
      <c r="A536">
        <v>17.818</v>
      </c>
      <c r="B536">
        <v>-206.1</v>
      </c>
      <c r="C536">
        <v>236.9</v>
      </c>
      <c r="E536">
        <v>17.785</v>
      </c>
      <c r="F536">
        <v>-207.4</v>
      </c>
      <c r="G536">
        <v>236.8</v>
      </c>
      <c r="I536">
        <f t="shared" si="24"/>
        <v>17.75</v>
      </c>
      <c r="J536">
        <f t="shared" si="26"/>
        <v>-4.40000000000001</v>
      </c>
      <c r="K536">
        <f t="shared" si="25"/>
        <v>5</v>
      </c>
    </row>
    <row r="537" spans="1:11">
      <c r="A537">
        <v>17.852</v>
      </c>
      <c r="B537">
        <v>-204.4</v>
      </c>
      <c r="C537">
        <v>236.9</v>
      </c>
      <c r="E537">
        <v>17.818</v>
      </c>
      <c r="F537">
        <v>-206.1</v>
      </c>
      <c r="G537">
        <v>236.9</v>
      </c>
      <c r="I537">
        <f t="shared" si="24"/>
        <v>17.8</v>
      </c>
      <c r="J537">
        <f t="shared" si="26"/>
        <v>-3.09999999999999</v>
      </c>
      <c r="K537">
        <f t="shared" si="25"/>
        <v>5</v>
      </c>
    </row>
    <row r="538" spans="1:11">
      <c r="A538">
        <v>17.885</v>
      </c>
      <c r="B538">
        <v>-203.7</v>
      </c>
      <c r="C538">
        <v>236.9</v>
      </c>
      <c r="E538">
        <v>17.852</v>
      </c>
      <c r="F538">
        <v>-204.4</v>
      </c>
      <c r="G538">
        <v>236.9</v>
      </c>
      <c r="I538">
        <f t="shared" si="24"/>
        <v>17.85</v>
      </c>
      <c r="J538">
        <f t="shared" si="26"/>
        <v>-1.40000000000001</v>
      </c>
      <c r="K538">
        <f t="shared" si="25"/>
        <v>5</v>
      </c>
    </row>
    <row r="539" spans="1:11">
      <c r="A539">
        <v>17.919</v>
      </c>
      <c r="B539">
        <v>-202.6</v>
      </c>
      <c r="C539">
        <v>237.1</v>
      </c>
      <c r="E539">
        <v>17.885</v>
      </c>
      <c r="F539">
        <v>-203.7</v>
      </c>
      <c r="G539">
        <v>236.9</v>
      </c>
      <c r="I539">
        <f t="shared" si="24"/>
        <v>17.85</v>
      </c>
      <c r="J539">
        <f t="shared" si="26"/>
        <v>-0.699999999999989</v>
      </c>
      <c r="K539">
        <f t="shared" si="25"/>
        <v>5</v>
      </c>
    </row>
    <row r="540" spans="1:11">
      <c r="A540">
        <v>17.952</v>
      </c>
      <c r="B540">
        <v>-201.6</v>
      </c>
      <c r="C540">
        <v>237</v>
      </c>
      <c r="E540">
        <v>17.919</v>
      </c>
      <c r="F540">
        <v>-202.6</v>
      </c>
      <c r="G540">
        <v>237.1</v>
      </c>
      <c r="I540">
        <f t="shared" si="24"/>
        <v>17.9</v>
      </c>
      <c r="J540">
        <f t="shared" si="26"/>
        <v>0.400000000000006</v>
      </c>
      <c r="K540">
        <f t="shared" si="25"/>
        <v>5</v>
      </c>
    </row>
    <row r="541" spans="1:11">
      <c r="A541">
        <v>17.985</v>
      </c>
      <c r="B541">
        <v>-199.9</v>
      </c>
      <c r="C541">
        <v>236.9</v>
      </c>
      <c r="E541">
        <v>17.952</v>
      </c>
      <c r="F541">
        <v>-201.6</v>
      </c>
      <c r="G541">
        <v>237</v>
      </c>
      <c r="I541">
        <f t="shared" si="24"/>
        <v>17.95</v>
      </c>
      <c r="J541">
        <f t="shared" si="26"/>
        <v>1.40000000000001</v>
      </c>
      <c r="K541">
        <f t="shared" si="25"/>
        <v>5</v>
      </c>
    </row>
    <row r="542" spans="1:11">
      <c r="A542">
        <v>18.019</v>
      </c>
      <c r="B542">
        <v>-198.9</v>
      </c>
      <c r="C542">
        <v>237</v>
      </c>
      <c r="E542">
        <v>17.985</v>
      </c>
      <c r="F542">
        <v>-199.9</v>
      </c>
      <c r="G542">
        <v>236.9</v>
      </c>
      <c r="I542">
        <f t="shared" si="24"/>
        <v>17.95</v>
      </c>
      <c r="J542">
        <f t="shared" si="26"/>
        <v>3.09999999999999</v>
      </c>
      <c r="K542">
        <f t="shared" si="25"/>
        <v>5</v>
      </c>
    </row>
    <row r="543" spans="1:11">
      <c r="A543">
        <v>18.052</v>
      </c>
      <c r="B543">
        <v>-198</v>
      </c>
      <c r="C543">
        <v>236.7</v>
      </c>
      <c r="E543">
        <v>18.019</v>
      </c>
      <c r="F543">
        <v>-198.9</v>
      </c>
      <c r="G543">
        <v>237</v>
      </c>
      <c r="I543">
        <f t="shared" si="24"/>
        <v>18</v>
      </c>
      <c r="J543">
        <f t="shared" si="26"/>
        <v>4.09999999999999</v>
      </c>
      <c r="K543">
        <f t="shared" si="25"/>
        <v>5</v>
      </c>
    </row>
    <row r="544" spans="1:11">
      <c r="A544">
        <v>18.086</v>
      </c>
      <c r="B544">
        <v>-196.8</v>
      </c>
      <c r="C544">
        <v>236.7</v>
      </c>
      <c r="E544">
        <v>18.052</v>
      </c>
      <c r="F544">
        <v>-198</v>
      </c>
      <c r="G544">
        <v>236.7</v>
      </c>
      <c r="I544">
        <f t="shared" si="24"/>
        <v>18.05</v>
      </c>
      <c r="J544">
        <f t="shared" si="26"/>
        <v>5</v>
      </c>
      <c r="K544">
        <f t="shared" si="25"/>
        <v>5</v>
      </c>
    </row>
    <row r="545" spans="1:11">
      <c r="A545">
        <v>18.119</v>
      </c>
      <c r="B545">
        <v>-195.9</v>
      </c>
      <c r="C545">
        <v>236.7</v>
      </c>
      <c r="E545">
        <v>18.086</v>
      </c>
      <c r="F545">
        <v>-196.8</v>
      </c>
      <c r="G545">
        <v>236.7</v>
      </c>
      <c r="I545">
        <f t="shared" si="24"/>
        <v>18.05</v>
      </c>
      <c r="J545">
        <f t="shared" si="26"/>
        <v>6.19999999999999</v>
      </c>
      <c r="K545">
        <f t="shared" si="25"/>
        <v>5</v>
      </c>
    </row>
    <row r="546" spans="1:11">
      <c r="A546">
        <v>18.153</v>
      </c>
      <c r="B546">
        <v>-195.1</v>
      </c>
      <c r="C546">
        <v>236.8</v>
      </c>
      <c r="E546">
        <v>18.119</v>
      </c>
      <c r="F546">
        <v>-195.9</v>
      </c>
      <c r="G546">
        <v>236.7</v>
      </c>
      <c r="I546">
        <f t="shared" si="24"/>
        <v>18.1</v>
      </c>
      <c r="J546">
        <f t="shared" si="26"/>
        <v>7.09999999999999</v>
      </c>
      <c r="K546">
        <f t="shared" si="25"/>
        <v>5</v>
      </c>
    </row>
    <row r="547" spans="1:11">
      <c r="A547">
        <v>18.186</v>
      </c>
      <c r="B547">
        <v>-194.4</v>
      </c>
      <c r="C547">
        <v>236.8</v>
      </c>
      <c r="E547">
        <v>18.153</v>
      </c>
      <c r="F547">
        <v>-195.1</v>
      </c>
      <c r="G547">
        <v>236.8</v>
      </c>
      <c r="I547">
        <f t="shared" si="24"/>
        <v>18.15</v>
      </c>
      <c r="J547">
        <f t="shared" si="26"/>
        <v>7.90000000000001</v>
      </c>
      <c r="K547">
        <f t="shared" si="25"/>
        <v>5</v>
      </c>
    </row>
    <row r="548" spans="1:11">
      <c r="A548">
        <v>18.219</v>
      </c>
      <c r="B548">
        <v>-194.3</v>
      </c>
      <c r="C548">
        <v>236.9</v>
      </c>
      <c r="E548">
        <v>18.186</v>
      </c>
      <c r="F548">
        <v>-194.4</v>
      </c>
      <c r="G548">
        <v>236.8</v>
      </c>
      <c r="I548">
        <f t="shared" si="24"/>
        <v>18.15</v>
      </c>
      <c r="J548">
        <f t="shared" si="26"/>
        <v>8.59999999999999</v>
      </c>
      <c r="K548">
        <f t="shared" si="25"/>
        <v>5</v>
      </c>
    </row>
    <row r="549" spans="1:11">
      <c r="A549">
        <v>18.253</v>
      </c>
      <c r="B549">
        <v>-194.4</v>
      </c>
      <c r="C549">
        <v>236.8</v>
      </c>
      <c r="E549">
        <v>18.219</v>
      </c>
      <c r="F549">
        <v>-194.3</v>
      </c>
      <c r="G549">
        <v>236.9</v>
      </c>
      <c r="I549">
        <f t="shared" si="24"/>
        <v>18.2</v>
      </c>
      <c r="J549">
        <f t="shared" si="26"/>
        <v>8.69999999999999</v>
      </c>
      <c r="K549">
        <f t="shared" si="25"/>
        <v>5</v>
      </c>
    </row>
    <row r="550" spans="1:11">
      <c r="A550">
        <v>18.286</v>
      </c>
      <c r="B550">
        <v>-194.5</v>
      </c>
      <c r="C550">
        <v>236.7</v>
      </c>
      <c r="E550">
        <v>18.253</v>
      </c>
      <c r="F550">
        <v>-194.4</v>
      </c>
      <c r="G550">
        <v>236.8</v>
      </c>
      <c r="I550">
        <f t="shared" si="24"/>
        <v>18.25</v>
      </c>
      <c r="J550">
        <f t="shared" si="26"/>
        <v>8.59999999999999</v>
      </c>
      <c r="K550">
        <f t="shared" si="25"/>
        <v>5</v>
      </c>
    </row>
    <row r="551" spans="1:11">
      <c r="A551">
        <v>18.32</v>
      </c>
      <c r="B551">
        <v>-194.6</v>
      </c>
      <c r="C551">
        <v>236.8</v>
      </c>
      <c r="E551">
        <v>18.286</v>
      </c>
      <c r="F551">
        <v>-194.5</v>
      </c>
      <c r="G551">
        <v>236.7</v>
      </c>
      <c r="I551">
        <f t="shared" si="24"/>
        <v>18.25</v>
      </c>
      <c r="J551">
        <f t="shared" si="26"/>
        <v>8.5</v>
      </c>
      <c r="K551">
        <f t="shared" si="25"/>
        <v>5</v>
      </c>
    </row>
    <row r="552" spans="1:11">
      <c r="A552">
        <v>18.353</v>
      </c>
      <c r="B552">
        <v>-195</v>
      </c>
      <c r="C552">
        <v>173.8</v>
      </c>
      <c r="E552">
        <v>18.32</v>
      </c>
      <c r="F552">
        <v>-194.6</v>
      </c>
      <c r="G552">
        <v>236.8</v>
      </c>
      <c r="I552">
        <f t="shared" si="24"/>
        <v>18.3</v>
      </c>
      <c r="J552">
        <f t="shared" si="26"/>
        <v>8.40000000000001</v>
      </c>
      <c r="K552">
        <f t="shared" si="25"/>
        <v>5</v>
      </c>
    </row>
    <row r="553" spans="1:11">
      <c r="A553">
        <v>18.387</v>
      </c>
      <c r="B553">
        <v>-195.3</v>
      </c>
      <c r="C553">
        <v>105.3</v>
      </c>
      <c r="E553">
        <v>18.353</v>
      </c>
      <c r="F553">
        <v>-195</v>
      </c>
      <c r="G553">
        <v>173.8</v>
      </c>
      <c r="I553">
        <f t="shared" si="24"/>
        <v>18.35</v>
      </c>
      <c r="J553">
        <f t="shared" si="26"/>
        <v>8</v>
      </c>
      <c r="K553">
        <f t="shared" si="25"/>
        <v>0</v>
      </c>
    </row>
    <row r="554" spans="1:11">
      <c r="A554">
        <v>18.42</v>
      </c>
      <c r="B554">
        <v>-196.4</v>
      </c>
      <c r="C554">
        <v>112.6</v>
      </c>
      <c r="E554">
        <v>18.387</v>
      </c>
      <c r="F554">
        <v>-195.3</v>
      </c>
      <c r="G554">
        <v>105.3</v>
      </c>
      <c r="I554">
        <f t="shared" si="24"/>
        <v>18.35</v>
      </c>
      <c r="J554">
        <f t="shared" si="26"/>
        <v>7.69999999999999</v>
      </c>
      <c r="K554">
        <f t="shared" si="25"/>
        <v>0</v>
      </c>
    </row>
    <row r="555" spans="1:11">
      <c r="A555">
        <v>18.453</v>
      </c>
      <c r="B555">
        <v>-197.7</v>
      </c>
      <c r="C555">
        <v>110.6</v>
      </c>
      <c r="E555">
        <v>18.42</v>
      </c>
      <c r="F555">
        <v>-196.4</v>
      </c>
      <c r="G555">
        <v>112.6</v>
      </c>
      <c r="I555">
        <f t="shared" si="24"/>
        <v>18.4</v>
      </c>
      <c r="J555">
        <f t="shared" si="26"/>
        <v>6.59999999999999</v>
      </c>
      <c r="K555">
        <f t="shared" si="25"/>
        <v>0</v>
      </c>
    </row>
    <row r="556" spans="1:11">
      <c r="A556">
        <v>18.487</v>
      </c>
      <c r="B556">
        <v>-199</v>
      </c>
      <c r="C556">
        <v>107.7</v>
      </c>
      <c r="E556">
        <v>18.453</v>
      </c>
      <c r="F556">
        <v>-197.7</v>
      </c>
      <c r="G556">
        <v>110.6</v>
      </c>
      <c r="I556">
        <f t="shared" si="24"/>
        <v>18.45</v>
      </c>
      <c r="J556">
        <f t="shared" si="26"/>
        <v>5.30000000000001</v>
      </c>
      <c r="K556">
        <f t="shared" si="25"/>
        <v>0</v>
      </c>
    </row>
    <row r="557" spans="1:11">
      <c r="A557">
        <v>18.52</v>
      </c>
      <c r="B557">
        <v>-200</v>
      </c>
      <c r="C557">
        <v>106.4</v>
      </c>
      <c r="E557">
        <v>18.487</v>
      </c>
      <c r="F557">
        <v>-199</v>
      </c>
      <c r="G557">
        <v>107.7</v>
      </c>
      <c r="I557">
        <f t="shared" si="24"/>
        <v>18.45</v>
      </c>
      <c r="J557">
        <f t="shared" si="26"/>
        <v>4</v>
      </c>
      <c r="K557">
        <f t="shared" si="25"/>
        <v>0</v>
      </c>
    </row>
    <row r="558" spans="1:11">
      <c r="A558">
        <v>18.554</v>
      </c>
      <c r="B558">
        <v>-200.9</v>
      </c>
      <c r="C558">
        <v>104.5</v>
      </c>
      <c r="E558">
        <v>18.52</v>
      </c>
      <c r="F558">
        <v>-200</v>
      </c>
      <c r="G558">
        <v>106.4</v>
      </c>
      <c r="I558">
        <f t="shared" si="24"/>
        <v>18.5</v>
      </c>
      <c r="J558">
        <f t="shared" si="26"/>
        <v>3</v>
      </c>
      <c r="K558">
        <f t="shared" si="25"/>
        <v>0</v>
      </c>
    </row>
    <row r="559" spans="1:11">
      <c r="A559">
        <v>18.587</v>
      </c>
      <c r="B559">
        <v>-202.9</v>
      </c>
      <c r="C559">
        <v>101.9</v>
      </c>
      <c r="E559">
        <v>18.554</v>
      </c>
      <c r="F559">
        <v>-200.9</v>
      </c>
      <c r="G559">
        <v>104.5</v>
      </c>
      <c r="I559">
        <f t="shared" si="24"/>
        <v>18.55</v>
      </c>
      <c r="J559">
        <f t="shared" si="26"/>
        <v>2.09999999999999</v>
      </c>
      <c r="K559">
        <f t="shared" si="25"/>
        <v>0</v>
      </c>
    </row>
    <row r="560" spans="1:11">
      <c r="A560">
        <v>18.621</v>
      </c>
      <c r="B560">
        <v>-204</v>
      </c>
      <c r="C560">
        <v>100.3</v>
      </c>
      <c r="E560">
        <v>18.587</v>
      </c>
      <c r="F560">
        <v>-202.9</v>
      </c>
      <c r="G560">
        <v>101.9</v>
      </c>
      <c r="I560">
        <f t="shared" si="24"/>
        <v>18.55</v>
      </c>
      <c r="J560">
        <f t="shared" si="26"/>
        <v>0.0999999999999943</v>
      </c>
      <c r="K560">
        <f t="shared" si="25"/>
        <v>0</v>
      </c>
    </row>
    <row r="561" spans="1:11">
      <c r="A561">
        <v>18.654</v>
      </c>
      <c r="B561">
        <v>-205.1</v>
      </c>
      <c r="C561">
        <v>97.9</v>
      </c>
      <c r="E561">
        <v>18.621</v>
      </c>
      <c r="F561">
        <v>-204</v>
      </c>
      <c r="G561">
        <v>100.3</v>
      </c>
      <c r="I561">
        <f t="shared" si="24"/>
        <v>18.6</v>
      </c>
      <c r="J561">
        <f t="shared" si="26"/>
        <v>-1</v>
      </c>
      <c r="K561">
        <f t="shared" si="25"/>
        <v>0</v>
      </c>
    </row>
    <row r="562" spans="1:11">
      <c r="A562">
        <v>18.687</v>
      </c>
      <c r="B562">
        <v>-206.5</v>
      </c>
      <c r="C562">
        <v>96.7</v>
      </c>
      <c r="E562">
        <v>18.654</v>
      </c>
      <c r="F562">
        <v>-205.1</v>
      </c>
      <c r="G562">
        <v>97.9</v>
      </c>
      <c r="I562">
        <f t="shared" si="24"/>
        <v>18.65</v>
      </c>
      <c r="J562">
        <f t="shared" si="26"/>
        <v>-2.09999999999999</v>
      </c>
      <c r="K562">
        <f t="shared" si="25"/>
        <v>0</v>
      </c>
    </row>
    <row r="563" spans="1:11">
      <c r="A563">
        <v>18.721</v>
      </c>
      <c r="B563">
        <v>-207.8</v>
      </c>
      <c r="C563">
        <v>95</v>
      </c>
      <c r="E563">
        <v>18.687</v>
      </c>
      <c r="F563">
        <v>-206.5</v>
      </c>
      <c r="G563">
        <v>96.7</v>
      </c>
      <c r="I563">
        <f t="shared" si="24"/>
        <v>18.65</v>
      </c>
      <c r="J563">
        <f t="shared" si="26"/>
        <v>-3.5</v>
      </c>
      <c r="K563">
        <f t="shared" si="25"/>
        <v>0</v>
      </c>
    </row>
    <row r="564" spans="1:11">
      <c r="A564">
        <v>18.754</v>
      </c>
      <c r="B564">
        <v>-208.6</v>
      </c>
      <c r="C564">
        <v>93.3</v>
      </c>
      <c r="E564">
        <v>18.721</v>
      </c>
      <c r="F564">
        <v>-207.8</v>
      </c>
      <c r="G564">
        <v>95</v>
      </c>
      <c r="I564">
        <f t="shared" si="24"/>
        <v>18.7</v>
      </c>
      <c r="J564">
        <f t="shared" si="26"/>
        <v>-4.80000000000001</v>
      </c>
      <c r="K564">
        <f t="shared" si="25"/>
        <v>0</v>
      </c>
    </row>
    <row r="565" spans="1:11">
      <c r="A565">
        <v>18.788</v>
      </c>
      <c r="B565">
        <v>-209.6</v>
      </c>
      <c r="C565">
        <v>90.9</v>
      </c>
      <c r="E565">
        <v>18.754</v>
      </c>
      <c r="F565">
        <v>-208.6</v>
      </c>
      <c r="G565">
        <v>93.3</v>
      </c>
      <c r="I565">
        <f t="shared" si="24"/>
        <v>18.75</v>
      </c>
      <c r="J565">
        <f t="shared" si="26"/>
        <v>-5.59999999999999</v>
      </c>
      <c r="K565">
        <f t="shared" si="25"/>
        <v>0</v>
      </c>
    </row>
    <row r="566" spans="1:11">
      <c r="A566">
        <v>18.821</v>
      </c>
      <c r="B566">
        <v>-210.4</v>
      </c>
      <c r="C566">
        <v>89.6</v>
      </c>
      <c r="E566">
        <v>18.788</v>
      </c>
      <c r="F566">
        <v>-209.6</v>
      </c>
      <c r="G566">
        <v>90.9</v>
      </c>
      <c r="I566">
        <f t="shared" si="24"/>
        <v>18.75</v>
      </c>
      <c r="J566">
        <f t="shared" si="26"/>
        <v>-6.59999999999999</v>
      </c>
      <c r="K566">
        <f t="shared" si="25"/>
        <v>0</v>
      </c>
    </row>
    <row r="567" spans="1:11">
      <c r="A567">
        <v>18.855</v>
      </c>
      <c r="B567">
        <v>-211</v>
      </c>
      <c r="C567">
        <v>88.4</v>
      </c>
      <c r="E567">
        <v>18.821</v>
      </c>
      <c r="F567">
        <v>-210.4</v>
      </c>
      <c r="G567">
        <v>89.6</v>
      </c>
      <c r="I567">
        <f t="shared" si="24"/>
        <v>18.8</v>
      </c>
      <c r="J567">
        <f t="shared" si="26"/>
        <v>-7.40000000000001</v>
      </c>
      <c r="K567">
        <f t="shared" si="25"/>
        <v>0</v>
      </c>
    </row>
    <row r="568" spans="1:11">
      <c r="A568">
        <v>18.888</v>
      </c>
      <c r="B568">
        <v>-211.8</v>
      </c>
      <c r="C568">
        <v>85.9</v>
      </c>
      <c r="E568">
        <v>18.855</v>
      </c>
      <c r="F568">
        <v>-211</v>
      </c>
      <c r="G568">
        <v>88.4</v>
      </c>
      <c r="I568">
        <f t="shared" si="24"/>
        <v>18.85</v>
      </c>
      <c r="J568">
        <f t="shared" si="26"/>
        <v>-8</v>
      </c>
      <c r="K568">
        <f t="shared" si="25"/>
        <v>0</v>
      </c>
    </row>
    <row r="569" spans="1:11">
      <c r="A569">
        <v>18.921</v>
      </c>
      <c r="B569">
        <v>-212</v>
      </c>
      <c r="C569">
        <v>84.7</v>
      </c>
      <c r="E569">
        <v>18.888</v>
      </c>
      <c r="F569">
        <v>-211.8</v>
      </c>
      <c r="G569">
        <v>85.9</v>
      </c>
      <c r="I569">
        <f t="shared" si="24"/>
        <v>18.85</v>
      </c>
      <c r="J569">
        <f t="shared" si="26"/>
        <v>-8.80000000000001</v>
      </c>
      <c r="K569">
        <f t="shared" si="25"/>
        <v>0</v>
      </c>
    </row>
    <row r="570" spans="1:11">
      <c r="A570">
        <v>18.955</v>
      </c>
      <c r="B570">
        <v>-212.2</v>
      </c>
      <c r="C570">
        <v>82.5</v>
      </c>
      <c r="E570">
        <v>18.921</v>
      </c>
      <c r="F570">
        <v>-212</v>
      </c>
      <c r="G570">
        <v>84.7</v>
      </c>
      <c r="I570">
        <f t="shared" si="24"/>
        <v>18.9</v>
      </c>
      <c r="J570">
        <f t="shared" si="26"/>
        <v>-9</v>
      </c>
      <c r="K570">
        <f t="shared" si="25"/>
        <v>0</v>
      </c>
    </row>
    <row r="571" spans="1:11">
      <c r="A571">
        <v>18.988</v>
      </c>
      <c r="B571">
        <v>-212.1</v>
      </c>
      <c r="C571">
        <v>80.9</v>
      </c>
      <c r="E571">
        <v>18.955</v>
      </c>
      <c r="F571">
        <v>-212.2</v>
      </c>
      <c r="G571">
        <v>82.5</v>
      </c>
      <c r="I571">
        <f t="shared" si="24"/>
        <v>18.95</v>
      </c>
      <c r="J571">
        <f t="shared" si="26"/>
        <v>-9.19999999999999</v>
      </c>
      <c r="K571">
        <f t="shared" si="25"/>
        <v>0</v>
      </c>
    </row>
    <row r="572" spans="1:11">
      <c r="A572">
        <v>19.022</v>
      </c>
      <c r="B572">
        <v>-212</v>
      </c>
      <c r="C572">
        <v>78.7</v>
      </c>
      <c r="E572">
        <v>18.988</v>
      </c>
      <c r="F572">
        <v>-212.1</v>
      </c>
      <c r="G572">
        <v>80.9</v>
      </c>
      <c r="I572">
        <f t="shared" si="24"/>
        <v>18.95</v>
      </c>
      <c r="J572">
        <f t="shared" si="26"/>
        <v>-9.09999999999999</v>
      </c>
      <c r="K572">
        <f t="shared" si="25"/>
        <v>0</v>
      </c>
    </row>
    <row r="573" spans="1:11">
      <c r="A573">
        <v>19.055</v>
      </c>
      <c r="B573">
        <v>-211.7</v>
      </c>
      <c r="C573">
        <v>77.4</v>
      </c>
      <c r="E573">
        <v>19.022</v>
      </c>
      <c r="F573">
        <v>-212</v>
      </c>
      <c r="G573">
        <v>78.7</v>
      </c>
      <c r="I573">
        <f t="shared" si="24"/>
        <v>19</v>
      </c>
      <c r="J573">
        <f t="shared" si="26"/>
        <v>-9</v>
      </c>
      <c r="K573">
        <f t="shared" si="25"/>
        <v>0</v>
      </c>
    </row>
    <row r="574" spans="1:11">
      <c r="A574">
        <v>19.089</v>
      </c>
      <c r="B574">
        <v>-211.7</v>
      </c>
      <c r="C574">
        <v>210.1</v>
      </c>
      <c r="E574">
        <v>19.055</v>
      </c>
      <c r="F574">
        <v>-211.7</v>
      </c>
      <c r="G574">
        <v>77.4</v>
      </c>
      <c r="I574">
        <f t="shared" si="24"/>
        <v>19.05</v>
      </c>
      <c r="J574">
        <f t="shared" si="26"/>
        <v>-8.69999999999999</v>
      </c>
      <c r="K574">
        <f t="shared" si="25"/>
        <v>0</v>
      </c>
    </row>
    <row r="575" spans="1:11">
      <c r="A575">
        <v>19.122</v>
      </c>
      <c r="B575">
        <v>-211.6</v>
      </c>
      <c r="C575">
        <v>236.7</v>
      </c>
      <c r="E575">
        <v>19.089</v>
      </c>
      <c r="F575">
        <v>-211.7</v>
      </c>
      <c r="G575">
        <v>210.1</v>
      </c>
      <c r="I575">
        <f t="shared" si="24"/>
        <v>19.05</v>
      </c>
      <c r="J575">
        <f t="shared" si="26"/>
        <v>-8.69999999999999</v>
      </c>
      <c r="K575">
        <f t="shared" si="25"/>
        <v>0</v>
      </c>
    </row>
    <row r="576" spans="1:11">
      <c r="A576">
        <v>19.156</v>
      </c>
      <c r="B576">
        <v>-210.7</v>
      </c>
      <c r="C576">
        <v>237</v>
      </c>
      <c r="E576">
        <v>19.122</v>
      </c>
      <c r="F576">
        <v>-211.6</v>
      </c>
      <c r="G576">
        <v>236.7</v>
      </c>
      <c r="I576">
        <f t="shared" si="24"/>
        <v>19.1</v>
      </c>
      <c r="J576">
        <f t="shared" si="26"/>
        <v>-8.59999999999999</v>
      </c>
      <c r="K576">
        <f t="shared" si="25"/>
        <v>5</v>
      </c>
    </row>
    <row r="577" spans="1:11">
      <c r="A577">
        <v>19.189</v>
      </c>
      <c r="B577">
        <v>-210.1</v>
      </c>
      <c r="C577">
        <v>237</v>
      </c>
      <c r="E577">
        <v>19.156</v>
      </c>
      <c r="F577">
        <v>-210.7</v>
      </c>
      <c r="G577">
        <v>237</v>
      </c>
      <c r="I577">
        <f t="shared" si="24"/>
        <v>19.15</v>
      </c>
      <c r="J577">
        <f t="shared" si="26"/>
        <v>-7.69999999999999</v>
      </c>
      <c r="K577">
        <f t="shared" si="25"/>
        <v>5</v>
      </c>
    </row>
    <row r="578" spans="1:11">
      <c r="A578">
        <v>19.222</v>
      </c>
      <c r="B578">
        <v>-208.8</v>
      </c>
      <c r="C578">
        <v>237.1</v>
      </c>
      <c r="E578">
        <v>19.189</v>
      </c>
      <c r="F578">
        <v>-210.1</v>
      </c>
      <c r="G578">
        <v>237</v>
      </c>
      <c r="I578">
        <f t="shared" si="24"/>
        <v>19.15</v>
      </c>
      <c r="J578">
        <f t="shared" si="26"/>
        <v>-7.09999999999999</v>
      </c>
      <c r="K578">
        <f t="shared" si="25"/>
        <v>5</v>
      </c>
    </row>
    <row r="579" spans="1:11">
      <c r="A579">
        <v>19.256</v>
      </c>
      <c r="B579">
        <v>-207.8</v>
      </c>
      <c r="C579">
        <v>236.9</v>
      </c>
      <c r="E579">
        <v>19.222</v>
      </c>
      <c r="F579">
        <v>-208.8</v>
      </c>
      <c r="G579">
        <v>237.1</v>
      </c>
      <c r="I579">
        <f t="shared" si="24"/>
        <v>19.2</v>
      </c>
      <c r="J579">
        <f t="shared" si="26"/>
        <v>-5.80000000000001</v>
      </c>
      <c r="K579">
        <f t="shared" si="25"/>
        <v>5</v>
      </c>
    </row>
    <row r="580" spans="1:11">
      <c r="A580">
        <v>19.289</v>
      </c>
      <c r="B580">
        <v>-206.9</v>
      </c>
      <c r="C580">
        <v>237</v>
      </c>
      <c r="E580">
        <v>19.256</v>
      </c>
      <c r="F580">
        <v>-207.8</v>
      </c>
      <c r="G580">
        <v>236.9</v>
      </c>
      <c r="I580">
        <f t="shared" ref="I580:I643" si="27">FLOOR(E580,0.05)</f>
        <v>19.25</v>
      </c>
      <c r="J580">
        <f t="shared" si="26"/>
        <v>-4.80000000000001</v>
      </c>
      <c r="K580">
        <f t="shared" ref="K580:K643" si="28">IF(G580&lt;230,0,5)</f>
        <v>5</v>
      </c>
    </row>
    <row r="581" spans="1:11">
      <c r="A581">
        <v>19.323</v>
      </c>
      <c r="B581">
        <v>-205.2</v>
      </c>
      <c r="C581">
        <v>236.9</v>
      </c>
      <c r="E581">
        <v>19.289</v>
      </c>
      <c r="F581">
        <v>-206.9</v>
      </c>
      <c r="G581">
        <v>237</v>
      </c>
      <c r="I581">
        <f t="shared" si="27"/>
        <v>19.25</v>
      </c>
      <c r="J581">
        <f t="shared" ref="J581:J644" si="29">F581+203</f>
        <v>-3.90000000000001</v>
      </c>
      <c r="K581">
        <f t="shared" si="28"/>
        <v>5</v>
      </c>
    </row>
    <row r="582" spans="1:11">
      <c r="A582">
        <v>19.356</v>
      </c>
      <c r="B582">
        <v>-203.8</v>
      </c>
      <c r="C582">
        <v>236.9</v>
      </c>
      <c r="E582">
        <v>19.323</v>
      </c>
      <c r="F582">
        <v>-205.2</v>
      </c>
      <c r="G582">
        <v>236.9</v>
      </c>
      <c r="I582">
        <f t="shared" si="27"/>
        <v>19.3</v>
      </c>
      <c r="J582">
        <f t="shared" si="29"/>
        <v>-2.19999999999999</v>
      </c>
      <c r="K582">
        <f t="shared" si="28"/>
        <v>5</v>
      </c>
    </row>
    <row r="583" spans="1:11">
      <c r="A583">
        <v>19.39</v>
      </c>
      <c r="B583">
        <v>-202.8</v>
      </c>
      <c r="C583">
        <v>237</v>
      </c>
      <c r="E583">
        <v>19.356</v>
      </c>
      <c r="F583">
        <v>-203.8</v>
      </c>
      <c r="G583">
        <v>236.9</v>
      </c>
      <c r="I583">
        <f t="shared" si="27"/>
        <v>19.35</v>
      </c>
      <c r="J583">
        <f t="shared" si="29"/>
        <v>-0.800000000000011</v>
      </c>
      <c r="K583">
        <f t="shared" si="28"/>
        <v>5</v>
      </c>
    </row>
    <row r="584" spans="1:11">
      <c r="A584">
        <v>19.423</v>
      </c>
      <c r="B584">
        <v>-201.7</v>
      </c>
      <c r="C584">
        <v>237</v>
      </c>
      <c r="E584">
        <v>19.39</v>
      </c>
      <c r="F584">
        <v>-202.8</v>
      </c>
      <c r="G584">
        <v>237</v>
      </c>
      <c r="I584">
        <f t="shared" si="27"/>
        <v>19.35</v>
      </c>
      <c r="J584">
        <f t="shared" si="29"/>
        <v>0.199999999999989</v>
      </c>
      <c r="K584">
        <f t="shared" si="28"/>
        <v>5</v>
      </c>
    </row>
    <row r="585" spans="1:11">
      <c r="A585">
        <v>19.456</v>
      </c>
      <c r="B585">
        <v>-199.7</v>
      </c>
      <c r="C585">
        <v>237</v>
      </c>
      <c r="E585">
        <v>19.423</v>
      </c>
      <c r="F585">
        <v>-201.7</v>
      </c>
      <c r="G585">
        <v>237</v>
      </c>
      <c r="I585">
        <f t="shared" si="27"/>
        <v>19.4</v>
      </c>
      <c r="J585">
        <f t="shared" si="29"/>
        <v>1.30000000000001</v>
      </c>
      <c r="K585">
        <f t="shared" si="28"/>
        <v>5</v>
      </c>
    </row>
    <row r="586" spans="1:11">
      <c r="A586">
        <v>19.49</v>
      </c>
      <c r="B586">
        <v>-198.6</v>
      </c>
      <c r="C586">
        <v>236.8</v>
      </c>
      <c r="E586">
        <v>19.456</v>
      </c>
      <c r="F586">
        <v>-199.7</v>
      </c>
      <c r="G586">
        <v>237</v>
      </c>
      <c r="I586">
        <f t="shared" si="27"/>
        <v>19.45</v>
      </c>
      <c r="J586">
        <f t="shared" si="29"/>
        <v>3.30000000000001</v>
      </c>
      <c r="K586">
        <f t="shared" si="28"/>
        <v>5</v>
      </c>
    </row>
    <row r="587" spans="1:11">
      <c r="A587">
        <v>19.523</v>
      </c>
      <c r="B587">
        <v>-197.6</v>
      </c>
      <c r="C587">
        <v>236.9</v>
      </c>
      <c r="E587">
        <v>19.49</v>
      </c>
      <c r="F587">
        <v>-198.6</v>
      </c>
      <c r="G587">
        <v>236.8</v>
      </c>
      <c r="I587">
        <f t="shared" si="27"/>
        <v>19.45</v>
      </c>
      <c r="J587">
        <f t="shared" si="29"/>
        <v>4.40000000000001</v>
      </c>
      <c r="K587">
        <f t="shared" si="28"/>
        <v>5</v>
      </c>
    </row>
    <row r="588" spans="1:11">
      <c r="A588">
        <v>19.557</v>
      </c>
      <c r="B588">
        <v>-196.5</v>
      </c>
      <c r="C588">
        <v>237</v>
      </c>
      <c r="E588">
        <v>19.523</v>
      </c>
      <c r="F588">
        <v>-197.6</v>
      </c>
      <c r="G588">
        <v>236.9</v>
      </c>
      <c r="I588">
        <f t="shared" si="27"/>
        <v>19.5</v>
      </c>
      <c r="J588">
        <f t="shared" si="29"/>
        <v>5.40000000000001</v>
      </c>
      <c r="K588">
        <f t="shared" si="28"/>
        <v>5</v>
      </c>
    </row>
    <row r="589" spans="1:11">
      <c r="A589">
        <v>19.59</v>
      </c>
      <c r="B589">
        <v>-195.4</v>
      </c>
      <c r="C589">
        <v>236.9</v>
      </c>
      <c r="E589">
        <v>19.557</v>
      </c>
      <c r="F589">
        <v>-196.5</v>
      </c>
      <c r="G589">
        <v>237</v>
      </c>
      <c r="I589">
        <f t="shared" si="27"/>
        <v>19.55</v>
      </c>
      <c r="J589">
        <f t="shared" si="29"/>
        <v>6.5</v>
      </c>
      <c r="K589">
        <f t="shared" si="28"/>
        <v>5</v>
      </c>
    </row>
    <row r="590" spans="1:11">
      <c r="A590">
        <v>19.624</v>
      </c>
      <c r="B590">
        <v>-194.5</v>
      </c>
      <c r="C590">
        <v>236.8</v>
      </c>
      <c r="E590">
        <v>19.59</v>
      </c>
      <c r="F590">
        <v>-195.4</v>
      </c>
      <c r="G590">
        <v>236.9</v>
      </c>
      <c r="I590">
        <f t="shared" si="27"/>
        <v>19.55</v>
      </c>
      <c r="J590">
        <f t="shared" si="29"/>
        <v>7.59999999999999</v>
      </c>
      <c r="K590">
        <f t="shared" si="28"/>
        <v>5</v>
      </c>
    </row>
    <row r="591" spans="1:11">
      <c r="A591">
        <v>19.657</v>
      </c>
      <c r="B591">
        <v>-194.2</v>
      </c>
      <c r="C591">
        <v>237</v>
      </c>
      <c r="E591">
        <v>19.624</v>
      </c>
      <c r="F591">
        <v>-194.5</v>
      </c>
      <c r="G591">
        <v>236.8</v>
      </c>
      <c r="I591">
        <f t="shared" si="27"/>
        <v>19.6</v>
      </c>
      <c r="J591">
        <f t="shared" si="29"/>
        <v>8.5</v>
      </c>
      <c r="K591">
        <f t="shared" si="28"/>
        <v>5</v>
      </c>
    </row>
    <row r="592" spans="1:11">
      <c r="A592">
        <v>19.69</v>
      </c>
      <c r="B592">
        <v>-193.4</v>
      </c>
      <c r="C592">
        <v>237.1</v>
      </c>
      <c r="E592">
        <v>19.657</v>
      </c>
      <c r="F592">
        <v>-194.2</v>
      </c>
      <c r="G592">
        <v>237</v>
      </c>
      <c r="I592">
        <f t="shared" si="27"/>
        <v>19.65</v>
      </c>
      <c r="J592">
        <f t="shared" si="29"/>
        <v>8.80000000000001</v>
      </c>
      <c r="K592">
        <f t="shared" si="28"/>
        <v>5</v>
      </c>
    </row>
    <row r="593" spans="1:11">
      <c r="A593">
        <v>19.724</v>
      </c>
      <c r="B593">
        <v>-193.4</v>
      </c>
      <c r="C593">
        <v>236.9</v>
      </c>
      <c r="E593">
        <v>19.69</v>
      </c>
      <c r="F593">
        <v>-193.4</v>
      </c>
      <c r="G593">
        <v>237.1</v>
      </c>
      <c r="I593">
        <f t="shared" si="27"/>
        <v>19.65</v>
      </c>
      <c r="J593">
        <f t="shared" si="29"/>
        <v>9.59999999999999</v>
      </c>
      <c r="K593">
        <f t="shared" si="28"/>
        <v>5</v>
      </c>
    </row>
    <row r="594" spans="1:11">
      <c r="A594">
        <v>19.757</v>
      </c>
      <c r="B594">
        <v>-193.4</v>
      </c>
      <c r="C594">
        <v>237</v>
      </c>
      <c r="E594">
        <v>19.724</v>
      </c>
      <c r="F594">
        <v>-193.4</v>
      </c>
      <c r="G594">
        <v>236.9</v>
      </c>
      <c r="I594">
        <f t="shared" si="27"/>
        <v>19.7</v>
      </c>
      <c r="J594">
        <f t="shared" si="29"/>
        <v>9.59999999999999</v>
      </c>
      <c r="K594">
        <f t="shared" si="28"/>
        <v>5</v>
      </c>
    </row>
    <row r="595" spans="1:11">
      <c r="A595">
        <v>19.791</v>
      </c>
      <c r="B595">
        <v>-193.6</v>
      </c>
      <c r="C595">
        <v>236.9</v>
      </c>
      <c r="E595">
        <v>19.757</v>
      </c>
      <c r="F595">
        <v>-193.4</v>
      </c>
      <c r="G595">
        <v>237</v>
      </c>
      <c r="I595">
        <f t="shared" si="27"/>
        <v>19.75</v>
      </c>
      <c r="J595">
        <f t="shared" si="29"/>
        <v>9.59999999999999</v>
      </c>
      <c r="K595">
        <f t="shared" si="28"/>
        <v>5</v>
      </c>
    </row>
    <row r="596" spans="1:11">
      <c r="A596">
        <v>19.824</v>
      </c>
      <c r="B596">
        <v>-193.8</v>
      </c>
      <c r="C596">
        <v>237</v>
      </c>
      <c r="E596">
        <v>19.791</v>
      </c>
      <c r="F596">
        <v>-193.6</v>
      </c>
      <c r="G596">
        <v>236.9</v>
      </c>
      <c r="I596">
        <f t="shared" si="27"/>
        <v>19.75</v>
      </c>
      <c r="J596">
        <f t="shared" si="29"/>
        <v>9.40000000000001</v>
      </c>
      <c r="K596">
        <f t="shared" si="28"/>
        <v>5</v>
      </c>
    </row>
    <row r="597" spans="1:11">
      <c r="A597">
        <v>19.858</v>
      </c>
      <c r="B597">
        <v>-194.1</v>
      </c>
      <c r="C597">
        <v>142.5</v>
      </c>
      <c r="E597">
        <v>19.824</v>
      </c>
      <c r="F597">
        <v>-193.8</v>
      </c>
      <c r="G597">
        <v>237</v>
      </c>
      <c r="I597">
        <f t="shared" si="27"/>
        <v>19.8</v>
      </c>
      <c r="J597">
        <f t="shared" si="29"/>
        <v>9.19999999999999</v>
      </c>
      <c r="K597">
        <f t="shared" si="28"/>
        <v>5</v>
      </c>
    </row>
    <row r="598" spans="1:11">
      <c r="A598">
        <v>19.891</v>
      </c>
      <c r="B598">
        <v>-194.5</v>
      </c>
      <c r="C598">
        <v>108.5</v>
      </c>
      <c r="E598">
        <v>19.858</v>
      </c>
      <c r="F598">
        <v>-194.1</v>
      </c>
      <c r="G598">
        <v>142.5</v>
      </c>
      <c r="I598">
        <f t="shared" si="27"/>
        <v>19.85</v>
      </c>
      <c r="J598">
        <f t="shared" si="29"/>
        <v>8.90000000000001</v>
      </c>
      <c r="K598">
        <f t="shared" si="28"/>
        <v>0</v>
      </c>
    </row>
    <row r="599" spans="1:11">
      <c r="A599">
        <v>19.924</v>
      </c>
      <c r="B599">
        <v>-195.4</v>
      </c>
      <c r="C599">
        <v>112.2</v>
      </c>
      <c r="E599">
        <v>19.891</v>
      </c>
      <c r="F599">
        <v>-194.5</v>
      </c>
      <c r="G599">
        <v>108.5</v>
      </c>
      <c r="I599">
        <f t="shared" si="27"/>
        <v>19.85</v>
      </c>
      <c r="J599">
        <f t="shared" si="29"/>
        <v>8.5</v>
      </c>
      <c r="K599">
        <f t="shared" si="28"/>
        <v>0</v>
      </c>
    </row>
    <row r="600" spans="1:11">
      <c r="A600">
        <v>19.958</v>
      </c>
      <c r="B600">
        <v>-196.6</v>
      </c>
      <c r="C600">
        <v>109.9</v>
      </c>
      <c r="E600">
        <v>19.924</v>
      </c>
      <c r="F600">
        <v>-195.4</v>
      </c>
      <c r="G600">
        <v>112.2</v>
      </c>
      <c r="I600">
        <f t="shared" si="27"/>
        <v>19.9</v>
      </c>
      <c r="J600">
        <f t="shared" si="29"/>
        <v>7.59999999999999</v>
      </c>
      <c r="K600">
        <f t="shared" si="28"/>
        <v>0</v>
      </c>
    </row>
    <row r="601" spans="1:11">
      <c r="A601">
        <v>19.991</v>
      </c>
      <c r="B601">
        <v>-198.4</v>
      </c>
      <c r="C601">
        <v>107.5</v>
      </c>
      <c r="E601">
        <v>19.958</v>
      </c>
      <c r="F601">
        <v>-196.6</v>
      </c>
      <c r="G601">
        <v>109.9</v>
      </c>
      <c r="I601">
        <f t="shared" si="27"/>
        <v>19.95</v>
      </c>
      <c r="J601">
        <f t="shared" si="29"/>
        <v>6.40000000000001</v>
      </c>
      <c r="K601">
        <f t="shared" si="28"/>
        <v>0</v>
      </c>
    </row>
    <row r="602" spans="1:11">
      <c r="A602">
        <v>20.025</v>
      </c>
      <c r="B602">
        <v>-199.5</v>
      </c>
      <c r="C602">
        <v>105.1</v>
      </c>
      <c r="E602">
        <v>19.991</v>
      </c>
      <c r="F602">
        <v>-198.4</v>
      </c>
      <c r="G602">
        <v>107.5</v>
      </c>
      <c r="I602">
        <f t="shared" si="27"/>
        <v>19.95</v>
      </c>
      <c r="J602">
        <f t="shared" si="29"/>
        <v>4.59999999999999</v>
      </c>
      <c r="K602">
        <f t="shared" si="28"/>
        <v>0</v>
      </c>
    </row>
    <row r="603" spans="1:11">
      <c r="A603">
        <v>20.058</v>
      </c>
      <c r="B603">
        <v>-200.7</v>
      </c>
      <c r="C603">
        <v>102.8</v>
      </c>
      <c r="E603">
        <v>20.025</v>
      </c>
      <c r="F603">
        <v>-199.5</v>
      </c>
      <c r="G603">
        <v>105.1</v>
      </c>
      <c r="I603">
        <f t="shared" si="27"/>
        <v>20</v>
      </c>
      <c r="J603">
        <f t="shared" si="29"/>
        <v>3.5</v>
      </c>
      <c r="K603">
        <f t="shared" si="28"/>
        <v>0</v>
      </c>
    </row>
    <row r="604" spans="1:11">
      <c r="A604">
        <v>20.092</v>
      </c>
      <c r="B604">
        <v>-202.6</v>
      </c>
      <c r="C604">
        <v>102.3</v>
      </c>
      <c r="E604">
        <v>20.058</v>
      </c>
      <c r="F604">
        <v>-200.7</v>
      </c>
      <c r="G604">
        <v>102.8</v>
      </c>
      <c r="I604">
        <f t="shared" si="27"/>
        <v>20.05</v>
      </c>
      <c r="J604">
        <f t="shared" si="29"/>
        <v>2.30000000000001</v>
      </c>
      <c r="K604">
        <f t="shared" si="28"/>
        <v>0</v>
      </c>
    </row>
    <row r="605" spans="1:11">
      <c r="A605">
        <v>20.125</v>
      </c>
      <c r="B605">
        <v>-203.8</v>
      </c>
      <c r="C605">
        <v>100.1</v>
      </c>
      <c r="E605">
        <v>20.092</v>
      </c>
      <c r="F605">
        <v>-202.6</v>
      </c>
      <c r="G605">
        <v>102.3</v>
      </c>
      <c r="I605">
        <f t="shared" si="27"/>
        <v>20.05</v>
      </c>
      <c r="J605">
        <f t="shared" si="29"/>
        <v>0.400000000000006</v>
      </c>
      <c r="K605">
        <f t="shared" si="28"/>
        <v>0</v>
      </c>
    </row>
    <row r="606" spans="1:11">
      <c r="A606">
        <v>20.158</v>
      </c>
      <c r="B606">
        <v>-204.8</v>
      </c>
      <c r="C606">
        <v>98</v>
      </c>
      <c r="E606">
        <v>20.125</v>
      </c>
      <c r="F606">
        <v>-203.8</v>
      </c>
      <c r="G606">
        <v>100.1</v>
      </c>
      <c r="I606">
        <f t="shared" si="27"/>
        <v>20.1</v>
      </c>
      <c r="J606">
        <f t="shared" si="29"/>
        <v>-0.800000000000011</v>
      </c>
      <c r="K606">
        <f t="shared" si="28"/>
        <v>0</v>
      </c>
    </row>
    <row r="607" spans="1:11">
      <c r="A607">
        <v>20.192</v>
      </c>
      <c r="B607">
        <v>-206.6</v>
      </c>
      <c r="C607">
        <v>95.1</v>
      </c>
      <c r="E607">
        <v>20.158</v>
      </c>
      <c r="F607">
        <v>-204.8</v>
      </c>
      <c r="G607">
        <v>98</v>
      </c>
      <c r="I607">
        <f t="shared" si="27"/>
        <v>20.15</v>
      </c>
      <c r="J607">
        <f t="shared" si="29"/>
        <v>-1.80000000000001</v>
      </c>
      <c r="K607">
        <f t="shared" si="28"/>
        <v>0</v>
      </c>
    </row>
    <row r="608" spans="1:11">
      <c r="A608">
        <v>20.225</v>
      </c>
      <c r="B608">
        <v>-207.9</v>
      </c>
      <c r="C608">
        <v>94.2</v>
      </c>
      <c r="E608">
        <v>20.192</v>
      </c>
      <c r="F608">
        <v>-206.6</v>
      </c>
      <c r="G608">
        <v>95.1</v>
      </c>
      <c r="I608">
        <f t="shared" si="27"/>
        <v>20.15</v>
      </c>
      <c r="J608">
        <f t="shared" si="29"/>
        <v>-3.59999999999999</v>
      </c>
      <c r="K608">
        <f t="shared" si="28"/>
        <v>0</v>
      </c>
    </row>
    <row r="609" spans="1:11">
      <c r="A609">
        <v>20.259</v>
      </c>
      <c r="B609">
        <v>-209.1</v>
      </c>
      <c r="C609">
        <v>92.3</v>
      </c>
      <c r="E609">
        <v>20.225</v>
      </c>
      <c r="F609">
        <v>-207.9</v>
      </c>
      <c r="G609">
        <v>94.2</v>
      </c>
      <c r="I609">
        <f t="shared" si="27"/>
        <v>20.2</v>
      </c>
      <c r="J609">
        <f t="shared" si="29"/>
        <v>-4.90000000000001</v>
      </c>
      <c r="K609">
        <f t="shared" si="28"/>
        <v>0</v>
      </c>
    </row>
    <row r="610" spans="1:11">
      <c r="A610">
        <v>20.292</v>
      </c>
      <c r="B610">
        <v>-210.1</v>
      </c>
      <c r="C610">
        <v>89.8</v>
      </c>
      <c r="E610">
        <v>20.259</v>
      </c>
      <c r="F610">
        <v>-209.1</v>
      </c>
      <c r="G610">
        <v>92.3</v>
      </c>
      <c r="I610">
        <f t="shared" si="27"/>
        <v>20.25</v>
      </c>
      <c r="J610">
        <f t="shared" si="29"/>
        <v>-6.09999999999999</v>
      </c>
      <c r="K610">
        <f t="shared" si="28"/>
        <v>0</v>
      </c>
    </row>
    <row r="611" spans="1:11">
      <c r="A611">
        <v>20.326</v>
      </c>
      <c r="B611">
        <v>-210.6</v>
      </c>
      <c r="C611">
        <v>88.3</v>
      </c>
      <c r="E611">
        <v>20.292</v>
      </c>
      <c r="F611">
        <v>-210.1</v>
      </c>
      <c r="G611">
        <v>89.8</v>
      </c>
      <c r="I611">
        <f t="shared" si="27"/>
        <v>20.25</v>
      </c>
      <c r="J611">
        <f t="shared" si="29"/>
        <v>-7.09999999999999</v>
      </c>
      <c r="K611">
        <f t="shared" si="28"/>
        <v>0</v>
      </c>
    </row>
    <row r="612" spans="1:11">
      <c r="A612">
        <v>20.359</v>
      </c>
      <c r="B612">
        <v>-212.9</v>
      </c>
      <c r="C612">
        <v>87.1</v>
      </c>
      <c r="E612">
        <v>20.326</v>
      </c>
      <c r="F612">
        <v>-210.6</v>
      </c>
      <c r="G612">
        <v>88.3</v>
      </c>
      <c r="I612">
        <f t="shared" si="27"/>
        <v>20.3</v>
      </c>
      <c r="J612">
        <f t="shared" si="29"/>
        <v>-7.59999999999999</v>
      </c>
      <c r="K612">
        <f t="shared" si="28"/>
        <v>0</v>
      </c>
    </row>
    <row r="613" spans="1:11">
      <c r="A613">
        <v>20.392</v>
      </c>
      <c r="B613">
        <v>-213.1</v>
      </c>
      <c r="C613">
        <v>85.4</v>
      </c>
      <c r="E613">
        <v>20.359</v>
      </c>
      <c r="F613">
        <v>-212.9</v>
      </c>
      <c r="G613">
        <v>87.1</v>
      </c>
      <c r="I613">
        <f t="shared" si="27"/>
        <v>20.35</v>
      </c>
      <c r="J613">
        <f t="shared" si="29"/>
        <v>-9.90000000000001</v>
      </c>
      <c r="K613">
        <f t="shared" si="28"/>
        <v>0</v>
      </c>
    </row>
    <row r="614" spans="1:11">
      <c r="A614">
        <v>20.426</v>
      </c>
      <c r="B614">
        <v>-213.5</v>
      </c>
      <c r="C614">
        <v>84.2</v>
      </c>
      <c r="E614">
        <v>20.392</v>
      </c>
      <c r="F614">
        <v>-213.1</v>
      </c>
      <c r="G614">
        <v>85.4</v>
      </c>
      <c r="I614">
        <f t="shared" si="27"/>
        <v>20.35</v>
      </c>
      <c r="J614">
        <f t="shared" si="29"/>
        <v>-10.1</v>
      </c>
      <c r="K614">
        <f t="shared" si="28"/>
        <v>0</v>
      </c>
    </row>
    <row r="615" spans="1:11">
      <c r="A615">
        <v>20.459</v>
      </c>
      <c r="B615">
        <v>-214</v>
      </c>
      <c r="C615">
        <v>82.6</v>
      </c>
      <c r="E615">
        <v>20.426</v>
      </c>
      <c r="F615">
        <v>-213.5</v>
      </c>
      <c r="G615">
        <v>84.2</v>
      </c>
      <c r="I615">
        <f t="shared" si="27"/>
        <v>20.4</v>
      </c>
      <c r="J615">
        <f t="shared" si="29"/>
        <v>-10.5</v>
      </c>
      <c r="K615">
        <f t="shared" si="28"/>
        <v>0</v>
      </c>
    </row>
    <row r="616" spans="1:11">
      <c r="A616">
        <v>20.493</v>
      </c>
      <c r="B616">
        <v>-214.2</v>
      </c>
      <c r="C616">
        <v>80.9</v>
      </c>
      <c r="E616">
        <v>20.459</v>
      </c>
      <c r="F616">
        <v>-214</v>
      </c>
      <c r="G616">
        <v>82.6</v>
      </c>
      <c r="I616">
        <f t="shared" si="27"/>
        <v>20.45</v>
      </c>
      <c r="J616">
        <f t="shared" si="29"/>
        <v>-11</v>
      </c>
      <c r="K616">
        <f t="shared" si="28"/>
        <v>0</v>
      </c>
    </row>
    <row r="617" spans="1:11">
      <c r="A617">
        <v>20.526</v>
      </c>
      <c r="B617">
        <v>-214</v>
      </c>
      <c r="C617">
        <v>79</v>
      </c>
      <c r="E617">
        <v>20.493</v>
      </c>
      <c r="F617">
        <v>-214.2</v>
      </c>
      <c r="G617">
        <v>80.9</v>
      </c>
      <c r="I617">
        <f t="shared" si="27"/>
        <v>20.45</v>
      </c>
      <c r="J617">
        <f t="shared" si="29"/>
        <v>-11.2</v>
      </c>
      <c r="K617">
        <f t="shared" si="28"/>
        <v>0</v>
      </c>
    </row>
    <row r="618" spans="1:11">
      <c r="A618">
        <v>20.56</v>
      </c>
      <c r="B618">
        <v>-213.7</v>
      </c>
      <c r="C618">
        <v>77.2</v>
      </c>
      <c r="E618">
        <v>20.526</v>
      </c>
      <c r="F618">
        <v>-214</v>
      </c>
      <c r="G618">
        <v>79</v>
      </c>
      <c r="I618">
        <f t="shared" si="27"/>
        <v>20.5</v>
      </c>
      <c r="J618">
        <f t="shared" si="29"/>
        <v>-11</v>
      </c>
      <c r="K618">
        <f t="shared" si="28"/>
        <v>0</v>
      </c>
    </row>
    <row r="619" spans="1:11">
      <c r="A619">
        <v>20.593</v>
      </c>
      <c r="B619">
        <v>-213.5</v>
      </c>
      <c r="C619">
        <v>222.9</v>
      </c>
      <c r="E619">
        <v>20.56</v>
      </c>
      <c r="F619">
        <v>-213.7</v>
      </c>
      <c r="G619">
        <v>77.2</v>
      </c>
      <c r="I619">
        <f t="shared" si="27"/>
        <v>20.55</v>
      </c>
      <c r="J619">
        <f t="shared" si="29"/>
        <v>-10.7</v>
      </c>
      <c r="K619">
        <f t="shared" si="28"/>
        <v>0</v>
      </c>
    </row>
    <row r="620" spans="1:11">
      <c r="A620">
        <v>20.626</v>
      </c>
      <c r="B620">
        <v>-213.3</v>
      </c>
      <c r="C620">
        <v>236.8</v>
      </c>
      <c r="E620">
        <v>20.593</v>
      </c>
      <c r="F620">
        <v>-213.5</v>
      </c>
      <c r="G620">
        <v>222.9</v>
      </c>
      <c r="I620">
        <f t="shared" si="27"/>
        <v>20.55</v>
      </c>
      <c r="J620">
        <f t="shared" si="29"/>
        <v>-10.5</v>
      </c>
      <c r="K620">
        <f t="shared" si="28"/>
        <v>0</v>
      </c>
    </row>
    <row r="621" spans="1:11">
      <c r="A621">
        <v>20.66</v>
      </c>
      <c r="B621">
        <v>-212.8</v>
      </c>
      <c r="C621">
        <v>236.8</v>
      </c>
      <c r="E621">
        <v>20.626</v>
      </c>
      <c r="F621">
        <v>-213.3</v>
      </c>
      <c r="G621">
        <v>236.8</v>
      </c>
      <c r="I621">
        <f t="shared" si="27"/>
        <v>20.6</v>
      </c>
      <c r="J621">
        <f t="shared" si="29"/>
        <v>-10.3</v>
      </c>
      <c r="K621">
        <f t="shared" si="28"/>
        <v>5</v>
      </c>
    </row>
    <row r="622" spans="1:11">
      <c r="A622">
        <v>20.693</v>
      </c>
      <c r="B622">
        <v>-211.6</v>
      </c>
      <c r="C622">
        <v>236.7</v>
      </c>
      <c r="E622">
        <v>20.66</v>
      </c>
      <c r="F622">
        <v>-212.8</v>
      </c>
      <c r="G622">
        <v>236.8</v>
      </c>
      <c r="I622">
        <f t="shared" si="27"/>
        <v>20.65</v>
      </c>
      <c r="J622">
        <f t="shared" si="29"/>
        <v>-9.80000000000001</v>
      </c>
      <c r="K622">
        <f t="shared" si="28"/>
        <v>5</v>
      </c>
    </row>
    <row r="623" spans="1:11">
      <c r="A623">
        <v>20.727</v>
      </c>
      <c r="B623">
        <v>-210.4</v>
      </c>
      <c r="C623">
        <v>236.9</v>
      </c>
      <c r="E623">
        <v>20.693</v>
      </c>
      <c r="F623">
        <v>-211.6</v>
      </c>
      <c r="G623">
        <v>236.7</v>
      </c>
      <c r="I623">
        <f t="shared" si="27"/>
        <v>20.65</v>
      </c>
      <c r="J623">
        <f t="shared" si="29"/>
        <v>-8.59999999999999</v>
      </c>
      <c r="K623">
        <f t="shared" si="28"/>
        <v>5</v>
      </c>
    </row>
    <row r="624" spans="1:11">
      <c r="A624">
        <v>20.76</v>
      </c>
      <c r="B624">
        <v>-209.1</v>
      </c>
      <c r="C624">
        <v>236.9</v>
      </c>
      <c r="E624">
        <v>20.727</v>
      </c>
      <c r="F624">
        <v>-210.4</v>
      </c>
      <c r="G624">
        <v>236.9</v>
      </c>
      <c r="I624">
        <f t="shared" si="27"/>
        <v>20.7</v>
      </c>
      <c r="J624">
        <f t="shared" si="29"/>
        <v>-7.40000000000001</v>
      </c>
      <c r="K624">
        <f t="shared" si="28"/>
        <v>5</v>
      </c>
    </row>
    <row r="625" spans="1:11">
      <c r="A625">
        <v>20.794</v>
      </c>
      <c r="B625">
        <v>-208</v>
      </c>
      <c r="C625">
        <v>236.6</v>
      </c>
      <c r="E625">
        <v>20.76</v>
      </c>
      <c r="F625">
        <v>-209.1</v>
      </c>
      <c r="G625">
        <v>236.9</v>
      </c>
      <c r="I625">
        <f t="shared" si="27"/>
        <v>20.75</v>
      </c>
      <c r="J625">
        <f t="shared" si="29"/>
        <v>-6.09999999999999</v>
      </c>
      <c r="K625">
        <f t="shared" si="28"/>
        <v>5</v>
      </c>
    </row>
    <row r="626" spans="1:11">
      <c r="A626">
        <v>20.827</v>
      </c>
      <c r="B626">
        <v>-206.3</v>
      </c>
      <c r="C626">
        <v>236.6</v>
      </c>
      <c r="E626">
        <v>20.794</v>
      </c>
      <c r="F626">
        <v>-208</v>
      </c>
      <c r="G626">
        <v>236.6</v>
      </c>
      <c r="I626">
        <f t="shared" si="27"/>
        <v>20.75</v>
      </c>
      <c r="J626">
        <f t="shared" si="29"/>
        <v>-5</v>
      </c>
      <c r="K626">
        <f t="shared" si="28"/>
        <v>5</v>
      </c>
    </row>
    <row r="627" spans="1:11">
      <c r="A627">
        <v>20.86</v>
      </c>
      <c r="B627">
        <v>-205</v>
      </c>
      <c r="C627">
        <v>236.8</v>
      </c>
      <c r="E627">
        <v>20.827</v>
      </c>
      <c r="F627">
        <v>-206.3</v>
      </c>
      <c r="G627">
        <v>236.6</v>
      </c>
      <c r="I627">
        <f t="shared" si="27"/>
        <v>20.8</v>
      </c>
      <c r="J627">
        <f t="shared" si="29"/>
        <v>-3.30000000000001</v>
      </c>
      <c r="K627">
        <f t="shared" si="28"/>
        <v>5</v>
      </c>
    </row>
    <row r="628" spans="1:11">
      <c r="A628">
        <v>20.894</v>
      </c>
      <c r="B628">
        <v>-203.8</v>
      </c>
      <c r="C628">
        <v>236.8</v>
      </c>
      <c r="E628">
        <v>20.86</v>
      </c>
      <c r="F628">
        <v>-205</v>
      </c>
      <c r="G628">
        <v>236.8</v>
      </c>
      <c r="I628">
        <f t="shared" si="27"/>
        <v>20.85</v>
      </c>
      <c r="J628">
        <f t="shared" si="29"/>
        <v>-2</v>
      </c>
      <c r="K628">
        <f t="shared" si="28"/>
        <v>5</v>
      </c>
    </row>
    <row r="629" spans="1:11">
      <c r="A629">
        <v>20.927</v>
      </c>
      <c r="B629">
        <v>-202.7</v>
      </c>
      <c r="C629">
        <v>236.7</v>
      </c>
      <c r="E629">
        <v>20.894</v>
      </c>
      <c r="F629">
        <v>-203.8</v>
      </c>
      <c r="G629">
        <v>236.8</v>
      </c>
      <c r="I629">
        <f t="shared" si="27"/>
        <v>20.85</v>
      </c>
      <c r="J629">
        <f t="shared" si="29"/>
        <v>-0.800000000000011</v>
      </c>
      <c r="K629">
        <f t="shared" si="28"/>
        <v>5</v>
      </c>
    </row>
    <row r="630" spans="1:11">
      <c r="A630">
        <v>20.961</v>
      </c>
      <c r="B630">
        <v>-200.8</v>
      </c>
      <c r="C630">
        <v>236.7</v>
      </c>
      <c r="E630">
        <v>20.927</v>
      </c>
      <c r="F630">
        <v>-202.7</v>
      </c>
      <c r="G630">
        <v>236.7</v>
      </c>
      <c r="I630">
        <f t="shared" si="27"/>
        <v>20.9</v>
      </c>
      <c r="J630">
        <f t="shared" si="29"/>
        <v>0.300000000000011</v>
      </c>
      <c r="K630">
        <f t="shared" si="28"/>
        <v>5</v>
      </c>
    </row>
    <row r="631" spans="1:11">
      <c r="A631">
        <v>20.994</v>
      </c>
      <c r="B631">
        <v>-199.4</v>
      </c>
      <c r="C631">
        <v>237.1</v>
      </c>
      <c r="E631">
        <v>20.961</v>
      </c>
      <c r="F631">
        <v>-200.8</v>
      </c>
      <c r="G631">
        <v>236.7</v>
      </c>
      <c r="I631">
        <f t="shared" si="27"/>
        <v>20.95</v>
      </c>
      <c r="J631">
        <f t="shared" si="29"/>
        <v>2.19999999999999</v>
      </c>
      <c r="K631">
        <f t="shared" si="28"/>
        <v>5</v>
      </c>
    </row>
    <row r="632" spans="1:11">
      <c r="A632">
        <v>21.028</v>
      </c>
      <c r="B632">
        <v>-198.3</v>
      </c>
      <c r="C632">
        <v>236.8</v>
      </c>
      <c r="E632">
        <v>20.994</v>
      </c>
      <c r="F632">
        <v>-199.4</v>
      </c>
      <c r="G632">
        <v>237.1</v>
      </c>
      <c r="I632">
        <f t="shared" si="27"/>
        <v>20.95</v>
      </c>
      <c r="J632">
        <f t="shared" si="29"/>
        <v>3.59999999999999</v>
      </c>
      <c r="K632">
        <f t="shared" si="28"/>
        <v>5</v>
      </c>
    </row>
    <row r="633" spans="1:11">
      <c r="A633">
        <v>21.061</v>
      </c>
      <c r="B633">
        <v>-197</v>
      </c>
      <c r="C633">
        <v>236.5</v>
      </c>
      <c r="E633">
        <v>21.028</v>
      </c>
      <c r="F633">
        <v>-198.3</v>
      </c>
      <c r="G633">
        <v>236.8</v>
      </c>
      <c r="I633">
        <f t="shared" si="27"/>
        <v>21</v>
      </c>
      <c r="J633">
        <f t="shared" si="29"/>
        <v>4.69999999999999</v>
      </c>
      <c r="K633">
        <f t="shared" si="28"/>
        <v>5</v>
      </c>
    </row>
    <row r="634" spans="1:11">
      <c r="A634">
        <v>21.094</v>
      </c>
      <c r="B634">
        <v>-195.9</v>
      </c>
      <c r="C634">
        <v>236.9</v>
      </c>
      <c r="E634">
        <v>21.061</v>
      </c>
      <c r="F634">
        <v>-197</v>
      </c>
      <c r="G634">
        <v>236.5</v>
      </c>
      <c r="I634">
        <f t="shared" si="27"/>
        <v>21.05</v>
      </c>
      <c r="J634">
        <f t="shared" si="29"/>
        <v>6</v>
      </c>
      <c r="K634">
        <f t="shared" si="28"/>
        <v>5</v>
      </c>
    </row>
    <row r="635" spans="1:11">
      <c r="A635">
        <v>21.128</v>
      </c>
      <c r="B635">
        <v>-194.9</v>
      </c>
      <c r="C635">
        <v>236.9</v>
      </c>
      <c r="E635">
        <v>21.094</v>
      </c>
      <c r="F635">
        <v>-195.9</v>
      </c>
      <c r="G635">
        <v>236.9</v>
      </c>
      <c r="I635">
        <f t="shared" si="27"/>
        <v>21.05</v>
      </c>
      <c r="J635">
        <f t="shared" si="29"/>
        <v>7.09999999999999</v>
      </c>
      <c r="K635">
        <f t="shared" si="28"/>
        <v>5</v>
      </c>
    </row>
    <row r="636" spans="1:11">
      <c r="A636">
        <v>21.161</v>
      </c>
      <c r="B636">
        <v>-194.2</v>
      </c>
      <c r="C636">
        <v>237</v>
      </c>
      <c r="E636">
        <v>21.128</v>
      </c>
      <c r="F636">
        <v>-194.9</v>
      </c>
      <c r="G636">
        <v>236.9</v>
      </c>
      <c r="I636">
        <f t="shared" si="27"/>
        <v>21.1</v>
      </c>
      <c r="J636">
        <f t="shared" si="29"/>
        <v>8.09999999999999</v>
      </c>
      <c r="K636">
        <f t="shared" si="28"/>
        <v>5</v>
      </c>
    </row>
    <row r="637" spans="1:11">
      <c r="A637">
        <v>21.195</v>
      </c>
      <c r="B637">
        <v>-193.7</v>
      </c>
      <c r="C637">
        <v>237</v>
      </c>
      <c r="E637">
        <v>21.161</v>
      </c>
      <c r="F637">
        <v>-194.2</v>
      </c>
      <c r="G637">
        <v>237</v>
      </c>
      <c r="I637">
        <f t="shared" si="27"/>
        <v>21.15</v>
      </c>
      <c r="J637">
        <f t="shared" si="29"/>
        <v>8.80000000000001</v>
      </c>
      <c r="K637">
        <f t="shared" si="28"/>
        <v>5</v>
      </c>
    </row>
    <row r="638" spans="1:11">
      <c r="A638">
        <v>21.228</v>
      </c>
      <c r="B638">
        <v>-193.4</v>
      </c>
      <c r="C638">
        <v>237.1</v>
      </c>
      <c r="E638">
        <v>21.195</v>
      </c>
      <c r="F638">
        <v>-193.7</v>
      </c>
      <c r="G638">
        <v>237</v>
      </c>
      <c r="I638">
        <f t="shared" si="27"/>
        <v>21.15</v>
      </c>
      <c r="J638">
        <f t="shared" si="29"/>
        <v>9.30000000000001</v>
      </c>
      <c r="K638">
        <f t="shared" si="28"/>
        <v>5</v>
      </c>
    </row>
    <row r="639" spans="1:11">
      <c r="A639">
        <v>21.262</v>
      </c>
      <c r="B639">
        <v>-193.5</v>
      </c>
      <c r="C639">
        <v>237.1</v>
      </c>
      <c r="E639">
        <v>21.228</v>
      </c>
      <c r="F639">
        <v>-193.4</v>
      </c>
      <c r="G639">
        <v>237.1</v>
      </c>
      <c r="I639">
        <f t="shared" si="27"/>
        <v>21.2</v>
      </c>
      <c r="J639">
        <f t="shared" si="29"/>
        <v>9.59999999999999</v>
      </c>
      <c r="K639">
        <f t="shared" si="28"/>
        <v>5</v>
      </c>
    </row>
    <row r="640" spans="1:11">
      <c r="A640">
        <v>21.295</v>
      </c>
      <c r="B640">
        <v>-193.5</v>
      </c>
      <c r="C640">
        <v>237.1</v>
      </c>
      <c r="E640">
        <v>21.262</v>
      </c>
      <c r="F640">
        <v>-193.5</v>
      </c>
      <c r="G640">
        <v>237.1</v>
      </c>
      <c r="I640">
        <f t="shared" si="27"/>
        <v>21.25</v>
      </c>
      <c r="J640">
        <f t="shared" si="29"/>
        <v>9.5</v>
      </c>
      <c r="K640">
        <f t="shared" si="28"/>
        <v>5</v>
      </c>
    </row>
    <row r="641" spans="1:11">
      <c r="A641">
        <v>21.328</v>
      </c>
      <c r="B641">
        <v>-193.8</v>
      </c>
      <c r="C641">
        <v>236.9</v>
      </c>
      <c r="E641">
        <v>21.295</v>
      </c>
      <c r="F641">
        <v>-193.5</v>
      </c>
      <c r="G641">
        <v>237.1</v>
      </c>
      <c r="I641">
        <f t="shared" si="27"/>
        <v>21.25</v>
      </c>
      <c r="J641">
        <f t="shared" si="29"/>
        <v>9.5</v>
      </c>
      <c r="K641">
        <f t="shared" si="28"/>
        <v>5</v>
      </c>
    </row>
    <row r="642" spans="1:11">
      <c r="A642">
        <v>21.362</v>
      </c>
      <c r="B642">
        <v>-194</v>
      </c>
      <c r="C642">
        <v>100.2</v>
      </c>
      <c r="E642">
        <v>21.328</v>
      </c>
      <c r="F642">
        <v>-193.8</v>
      </c>
      <c r="G642">
        <v>236.9</v>
      </c>
      <c r="I642">
        <f t="shared" si="27"/>
        <v>21.3</v>
      </c>
      <c r="J642">
        <f t="shared" si="29"/>
        <v>9.19999999999999</v>
      </c>
      <c r="K642">
        <f t="shared" si="28"/>
        <v>5</v>
      </c>
    </row>
    <row r="643" spans="1:11">
      <c r="A643">
        <v>21.395</v>
      </c>
      <c r="B643">
        <v>-194.8</v>
      </c>
      <c r="C643">
        <v>114.3</v>
      </c>
      <c r="E643">
        <v>21.362</v>
      </c>
      <c r="F643">
        <v>-194</v>
      </c>
      <c r="G643">
        <v>100.2</v>
      </c>
      <c r="I643">
        <f t="shared" si="27"/>
        <v>21.35</v>
      </c>
      <c r="J643">
        <f t="shared" si="29"/>
        <v>9</v>
      </c>
      <c r="K643">
        <f t="shared" si="28"/>
        <v>0</v>
      </c>
    </row>
    <row r="644" spans="1:11">
      <c r="A644">
        <v>21.429</v>
      </c>
      <c r="B644">
        <v>-195.7</v>
      </c>
      <c r="C644">
        <v>111.6</v>
      </c>
      <c r="E644">
        <v>21.395</v>
      </c>
      <c r="F644">
        <v>-194.8</v>
      </c>
      <c r="G644">
        <v>114.3</v>
      </c>
      <c r="I644">
        <f t="shared" ref="I644:I667" si="30">FLOOR(E644,0.05)</f>
        <v>21.35</v>
      </c>
      <c r="J644">
        <f t="shared" si="29"/>
        <v>8.19999999999999</v>
      </c>
      <c r="K644">
        <f t="shared" ref="K644:K667" si="31">IF(G644&lt;230,0,5)</f>
        <v>0</v>
      </c>
    </row>
    <row r="645" spans="1:11">
      <c r="A645">
        <v>21.462</v>
      </c>
      <c r="B645">
        <v>-196.6</v>
      </c>
      <c r="C645">
        <v>110.2</v>
      </c>
      <c r="E645">
        <v>21.429</v>
      </c>
      <c r="F645">
        <v>-195.7</v>
      </c>
      <c r="G645">
        <v>111.6</v>
      </c>
      <c r="I645">
        <f t="shared" si="30"/>
        <v>21.4</v>
      </c>
      <c r="J645">
        <f t="shared" ref="J645:J708" si="32">F645+203</f>
        <v>7.30000000000001</v>
      </c>
      <c r="K645">
        <f t="shared" si="31"/>
        <v>0</v>
      </c>
    </row>
    <row r="646" spans="1:11">
      <c r="A646">
        <v>21.496</v>
      </c>
      <c r="B646">
        <v>-198.5</v>
      </c>
      <c r="C646">
        <v>106.7</v>
      </c>
      <c r="E646">
        <v>21.462</v>
      </c>
      <c r="F646">
        <v>-196.6</v>
      </c>
      <c r="G646">
        <v>110.2</v>
      </c>
      <c r="I646">
        <f t="shared" si="30"/>
        <v>21.45</v>
      </c>
      <c r="J646">
        <f t="shared" si="32"/>
        <v>6.40000000000001</v>
      </c>
      <c r="K646">
        <f t="shared" si="31"/>
        <v>0</v>
      </c>
    </row>
    <row r="647" spans="1:11">
      <c r="A647">
        <v>21.529</v>
      </c>
      <c r="B647">
        <v>-199.9</v>
      </c>
      <c r="C647">
        <v>104.8</v>
      </c>
      <c r="E647">
        <v>21.496</v>
      </c>
      <c r="F647">
        <v>-198.5</v>
      </c>
      <c r="G647">
        <v>106.7</v>
      </c>
      <c r="I647">
        <f t="shared" si="30"/>
        <v>21.45</v>
      </c>
      <c r="J647">
        <f t="shared" si="32"/>
        <v>4.5</v>
      </c>
      <c r="K647">
        <f t="shared" si="31"/>
        <v>0</v>
      </c>
    </row>
    <row r="648" spans="1:11">
      <c r="A648">
        <v>21.562</v>
      </c>
      <c r="B648">
        <v>-201.4</v>
      </c>
      <c r="C648">
        <v>103.3</v>
      </c>
      <c r="E648">
        <v>21.529</v>
      </c>
      <c r="F648">
        <v>-199.9</v>
      </c>
      <c r="G648">
        <v>104.8</v>
      </c>
      <c r="I648">
        <f t="shared" si="30"/>
        <v>21.5</v>
      </c>
      <c r="J648">
        <f t="shared" si="32"/>
        <v>3.09999999999999</v>
      </c>
      <c r="K648">
        <f t="shared" si="31"/>
        <v>0</v>
      </c>
    </row>
    <row r="649" spans="1:11">
      <c r="A649">
        <v>21.596</v>
      </c>
      <c r="B649">
        <v>-202.9</v>
      </c>
      <c r="C649">
        <v>101</v>
      </c>
      <c r="E649">
        <v>21.562</v>
      </c>
      <c r="F649">
        <v>-201.4</v>
      </c>
      <c r="G649">
        <v>103.3</v>
      </c>
      <c r="I649">
        <f t="shared" si="30"/>
        <v>21.55</v>
      </c>
      <c r="J649">
        <f t="shared" si="32"/>
        <v>1.59999999999999</v>
      </c>
      <c r="K649">
        <f t="shared" si="31"/>
        <v>0</v>
      </c>
    </row>
    <row r="650" spans="1:11">
      <c r="A650">
        <v>21.629</v>
      </c>
      <c r="B650">
        <v>-204</v>
      </c>
      <c r="C650">
        <v>99</v>
      </c>
      <c r="E650">
        <v>21.596</v>
      </c>
      <c r="F650">
        <v>-202.9</v>
      </c>
      <c r="G650">
        <v>101</v>
      </c>
      <c r="I650">
        <f t="shared" si="30"/>
        <v>21.55</v>
      </c>
      <c r="J650">
        <f t="shared" si="32"/>
        <v>0.0999999999999943</v>
      </c>
      <c r="K650">
        <f t="shared" si="31"/>
        <v>0</v>
      </c>
    </row>
    <row r="651" spans="1:11">
      <c r="A651">
        <v>21.663</v>
      </c>
      <c r="B651">
        <v>-205.4</v>
      </c>
      <c r="C651">
        <v>96.6</v>
      </c>
      <c r="E651">
        <v>21.629</v>
      </c>
      <c r="F651">
        <v>-204</v>
      </c>
      <c r="G651">
        <v>99</v>
      </c>
      <c r="I651">
        <f t="shared" si="30"/>
        <v>21.6</v>
      </c>
      <c r="J651">
        <f t="shared" si="32"/>
        <v>-1</v>
      </c>
      <c r="K651">
        <f t="shared" si="31"/>
        <v>0</v>
      </c>
    </row>
    <row r="652" spans="1:11">
      <c r="A652">
        <v>21.696</v>
      </c>
      <c r="B652">
        <v>-207</v>
      </c>
      <c r="C652">
        <v>95.7</v>
      </c>
      <c r="E652">
        <v>21.663</v>
      </c>
      <c r="F652">
        <v>-205.4</v>
      </c>
      <c r="G652">
        <v>96.6</v>
      </c>
      <c r="I652">
        <f t="shared" si="30"/>
        <v>21.65</v>
      </c>
      <c r="J652">
        <f t="shared" si="32"/>
        <v>-2.40000000000001</v>
      </c>
      <c r="K652">
        <f t="shared" si="31"/>
        <v>0</v>
      </c>
    </row>
    <row r="653" spans="1:11">
      <c r="A653">
        <v>21.73</v>
      </c>
      <c r="B653">
        <v>-208.2</v>
      </c>
      <c r="C653">
        <v>93.1</v>
      </c>
      <c r="E653">
        <v>21.696</v>
      </c>
      <c r="F653">
        <v>-207</v>
      </c>
      <c r="G653">
        <v>95.7</v>
      </c>
      <c r="I653">
        <f t="shared" si="30"/>
        <v>21.65</v>
      </c>
      <c r="J653">
        <f t="shared" si="32"/>
        <v>-4</v>
      </c>
      <c r="K653">
        <f t="shared" si="31"/>
        <v>0</v>
      </c>
    </row>
    <row r="654" spans="1:11">
      <c r="A654">
        <v>21.763</v>
      </c>
      <c r="B654">
        <v>-209.5</v>
      </c>
      <c r="C654">
        <v>91.5</v>
      </c>
      <c r="E654">
        <v>21.73</v>
      </c>
      <c r="F654">
        <v>-208.2</v>
      </c>
      <c r="G654">
        <v>93.1</v>
      </c>
      <c r="I654">
        <f t="shared" si="30"/>
        <v>21.7</v>
      </c>
      <c r="J654">
        <f t="shared" si="32"/>
        <v>-5.19999999999999</v>
      </c>
      <c r="K654">
        <f t="shared" si="31"/>
        <v>0</v>
      </c>
    </row>
    <row r="655" spans="1:11">
      <c r="A655">
        <v>21.796</v>
      </c>
      <c r="B655">
        <v>-210.4</v>
      </c>
      <c r="C655">
        <v>90.3</v>
      </c>
      <c r="E655">
        <v>21.763</v>
      </c>
      <c r="F655">
        <v>-209.5</v>
      </c>
      <c r="G655">
        <v>91.5</v>
      </c>
      <c r="I655">
        <f t="shared" si="30"/>
        <v>21.75</v>
      </c>
      <c r="J655">
        <f t="shared" si="32"/>
        <v>-6.5</v>
      </c>
      <c r="K655">
        <f t="shared" si="31"/>
        <v>0</v>
      </c>
    </row>
    <row r="656" spans="1:11">
      <c r="A656">
        <v>21.83</v>
      </c>
      <c r="B656">
        <v>-211.7</v>
      </c>
      <c r="C656">
        <v>88.2</v>
      </c>
      <c r="E656">
        <v>21.796</v>
      </c>
      <c r="F656">
        <v>-210.4</v>
      </c>
      <c r="G656">
        <v>90.3</v>
      </c>
      <c r="I656">
        <f t="shared" si="30"/>
        <v>21.75</v>
      </c>
      <c r="J656">
        <f t="shared" si="32"/>
        <v>-7.40000000000001</v>
      </c>
      <c r="K656">
        <f t="shared" si="31"/>
        <v>0</v>
      </c>
    </row>
    <row r="657" spans="1:11">
      <c r="A657">
        <v>21.863</v>
      </c>
      <c r="B657">
        <v>-212.6</v>
      </c>
      <c r="C657">
        <v>85.9</v>
      </c>
      <c r="E657">
        <v>21.83</v>
      </c>
      <c r="F657">
        <v>-211.7</v>
      </c>
      <c r="G657">
        <v>88.2</v>
      </c>
      <c r="I657">
        <f t="shared" si="30"/>
        <v>21.8</v>
      </c>
      <c r="J657">
        <f t="shared" si="32"/>
        <v>-8.69999999999999</v>
      </c>
      <c r="K657">
        <f t="shared" si="31"/>
        <v>0</v>
      </c>
    </row>
    <row r="658" spans="1:11">
      <c r="A658">
        <v>21.897</v>
      </c>
      <c r="B658">
        <v>-213.7</v>
      </c>
      <c r="C658">
        <v>84.3</v>
      </c>
      <c r="E658">
        <v>21.863</v>
      </c>
      <c r="F658">
        <v>-212.6</v>
      </c>
      <c r="G658">
        <v>85.9</v>
      </c>
      <c r="I658">
        <f t="shared" si="30"/>
        <v>21.85</v>
      </c>
      <c r="J658">
        <f t="shared" si="32"/>
        <v>-9.59999999999999</v>
      </c>
      <c r="K658">
        <f t="shared" si="31"/>
        <v>0</v>
      </c>
    </row>
    <row r="659" spans="1:11">
      <c r="A659">
        <v>21.93</v>
      </c>
      <c r="B659">
        <v>-214.5</v>
      </c>
      <c r="C659">
        <v>82.6</v>
      </c>
      <c r="E659">
        <v>21.897</v>
      </c>
      <c r="F659">
        <v>-213.7</v>
      </c>
      <c r="G659">
        <v>84.3</v>
      </c>
      <c r="I659">
        <f t="shared" si="30"/>
        <v>21.85</v>
      </c>
      <c r="J659">
        <f t="shared" si="32"/>
        <v>-10.7</v>
      </c>
      <c r="K659">
        <f t="shared" si="31"/>
        <v>0</v>
      </c>
    </row>
    <row r="660" spans="1:11">
      <c r="A660">
        <v>21.964</v>
      </c>
      <c r="B660">
        <v>-214.8</v>
      </c>
      <c r="C660">
        <v>81.6</v>
      </c>
      <c r="E660">
        <v>21.93</v>
      </c>
      <c r="F660">
        <v>-214.5</v>
      </c>
      <c r="G660">
        <v>82.6</v>
      </c>
      <c r="I660">
        <f t="shared" si="30"/>
        <v>21.9</v>
      </c>
      <c r="J660">
        <f t="shared" si="32"/>
        <v>-11.5</v>
      </c>
      <c r="K660">
        <f t="shared" si="31"/>
        <v>0</v>
      </c>
    </row>
    <row r="661" spans="1:11">
      <c r="A661">
        <v>21.997</v>
      </c>
      <c r="B661">
        <v>-214.9</v>
      </c>
      <c r="C661">
        <v>80</v>
      </c>
      <c r="E661">
        <v>21.964</v>
      </c>
      <c r="F661">
        <v>-214.8</v>
      </c>
      <c r="G661">
        <v>81.6</v>
      </c>
      <c r="I661">
        <f t="shared" si="30"/>
        <v>21.95</v>
      </c>
      <c r="J661">
        <f t="shared" si="32"/>
        <v>-11.8</v>
      </c>
      <c r="K661">
        <f t="shared" si="31"/>
        <v>0</v>
      </c>
    </row>
    <row r="662" spans="1:11">
      <c r="A662">
        <v>22.031</v>
      </c>
      <c r="B662">
        <v>-214.9</v>
      </c>
      <c r="C662">
        <v>79.3</v>
      </c>
      <c r="E662">
        <v>21.997</v>
      </c>
      <c r="F662">
        <v>-214.9</v>
      </c>
      <c r="G662">
        <v>80</v>
      </c>
      <c r="I662">
        <f t="shared" si="30"/>
        <v>21.95</v>
      </c>
      <c r="J662">
        <f t="shared" si="32"/>
        <v>-11.9</v>
      </c>
      <c r="K662">
        <f t="shared" si="31"/>
        <v>0</v>
      </c>
    </row>
    <row r="663" spans="1:11">
      <c r="A663">
        <v>22.064</v>
      </c>
      <c r="B663">
        <v>-214.7</v>
      </c>
      <c r="C663">
        <v>76.4</v>
      </c>
      <c r="E663">
        <v>22.031</v>
      </c>
      <c r="F663">
        <v>-214.9</v>
      </c>
      <c r="G663">
        <v>79.3</v>
      </c>
      <c r="I663">
        <f t="shared" si="30"/>
        <v>22</v>
      </c>
      <c r="J663">
        <f t="shared" si="32"/>
        <v>-11.9</v>
      </c>
      <c r="K663">
        <f t="shared" si="31"/>
        <v>0</v>
      </c>
    </row>
    <row r="664" spans="1:11">
      <c r="A664">
        <v>22.097</v>
      </c>
      <c r="B664">
        <v>-214.5</v>
      </c>
      <c r="C664">
        <v>229.6</v>
      </c>
      <c r="E664">
        <v>22.064</v>
      </c>
      <c r="F664">
        <v>-214.7</v>
      </c>
      <c r="G664">
        <v>76.4</v>
      </c>
      <c r="I664">
        <f t="shared" si="30"/>
        <v>22.05</v>
      </c>
      <c r="J664">
        <f t="shared" si="32"/>
        <v>-11.7</v>
      </c>
      <c r="K664">
        <f t="shared" si="31"/>
        <v>0</v>
      </c>
    </row>
    <row r="665" spans="1:11">
      <c r="A665">
        <v>22.131</v>
      </c>
      <c r="B665">
        <v>-214</v>
      </c>
      <c r="C665">
        <v>236.7</v>
      </c>
      <c r="E665">
        <v>22.097</v>
      </c>
      <c r="F665">
        <v>-214.5</v>
      </c>
      <c r="G665">
        <v>229.6</v>
      </c>
      <c r="I665">
        <f t="shared" si="30"/>
        <v>22.05</v>
      </c>
      <c r="J665">
        <f t="shared" si="32"/>
        <v>-11.5</v>
      </c>
      <c r="K665">
        <f t="shared" si="31"/>
        <v>0</v>
      </c>
    </row>
    <row r="666" spans="1:11">
      <c r="A666">
        <v>22.164</v>
      </c>
      <c r="B666">
        <v>-213.3</v>
      </c>
      <c r="C666">
        <v>236.7</v>
      </c>
      <c r="E666">
        <v>22.131</v>
      </c>
      <c r="F666">
        <v>-214</v>
      </c>
      <c r="G666">
        <v>236.7</v>
      </c>
      <c r="I666">
        <f t="shared" si="30"/>
        <v>22.1</v>
      </c>
      <c r="J666">
        <f t="shared" si="32"/>
        <v>-11</v>
      </c>
      <c r="K666">
        <f t="shared" si="31"/>
        <v>5</v>
      </c>
    </row>
    <row r="667" spans="1:11">
      <c r="A667">
        <v>22.198</v>
      </c>
      <c r="B667">
        <v>-212.5</v>
      </c>
      <c r="C667">
        <v>236.9</v>
      </c>
      <c r="E667">
        <v>22.164</v>
      </c>
      <c r="F667">
        <v>-213.3</v>
      </c>
      <c r="G667">
        <v>236.7</v>
      </c>
      <c r="I667">
        <f t="shared" si="30"/>
        <v>22.15</v>
      </c>
      <c r="J667">
        <f t="shared" si="32"/>
        <v>-10.3</v>
      </c>
      <c r="K667">
        <f t="shared" si="31"/>
        <v>5</v>
      </c>
    </row>
    <row r="668" spans="1:11">
      <c r="A668">
        <v>22.231</v>
      </c>
      <c r="B668">
        <v>-211.1</v>
      </c>
      <c r="C668">
        <v>236.8</v>
      </c>
      <c r="E668">
        <v>22.198</v>
      </c>
      <c r="F668">
        <v>-212.5</v>
      </c>
      <c r="G668">
        <v>236.9</v>
      </c>
      <c r="I668">
        <f t="shared" ref="I668:I731" si="33">FLOOR(E668,0.05)</f>
        <v>22.15</v>
      </c>
      <c r="J668">
        <f t="shared" si="32"/>
        <v>-9.5</v>
      </c>
      <c r="K668">
        <f t="shared" ref="K668:K731" si="34">IF(G668&lt;230,0,5)</f>
        <v>5</v>
      </c>
    </row>
    <row r="669" spans="1:11">
      <c r="A669">
        <v>22.265</v>
      </c>
      <c r="B669">
        <v>-209.9</v>
      </c>
      <c r="C669">
        <v>236.9</v>
      </c>
      <c r="E669">
        <v>22.231</v>
      </c>
      <c r="F669">
        <v>-211.1</v>
      </c>
      <c r="G669">
        <v>236.8</v>
      </c>
      <c r="I669">
        <f t="shared" si="33"/>
        <v>22.2</v>
      </c>
      <c r="J669">
        <f t="shared" si="32"/>
        <v>-8.09999999999999</v>
      </c>
      <c r="K669">
        <f t="shared" si="34"/>
        <v>5</v>
      </c>
    </row>
    <row r="670" spans="1:11">
      <c r="A670">
        <v>22.298</v>
      </c>
      <c r="B670">
        <v>-208.3</v>
      </c>
      <c r="C670">
        <v>236.9</v>
      </c>
      <c r="E670">
        <v>22.265</v>
      </c>
      <c r="F670">
        <v>-209.9</v>
      </c>
      <c r="G670">
        <v>236.9</v>
      </c>
      <c r="I670">
        <f t="shared" si="33"/>
        <v>22.25</v>
      </c>
      <c r="J670">
        <f t="shared" si="32"/>
        <v>-6.90000000000001</v>
      </c>
      <c r="K670">
        <f t="shared" si="34"/>
        <v>5</v>
      </c>
    </row>
    <row r="671" spans="1:11">
      <c r="A671">
        <v>22.331</v>
      </c>
      <c r="B671">
        <v>-206.5</v>
      </c>
      <c r="C671">
        <v>236.9</v>
      </c>
      <c r="E671">
        <v>22.298</v>
      </c>
      <c r="F671">
        <v>-208.3</v>
      </c>
      <c r="G671">
        <v>236.9</v>
      </c>
      <c r="I671">
        <f t="shared" si="33"/>
        <v>22.25</v>
      </c>
      <c r="J671">
        <f t="shared" si="32"/>
        <v>-5.30000000000001</v>
      </c>
      <c r="K671">
        <f t="shared" si="34"/>
        <v>5</v>
      </c>
    </row>
    <row r="672" spans="1:11">
      <c r="A672">
        <v>22.365</v>
      </c>
      <c r="B672">
        <v>-205.2</v>
      </c>
      <c r="C672">
        <v>236.8</v>
      </c>
      <c r="E672">
        <v>22.331</v>
      </c>
      <c r="F672">
        <v>-206.5</v>
      </c>
      <c r="G672">
        <v>236.9</v>
      </c>
      <c r="I672">
        <f t="shared" si="33"/>
        <v>22.3</v>
      </c>
      <c r="J672">
        <f t="shared" si="32"/>
        <v>-3.5</v>
      </c>
      <c r="K672">
        <f t="shared" si="34"/>
        <v>5</v>
      </c>
    </row>
    <row r="673" spans="1:11">
      <c r="A673">
        <v>22.398</v>
      </c>
      <c r="B673">
        <v>-203.8</v>
      </c>
      <c r="C673">
        <v>236.8</v>
      </c>
      <c r="E673">
        <v>22.365</v>
      </c>
      <c r="F673">
        <v>-205.2</v>
      </c>
      <c r="G673">
        <v>236.8</v>
      </c>
      <c r="I673">
        <f t="shared" si="33"/>
        <v>22.35</v>
      </c>
      <c r="J673">
        <f t="shared" si="32"/>
        <v>-2.19999999999999</v>
      </c>
      <c r="K673">
        <f t="shared" si="34"/>
        <v>5</v>
      </c>
    </row>
    <row r="674" spans="1:11">
      <c r="A674">
        <v>22.432</v>
      </c>
      <c r="B674">
        <v>-202.8</v>
      </c>
      <c r="C674">
        <v>236.7</v>
      </c>
      <c r="E674">
        <v>22.398</v>
      </c>
      <c r="F674">
        <v>-203.8</v>
      </c>
      <c r="G674">
        <v>236.8</v>
      </c>
      <c r="I674">
        <f t="shared" si="33"/>
        <v>22.35</v>
      </c>
      <c r="J674">
        <f t="shared" si="32"/>
        <v>-0.800000000000011</v>
      </c>
      <c r="K674">
        <f t="shared" si="34"/>
        <v>5</v>
      </c>
    </row>
    <row r="675" spans="1:11">
      <c r="A675">
        <v>22.465</v>
      </c>
      <c r="B675">
        <v>-200.9</v>
      </c>
      <c r="C675">
        <v>236.8</v>
      </c>
      <c r="E675">
        <v>22.432</v>
      </c>
      <c r="F675">
        <v>-202.8</v>
      </c>
      <c r="G675">
        <v>236.7</v>
      </c>
      <c r="I675">
        <f t="shared" si="33"/>
        <v>22.4</v>
      </c>
      <c r="J675">
        <f t="shared" si="32"/>
        <v>0.199999999999989</v>
      </c>
      <c r="K675">
        <f t="shared" si="34"/>
        <v>5</v>
      </c>
    </row>
    <row r="676" spans="1:11">
      <c r="A676">
        <v>22.499</v>
      </c>
      <c r="B676">
        <v>-199.3</v>
      </c>
      <c r="C676">
        <v>236.9</v>
      </c>
      <c r="E676">
        <v>22.465</v>
      </c>
      <c r="F676">
        <v>-200.9</v>
      </c>
      <c r="G676">
        <v>236.8</v>
      </c>
      <c r="I676">
        <f t="shared" si="33"/>
        <v>22.45</v>
      </c>
      <c r="J676">
        <f t="shared" si="32"/>
        <v>2.09999999999999</v>
      </c>
      <c r="K676">
        <f t="shared" si="34"/>
        <v>5</v>
      </c>
    </row>
    <row r="677" spans="1:11">
      <c r="A677">
        <v>22.532</v>
      </c>
      <c r="B677">
        <v>-197.7</v>
      </c>
      <c r="C677">
        <v>236.8</v>
      </c>
      <c r="E677">
        <v>22.499</v>
      </c>
      <c r="F677">
        <v>-199.3</v>
      </c>
      <c r="G677">
        <v>236.9</v>
      </c>
      <c r="I677">
        <f t="shared" si="33"/>
        <v>22.45</v>
      </c>
      <c r="J677">
        <f t="shared" si="32"/>
        <v>3.69999999999999</v>
      </c>
      <c r="K677">
        <f t="shared" si="34"/>
        <v>5</v>
      </c>
    </row>
    <row r="678" spans="1:11">
      <c r="A678">
        <v>22.565</v>
      </c>
      <c r="B678">
        <v>-196.6</v>
      </c>
      <c r="C678">
        <v>236.8</v>
      </c>
      <c r="E678">
        <v>22.532</v>
      </c>
      <c r="F678">
        <v>-197.7</v>
      </c>
      <c r="G678">
        <v>236.8</v>
      </c>
      <c r="I678">
        <f t="shared" si="33"/>
        <v>22.5</v>
      </c>
      <c r="J678">
        <f t="shared" si="32"/>
        <v>5.30000000000001</v>
      </c>
      <c r="K678">
        <f t="shared" si="34"/>
        <v>5</v>
      </c>
    </row>
    <row r="679" spans="1:11">
      <c r="A679">
        <v>22.599</v>
      </c>
      <c r="B679">
        <v>-195.8</v>
      </c>
      <c r="C679">
        <v>236.8</v>
      </c>
      <c r="E679">
        <v>22.565</v>
      </c>
      <c r="F679">
        <v>-196.6</v>
      </c>
      <c r="G679">
        <v>236.8</v>
      </c>
      <c r="I679">
        <f t="shared" si="33"/>
        <v>22.55</v>
      </c>
      <c r="J679">
        <f t="shared" si="32"/>
        <v>6.40000000000001</v>
      </c>
      <c r="K679">
        <f t="shared" si="34"/>
        <v>5</v>
      </c>
    </row>
    <row r="680" spans="1:11">
      <c r="A680">
        <v>22.632</v>
      </c>
      <c r="B680">
        <v>-194.8</v>
      </c>
      <c r="C680">
        <v>236.8</v>
      </c>
      <c r="E680">
        <v>22.599</v>
      </c>
      <c r="F680">
        <v>-195.8</v>
      </c>
      <c r="G680">
        <v>236.8</v>
      </c>
      <c r="I680">
        <f t="shared" si="33"/>
        <v>22.55</v>
      </c>
      <c r="J680">
        <f t="shared" si="32"/>
        <v>7.19999999999999</v>
      </c>
      <c r="K680">
        <f t="shared" si="34"/>
        <v>5</v>
      </c>
    </row>
    <row r="681" spans="1:11">
      <c r="A681">
        <v>22.666</v>
      </c>
      <c r="B681">
        <v>-194</v>
      </c>
      <c r="C681">
        <v>236.9</v>
      </c>
      <c r="E681">
        <v>22.632</v>
      </c>
      <c r="F681">
        <v>-194.8</v>
      </c>
      <c r="G681">
        <v>236.8</v>
      </c>
      <c r="I681">
        <f t="shared" si="33"/>
        <v>22.6</v>
      </c>
      <c r="J681">
        <f t="shared" si="32"/>
        <v>8.19999999999999</v>
      </c>
      <c r="K681">
        <f t="shared" si="34"/>
        <v>5</v>
      </c>
    </row>
    <row r="682" spans="1:11">
      <c r="A682">
        <v>22.699</v>
      </c>
      <c r="B682">
        <v>-193.6</v>
      </c>
      <c r="C682">
        <v>237</v>
      </c>
      <c r="E682">
        <v>22.666</v>
      </c>
      <c r="F682">
        <v>-194</v>
      </c>
      <c r="G682">
        <v>236.9</v>
      </c>
      <c r="I682">
        <f t="shared" si="33"/>
        <v>22.65</v>
      </c>
      <c r="J682">
        <f t="shared" si="32"/>
        <v>9</v>
      </c>
      <c r="K682">
        <f t="shared" si="34"/>
        <v>5</v>
      </c>
    </row>
    <row r="683" spans="1:11">
      <c r="A683">
        <v>22.733</v>
      </c>
      <c r="B683">
        <v>-193.3</v>
      </c>
      <c r="C683">
        <v>237.1</v>
      </c>
      <c r="E683">
        <v>22.699</v>
      </c>
      <c r="F683">
        <v>-193.6</v>
      </c>
      <c r="G683">
        <v>237</v>
      </c>
      <c r="I683">
        <f t="shared" si="33"/>
        <v>22.65</v>
      </c>
      <c r="J683">
        <f t="shared" si="32"/>
        <v>9.40000000000001</v>
      </c>
      <c r="K683">
        <f t="shared" si="34"/>
        <v>5</v>
      </c>
    </row>
    <row r="684" spans="1:11">
      <c r="A684">
        <v>22.766</v>
      </c>
      <c r="B684">
        <v>-193.4</v>
      </c>
      <c r="C684">
        <v>237.1</v>
      </c>
      <c r="E684">
        <v>22.733</v>
      </c>
      <c r="F684">
        <v>-193.3</v>
      </c>
      <c r="G684">
        <v>237.1</v>
      </c>
      <c r="I684">
        <f t="shared" si="33"/>
        <v>22.7</v>
      </c>
      <c r="J684">
        <f t="shared" si="32"/>
        <v>9.69999999999999</v>
      </c>
      <c r="K684">
        <f t="shared" si="34"/>
        <v>5</v>
      </c>
    </row>
    <row r="685" spans="1:11">
      <c r="A685">
        <v>22.799</v>
      </c>
      <c r="B685">
        <v>-193.5</v>
      </c>
      <c r="C685">
        <v>237</v>
      </c>
      <c r="E685">
        <v>22.766</v>
      </c>
      <c r="F685">
        <v>-193.4</v>
      </c>
      <c r="G685">
        <v>237.1</v>
      </c>
      <c r="I685">
        <f t="shared" si="33"/>
        <v>22.75</v>
      </c>
      <c r="J685">
        <f t="shared" si="32"/>
        <v>9.59999999999999</v>
      </c>
      <c r="K685">
        <f t="shared" si="34"/>
        <v>5</v>
      </c>
    </row>
    <row r="686" spans="1:11">
      <c r="A686">
        <v>22.833</v>
      </c>
      <c r="B686">
        <v>-193.7</v>
      </c>
      <c r="C686">
        <v>235.1</v>
      </c>
      <c r="E686">
        <v>22.799</v>
      </c>
      <c r="F686">
        <v>-193.5</v>
      </c>
      <c r="G686">
        <v>237</v>
      </c>
      <c r="I686">
        <f t="shared" si="33"/>
        <v>22.75</v>
      </c>
      <c r="J686">
        <f t="shared" si="32"/>
        <v>9.5</v>
      </c>
      <c r="K686">
        <f t="shared" si="34"/>
        <v>5</v>
      </c>
    </row>
    <row r="687" spans="1:11">
      <c r="A687">
        <v>22.866</v>
      </c>
      <c r="B687">
        <v>-193.9</v>
      </c>
      <c r="C687">
        <v>98.3</v>
      </c>
      <c r="E687">
        <v>22.833</v>
      </c>
      <c r="F687">
        <v>-193.7</v>
      </c>
      <c r="G687">
        <v>235.1</v>
      </c>
      <c r="I687">
        <f t="shared" si="33"/>
        <v>22.8</v>
      </c>
      <c r="J687">
        <f t="shared" si="32"/>
        <v>9.30000000000001</v>
      </c>
      <c r="K687">
        <f t="shared" si="34"/>
        <v>5</v>
      </c>
    </row>
    <row r="688" spans="1:11">
      <c r="A688">
        <v>22.9</v>
      </c>
      <c r="B688">
        <v>-194.5</v>
      </c>
      <c r="C688">
        <v>114.7</v>
      </c>
      <c r="E688">
        <v>22.866</v>
      </c>
      <c r="F688">
        <v>-193.9</v>
      </c>
      <c r="G688">
        <v>98.3</v>
      </c>
      <c r="I688">
        <f t="shared" si="33"/>
        <v>22.85</v>
      </c>
      <c r="J688">
        <f t="shared" si="32"/>
        <v>9.09999999999999</v>
      </c>
      <c r="K688">
        <f t="shared" si="34"/>
        <v>0</v>
      </c>
    </row>
    <row r="689" spans="1:11">
      <c r="A689">
        <v>22.933</v>
      </c>
      <c r="B689">
        <v>-195.5</v>
      </c>
      <c r="C689">
        <v>110.5</v>
      </c>
      <c r="E689">
        <v>22.9</v>
      </c>
      <c r="F689">
        <v>-194.5</v>
      </c>
      <c r="G689">
        <v>114.7</v>
      </c>
      <c r="I689">
        <f t="shared" si="33"/>
        <v>22.9</v>
      </c>
      <c r="J689">
        <f t="shared" si="32"/>
        <v>8.5</v>
      </c>
      <c r="K689">
        <f t="shared" si="34"/>
        <v>0</v>
      </c>
    </row>
    <row r="690" spans="1:11">
      <c r="A690">
        <v>22.967</v>
      </c>
      <c r="B690">
        <v>-196.6</v>
      </c>
      <c r="C690">
        <v>108.8</v>
      </c>
      <c r="E690">
        <v>22.933</v>
      </c>
      <c r="F690">
        <v>-195.5</v>
      </c>
      <c r="G690">
        <v>110.5</v>
      </c>
      <c r="I690">
        <f t="shared" si="33"/>
        <v>22.9</v>
      </c>
      <c r="J690">
        <f t="shared" si="32"/>
        <v>7.5</v>
      </c>
      <c r="K690">
        <f t="shared" si="34"/>
        <v>0</v>
      </c>
    </row>
    <row r="691" spans="1:11">
      <c r="A691">
        <v>23</v>
      </c>
      <c r="B691">
        <v>-198</v>
      </c>
      <c r="C691">
        <v>107.3</v>
      </c>
      <c r="E691">
        <v>22.967</v>
      </c>
      <c r="F691">
        <v>-196.6</v>
      </c>
      <c r="G691">
        <v>108.8</v>
      </c>
      <c r="I691">
        <f t="shared" si="33"/>
        <v>22.95</v>
      </c>
      <c r="J691">
        <f t="shared" si="32"/>
        <v>6.40000000000001</v>
      </c>
      <c r="K691">
        <f t="shared" si="34"/>
        <v>0</v>
      </c>
    </row>
    <row r="692" spans="1:11">
      <c r="A692">
        <v>23.033</v>
      </c>
      <c r="B692">
        <v>-199.4</v>
      </c>
      <c r="C692">
        <v>104.8</v>
      </c>
      <c r="E692">
        <v>23</v>
      </c>
      <c r="F692">
        <v>-198</v>
      </c>
      <c r="G692">
        <v>107.3</v>
      </c>
      <c r="I692">
        <f t="shared" si="33"/>
        <v>23</v>
      </c>
      <c r="J692">
        <f t="shared" si="32"/>
        <v>5</v>
      </c>
      <c r="K692">
        <f t="shared" si="34"/>
        <v>0</v>
      </c>
    </row>
    <row r="693" spans="1:11">
      <c r="A693">
        <v>23.067</v>
      </c>
      <c r="B693">
        <v>-201.6</v>
      </c>
      <c r="C693">
        <v>103.3</v>
      </c>
      <c r="E693">
        <v>23.033</v>
      </c>
      <c r="F693">
        <v>-199.4</v>
      </c>
      <c r="G693">
        <v>104.8</v>
      </c>
      <c r="I693">
        <f t="shared" si="33"/>
        <v>23</v>
      </c>
      <c r="J693">
        <f t="shared" si="32"/>
        <v>3.59999999999999</v>
      </c>
      <c r="K693">
        <f t="shared" si="34"/>
        <v>0</v>
      </c>
    </row>
    <row r="694" spans="1:11">
      <c r="A694">
        <v>23.1</v>
      </c>
      <c r="B694">
        <v>-202.9</v>
      </c>
      <c r="C694">
        <v>100.4</v>
      </c>
      <c r="E694">
        <v>23.067</v>
      </c>
      <c r="F694">
        <v>-201.6</v>
      </c>
      <c r="G694">
        <v>103.3</v>
      </c>
      <c r="I694">
        <f t="shared" si="33"/>
        <v>23.05</v>
      </c>
      <c r="J694">
        <f t="shared" si="32"/>
        <v>1.40000000000001</v>
      </c>
      <c r="K694">
        <f t="shared" si="34"/>
        <v>0</v>
      </c>
    </row>
    <row r="695" spans="1:11">
      <c r="A695">
        <v>23.134</v>
      </c>
      <c r="B695">
        <v>-204.2</v>
      </c>
      <c r="C695">
        <v>98.9</v>
      </c>
      <c r="E695">
        <v>23.1</v>
      </c>
      <c r="F695">
        <v>-202.9</v>
      </c>
      <c r="G695">
        <v>100.4</v>
      </c>
      <c r="I695">
        <f t="shared" si="33"/>
        <v>23.1</v>
      </c>
      <c r="J695">
        <f t="shared" si="32"/>
        <v>0.0999999999999943</v>
      </c>
      <c r="K695">
        <f t="shared" si="34"/>
        <v>0</v>
      </c>
    </row>
    <row r="696" spans="1:11">
      <c r="A696">
        <v>23.167</v>
      </c>
      <c r="B696">
        <v>-205.5</v>
      </c>
      <c r="C696">
        <v>97.8</v>
      </c>
      <c r="E696">
        <v>23.134</v>
      </c>
      <c r="F696">
        <v>-204.2</v>
      </c>
      <c r="G696">
        <v>98.9</v>
      </c>
      <c r="I696">
        <f t="shared" si="33"/>
        <v>23.1</v>
      </c>
      <c r="J696">
        <f t="shared" si="32"/>
        <v>-1.19999999999999</v>
      </c>
      <c r="K696">
        <f t="shared" si="34"/>
        <v>0</v>
      </c>
    </row>
    <row r="697" spans="1:11">
      <c r="A697">
        <v>23.201</v>
      </c>
      <c r="B697">
        <v>-207</v>
      </c>
      <c r="C697">
        <v>94</v>
      </c>
      <c r="E697">
        <v>23.167</v>
      </c>
      <c r="F697">
        <v>-205.5</v>
      </c>
      <c r="G697">
        <v>97.8</v>
      </c>
      <c r="I697">
        <f t="shared" si="33"/>
        <v>23.15</v>
      </c>
      <c r="J697">
        <f t="shared" si="32"/>
        <v>-2.5</v>
      </c>
      <c r="K697">
        <f t="shared" si="34"/>
        <v>0</v>
      </c>
    </row>
    <row r="698" spans="1:11">
      <c r="A698">
        <v>23.234</v>
      </c>
      <c r="B698">
        <v>-208.7</v>
      </c>
      <c r="C698">
        <v>93.5</v>
      </c>
      <c r="E698">
        <v>23.201</v>
      </c>
      <c r="F698">
        <v>-207</v>
      </c>
      <c r="G698">
        <v>94</v>
      </c>
      <c r="I698">
        <f t="shared" si="33"/>
        <v>23.2</v>
      </c>
      <c r="J698">
        <f t="shared" si="32"/>
        <v>-4</v>
      </c>
      <c r="K698">
        <f t="shared" si="34"/>
        <v>0</v>
      </c>
    </row>
    <row r="699" spans="1:11">
      <c r="A699">
        <v>23.267</v>
      </c>
      <c r="B699">
        <v>-210.1</v>
      </c>
      <c r="C699">
        <v>91.3</v>
      </c>
      <c r="E699">
        <v>23.234</v>
      </c>
      <c r="F699">
        <v>-208.7</v>
      </c>
      <c r="G699">
        <v>93.5</v>
      </c>
      <c r="I699">
        <f t="shared" si="33"/>
        <v>23.2</v>
      </c>
      <c r="J699">
        <f t="shared" si="32"/>
        <v>-5.69999999999999</v>
      </c>
      <c r="K699">
        <f t="shared" si="34"/>
        <v>0</v>
      </c>
    </row>
    <row r="700" spans="1:11">
      <c r="A700">
        <v>23.301</v>
      </c>
      <c r="B700">
        <v>-211.1</v>
      </c>
      <c r="C700">
        <v>90.8</v>
      </c>
      <c r="E700">
        <v>23.267</v>
      </c>
      <c r="F700">
        <v>-210.1</v>
      </c>
      <c r="G700">
        <v>91.3</v>
      </c>
      <c r="I700">
        <f t="shared" si="33"/>
        <v>23.25</v>
      </c>
      <c r="J700">
        <f t="shared" si="32"/>
        <v>-7.09999999999999</v>
      </c>
      <c r="K700">
        <f t="shared" si="34"/>
        <v>0</v>
      </c>
    </row>
    <row r="701" spans="1:11">
      <c r="A701">
        <v>23.334</v>
      </c>
      <c r="B701">
        <v>-211.9</v>
      </c>
      <c r="C701">
        <v>88</v>
      </c>
      <c r="E701">
        <v>23.301</v>
      </c>
      <c r="F701">
        <v>-211.1</v>
      </c>
      <c r="G701">
        <v>90.8</v>
      </c>
      <c r="I701">
        <f t="shared" si="33"/>
        <v>23.3</v>
      </c>
      <c r="J701">
        <f t="shared" si="32"/>
        <v>-8.09999999999999</v>
      </c>
      <c r="K701">
        <f t="shared" si="34"/>
        <v>0</v>
      </c>
    </row>
    <row r="702" spans="1:11">
      <c r="A702">
        <v>23.368</v>
      </c>
      <c r="B702">
        <v>-212.9</v>
      </c>
      <c r="C702">
        <v>85.9</v>
      </c>
      <c r="E702">
        <v>23.334</v>
      </c>
      <c r="F702">
        <v>-211.9</v>
      </c>
      <c r="G702">
        <v>88</v>
      </c>
      <c r="I702">
        <f t="shared" si="33"/>
        <v>23.3</v>
      </c>
      <c r="J702">
        <f t="shared" si="32"/>
        <v>-8.90000000000001</v>
      </c>
      <c r="K702">
        <f t="shared" si="34"/>
        <v>0</v>
      </c>
    </row>
    <row r="703" spans="1:11">
      <c r="A703">
        <v>23.401</v>
      </c>
      <c r="B703">
        <v>-213.5</v>
      </c>
      <c r="C703">
        <v>84</v>
      </c>
      <c r="E703">
        <v>23.368</v>
      </c>
      <c r="F703">
        <v>-212.9</v>
      </c>
      <c r="G703">
        <v>85.9</v>
      </c>
      <c r="I703">
        <f t="shared" si="33"/>
        <v>23.35</v>
      </c>
      <c r="J703">
        <f t="shared" si="32"/>
        <v>-9.90000000000001</v>
      </c>
      <c r="K703">
        <f t="shared" si="34"/>
        <v>0</v>
      </c>
    </row>
    <row r="704" spans="1:11">
      <c r="A704">
        <v>23.435</v>
      </c>
      <c r="B704">
        <v>-214.3</v>
      </c>
      <c r="C704">
        <v>82.9</v>
      </c>
      <c r="E704">
        <v>23.401</v>
      </c>
      <c r="F704">
        <v>-213.5</v>
      </c>
      <c r="G704">
        <v>84</v>
      </c>
      <c r="I704">
        <f t="shared" si="33"/>
        <v>23.4</v>
      </c>
      <c r="J704">
        <f t="shared" si="32"/>
        <v>-10.5</v>
      </c>
      <c r="K704">
        <f t="shared" si="34"/>
        <v>0</v>
      </c>
    </row>
    <row r="705" spans="1:11">
      <c r="A705">
        <v>23.468</v>
      </c>
      <c r="B705">
        <v>-214.8</v>
      </c>
      <c r="C705">
        <v>81.3</v>
      </c>
      <c r="E705">
        <v>23.435</v>
      </c>
      <c r="F705">
        <v>-214.3</v>
      </c>
      <c r="G705">
        <v>82.9</v>
      </c>
      <c r="I705">
        <f t="shared" si="33"/>
        <v>23.4</v>
      </c>
      <c r="J705">
        <f t="shared" si="32"/>
        <v>-11.3</v>
      </c>
      <c r="K705">
        <f t="shared" si="34"/>
        <v>0</v>
      </c>
    </row>
    <row r="706" spans="1:11">
      <c r="A706">
        <v>23.501</v>
      </c>
      <c r="B706">
        <v>-214.8</v>
      </c>
      <c r="C706">
        <v>80.1</v>
      </c>
      <c r="E706">
        <v>23.468</v>
      </c>
      <c r="F706">
        <v>-214.8</v>
      </c>
      <c r="G706">
        <v>81.3</v>
      </c>
      <c r="I706">
        <f t="shared" si="33"/>
        <v>23.45</v>
      </c>
      <c r="J706">
        <f t="shared" si="32"/>
        <v>-11.8</v>
      </c>
      <c r="K706">
        <f t="shared" si="34"/>
        <v>0</v>
      </c>
    </row>
    <row r="707" spans="1:11">
      <c r="A707">
        <v>23.535</v>
      </c>
      <c r="B707">
        <v>-214.8</v>
      </c>
      <c r="C707">
        <v>77.9</v>
      </c>
      <c r="E707">
        <v>23.501</v>
      </c>
      <c r="F707">
        <v>-214.8</v>
      </c>
      <c r="G707">
        <v>80.1</v>
      </c>
      <c r="I707">
        <f t="shared" si="33"/>
        <v>23.5</v>
      </c>
      <c r="J707">
        <f t="shared" si="32"/>
        <v>-11.8</v>
      </c>
      <c r="K707">
        <f t="shared" si="34"/>
        <v>0</v>
      </c>
    </row>
    <row r="708" spans="1:11">
      <c r="A708">
        <v>23.568</v>
      </c>
      <c r="B708">
        <v>-214.7</v>
      </c>
      <c r="C708">
        <v>77.2</v>
      </c>
      <c r="E708">
        <v>23.535</v>
      </c>
      <c r="F708">
        <v>-214.8</v>
      </c>
      <c r="G708">
        <v>77.9</v>
      </c>
      <c r="I708">
        <f t="shared" si="33"/>
        <v>23.5</v>
      </c>
      <c r="J708">
        <f t="shared" si="32"/>
        <v>-11.8</v>
      </c>
      <c r="K708">
        <f t="shared" si="34"/>
        <v>0</v>
      </c>
    </row>
    <row r="709" spans="1:11">
      <c r="A709">
        <v>23.602</v>
      </c>
      <c r="B709">
        <v>-214.5</v>
      </c>
      <c r="C709">
        <v>232.4</v>
      </c>
      <c r="E709">
        <v>23.568</v>
      </c>
      <c r="F709">
        <v>-214.7</v>
      </c>
      <c r="G709">
        <v>77.2</v>
      </c>
      <c r="I709">
        <f t="shared" si="33"/>
        <v>23.55</v>
      </c>
      <c r="J709">
        <f t="shared" ref="J709:J772" si="35">F709+203</f>
        <v>-11.7</v>
      </c>
      <c r="K709">
        <f t="shared" si="34"/>
        <v>0</v>
      </c>
    </row>
    <row r="710" spans="1:11">
      <c r="A710">
        <v>23.635</v>
      </c>
      <c r="B710">
        <v>-213.7</v>
      </c>
      <c r="C710">
        <v>236.9</v>
      </c>
      <c r="E710">
        <v>23.602</v>
      </c>
      <c r="F710">
        <v>-214.5</v>
      </c>
      <c r="G710">
        <v>232.4</v>
      </c>
      <c r="I710">
        <f t="shared" si="33"/>
        <v>23.6</v>
      </c>
      <c r="J710">
        <f t="shared" si="35"/>
        <v>-11.5</v>
      </c>
      <c r="K710">
        <f t="shared" si="34"/>
        <v>5</v>
      </c>
    </row>
    <row r="711" spans="1:11">
      <c r="A711">
        <v>23.669</v>
      </c>
      <c r="B711">
        <v>-213</v>
      </c>
      <c r="C711">
        <v>237</v>
      </c>
      <c r="E711">
        <v>23.635</v>
      </c>
      <c r="F711">
        <v>-213.7</v>
      </c>
      <c r="G711">
        <v>236.9</v>
      </c>
      <c r="I711">
        <f t="shared" si="33"/>
        <v>23.6</v>
      </c>
      <c r="J711">
        <f t="shared" si="35"/>
        <v>-10.7</v>
      </c>
      <c r="K711">
        <f t="shared" si="34"/>
        <v>5</v>
      </c>
    </row>
    <row r="712" spans="1:11">
      <c r="A712">
        <v>23.702</v>
      </c>
      <c r="B712">
        <v>-212.2</v>
      </c>
      <c r="C712">
        <v>237</v>
      </c>
      <c r="E712">
        <v>23.669</v>
      </c>
      <c r="F712">
        <v>-213</v>
      </c>
      <c r="G712">
        <v>237</v>
      </c>
      <c r="I712">
        <f t="shared" si="33"/>
        <v>23.65</v>
      </c>
      <c r="J712">
        <f t="shared" si="35"/>
        <v>-10</v>
      </c>
      <c r="K712">
        <f t="shared" si="34"/>
        <v>5</v>
      </c>
    </row>
    <row r="713" spans="1:11">
      <c r="A713">
        <v>23.735</v>
      </c>
      <c r="B713">
        <v>-210.8</v>
      </c>
      <c r="C713">
        <v>236.9</v>
      </c>
      <c r="E713">
        <v>23.702</v>
      </c>
      <c r="F713">
        <v>-212.2</v>
      </c>
      <c r="G713">
        <v>237</v>
      </c>
      <c r="I713">
        <f t="shared" si="33"/>
        <v>23.7</v>
      </c>
      <c r="J713">
        <f t="shared" si="35"/>
        <v>-9.19999999999999</v>
      </c>
      <c r="K713">
        <f t="shared" si="34"/>
        <v>5</v>
      </c>
    </row>
    <row r="714" spans="1:11">
      <c r="A714">
        <v>23.769</v>
      </c>
      <c r="B714">
        <v>-209.4</v>
      </c>
      <c r="C714">
        <v>237</v>
      </c>
      <c r="E714">
        <v>23.735</v>
      </c>
      <c r="F714">
        <v>-210.8</v>
      </c>
      <c r="G714">
        <v>236.9</v>
      </c>
      <c r="I714">
        <f t="shared" si="33"/>
        <v>23.7</v>
      </c>
      <c r="J714">
        <f t="shared" si="35"/>
        <v>-7.80000000000001</v>
      </c>
      <c r="K714">
        <f t="shared" si="34"/>
        <v>5</v>
      </c>
    </row>
    <row r="715" spans="1:11">
      <c r="A715">
        <v>23.802</v>
      </c>
      <c r="B715">
        <v>-208</v>
      </c>
      <c r="C715">
        <v>237</v>
      </c>
      <c r="E715">
        <v>23.769</v>
      </c>
      <c r="F715">
        <v>-209.4</v>
      </c>
      <c r="G715">
        <v>237</v>
      </c>
      <c r="I715">
        <f t="shared" si="33"/>
        <v>23.75</v>
      </c>
      <c r="J715">
        <f t="shared" si="35"/>
        <v>-6.40000000000001</v>
      </c>
      <c r="K715">
        <f t="shared" si="34"/>
        <v>5</v>
      </c>
    </row>
    <row r="716" spans="1:11">
      <c r="A716">
        <v>23.836</v>
      </c>
      <c r="B716">
        <v>-206.1</v>
      </c>
      <c r="C716">
        <v>237.1</v>
      </c>
      <c r="E716">
        <v>23.802</v>
      </c>
      <c r="F716">
        <v>-208</v>
      </c>
      <c r="G716">
        <v>237</v>
      </c>
      <c r="I716">
        <f t="shared" si="33"/>
        <v>23.8</v>
      </c>
      <c r="J716">
        <f t="shared" si="35"/>
        <v>-5</v>
      </c>
      <c r="K716">
        <f t="shared" si="34"/>
        <v>5</v>
      </c>
    </row>
    <row r="717" spans="1:11">
      <c r="A717">
        <v>23.869</v>
      </c>
      <c r="B717">
        <v>-204.7</v>
      </c>
      <c r="C717">
        <v>237.1</v>
      </c>
      <c r="E717">
        <v>23.836</v>
      </c>
      <c r="F717">
        <v>-206.1</v>
      </c>
      <c r="G717">
        <v>237.1</v>
      </c>
      <c r="I717">
        <f t="shared" si="33"/>
        <v>23.8</v>
      </c>
      <c r="J717">
        <f t="shared" si="35"/>
        <v>-3.09999999999999</v>
      </c>
      <c r="K717">
        <f t="shared" si="34"/>
        <v>5</v>
      </c>
    </row>
    <row r="718" spans="1:11">
      <c r="A718">
        <v>23.903</v>
      </c>
      <c r="B718">
        <v>-203.3</v>
      </c>
      <c r="C718">
        <v>237.3</v>
      </c>
      <c r="E718">
        <v>23.869</v>
      </c>
      <c r="F718">
        <v>-204.7</v>
      </c>
      <c r="G718">
        <v>237.1</v>
      </c>
      <c r="I718">
        <f t="shared" si="33"/>
        <v>23.85</v>
      </c>
      <c r="J718">
        <f t="shared" si="35"/>
        <v>-1.69999999999999</v>
      </c>
      <c r="K718">
        <f t="shared" si="34"/>
        <v>5</v>
      </c>
    </row>
    <row r="719" spans="1:11">
      <c r="A719">
        <v>23.936</v>
      </c>
      <c r="B719">
        <v>-201.6</v>
      </c>
      <c r="C719">
        <v>236.9</v>
      </c>
      <c r="E719">
        <v>23.903</v>
      </c>
      <c r="F719">
        <v>-203.3</v>
      </c>
      <c r="G719">
        <v>237.3</v>
      </c>
      <c r="I719">
        <f t="shared" si="33"/>
        <v>23.9</v>
      </c>
      <c r="J719">
        <f t="shared" si="35"/>
        <v>-0.300000000000011</v>
      </c>
      <c r="K719">
        <f t="shared" si="34"/>
        <v>5</v>
      </c>
    </row>
    <row r="720" spans="1:11">
      <c r="A720">
        <v>23.969</v>
      </c>
      <c r="B720">
        <v>-200.4</v>
      </c>
      <c r="C720">
        <v>236.8</v>
      </c>
      <c r="E720">
        <v>23.936</v>
      </c>
      <c r="F720">
        <v>-201.6</v>
      </c>
      <c r="G720">
        <v>236.9</v>
      </c>
      <c r="I720">
        <f t="shared" si="33"/>
        <v>23.9</v>
      </c>
      <c r="J720">
        <f t="shared" si="35"/>
        <v>1.40000000000001</v>
      </c>
      <c r="K720">
        <f t="shared" si="34"/>
        <v>5</v>
      </c>
    </row>
    <row r="721" spans="1:11">
      <c r="A721">
        <v>24.003</v>
      </c>
      <c r="B721">
        <v>-198.7</v>
      </c>
      <c r="C721">
        <v>237</v>
      </c>
      <c r="E721">
        <v>23.969</v>
      </c>
      <c r="F721">
        <v>-200.4</v>
      </c>
      <c r="G721">
        <v>236.8</v>
      </c>
      <c r="I721">
        <f t="shared" si="33"/>
        <v>23.95</v>
      </c>
      <c r="J721">
        <f t="shared" si="35"/>
        <v>2.59999999999999</v>
      </c>
      <c r="K721">
        <f t="shared" si="34"/>
        <v>5</v>
      </c>
    </row>
    <row r="722" spans="1:11">
      <c r="A722">
        <v>24.036</v>
      </c>
      <c r="B722">
        <v>-197</v>
      </c>
      <c r="C722">
        <v>236.9</v>
      </c>
      <c r="E722">
        <v>24.003</v>
      </c>
      <c r="F722">
        <v>-198.7</v>
      </c>
      <c r="G722">
        <v>237</v>
      </c>
      <c r="I722">
        <f t="shared" si="33"/>
        <v>24</v>
      </c>
      <c r="J722">
        <f t="shared" si="35"/>
        <v>4.30000000000001</v>
      </c>
      <c r="K722">
        <f t="shared" si="34"/>
        <v>5</v>
      </c>
    </row>
    <row r="723" spans="1:11">
      <c r="A723">
        <v>24.07</v>
      </c>
      <c r="B723">
        <v>-196</v>
      </c>
      <c r="C723">
        <v>236.8</v>
      </c>
      <c r="E723">
        <v>24.036</v>
      </c>
      <c r="F723">
        <v>-197</v>
      </c>
      <c r="G723">
        <v>236.9</v>
      </c>
      <c r="I723">
        <f t="shared" si="33"/>
        <v>24</v>
      </c>
      <c r="J723">
        <f t="shared" si="35"/>
        <v>6</v>
      </c>
      <c r="K723">
        <f t="shared" si="34"/>
        <v>5</v>
      </c>
    </row>
    <row r="724" spans="1:11">
      <c r="A724">
        <v>24.103</v>
      </c>
      <c r="B724">
        <v>-195.1</v>
      </c>
      <c r="C724">
        <v>237</v>
      </c>
      <c r="E724">
        <v>24.07</v>
      </c>
      <c r="F724">
        <v>-196</v>
      </c>
      <c r="G724">
        <v>236.8</v>
      </c>
      <c r="I724">
        <f t="shared" si="33"/>
        <v>24.05</v>
      </c>
      <c r="J724">
        <f t="shared" si="35"/>
        <v>7</v>
      </c>
      <c r="K724">
        <f t="shared" si="34"/>
        <v>5</v>
      </c>
    </row>
    <row r="725" spans="1:11">
      <c r="A725">
        <v>24.137</v>
      </c>
      <c r="B725">
        <v>-194</v>
      </c>
      <c r="C725">
        <v>236.6</v>
      </c>
      <c r="E725">
        <v>24.103</v>
      </c>
      <c r="F725">
        <v>-195.1</v>
      </c>
      <c r="G725">
        <v>237</v>
      </c>
      <c r="I725">
        <f t="shared" si="33"/>
        <v>24.1</v>
      </c>
      <c r="J725">
        <f t="shared" si="35"/>
        <v>7.90000000000001</v>
      </c>
      <c r="K725">
        <f t="shared" si="34"/>
        <v>5</v>
      </c>
    </row>
    <row r="726" spans="1:11">
      <c r="A726">
        <v>24.17</v>
      </c>
      <c r="B726">
        <v>-193.2</v>
      </c>
      <c r="C726">
        <v>236.9</v>
      </c>
      <c r="E726">
        <v>24.137</v>
      </c>
      <c r="F726">
        <v>-194</v>
      </c>
      <c r="G726">
        <v>236.6</v>
      </c>
      <c r="I726">
        <f t="shared" si="33"/>
        <v>24.1</v>
      </c>
      <c r="J726">
        <f t="shared" si="35"/>
        <v>9</v>
      </c>
      <c r="K726">
        <f t="shared" si="34"/>
        <v>5</v>
      </c>
    </row>
    <row r="727" spans="1:11">
      <c r="A727">
        <v>24.203</v>
      </c>
      <c r="B727">
        <v>-192.7</v>
      </c>
      <c r="C727">
        <v>237.1</v>
      </c>
      <c r="E727">
        <v>24.17</v>
      </c>
      <c r="F727">
        <v>-193.2</v>
      </c>
      <c r="G727">
        <v>236.9</v>
      </c>
      <c r="I727">
        <f t="shared" si="33"/>
        <v>24.15</v>
      </c>
      <c r="J727">
        <f t="shared" si="35"/>
        <v>9.80000000000001</v>
      </c>
      <c r="K727">
        <f t="shared" si="34"/>
        <v>5</v>
      </c>
    </row>
    <row r="728" spans="1:11">
      <c r="A728">
        <v>24.237</v>
      </c>
      <c r="B728">
        <v>-192.5</v>
      </c>
      <c r="C728">
        <v>237.1</v>
      </c>
      <c r="E728">
        <v>24.203</v>
      </c>
      <c r="F728">
        <v>-192.7</v>
      </c>
      <c r="G728">
        <v>237.1</v>
      </c>
      <c r="I728">
        <f t="shared" si="33"/>
        <v>24.2</v>
      </c>
      <c r="J728">
        <f t="shared" si="35"/>
        <v>10.3</v>
      </c>
      <c r="K728">
        <f t="shared" si="34"/>
        <v>5</v>
      </c>
    </row>
    <row r="729" spans="1:11">
      <c r="A729">
        <v>24.27</v>
      </c>
      <c r="B729">
        <v>-192.3</v>
      </c>
      <c r="C729">
        <v>237.2</v>
      </c>
      <c r="E729">
        <v>24.237</v>
      </c>
      <c r="F729">
        <v>-192.5</v>
      </c>
      <c r="G729">
        <v>237.1</v>
      </c>
      <c r="I729">
        <f t="shared" si="33"/>
        <v>24.2</v>
      </c>
      <c r="J729">
        <f t="shared" si="35"/>
        <v>10.5</v>
      </c>
      <c r="K729">
        <f t="shared" si="34"/>
        <v>5</v>
      </c>
    </row>
    <row r="730" spans="1:11">
      <c r="A730">
        <v>24.304</v>
      </c>
      <c r="B730">
        <v>-192.6</v>
      </c>
      <c r="C730">
        <v>237</v>
      </c>
      <c r="E730">
        <v>24.27</v>
      </c>
      <c r="F730">
        <v>-192.3</v>
      </c>
      <c r="G730">
        <v>237.2</v>
      </c>
      <c r="I730">
        <f t="shared" si="33"/>
        <v>24.25</v>
      </c>
      <c r="J730">
        <f t="shared" si="35"/>
        <v>10.7</v>
      </c>
      <c r="K730">
        <f t="shared" si="34"/>
        <v>5</v>
      </c>
    </row>
    <row r="731" spans="1:11">
      <c r="A731">
        <v>24.337</v>
      </c>
      <c r="B731">
        <v>-192.8</v>
      </c>
      <c r="C731">
        <v>232.5</v>
      </c>
      <c r="E731">
        <v>24.304</v>
      </c>
      <c r="F731">
        <v>-192.6</v>
      </c>
      <c r="G731">
        <v>237</v>
      </c>
      <c r="I731">
        <f t="shared" si="33"/>
        <v>24.3</v>
      </c>
      <c r="J731">
        <f t="shared" si="35"/>
        <v>10.4</v>
      </c>
      <c r="K731">
        <f t="shared" si="34"/>
        <v>5</v>
      </c>
    </row>
    <row r="732" spans="1:11">
      <c r="A732">
        <v>24.371</v>
      </c>
      <c r="B732">
        <v>-193.1</v>
      </c>
      <c r="C732">
        <v>97.7</v>
      </c>
      <c r="E732">
        <v>24.337</v>
      </c>
      <c r="F732">
        <v>-192.8</v>
      </c>
      <c r="G732">
        <v>232.5</v>
      </c>
      <c r="I732">
        <f t="shared" ref="I732:I795" si="36">FLOOR(E732,0.05)</f>
        <v>24.3</v>
      </c>
      <c r="J732">
        <f t="shared" si="35"/>
        <v>10.2</v>
      </c>
      <c r="K732">
        <f t="shared" ref="K732:K795" si="37">IF(G732&lt;230,0,5)</f>
        <v>5</v>
      </c>
    </row>
    <row r="733" spans="1:11">
      <c r="A733">
        <v>24.404</v>
      </c>
      <c r="B733">
        <v>-193.4</v>
      </c>
      <c r="C733">
        <v>113</v>
      </c>
      <c r="E733">
        <v>24.371</v>
      </c>
      <c r="F733">
        <v>-193.1</v>
      </c>
      <c r="G733">
        <v>97.7</v>
      </c>
      <c r="I733">
        <f t="shared" si="36"/>
        <v>24.35</v>
      </c>
      <c r="J733">
        <f t="shared" si="35"/>
        <v>9.90000000000001</v>
      </c>
      <c r="K733">
        <f t="shared" si="37"/>
        <v>0</v>
      </c>
    </row>
    <row r="734" spans="1:11">
      <c r="A734">
        <v>24.437</v>
      </c>
      <c r="B734">
        <v>-194.4</v>
      </c>
      <c r="C734">
        <v>109.8</v>
      </c>
      <c r="E734">
        <v>24.404</v>
      </c>
      <c r="F734">
        <v>-193.4</v>
      </c>
      <c r="G734">
        <v>113</v>
      </c>
      <c r="I734">
        <f t="shared" si="36"/>
        <v>24.4</v>
      </c>
      <c r="J734">
        <f t="shared" si="35"/>
        <v>9.59999999999999</v>
      </c>
      <c r="K734">
        <f t="shared" si="37"/>
        <v>0</v>
      </c>
    </row>
    <row r="735" spans="1:11">
      <c r="A735">
        <v>24.471</v>
      </c>
      <c r="B735">
        <v>-195.7</v>
      </c>
      <c r="C735">
        <v>108.8</v>
      </c>
      <c r="E735">
        <v>24.437</v>
      </c>
      <c r="F735">
        <v>-194.4</v>
      </c>
      <c r="G735">
        <v>109.8</v>
      </c>
      <c r="I735">
        <f t="shared" si="36"/>
        <v>24.4</v>
      </c>
      <c r="J735">
        <f t="shared" si="35"/>
        <v>8.59999999999999</v>
      </c>
      <c r="K735">
        <f t="shared" si="37"/>
        <v>0</v>
      </c>
    </row>
    <row r="736" spans="1:11">
      <c r="A736">
        <v>24.504</v>
      </c>
      <c r="B736">
        <v>-196.7</v>
      </c>
      <c r="C736">
        <v>106.2</v>
      </c>
      <c r="E736">
        <v>24.471</v>
      </c>
      <c r="F736">
        <v>-195.7</v>
      </c>
      <c r="G736">
        <v>108.8</v>
      </c>
      <c r="I736">
        <f t="shared" si="36"/>
        <v>24.45</v>
      </c>
      <c r="J736">
        <f t="shared" si="35"/>
        <v>7.30000000000001</v>
      </c>
      <c r="K736">
        <f t="shared" si="37"/>
        <v>0</v>
      </c>
    </row>
    <row r="737" spans="1:11">
      <c r="A737">
        <v>24.538</v>
      </c>
      <c r="B737">
        <v>-198.5</v>
      </c>
      <c r="C737">
        <v>103.6</v>
      </c>
      <c r="E737">
        <v>24.504</v>
      </c>
      <c r="F737">
        <v>-196.7</v>
      </c>
      <c r="G737">
        <v>106.2</v>
      </c>
      <c r="I737">
        <f t="shared" si="36"/>
        <v>24.5</v>
      </c>
      <c r="J737">
        <f t="shared" si="35"/>
        <v>6.30000000000001</v>
      </c>
      <c r="K737">
        <f t="shared" si="37"/>
        <v>0</v>
      </c>
    </row>
    <row r="738" spans="1:11">
      <c r="A738">
        <v>24.571</v>
      </c>
      <c r="B738">
        <v>-200.4</v>
      </c>
      <c r="C738">
        <v>101.7</v>
      </c>
      <c r="E738">
        <v>24.538</v>
      </c>
      <c r="F738">
        <v>-198.5</v>
      </c>
      <c r="G738">
        <v>103.6</v>
      </c>
      <c r="I738">
        <f t="shared" si="36"/>
        <v>24.5</v>
      </c>
      <c r="J738">
        <f t="shared" si="35"/>
        <v>4.5</v>
      </c>
      <c r="K738">
        <f t="shared" si="37"/>
        <v>0</v>
      </c>
    </row>
    <row r="739" spans="1:11">
      <c r="A739">
        <v>24.605</v>
      </c>
      <c r="B739">
        <v>-202.4</v>
      </c>
      <c r="C739">
        <v>99.6</v>
      </c>
      <c r="E739">
        <v>24.571</v>
      </c>
      <c r="F739">
        <v>-200.4</v>
      </c>
      <c r="G739">
        <v>101.7</v>
      </c>
      <c r="I739">
        <f t="shared" si="36"/>
        <v>24.55</v>
      </c>
      <c r="J739">
        <f t="shared" si="35"/>
        <v>2.59999999999999</v>
      </c>
      <c r="K739">
        <f t="shared" si="37"/>
        <v>0</v>
      </c>
    </row>
    <row r="740" spans="1:11">
      <c r="A740">
        <v>24.638</v>
      </c>
      <c r="B740">
        <v>-203.8</v>
      </c>
      <c r="C740">
        <v>97.3</v>
      </c>
      <c r="E740">
        <v>24.605</v>
      </c>
      <c r="F740">
        <v>-202.4</v>
      </c>
      <c r="G740">
        <v>99.6</v>
      </c>
      <c r="I740">
        <f t="shared" si="36"/>
        <v>24.6</v>
      </c>
      <c r="J740">
        <f t="shared" si="35"/>
        <v>0.599999999999994</v>
      </c>
      <c r="K740">
        <f t="shared" si="37"/>
        <v>0</v>
      </c>
    </row>
    <row r="741" spans="1:11">
      <c r="A741">
        <v>24.671</v>
      </c>
      <c r="B741">
        <v>-204.9</v>
      </c>
      <c r="C741">
        <v>96.4</v>
      </c>
      <c r="E741">
        <v>24.638</v>
      </c>
      <c r="F741">
        <v>-203.8</v>
      </c>
      <c r="G741">
        <v>97.3</v>
      </c>
      <c r="I741">
        <f t="shared" si="36"/>
        <v>24.6</v>
      </c>
      <c r="J741">
        <f t="shared" si="35"/>
        <v>-0.800000000000011</v>
      </c>
      <c r="K741">
        <f t="shared" si="37"/>
        <v>0</v>
      </c>
    </row>
    <row r="742" spans="1:11">
      <c r="A742">
        <v>24.705</v>
      </c>
      <c r="B742">
        <v>-206.7</v>
      </c>
      <c r="C742">
        <v>92.9</v>
      </c>
      <c r="E742">
        <v>24.671</v>
      </c>
      <c r="F742">
        <v>-204.9</v>
      </c>
      <c r="G742">
        <v>96.4</v>
      </c>
      <c r="I742">
        <f t="shared" si="36"/>
        <v>24.65</v>
      </c>
      <c r="J742">
        <f t="shared" si="35"/>
        <v>-1.90000000000001</v>
      </c>
      <c r="K742">
        <f t="shared" si="37"/>
        <v>0</v>
      </c>
    </row>
    <row r="743" spans="1:11">
      <c r="A743">
        <v>24.738</v>
      </c>
      <c r="B743">
        <v>-208.3</v>
      </c>
      <c r="C743">
        <v>92.6</v>
      </c>
      <c r="E743">
        <v>24.705</v>
      </c>
      <c r="F743">
        <v>-206.7</v>
      </c>
      <c r="G743">
        <v>92.9</v>
      </c>
      <c r="I743">
        <f t="shared" si="36"/>
        <v>24.7</v>
      </c>
      <c r="J743">
        <f t="shared" si="35"/>
        <v>-3.69999999999999</v>
      </c>
      <c r="K743">
        <f t="shared" si="37"/>
        <v>0</v>
      </c>
    </row>
    <row r="744" spans="1:11">
      <c r="A744">
        <v>24.772</v>
      </c>
      <c r="B744">
        <v>-209.8</v>
      </c>
      <c r="C744">
        <v>91.1</v>
      </c>
      <c r="E744">
        <v>24.738</v>
      </c>
      <c r="F744">
        <v>-208.3</v>
      </c>
      <c r="G744">
        <v>92.6</v>
      </c>
      <c r="I744">
        <f t="shared" si="36"/>
        <v>24.7</v>
      </c>
      <c r="J744">
        <f t="shared" si="35"/>
        <v>-5.30000000000001</v>
      </c>
      <c r="K744">
        <f t="shared" si="37"/>
        <v>0</v>
      </c>
    </row>
    <row r="745" spans="1:11">
      <c r="A745">
        <v>24.805</v>
      </c>
      <c r="B745">
        <v>-210.7</v>
      </c>
      <c r="C745">
        <v>89.1</v>
      </c>
      <c r="E745">
        <v>24.772</v>
      </c>
      <c r="F745">
        <v>-209.8</v>
      </c>
      <c r="G745">
        <v>91.1</v>
      </c>
      <c r="I745">
        <f t="shared" si="36"/>
        <v>24.75</v>
      </c>
      <c r="J745">
        <f t="shared" si="35"/>
        <v>-6.80000000000001</v>
      </c>
      <c r="K745">
        <f t="shared" si="37"/>
        <v>0</v>
      </c>
    </row>
    <row r="746" spans="1:11">
      <c r="A746">
        <v>24.839</v>
      </c>
      <c r="B746">
        <v>-211.8</v>
      </c>
      <c r="C746">
        <v>87.5</v>
      </c>
      <c r="E746">
        <v>24.805</v>
      </c>
      <c r="F746">
        <v>-210.7</v>
      </c>
      <c r="G746">
        <v>89.1</v>
      </c>
      <c r="I746">
        <f t="shared" si="36"/>
        <v>24.8</v>
      </c>
      <c r="J746">
        <f t="shared" si="35"/>
        <v>-7.69999999999999</v>
      </c>
      <c r="K746">
        <f t="shared" si="37"/>
        <v>0</v>
      </c>
    </row>
    <row r="747" spans="1:11">
      <c r="A747">
        <v>24.872</v>
      </c>
      <c r="B747">
        <v>-213.3</v>
      </c>
      <c r="C747">
        <v>85.6</v>
      </c>
      <c r="E747">
        <v>24.839</v>
      </c>
      <c r="F747">
        <v>-211.8</v>
      </c>
      <c r="G747">
        <v>87.5</v>
      </c>
      <c r="I747">
        <f t="shared" si="36"/>
        <v>24.8</v>
      </c>
      <c r="J747">
        <f t="shared" si="35"/>
        <v>-8.80000000000001</v>
      </c>
      <c r="K747">
        <f t="shared" si="37"/>
        <v>0</v>
      </c>
    </row>
    <row r="748" spans="1:11">
      <c r="A748">
        <v>24.906</v>
      </c>
      <c r="B748">
        <v>-214</v>
      </c>
      <c r="C748">
        <v>84</v>
      </c>
      <c r="E748">
        <v>24.872</v>
      </c>
      <c r="F748">
        <v>-213.3</v>
      </c>
      <c r="G748">
        <v>85.6</v>
      </c>
      <c r="I748">
        <f t="shared" si="36"/>
        <v>24.85</v>
      </c>
      <c r="J748">
        <f t="shared" si="35"/>
        <v>-10.3</v>
      </c>
      <c r="K748">
        <f t="shared" si="37"/>
        <v>0</v>
      </c>
    </row>
    <row r="749" spans="1:11">
      <c r="A749">
        <v>24.939</v>
      </c>
      <c r="B749">
        <v>-214.7</v>
      </c>
      <c r="C749">
        <v>81.9</v>
      </c>
      <c r="E749">
        <v>24.906</v>
      </c>
      <c r="F749">
        <v>-214</v>
      </c>
      <c r="G749">
        <v>84</v>
      </c>
      <c r="I749">
        <f t="shared" si="36"/>
        <v>24.9</v>
      </c>
      <c r="J749">
        <f t="shared" si="35"/>
        <v>-11</v>
      </c>
      <c r="K749">
        <f t="shared" si="37"/>
        <v>0</v>
      </c>
    </row>
    <row r="750" spans="1:11">
      <c r="A750">
        <v>24.972</v>
      </c>
      <c r="B750">
        <v>-215</v>
      </c>
      <c r="C750">
        <v>81</v>
      </c>
      <c r="E750">
        <v>24.939</v>
      </c>
      <c r="F750">
        <v>-214.7</v>
      </c>
      <c r="G750">
        <v>81.9</v>
      </c>
      <c r="I750">
        <f t="shared" si="36"/>
        <v>24.9</v>
      </c>
      <c r="J750">
        <f t="shared" si="35"/>
        <v>-11.7</v>
      </c>
      <c r="K750">
        <f t="shared" si="37"/>
        <v>0</v>
      </c>
    </row>
    <row r="751" spans="1:11">
      <c r="A751">
        <v>25.006</v>
      </c>
      <c r="B751">
        <v>-215.1</v>
      </c>
      <c r="C751">
        <v>79.5</v>
      </c>
      <c r="E751">
        <v>24.972</v>
      </c>
      <c r="F751">
        <v>-215</v>
      </c>
      <c r="G751">
        <v>81</v>
      </c>
      <c r="I751">
        <f t="shared" si="36"/>
        <v>24.95</v>
      </c>
      <c r="J751">
        <f t="shared" si="35"/>
        <v>-12</v>
      </c>
      <c r="K751">
        <f t="shared" si="37"/>
        <v>0</v>
      </c>
    </row>
    <row r="752" spans="1:11">
      <c r="A752">
        <v>25.039</v>
      </c>
      <c r="B752">
        <v>-215</v>
      </c>
      <c r="C752">
        <v>78.2</v>
      </c>
      <c r="E752">
        <v>25.006</v>
      </c>
      <c r="F752">
        <v>-215.1</v>
      </c>
      <c r="G752">
        <v>79.5</v>
      </c>
      <c r="I752">
        <f t="shared" si="36"/>
        <v>25</v>
      </c>
      <c r="J752">
        <f t="shared" si="35"/>
        <v>-12.1</v>
      </c>
      <c r="K752">
        <f t="shared" si="37"/>
        <v>0</v>
      </c>
    </row>
    <row r="753" spans="1:11">
      <c r="A753">
        <v>25.073</v>
      </c>
      <c r="B753">
        <v>-214.8</v>
      </c>
      <c r="C753">
        <v>76.9</v>
      </c>
      <c r="E753">
        <v>25.039</v>
      </c>
      <c r="F753">
        <v>-215</v>
      </c>
      <c r="G753">
        <v>78.2</v>
      </c>
      <c r="I753">
        <f t="shared" si="36"/>
        <v>25</v>
      </c>
      <c r="J753">
        <f t="shared" si="35"/>
        <v>-12</v>
      </c>
      <c r="K753">
        <f t="shared" si="37"/>
        <v>0</v>
      </c>
    </row>
    <row r="754" spans="1:11">
      <c r="A754">
        <v>25.106</v>
      </c>
      <c r="B754">
        <v>-214.6</v>
      </c>
      <c r="C754">
        <v>234.7</v>
      </c>
      <c r="E754">
        <v>25.073</v>
      </c>
      <c r="F754">
        <v>-214.8</v>
      </c>
      <c r="G754">
        <v>76.9</v>
      </c>
      <c r="I754">
        <f t="shared" si="36"/>
        <v>25.05</v>
      </c>
      <c r="J754">
        <f t="shared" si="35"/>
        <v>-11.8</v>
      </c>
      <c r="K754">
        <f t="shared" si="37"/>
        <v>0</v>
      </c>
    </row>
    <row r="755" spans="1:11">
      <c r="A755">
        <v>25.14</v>
      </c>
      <c r="B755">
        <v>-214.1</v>
      </c>
      <c r="C755">
        <v>237</v>
      </c>
      <c r="E755">
        <v>25.106</v>
      </c>
      <c r="F755">
        <v>-214.6</v>
      </c>
      <c r="G755">
        <v>234.7</v>
      </c>
      <c r="I755">
        <f t="shared" si="36"/>
        <v>25.1</v>
      </c>
      <c r="J755">
        <f t="shared" si="35"/>
        <v>-11.6</v>
      </c>
      <c r="K755">
        <f t="shared" si="37"/>
        <v>5</v>
      </c>
    </row>
    <row r="756" spans="1:11">
      <c r="A756">
        <v>25.173</v>
      </c>
      <c r="B756">
        <v>-213.1</v>
      </c>
      <c r="C756">
        <v>237.1</v>
      </c>
      <c r="E756">
        <v>25.14</v>
      </c>
      <c r="F756">
        <v>-214.1</v>
      </c>
      <c r="G756">
        <v>237</v>
      </c>
      <c r="I756">
        <f t="shared" si="36"/>
        <v>25.1</v>
      </c>
      <c r="J756">
        <f t="shared" si="35"/>
        <v>-11.1</v>
      </c>
      <c r="K756">
        <f t="shared" si="37"/>
        <v>5</v>
      </c>
    </row>
    <row r="757" spans="1:11">
      <c r="A757">
        <v>25.206</v>
      </c>
      <c r="B757">
        <v>-212.4</v>
      </c>
      <c r="C757">
        <v>236.9</v>
      </c>
      <c r="E757">
        <v>25.173</v>
      </c>
      <c r="F757">
        <v>-213.1</v>
      </c>
      <c r="G757">
        <v>237.1</v>
      </c>
      <c r="I757">
        <f t="shared" si="36"/>
        <v>25.15</v>
      </c>
      <c r="J757">
        <f t="shared" si="35"/>
        <v>-10.1</v>
      </c>
      <c r="K757">
        <f t="shared" si="37"/>
        <v>5</v>
      </c>
    </row>
    <row r="758" spans="1:11">
      <c r="A758">
        <v>25.24</v>
      </c>
      <c r="B758">
        <v>-211.4</v>
      </c>
      <c r="C758">
        <v>236.9</v>
      </c>
      <c r="E758">
        <v>25.206</v>
      </c>
      <c r="F758">
        <v>-212.4</v>
      </c>
      <c r="G758">
        <v>236.9</v>
      </c>
      <c r="I758">
        <f t="shared" si="36"/>
        <v>25.2</v>
      </c>
      <c r="J758">
        <f t="shared" si="35"/>
        <v>-9.40000000000001</v>
      </c>
      <c r="K758">
        <f t="shared" si="37"/>
        <v>5</v>
      </c>
    </row>
    <row r="759" spans="1:11">
      <c r="A759">
        <v>25.273</v>
      </c>
      <c r="B759">
        <v>-210.1</v>
      </c>
      <c r="C759">
        <v>236.9</v>
      </c>
      <c r="E759">
        <v>25.24</v>
      </c>
      <c r="F759">
        <v>-211.4</v>
      </c>
      <c r="G759">
        <v>236.9</v>
      </c>
      <c r="I759">
        <f t="shared" si="36"/>
        <v>25.2</v>
      </c>
      <c r="J759">
        <f t="shared" si="35"/>
        <v>-8.40000000000001</v>
      </c>
      <c r="K759">
        <f t="shared" si="37"/>
        <v>5</v>
      </c>
    </row>
    <row r="760" spans="1:11">
      <c r="A760">
        <v>25.307</v>
      </c>
      <c r="B760">
        <v>-208</v>
      </c>
      <c r="C760">
        <v>236.8</v>
      </c>
      <c r="E760">
        <v>25.273</v>
      </c>
      <c r="F760">
        <v>-210.1</v>
      </c>
      <c r="G760">
        <v>236.9</v>
      </c>
      <c r="I760">
        <f t="shared" si="36"/>
        <v>25.25</v>
      </c>
      <c r="J760">
        <f t="shared" si="35"/>
        <v>-7.09999999999999</v>
      </c>
      <c r="K760">
        <f t="shared" si="37"/>
        <v>5</v>
      </c>
    </row>
    <row r="761" spans="1:11">
      <c r="A761">
        <v>25.34</v>
      </c>
      <c r="B761">
        <v>-206.6</v>
      </c>
      <c r="C761">
        <v>236.7</v>
      </c>
      <c r="E761">
        <v>25.307</v>
      </c>
      <c r="F761">
        <v>-208</v>
      </c>
      <c r="G761">
        <v>236.8</v>
      </c>
      <c r="I761">
        <f t="shared" si="36"/>
        <v>25.3</v>
      </c>
      <c r="J761">
        <f t="shared" si="35"/>
        <v>-5</v>
      </c>
      <c r="K761">
        <f t="shared" si="37"/>
        <v>5</v>
      </c>
    </row>
    <row r="762" spans="1:11">
      <c r="A762">
        <v>25.374</v>
      </c>
      <c r="B762">
        <v>-205</v>
      </c>
      <c r="C762">
        <v>236.7</v>
      </c>
      <c r="E762">
        <v>25.34</v>
      </c>
      <c r="F762">
        <v>-206.6</v>
      </c>
      <c r="G762">
        <v>236.7</v>
      </c>
      <c r="I762">
        <f t="shared" si="36"/>
        <v>25.3</v>
      </c>
      <c r="J762">
        <f t="shared" si="35"/>
        <v>-3.59999999999999</v>
      </c>
      <c r="K762">
        <f t="shared" si="37"/>
        <v>5</v>
      </c>
    </row>
    <row r="763" spans="1:11">
      <c r="A763">
        <v>25.407</v>
      </c>
      <c r="B763">
        <v>-203.7</v>
      </c>
      <c r="C763">
        <v>236.8</v>
      </c>
      <c r="E763">
        <v>25.374</v>
      </c>
      <c r="F763">
        <v>-205</v>
      </c>
      <c r="G763">
        <v>236.7</v>
      </c>
      <c r="I763">
        <f t="shared" si="36"/>
        <v>25.35</v>
      </c>
      <c r="J763">
        <f t="shared" si="35"/>
        <v>-2</v>
      </c>
      <c r="K763">
        <f t="shared" si="37"/>
        <v>5</v>
      </c>
    </row>
    <row r="764" spans="1:11">
      <c r="A764">
        <v>25.44</v>
      </c>
      <c r="B764">
        <v>-202.2</v>
      </c>
      <c r="C764">
        <v>236.9</v>
      </c>
      <c r="E764">
        <v>25.407</v>
      </c>
      <c r="F764">
        <v>-203.7</v>
      </c>
      <c r="G764">
        <v>236.8</v>
      </c>
      <c r="I764">
        <f t="shared" si="36"/>
        <v>25.4</v>
      </c>
      <c r="J764">
        <f t="shared" si="35"/>
        <v>-0.699999999999989</v>
      </c>
      <c r="K764">
        <f t="shared" si="37"/>
        <v>5</v>
      </c>
    </row>
    <row r="765" spans="1:11">
      <c r="A765">
        <v>25.474</v>
      </c>
      <c r="B765">
        <v>-200.1</v>
      </c>
      <c r="C765">
        <v>237</v>
      </c>
      <c r="E765">
        <v>25.44</v>
      </c>
      <c r="F765">
        <v>-202.2</v>
      </c>
      <c r="G765">
        <v>236.9</v>
      </c>
      <c r="I765">
        <f t="shared" si="36"/>
        <v>25.4</v>
      </c>
      <c r="J765">
        <f t="shared" si="35"/>
        <v>0.800000000000011</v>
      </c>
      <c r="K765">
        <f t="shared" si="37"/>
        <v>5</v>
      </c>
    </row>
    <row r="766" spans="1:11">
      <c r="A766">
        <v>25.507</v>
      </c>
      <c r="B766">
        <v>-198.1</v>
      </c>
      <c r="C766">
        <v>237.1</v>
      </c>
      <c r="E766">
        <v>25.474</v>
      </c>
      <c r="F766">
        <v>-200.1</v>
      </c>
      <c r="G766">
        <v>237</v>
      </c>
      <c r="I766">
        <f t="shared" si="36"/>
        <v>25.45</v>
      </c>
      <c r="J766">
        <f t="shared" si="35"/>
        <v>2.90000000000001</v>
      </c>
      <c r="K766">
        <f t="shared" si="37"/>
        <v>5</v>
      </c>
    </row>
    <row r="767" spans="1:11">
      <c r="A767">
        <v>25.541</v>
      </c>
      <c r="B767">
        <v>-196.5</v>
      </c>
      <c r="C767">
        <v>237</v>
      </c>
      <c r="E767">
        <v>25.507</v>
      </c>
      <c r="F767">
        <v>-198.1</v>
      </c>
      <c r="G767">
        <v>237.1</v>
      </c>
      <c r="I767">
        <f t="shared" si="36"/>
        <v>25.5</v>
      </c>
      <c r="J767">
        <f t="shared" si="35"/>
        <v>4.90000000000001</v>
      </c>
      <c r="K767">
        <f t="shared" si="37"/>
        <v>5</v>
      </c>
    </row>
    <row r="768" spans="1:11">
      <c r="A768">
        <v>25.574</v>
      </c>
      <c r="B768">
        <v>-195.6</v>
      </c>
      <c r="C768">
        <v>237.1</v>
      </c>
      <c r="E768">
        <v>25.541</v>
      </c>
      <c r="F768">
        <v>-196.5</v>
      </c>
      <c r="G768">
        <v>237</v>
      </c>
      <c r="I768">
        <f t="shared" si="36"/>
        <v>25.5</v>
      </c>
      <c r="J768">
        <f t="shared" si="35"/>
        <v>6.5</v>
      </c>
      <c r="K768">
        <f t="shared" si="37"/>
        <v>5</v>
      </c>
    </row>
    <row r="769" spans="1:11">
      <c r="A769">
        <v>25.608</v>
      </c>
      <c r="B769">
        <v>-194.3</v>
      </c>
      <c r="C769">
        <v>237</v>
      </c>
      <c r="E769">
        <v>25.574</v>
      </c>
      <c r="F769">
        <v>-195.6</v>
      </c>
      <c r="G769">
        <v>237.1</v>
      </c>
      <c r="I769">
        <f t="shared" si="36"/>
        <v>25.55</v>
      </c>
      <c r="J769">
        <f t="shared" si="35"/>
        <v>7.40000000000001</v>
      </c>
      <c r="K769">
        <f t="shared" si="37"/>
        <v>5</v>
      </c>
    </row>
    <row r="770" spans="1:11">
      <c r="A770">
        <v>25.641</v>
      </c>
      <c r="B770">
        <v>-193.8</v>
      </c>
      <c r="C770">
        <v>236.9</v>
      </c>
      <c r="E770">
        <v>25.608</v>
      </c>
      <c r="F770">
        <v>-194.3</v>
      </c>
      <c r="G770">
        <v>237</v>
      </c>
      <c r="I770">
        <f t="shared" si="36"/>
        <v>25.6</v>
      </c>
      <c r="J770">
        <f t="shared" si="35"/>
        <v>8.69999999999999</v>
      </c>
      <c r="K770">
        <f t="shared" si="37"/>
        <v>5</v>
      </c>
    </row>
    <row r="771" spans="1:11">
      <c r="A771">
        <v>25.674</v>
      </c>
      <c r="B771">
        <v>-193.4</v>
      </c>
      <c r="C771">
        <v>236.9</v>
      </c>
      <c r="E771">
        <v>25.641</v>
      </c>
      <c r="F771">
        <v>-193.8</v>
      </c>
      <c r="G771">
        <v>236.9</v>
      </c>
      <c r="I771">
        <f t="shared" si="36"/>
        <v>25.6</v>
      </c>
      <c r="J771">
        <f t="shared" si="35"/>
        <v>9.19999999999999</v>
      </c>
      <c r="K771">
        <f t="shared" si="37"/>
        <v>5</v>
      </c>
    </row>
    <row r="772" spans="1:11">
      <c r="A772">
        <v>25.708</v>
      </c>
      <c r="B772">
        <v>-193</v>
      </c>
      <c r="C772">
        <v>236.8</v>
      </c>
      <c r="E772">
        <v>25.674</v>
      </c>
      <c r="F772">
        <v>-193.4</v>
      </c>
      <c r="G772">
        <v>236.9</v>
      </c>
      <c r="I772">
        <f t="shared" si="36"/>
        <v>25.65</v>
      </c>
      <c r="J772">
        <f t="shared" si="35"/>
        <v>9.59999999999999</v>
      </c>
      <c r="K772">
        <f t="shared" si="37"/>
        <v>5</v>
      </c>
    </row>
    <row r="773" spans="1:11">
      <c r="A773">
        <v>25.741</v>
      </c>
      <c r="B773">
        <v>-192.7</v>
      </c>
      <c r="C773">
        <v>236.9</v>
      </c>
      <c r="E773">
        <v>25.708</v>
      </c>
      <c r="F773">
        <v>-193</v>
      </c>
      <c r="G773">
        <v>236.8</v>
      </c>
      <c r="I773">
        <f t="shared" si="36"/>
        <v>25.7</v>
      </c>
      <c r="J773">
        <f t="shared" ref="J773:J836" si="38">F773+203</f>
        <v>10</v>
      </c>
      <c r="K773">
        <f t="shared" si="37"/>
        <v>5</v>
      </c>
    </row>
    <row r="774" spans="1:11">
      <c r="A774">
        <v>25.775</v>
      </c>
      <c r="B774">
        <v>-192.6</v>
      </c>
      <c r="C774">
        <v>236.8</v>
      </c>
      <c r="E774">
        <v>25.741</v>
      </c>
      <c r="F774">
        <v>-192.7</v>
      </c>
      <c r="G774">
        <v>236.9</v>
      </c>
      <c r="I774">
        <f t="shared" si="36"/>
        <v>25.7</v>
      </c>
      <c r="J774">
        <f t="shared" si="38"/>
        <v>10.3</v>
      </c>
      <c r="K774">
        <f t="shared" si="37"/>
        <v>5</v>
      </c>
    </row>
    <row r="775" spans="1:11">
      <c r="A775">
        <v>25.808</v>
      </c>
      <c r="B775">
        <v>-192.6</v>
      </c>
      <c r="C775">
        <v>236.7</v>
      </c>
      <c r="E775">
        <v>25.775</v>
      </c>
      <c r="F775">
        <v>-192.6</v>
      </c>
      <c r="G775">
        <v>236.8</v>
      </c>
      <c r="I775">
        <f t="shared" si="36"/>
        <v>25.75</v>
      </c>
      <c r="J775">
        <f t="shared" si="38"/>
        <v>10.4</v>
      </c>
      <c r="K775">
        <f t="shared" si="37"/>
        <v>5</v>
      </c>
    </row>
    <row r="776" spans="1:11">
      <c r="A776">
        <v>25.842</v>
      </c>
      <c r="B776">
        <v>-192.8</v>
      </c>
      <c r="C776">
        <v>228.9</v>
      </c>
      <c r="E776">
        <v>25.808</v>
      </c>
      <c r="F776">
        <v>-192.6</v>
      </c>
      <c r="G776">
        <v>236.7</v>
      </c>
      <c r="I776">
        <f t="shared" si="36"/>
        <v>25.8</v>
      </c>
      <c r="J776">
        <f t="shared" si="38"/>
        <v>10.4</v>
      </c>
      <c r="K776">
        <f t="shared" si="37"/>
        <v>5</v>
      </c>
    </row>
    <row r="777" spans="1:11">
      <c r="A777">
        <v>25.875</v>
      </c>
      <c r="B777">
        <v>-193.1</v>
      </c>
      <c r="C777">
        <v>96.2</v>
      </c>
      <c r="E777">
        <v>25.842</v>
      </c>
      <c r="F777">
        <v>-192.8</v>
      </c>
      <c r="G777">
        <v>228.9</v>
      </c>
      <c r="I777">
        <f t="shared" si="36"/>
        <v>25.8</v>
      </c>
      <c r="J777">
        <f t="shared" si="38"/>
        <v>10.2</v>
      </c>
      <c r="K777">
        <f t="shared" si="37"/>
        <v>0</v>
      </c>
    </row>
    <row r="778" spans="1:11">
      <c r="A778">
        <v>25.908</v>
      </c>
      <c r="B778">
        <v>-193.6</v>
      </c>
      <c r="C778">
        <v>112.7</v>
      </c>
      <c r="E778">
        <v>25.875</v>
      </c>
      <c r="F778">
        <v>-193.1</v>
      </c>
      <c r="G778">
        <v>96.2</v>
      </c>
      <c r="I778">
        <f t="shared" si="36"/>
        <v>25.85</v>
      </c>
      <c r="J778">
        <f t="shared" si="38"/>
        <v>9.90000000000001</v>
      </c>
      <c r="K778">
        <f t="shared" si="37"/>
        <v>0</v>
      </c>
    </row>
    <row r="779" spans="1:11">
      <c r="A779">
        <v>25.942</v>
      </c>
      <c r="B779">
        <v>-194</v>
      </c>
      <c r="C779">
        <v>108.8</v>
      </c>
      <c r="E779">
        <v>25.908</v>
      </c>
      <c r="F779">
        <v>-193.6</v>
      </c>
      <c r="G779">
        <v>112.7</v>
      </c>
      <c r="I779">
        <f t="shared" si="36"/>
        <v>25.9</v>
      </c>
      <c r="J779">
        <f t="shared" si="38"/>
        <v>9.40000000000001</v>
      </c>
      <c r="K779">
        <f t="shared" si="37"/>
        <v>0</v>
      </c>
    </row>
    <row r="780" spans="1:11">
      <c r="A780">
        <v>25.975</v>
      </c>
      <c r="B780">
        <v>-195.6</v>
      </c>
      <c r="C780">
        <v>107</v>
      </c>
      <c r="E780">
        <v>25.942</v>
      </c>
      <c r="F780">
        <v>-194</v>
      </c>
      <c r="G780">
        <v>108.8</v>
      </c>
      <c r="I780">
        <f t="shared" si="36"/>
        <v>25.9</v>
      </c>
      <c r="J780">
        <f t="shared" si="38"/>
        <v>9</v>
      </c>
      <c r="K780">
        <f t="shared" si="37"/>
        <v>0</v>
      </c>
    </row>
    <row r="781" spans="1:11">
      <c r="A781">
        <v>26.009</v>
      </c>
      <c r="B781">
        <v>-196.6</v>
      </c>
      <c r="C781">
        <v>105.2</v>
      </c>
      <c r="E781">
        <v>25.975</v>
      </c>
      <c r="F781">
        <v>-195.6</v>
      </c>
      <c r="G781">
        <v>107</v>
      </c>
      <c r="I781">
        <f t="shared" si="36"/>
        <v>25.95</v>
      </c>
      <c r="J781">
        <f t="shared" si="38"/>
        <v>7.40000000000001</v>
      </c>
      <c r="K781">
        <f t="shared" si="37"/>
        <v>0</v>
      </c>
    </row>
    <row r="782" spans="1:11">
      <c r="A782">
        <v>26.042</v>
      </c>
      <c r="B782">
        <v>-198.3</v>
      </c>
      <c r="C782">
        <v>102.6</v>
      </c>
      <c r="E782">
        <v>26.009</v>
      </c>
      <c r="F782">
        <v>-196.6</v>
      </c>
      <c r="G782">
        <v>105.2</v>
      </c>
      <c r="I782">
        <f t="shared" si="36"/>
        <v>26</v>
      </c>
      <c r="J782">
        <f t="shared" si="38"/>
        <v>6.40000000000001</v>
      </c>
      <c r="K782">
        <f t="shared" si="37"/>
        <v>0</v>
      </c>
    </row>
    <row r="783" spans="1:11">
      <c r="A783">
        <v>26.076</v>
      </c>
      <c r="B783">
        <v>-200.2</v>
      </c>
      <c r="C783">
        <v>101</v>
      </c>
      <c r="E783">
        <v>26.042</v>
      </c>
      <c r="F783">
        <v>-198.3</v>
      </c>
      <c r="G783">
        <v>102.6</v>
      </c>
      <c r="I783">
        <f t="shared" si="36"/>
        <v>26</v>
      </c>
      <c r="J783">
        <f t="shared" si="38"/>
        <v>4.69999999999999</v>
      </c>
      <c r="K783">
        <f t="shared" si="37"/>
        <v>0</v>
      </c>
    </row>
    <row r="784" spans="1:11">
      <c r="A784">
        <v>26.109</v>
      </c>
      <c r="B784">
        <v>-201.9</v>
      </c>
      <c r="C784">
        <v>99.6</v>
      </c>
      <c r="E784">
        <v>26.076</v>
      </c>
      <c r="F784">
        <v>-200.2</v>
      </c>
      <c r="G784">
        <v>101</v>
      </c>
      <c r="I784">
        <f t="shared" si="36"/>
        <v>26.05</v>
      </c>
      <c r="J784">
        <f t="shared" si="38"/>
        <v>2.80000000000001</v>
      </c>
      <c r="K784">
        <f t="shared" si="37"/>
        <v>0</v>
      </c>
    </row>
    <row r="785" spans="1:11">
      <c r="A785">
        <v>26.142</v>
      </c>
      <c r="B785">
        <v>-203.3</v>
      </c>
      <c r="C785">
        <v>97</v>
      </c>
      <c r="E785">
        <v>26.109</v>
      </c>
      <c r="F785">
        <v>-201.9</v>
      </c>
      <c r="G785">
        <v>99.6</v>
      </c>
      <c r="I785">
        <f t="shared" si="36"/>
        <v>26.1</v>
      </c>
      <c r="J785">
        <f t="shared" si="38"/>
        <v>1.09999999999999</v>
      </c>
      <c r="K785">
        <f t="shared" si="37"/>
        <v>0</v>
      </c>
    </row>
    <row r="786" spans="1:11">
      <c r="A786">
        <v>26.176</v>
      </c>
      <c r="B786">
        <v>-204.3</v>
      </c>
      <c r="C786">
        <v>95.1</v>
      </c>
      <c r="E786">
        <v>26.142</v>
      </c>
      <c r="F786">
        <v>-203.3</v>
      </c>
      <c r="G786">
        <v>97</v>
      </c>
      <c r="I786">
        <f t="shared" si="36"/>
        <v>26.1</v>
      </c>
      <c r="J786">
        <f t="shared" si="38"/>
        <v>-0.300000000000011</v>
      </c>
      <c r="K786">
        <f t="shared" si="37"/>
        <v>0</v>
      </c>
    </row>
    <row r="787" spans="1:11">
      <c r="A787">
        <v>26.209</v>
      </c>
      <c r="B787">
        <v>-206.6</v>
      </c>
      <c r="C787">
        <v>93.3</v>
      </c>
      <c r="E787">
        <v>26.176</v>
      </c>
      <c r="F787">
        <v>-204.3</v>
      </c>
      <c r="G787">
        <v>95.1</v>
      </c>
      <c r="I787">
        <f t="shared" si="36"/>
        <v>26.15</v>
      </c>
      <c r="J787">
        <f t="shared" si="38"/>
        <v>-1.30000000000001</v>
      </c>
      <c r="K787">
        <f t="shared" si="37"/>
        <v>0</v>
      </c>
    </row>
    <row r="788" spans="1:11">
      <c r="A788">
        <v>26.243</v>
      </c>
      <c r="B788">
        <v>-208.2</v>
      </c>
      <c r="C788">
        <v>92.1</v>
      </c>
      <c r="E788">
        <v>26.209</v>
      </c>
      <c r="F788">
        <v>-206.6</v>
      </c>
      <c r="G788">
        <v>93.3</v>
      </c>
      <c r="I788">
        <f t="shared" si="36"/>
        <v>26.2</v>
      </c>
      <c r="J788">
        <f t="shared" si="38"/>
        <v>-3.59999999999999</v>
      </c>
      <c r="K788">
        <f t="shared" si="37"/>
        <v>0</v>
      </c>
    </row>
    <row r="789" spans="1:11">
      <c r="A789">
        <v>26.276</v>
      </c>
      <c r="B789">
        <v>-209.5</v>
      </c>
      <c r="C789">
        <v>90</v>
      </c>
      <c r="E789">
        <v>26.243</v>
      </c>
      <c r="F789">
        <v>-208.2</v>
      </c>
      <c r="G789">
        <v>92.1</v>
      </c>
      <c r="I789">
        <f t="shared" si="36"/>
        <v>26.2</v>
      </c>
      <c r="J789">
        <f t="shared" si="38"/>
        <v>-5.19999999999999</v>
      </c>
      <c r="K789">
        <f t="shared" si="37"/>
        <v>0</v>
      </c>
    </row>
    <row r="790" spans="1:11">
      <c r="A790">
        <v>26.31</v>
      </c>
      <c r="B790">
        <v>-210.8</v>
      </c>
      <c r="C790">
        <v>88.9</v>
      </c>
      <c r="E790">
        <v>26.276</v>
      </c>
      <c r="F790">
        <v>-209.5</v>
      </c>
      <c r="G790">
        <v>90</v>
      </c>
      <c r="I790">
        <f t="shared" si="36"/>
        <v>26.25</v>
      </c>
      <c r="J790">
        <f t="shared" si="38"/>
        <v>-6.5</v>
      </c>
      <c r="K790">
        <f t="shared" si="37"/>
        <v>0</v>
      </c>
    </row>
    <row r="791" spans="1:11">
      <c r="A791">
        <v>26.343</v>
      </c>
      <c r="B791">
        <v>-212.3</v>
      </c>
      <c r="C791">
        <v>86.8</v>
      </c>
      <c r="E791">
        <v>26.31</v>
      </c>
      <c r="F791">
        <v>-210.8</v>
      </c>
      <c r="G791">
        <v>88.9</v>
      </c>
      <c r="I791">
        <f t="shared" si="36"/>
        <v>26.3</v>
      </c>
      <c r="J791">
        <f t="shared" si="38"/>
        <v>-7.80000000000001</v>
      </c>
      <c r="K791">
        <f t="shared" si="37"/>
        <v>0</v>
      </c>
    </row>
    <row r="792" spans="1:11">
      <c r="A792">
        <v>26.376</v>
      </c>
      <c r="B792">
        <v>-212.9</v>
      </c>
      <c r="C792">
        <v>85.5</v>
      </c>
      <c r="E792">
        <v>26.343</v>
      </c>
      <c r="F792">
        <v>-212.3</v>
      </c>
      <c r="G792">
        <v>86.8</v>
      </c>
      <c r="I792">
        <f t="shared" si="36"/>
        <v>26.3</v>
      </c>
      <c r="J792">
        <f t="shared" si="38"/>
        <v>-9.30000000000001</v>
      </c>
      <c r="K792">
        <f t="shared" si="37"/>
        <v>0</v>
      </c>
    </row>
    <row r="793" spans="1:11">
      <c r="A793">
        <v>26.41</v>
      </c>
      <c r="B793">
        <v>-214.3</v>
      </c>
      <c r="C793">
        <v>83.3</v>
      </c>
      <c r="E793">
        <v>26.376</v>
      </c>
      <c r="F793">
        <v>-212.9</v>
      </c>
      <c r="G793">
        <v>85.5</v>
      </c>
      <c r="I793">
        <f t="shared" si="36"/>
        <v>26.35</v>
      </c>
      <c r="J793">
        <f t="shared" si="38"/>
        <v>-9.90000000000001</v>
      </c>
      <c r="K793">
        <f t="shared" si="37"/>
        <v>0</v>
      </c>
    </row>
    <row r="794" spans="1:11">
      <c r="A794">
        <v>26.443</v>
      </c>
      <c r="B794">
        <v>-215.2</v>
      </c>
      <c r="C794">
        <v>81.8</v>
      </c>
      <c r="E794">
        <v>26.41</v>
      </c>
      <c r="F794">
        <v>-214.3</v>
      </c>
      <c r="G794">
        <v>83.3</v>
      </c>
      <c r="I794">
        <f t="shared" si="36"/>
        <v>26.4</v>
      </c>
      <c r="J794">
        <f t="shared" si="38"/>
        <v>-11.3</v>
      </c>
      <c r="K794">
        <f t="shared" si="37"/>
        <v>0</v>
      </c>
    </row>
    <row r="795" spans="1:11">
      <c r="A795">
        <v>26.477</v>
      </c>
      <c r="B795">
        <v>-215.4</v>
      </c>
      <c r="C795">
        <v>80</v>
      </c>
      <c r="E795">
        <v>26.443</v>
      </c>
      <c r="F795">
        <v>-215.2</v>
      </c>
      <c r="G795">
        <v>81.8</v>
      </c>
      <c r="I795">
        <f t="shared" si="36"/>
        <v>26.4</v>
      </c>
      <c r="J795">
        <f t="shared" si="38"/>
        <v>-12.2</v>
      </c>
      <c r="K795">
        <f t="shared" si="37"/>
        <v>0</v>
      </c>
    </row>
    <row r="796" spans="1:11">
      <c r="A796">
        <v>26.51</v>
      </c>
      <c r="B796">
        <v>-215.7</v>
      </c>
      <c r="C796">
        <v>79</v>
      </c>
      <c r="E796">
        <v>26.477</v>
      </c>
      <c r="F796">
        <v>-215.4</v>
      </c>
      <c r="G796">
        <v>80</v>
      </c>
      <c r="I796">
        <f t="shared" ref="I796:I859" si="39">FLOOR(E796,0.05)</f>
        <v>26.45</v>
      </c>
      <c r="J796">
        <f t="shared" si="38"/>
        <v>-12.4</v>
      </c>
      <c r="K796">
        <f t="shared" ref="K796:K859" si="40">IF(G796&lt;230,0,5)</f>
        <v>0</v>
      </c>
    </row>
    <row r="797" spans="1:11">
      <c r="A797">
        <v>26.544</v>
      </c>
      <c r="B797">
        <v>-215.7</v>
      </c>
      <c r="C797">
        <v>77.8</v>
      </c>
      <c r="E797">
        <v>26.51</v>
      </c>
      <c r="F797">
        <v>-215.7</v>
      </c>
      <c r="G797">
        <v>79</v>
      </c>
      <c r="I797">
        <f t="shared" si="39"/>
        <v>26.5</v>
      </c>
      <c r="J797">
        <f t="shared" si="38"/>
        <v>-12.7</v>
      </c>
      <c r="K797">
        <f t="shared" si="40"/>
        <v>0</v>
      </c>
    </row>
    <row r="798" spans="1:11">
      <c r="A798">
        <v>26.577</v>
      </c>
      <c r="B798">
        <v>-215.6</v>
      </c>
      <c r="C798">
        <v>82.8</v>
      </c>
      <c r="E798">
        <v>26.544</v>
      </c>
      <c r="F798">
        <v>-215.7</v>
      </c>
      <c r="G798">
        <v>77.8</v>
      </c>
      <c r="I798">
        <f t="shared" si="39"/>
        <v>26.5</v>
      </c>
      <c r="J798">
        <f t="shared" si="38"/>
        <v>-12.7</v>
      </c>
      <c r="K798">
        <f t="shared" si="40"/>
        <v>0</v>
      </c>
    </row>
    <row r="799" spans="1:11">
      <c r="A799">
        <v>26.61</v>
      </c>
      <c r="B799">
        <v>-215.4</v>
      </c>
      <c r="C799">
        <v>235.8</v>
      </c>
      <c r="E799">
        <v>26.577</v>
      </c>
      <c r="F799">
        <v>-215.6</v>
      </c>
      <c r="G799">
        <v>82.8</v>
      </c>
      <c r="I799">
        <f t="shared" si="39"/>
        <v>26.55</v>
      </c>
      <c r="J799">
        <f t="shared" si="38"/>
        <v>-12.6</v>
      </c>
      <c r="K799">
        <f t="shared" si="40"/>
        <v>0</v>
      </c>
    </row>
    <row r="800" spans="1:11">
      <c r="A800">
        <v>26.644</v>
      </c>
      <c r="B800">
        <v>-214.8</v>
      </c>
      <c r="C800">
        <v>236.7</v>
      </c>
      <c r="E800">
        <v>26.61</v>
      </c>
      <c r="F800">
        <v>-215.4</v>
      </c>
      <c r="G800">
        <v>235.8</v>
      </c>
      <c r="I800">
        <f t="shared" si="39"/>
        <v>26.6</v>
      </c>
      <c r="J800">
        <f t="shared" si="38"/>
        <v>-12.4</v>
      </c>
      <c r="K800">
        <f t="shared" si="40"/>
        <v>5</v>
      </c>
    </row>
    <row r="801" spans="1:11">
      <c r="A801">
        <v>26.677</v>
      </c>
      <c r="B801">
        <v>-213.1</v>
      </c>
      <c r="C801">
        <v>236.7</v>
      </c>
      <c r="E801">
        <v>26.644</v>
      </c>
      <c r="F801">
        <v>-214.8</v>
      </c>
      <c r="G801">
        <v>236.7</v>
      </c>
      <c r="I801">
        <f t="shared" si="39"/>
        <v>26.6</v>
      </c>
      <c r="J801">
        <f t="shared" si="38"/>
        <v>-11.8</v>
      </c>
      <c r="K801">
        <f t="shared" si="40"/>
        <v>5</v>
      </c>
    </row>
    <row r="802" spans="1:11">
      <c r="A802">
        <v>26.711</v>
      </c>
      <c r="B802">
        <v>-212.4</v>
      </c>
      <c r="C802">
        <v>236.8</v>
      </c>
      <c r="E802">
        <v>26.677</v>
      </c>
      <c r="F802">
        <v>-213.1</v>
      </c>
      <c r="G802">
        <v>236.7</v>
      </c>
      <c r="I802">
        <f t="shared" si="39"/>
        <v>26.65</v>
      </c>
      <c r="J802">
        <f t="shared" si="38"/>
        <v>-10.1</v>
      </c>
      <c r="K802">
        <f t="shared" si="40"/>
        <v>5</v>
      </c>
    </row>
    <row r="803" spans="1:11">
      <c r="A803">
        <v>26.744</v>
      </c>
      <c r="B803">
        <v>-211.8</v>
      </c>
      <c r="C803">
        <v>236.8</v>
      </c>
      <c r="E803">
        <v>26.711</v>
      </c>
      <c r="F803">
        <v>-212.4</v>
      </c>
      <c r="G803">
        <v>236.8</v>
      </c>
      <c r="I803">
        <f t="shared" si="39"/>
        <v>26.7</v>
      </c>
      <c r="J803">
        <f t="shared" si="38"/>
        <v>-9.40000000000001</v>
      </c>
      <c r="K803">
        <f t="shared" si="40"/>
        <v>5</v>
      </c>
    </row>
    <row r="804" spans="1:11">
      <c r="A804">
        <v>26.778</v>
      </c>
      <c r="B804">
        <v>-210.4</v>
      </c>
      <c r="C804">
        <v>236.8</v>
      </c>
      <c r="E804">
        <v>26.744</v>
      </c>
      <c r="F804">
        <v>-211.8</v>
      </c>
      <c r="G804">
        <v>236.8</v>
      </c>
      <c r="I804">
        <f t="shared" si="39"/>
        <v>26.7</v>
      </c>
      <c r="J804">
        <f t="shared" si="38"/>
        <v>-8.80000000000001</v>
      </c>
      <c r="K804">
        <f t="shared" si="40"/>
        <v>5</v>
      </c>
    </row>
    <row r="805" spans="1:11">
      <c r="A805">
        <v>26.811</v>
      </c>
      <c r="B805">
        <v>-208.2</v>
      </c>
      <c r="C805">
        <v>236.9</v>
      </c>
      <c r="E805">
        <v>26.778</v>
      </c>
      <c r="F805">
        <v>-210.4</v>
      </c>
      <c r="G805">
        <v>236.8</v>
      </c>
      <c r="I805">
        <f t="shared" si="39"/>
        <v>26.75</v>
      </c>
      <c r="J805">
        <f t="shared" si="38"/>
        <v>-7.40000000000001</v>
      </c>
      <c r="K805">
        <f t="shared" si="40"/>
        <v>5</v>
      </c>
    </row>
    <row r="806" spans="1:11">
      <c r="A806">
        <v>26.844</v>
      </c>
      <c r="B806">
        <v>-207.1</v>
      </c>
      <c r="C806">
        <v>236.9</v>
      </c>
      <c r="E806">
        <v>26.811</v>
      </c>
      <c r="F806">
        <v>-208.2</v>
      </c>
      <c r="G806">
        <v>236.9</v>
      </c>
      <c r="I806">
        <f t="shared" si="39"/>
        <v>26.8</v>
      </c>
      <c r="J806">
        <f t="shared" si="38"/>
        <v>-5.19999999999999</v>
      </c>
      <c r="K806">
        <f t="shared" si="40"/>
        <v>5</v>
      </c>
    </row>
    <row r="807" spans="1:11">
      <c r="A807">
        <v>26.878</v>
      </c>
      <c r="B807">
        <v>-205.2</v>
      </c>
      <c r="C807">
        <v>236.8</v>
      </c>
      <c r="E807">
        <v>26.844</v>
      </c>
      <c r="F807">
        <v>-207.1</v>
      </c>
      <c r="G807">
        <v>236.9</v>
      </c>
      <c r="I807">
        <f t="shared" si="39"/>
        <v>26.8</v>
      </c>
      <c r="J807">
        <f t="shared" si="38"/>
        <v>-4.09999999999999</v>
      </c>
      <c r="K807">
        <f t="shared" si="40"/>
        <v>5</v>
      </c>
    </row>
    <row r="808" spans="1:11">
      <c r="A808">
        <v>26.911</v>
      </c>
      <c r="B808">
        <v>-203.5</v>
      </c>
      <c r="C808">
        <v>236.8</v>
      </c>
      <c r="E808">
        <v>26.878</v>
      </c>
      <c r="F808">
        <v>-205.2</v>
      </c>
      <c r="G808">
        <v>236.8</v>
      </c>
      <c r="I808">
        <f t="shared" si="39"/>
        <v>26.85</v>
      </c>
      <c r="J808">
        <f t="shared" si="38"/>
        <v>-2.19999999999999</v>
      </c>
      <c r="K808">
        <f t="shared" si="40"/>
        <v>5</v>
      </c>
    </row>
    <row r="809" spans="1:11">
      <c r="A809">
        <v>26.945</v>
      </c>
      <c r="B809">
        <v>-202.3</v>
      </c>
      <c r="C809">
        <v>236.9</v>
      </c>
      <c r="E809">
        <v>26.911</v>
      </c>
      <c r="F809">
        <v>-203.5</v>
      </c>
      <c r="G809">
        <v>236.8</v>
      </c>
      <c r="I809">
        <f t="shared" si="39"/>
        <v>26.9</v>
      </c>
      <c r="J809">
        <f t="shared" si="38"/>
        <v>-0.5</v>
      </c>
      <c r="K809">
        <f t="shared" si="40"/>
        <v>5</v>
      </c>
    </row>
    <row r="810" spans="1:11">
      <c r="A810">
        <v>26.978</v>
      </c>
      <c r="B810">
        <v>-200.1</v>
      </c>
      <c r="C810">
        <v>236.9</v>
      </c>
      <c r="E810">
        <v>26.945</v>
      </c>
      <c r="F810">
        <v>-202.3</v>
      </c>
      <c r="G810">
        <v>236.9</v>
      </c>
      <c r="I810">
        <f t="shared" si="39"/>
        <v>26.9</v>
      </c>
      <c r="J810">
        <f t="shared" si="38"/>
        <v>0.699999999999989</v>
      </c>
      <c r="K810">
        <f t="shared" si="40"/>
        <v>5</v>
      </c>
    </row>
    <row r="811" spans="1:11">
      <c r="A811">
        <v>27.012</v>
      </c>
      <c r="B811">
        <v>-198.2</v>
      </c>
      <c r="C811">
        <v>236.9</v>
      </c>
      <c r="E811">
        <v>26.978</v>
      </c>
      <c r="F811">
        <v>-200.1</v>
      </c>
      <c r="G811">
        <v>236.9</v>
      </c>
      <c r="I811">
        <f t="shared" si="39"/>
        <v>26.95</v>
      </c>
      <c r="J811">
        <f t="shared" si="38"/>
        <v>2.90000000000001</v>
      </c>
      <c r="K811">
        <f t="shared" si="40"/>
        <v>5</v>
      </c>
    </row>
    <row r="812" spans="1:11">
      <c r="A812">
        <v>27.045</v>
      </c>
      <c r="B812">
        <v>-196.6</v>
      </c>
      <c r="C812">
        <v>237</v>
      </c>
      <c r="E812">
        <v>27.012</v>
      </c>
      <c r="F812">
        <v>-198.2</v>
      </c>
      <c r="G812">
        <v>236.9</v>
      </c>
      <c r="I812">
        <f t="shared" si="39"/>
        <v>27</v>
      </c>
      <c r="J812">
        <f t="shared" si="38"/>
        <v>4.80000000000001</v>
      </c>
      <c r="K812">
        <f t="shared" si="40"/>
        <v>5</v>
      </c>
    </row>
    <row r="813" spans="1:11">
      <c r="A813">
        <v>27.078</v>
      </c>
      <c r="B813">
        <v>-195.6</v>
      </c>
      <c r="C813">
        <v>237</v>
      </c>
      <c r="E813">
        <v>27.045</v>
      </c>
      <c r="F813">
        <v>-196.6</v>
      </c>
      <c r="G813">
        <v>237</v>
      </c>
      <c r="I813">
        <f t="shared" si="39"/>
        <v>27</v>
      </c>
      <c r="J813">
        <f t="shared" si="38"/>
        <v>6.40000000000001</v>
      </c>
      <c r="K813">
        <f t="shared" si="40"/>
        <v>5</v>
      </c>
    </row>
    <row r="814" spans="1:11">
      <c r="A814">
        <v>27.112</v>
      </c>
      <c r="B814">
        <v>-194.3</v>
      </c>
      <c r="C814">
        <v>236.9</v>
      </c>
      <c r="E814">
        <v>27.078</v>
      </c>
      <c r="F814">
        <v>-195.6</v>
      </c>
      <c r="G814">
        <v>237</v>
      </c>
      <c r="I814">
        <f t="shared" si="39"/>
        <v>27.05</v>
      </c>
      <c r="J814">
        <f t="shared" si="38"/>
        <v>7.40000000000001</v>
      </c>
      <c r="K814">
        <f t="shared" si="40"/>
        <v>5</v>
      </c>
    </row>
    <row r="815" spans="1:11">
      <c r="A815">
        <v>27.145</v>
      </c>
      <c r="B815">
        <v>-193.6</v>
      </c>
      <c r="C815">
        <v>236.8</v>
      </c>
      <c r="E815">
        <v>27.112</v>
      </c>
      <c r="F815">
        <v>-194.3</v>
      </c>
      <c r="G815">
        <v>236.9</v>
      </c>
      <c r="I815">
        <f t="shared" si="39"/>
        <v>27.1</v>
      </c>
      <c r="J815">
        <f t="shared" si="38"/>
        <v>8.69999999999999</v>
      </c>
      <c r="K815">
        <f t="shared" si="40"/>
        <v>5</v>
      </c>
    </row>
    <row r="816" spans="1:11">
      <c r="A816">
        <v>27.179</v>
      </c>
      <c r="B816">
        <v>-193.2</v>
      </c>
      <c r="C816">
        <v>236.9</v>
      </c>
      <c r="E816">
        <v>27.145</v>
      </c>
      <c r="F816">
        <v>-193.6</v>
      </c>
      <c r="G816">
        <v>236.8</v>
      </c>
      <c r="I816">
        <f t="shared" si="39"/>
        <v>27.1</v>
      </c>
      <c r="J816">
        <f t="shared" si="38"/>
        <v>9.40000000000001</v>
      </c>
      <c r="K816">
        <f t="shared" si="40"/>
        <v>5</v>
      </c>
    </row>
    <row r="817" spans="1:11">
      <c r="A817">
        <v>27.212</v>
      </c>
      <c r="B817">
        <v>-192.6</v>
      </c>
      <c r="C817">
        <v>237</v>
      </c>
      <c r="E817">
        <v>27.179</v>
      </c>
      <c r="F817">
        <v>-193.2</v>
      </c>
      <c r="G817">
        <v>236.9</v>
      </c>
      <c r="I817">
        <f t="shared" si="39"/>
        <v>27.15</v>
      </c>
      <c r="J817">
        <f t="shared" si="38"/>
        <v>9.80000000000001</v>
      </c>
      <c r="K817">
        <f t="shared" si="40"/>
        <v>5</v>
      </c>
    </row>
    <row r="818" spans="1:11">
      <c r="A818">
        <v>27.246</v>
      </c>
      <c r="B818">
        <v>-192.4</v>
      </c>
      <c r="C818">
        <v>236.8</v>
      </c>
      <c r="E818">
        <v>27.212</v>
      </c>
      <c r="F818">
        <v>-192.6</v>
      </c>
      <c r="G818">
        <v>237</v>
      </c>
      <c r="I818">
        <f t="shared" si="39"/>
        <v>27.2</v>
      </c>
      <c r="J818">
        <f t="shared" si="38"/>
        <v>10.4</v>
      </c>
      <c r="K818">
        <f t="shared" si="40"/>
        <v>5</v>
      </c>
    </row>
    <row r="819" spans="1:11">
      <c r="A819">
        <v>27.279</v>
      </c>
      <c r="B819">
        <v>-192.2</v>
      </c>
      <c r="C819">
        <v>237</v>
      </c>
      <c r="E819">
        <v>27.246</v>
      </c>
      <c r="F819">
        <v>-192.4</v>
      </c>
      <c r="G819">
        <v>236.8</v>
      </c>
      <c r="I819">
        <f t="shared" si="39"/>
        <v>27.2</v>
      </c>
      <c r="J819">
        <f t="shared" si="38"/>
        <v>10.6</v>
      </c>
      <c r="K819">
        <f t="shared" si="40"/>
        <v>5</v>
      </c>
    </row>
    <row r="820" spans="1:11">
      <c r="A820">
        <v>27.312</v>
      </c>
      <c r="B820">
        <v>-192.3</v>
      </c>
      <c r="C820">
        <v>236.7</v>
      </c>
      <c r="E820">
        <v>27.279</v>
      </c>
      <c r="F820">
        <v>-192.2</v>
      </c>
      <c r="G820">
        <v>237</v>
      </c>
      <c r="I820">
        <f t="shared" si="39"/>
        <v>27.25</v>
      </c>
      <c r="J820">
        <f t="shared" si="38"/>
        <v>10.8</v>
      </c>
      <c r="K820">
        <f t="shared" si="40"/>
        <v>5</v>
      </c>
    </row>
    <row r="821" spans="1:11">
      <c r="A821">
        <v>27.346</v>
      </c>
      <c r="B821">
        <v>-192.6</v>
      </c>
      <c r="C821">
        <v>222</v>
      </c>
      <c r="E821">
        <v>27.312</v>
      </c>
      <c r="F821">
        <v>-192.3</v>
      </c>
      <c r="G821">
        <v>236.7</v>
      </c>
      <c r="I821">
        <f t="shared" si="39"/>
        <v>27.3</v>
      </c>
      <c r="J821">
        <f t="shared" si="38"/>
        <v>10.7</v>
      </c>
      <c r="K821">
        <f t="shared" si="40"/>
        <v>5</v>
      </c>
    </row>
    <row r="822" spans="1:11">
      <c r="A822">
        <v>27.379</v>
      </c>
      <c r="B822">
        <v>-192.9</v>
      </c>
      <c r="C822">
        <v>96.2</v>
      </c>
      <c r="E822">
        <v>27.346</v>
      </c>
      <c r="F822">
        <v>-192.6</v>
      </c>
      <c r="G822">
        <v>222</v>
      </c>
      <c r="I822">
        <f t="shared" si="39"/>
        <v>27.3</v>
      </c>
      <c r="J822">
        <f t="shared" si="38"/>
        <v>10.4</v>
      </c>
      <c r="K822">
        <f t="shared" si="40"/>
        <v>0</v>
      </c>
    </row>
    <row r="823" spans="1:11">
      <c r="A823">
        <v>27.413</v>
      </c>
      <c r="B823">
        <v>-193.3</v>
      </c>
      <c r="C823">
        <v>111.4</v>
      </c>
      <c r="E823">
        <v>27.379</v>
      </c>
      <c r="F823">
        <v>-192.9</v>
      </c>
      <c r="G823">
        <v>96.2</v>
      </c>
      <c r="I823">
        <f t="shared" si="39"/>
        <v>27.35</v>
      </c>
      <c r="J823">
        <f t="shared" si="38"/>
        <v>10.1</v>
      </c>
      <c r="K823">
        <f t="shared" si="40"/>
        <v>0</v>
      </c>
    </row>
    <row r="824" spans="1:11">
      <c r="A824">
        <v>27.446</v>
      </c>
      <c r="B824">
        <v>-193.9</v>
      </c>
      <c r="C824">
        <v>107.5</v>
      </c>
      <c r="E824">
        <v>27.413</v>
      </c>
      <c r="F824">
        <v>-193.3</v>
      </c>
      <c r="G824">
        <v>111.4</v>
      </c>
      <c r="I824">
        <f t="shared" si="39"/>
        <v>27.4</v>
      </c>
      <c r="J824">
        <f t="shared" si="38"/>
        <v>9.69999999999999</v>
      </c>
      <c r="K824">
        <f t="shared" si="40"/>
        <v>0</v>
      </c>
    </row>
    <row r="825" spans="1:11">
      <c r="A825">
        <v>27.48</v>
      </c>
      <c r="B825">
        <v>-195.2</v>
      </c>
      <c r="C825">
        <v>106.7</v>
      </c>
      <c r="E825">
        <v>27.446</v>
      </c>
      <c r="F825">
        <v>-193.9</v>
      </c>
      <c r="G825">
        <v>107.5</v>
      </c>
      <c r="I825">
        <f t="shared" si="39"/>
        <v>27.4</v>
      </c>
      <c r="J825">
        <f t="shared" si="38"/>
        <v>9.09999999999999</v>
      </c>
      <c r="K825">
        <f t="shared" si="40"/>
        <v>0</v>
      </c>
    </row>
    <row r="826" spans="1:11">
      <c r="A826">
        <v>27.513</v>
      </c>
      <c r="B826">
        <v>-196.4</v>
      </c>
      <c r="C826">
        <v>104.9</v>
      </c>
      <c r="E826">
        <v>27.48</v>
      </c>
      <c r="F826">
        <v>-195.2</v>
      </c>
      <c r="G826">
        <v>106.7</v>
      </c>
      <c r="I826">
        <f t="shared" si="39"/>
        <v>27.45</v>
      </c>
      <c r="J826">
        <f t="shared" si="38"/>
        <v>7.80000000000001</v>
      </c>
      <c r="K826">
        <f t="shared" si="40"/>
        <v>0</v>
      </c>
    </row>
    <row r="827" spans="1:11">
      <c r="A827">
        <v>27.546</v>
      </c>
      <c r="B827">
        <v>-198</v>
      </c>
      <c r="C827">
        <v>102.1</v>
      </c>
      <c r="E827">
        <v>27.513</v>
      </c>
      <c r="F827">
        <v>-196.4</v>
      </c>
      <c r="G827">
        <v>104.9</v>
      </c>
      <c r="I827">
        <f t="shared" si="39"/>
        <v>27.5</v>
      </c>
      <c r="J827">
        <f t="shared" si="38"/>
        <v>6.59999999999999</v>
      </c>
      <c r="K827">
        <f t="shared" si="40"/>
        <v>0</v>
      </c>
    </row>
    <row r="828" spans="1:11">
      <c r="A828">
        <v>27.58</v>
      </c>
      <c r="B828">
        <v>-199.9</v>
      </c>
      <c r="C828">
        <v>99.9</v>
      </c>
      <c r="E828">
        <v>27.546</v>
      </c>
      <c r="F828">
        <v>-198</v>
      </c>
      <c r="G828">
        <v>102.1</v>
      </c>
      <c r="I828">
        <f t="shared" si="39"/>
        <v>27.5</v>
      </c>
      <c r="J828">
        <f t="shared" si="38"/>
        <v>5</v>
      </c>
      <c r="K828">
        <f t="shared" si="40"/>
        <v>0</v>
      </c>
    </row>
    <row r="829" spans="1:11">
      <c r="A829">
        <v>27.613</v>
      </c>
      <c r="B829">
        <v>-201.4</v>
      </c>
      <c r="C829">
        <v>99</v>
      </c>
      <c r="E829">
        <v>27.58</v>
      </c>
      <c r="F829">
        <v>-199.9</v>
      </c>
      <c r="G829">
        <v>99.9</v>
      </c>
      <c r="I829">
        <f t="shared" si="39"/>
        <v>27.55</v>
      </c>
      <c r="J829">
        <f t="shared" si="38"/>
        <v>3.09999999999999</v>
      </c>
      <c r="K829">
        <f t="shared" si="40"/>
        <v>0</v>
      </c>
    </row>
    <row r="830" spans="1:11">
      <c r="A830">
        <v>27.647</v>
      </c>
      <c r="B830">
        <v>-203.1</v>
      </c>
      <c r="C830">
        <v>96.1</v>
      </c>
      <c r="E830">
        <v>27.613</v>
      </c>
      <c r="F830">
        <v>-201.4</v>
      </c>
      <c r="G830">
        <v>99</v>
      </c>
      <c r="I830">
        <f t="shared" si="39"/>
        <v>27.6</v>
      </c>
      <c r="J830">
        <f t="shared" si="38"/>
        <v>1.59999999999999</v>
      </c>
      <c r="K830">
        <f t="shared" si="40"/>
        <v>0</v>
      </c>
    </row>
    <row r="831" spans="1:11">
      <c r="A831">
        <v>27.68</v>
      </c>
      <c r="B831">
        <v>-204.4</v>
      </c>
      <c r="C831">
        <v>93.4</v>
      </c>
      <c r="E831">
        <v>27.647</v>
      </c>
      <c r="F831">
        <v>-203.1</v>
      </c>
      <c r="G831">
        <v>96.1</v>
      </c>
      <c r="I831">
        <f t="shared" si="39"/>
        <v>27.6</v>
      </c>
      <c r="J831">
        <f t="shared" si="38"/>
        <v>-0.0999999999999943</v>
      </c>
      <c r="K831">
        <f t="shared" si="40"/>
        <v>0</v>
      </c>
    </row>
    <row r="832" spans="1:11">
      <c r="A832">
        <v>27.714</v>
      </c>
      <c r="B832">
        <v>-206.3</v>
      </c>
      <c r="C832">
        <v>93.8</v>
      </c>
      <c r="E832">
        <v>27.68</v>
      </c>
      <c r="F832">
        <v>-204.4</v>
      </c>
      <c r="G832">
        <v>93.4</v>
      </c>
      <c r="I832">
        <f t="shared" si="39"/>
        <v>27.65</v>
      </c>
      <c r="J832">
        <f t="shared" si="38"/>
        <v>-1.40000000000001</v>
      </c>
      <c r="K832">
        <f t="shared" si="40"/>
        <v>0</v>
      </c>
    </row>
    <row r="833" spans="1:11">
      <c r="A833">
        <v>27.747</v>
      </c>
      <c r="B833">
        <v>-208</v>
      </c>
      <c r="C833">
        <v>91</v>
      </c>
      <c r="E833">
        <v>27.714</v>
      </c>
      <c r="F833">
        <v>-206.3</v>
      </c>
      <c r="G833">
        <v>93.8</v>
      </c>
      <c r="I833">
        <f t="shared" si="39"/>
        <v>27.7</v>
      </c>
      <c r="J833">
        <f t="shared" si="38"/>
        <v>-3.30000000000001</v>
      </c>
      <c r="K833">
        <f t="shared" si="40"/>
        <v>0</v>
      </c>
    </row>
    <row r="834" spans="1:11">
      <c r="A834">
        <v>27.781</v>
      </c>
      <c r="B834">
        <v>-209</v>
      </c>
      <c r="C834">
        <v>88.3</v>
      </c>
      <c r="E834">
        <v>27.747</v>
      </c>
      <c r="F834">
        <v>-208</v>
      </c>
      <c r="G834">
        <v>91</v>
      </c>
      <c r="I834">
        <f t="shared" si="39"/>
        <v>27.7</v>
      </c>
      <c r="J834">
        <f t="shared" si="38"/>
        <v>-5</v>
      </c>
      <c r="K834">
        <f t="shared" si="40"/>
        <v>0</v>
      </c>
    </row>
    <row r="835" spans="1:11">
      <c r="A835">
        <v>27.814</v>
      </c>
      <c r="B835">
        <v>-210</v>
      </c>
      <c r="C835">
        <v>88.2</v>
      </c>
      <c r="E835">
        <v>27.781</v>
      </c>
      <c r="F835">
        <v>-209</v>
      </c>
      <c r="G835">
        <v>88.3</v>
      </c>
      <c r="I835">
        <f t="shared" si="39"/>
        <v>27.75</v>
      </c>
      <c r="J835">
        <f t="shared" si="38"/>
        <v>-6</v>
      </c>
      <c r="K835">
        <f t="shared" si="40"/>
        <v>0</v>
      </c>
    </row>
    <row r="836" spans="1:11">
      <c r="A836">
        <v>27.847</v>
      </c>
      <c r="B836">
        <v>-210.9</v>
      </c>
      <c r="C836">
        <v>85.7</v>
      </c>
      <c r="E836">
        <v>27.814</v>
      </c>
      <c r="F836">
        <v>-210</v>
      </c>
      <c r="G836">
        <v>88.2</v>
      </c>
      <c r="I836">
        <f t="shared" si="39"/>
        <v>27.8</v>
      </c>
      <c r="J836">
        <f t="shared" si="38"/>
        <v>-7</v>
      </c>
      <c r="K836">
        <f t="shared" si="40"/>
        <v>0</v>
      </c>
    </row>
    <row r="837" spans="1:11">
      <c r="A837">
        <v>27.881</v>
      </c>
      <c r="B837">
        <v>-212.2</v>
      </c>
      <c r="C837">
        <v>85.5</v>
      </c>
      <c r="E837">
        <v>27.847</v>
      </c>
      <c r="F837">
        <v>-210.9</v>
      </c>
      <c r="G837">
        <v>85.7</v>
      </c>
      <c r="I837">
        <f t="shared" si="39"/>
        <v>27.8</v>
      </c>
      <c r="J837">
        <f t="shared" ref="J837:J900" si="41">F837+203</f>
        <v>-7.90000000000001</v>
      </c>
      <c r="K837">
        <f t="shared" si="40"/>
        <v>0</v>
      </c>
    </row>
    <row r="838" spans="1:11">
      <c r="A838">
        <v>27.914</v>
      </c>
      <c r="B838">
        <v>-212.8</v>
      </c>
      <c r="C838">
        <v>83.5</v>
      </c>
      <c r="E838">
        <v>27.881</v>
      </c>
      <c r="F838">
        <v>-212.2</v>
      </c>
      <c r="G838">
        <v>85.5</v>
      </c>
      <c r="I838">
        <f t="shared" si="39"/>
        <v>27.85</v>
      </c>
      <c r="J838">
        <f t="shared" si="41"/>
        <v>-9.19999999999999</v>
      </c>
      <c r="K838">
        <f t="shared" si="40"/>
        <v>0</v>
      </c>
    </row>
    <row r="839" spans="1:11">
      <c r="A839">
        <v>27.948</v>
      </c>
      <c r="B839">
        <v>-213.1</v>
      </c>
      <c r="C839">
        <v>80.7</v>
      </c>
      <c r="E839">
        <v>27.914</v>
      </c>
      <c r="F839">
        <v>-212.8</v>
      </c>
      <c r="G839">
        <v>83.5</v>
      </c>
      <c r="I839">
        <f t="shared" si="39"/>
        <v>27.9</v>
      </c>
      <c r="J839">
        <f t="shared" si="41"/>
        <v>-9.80000000000001</v>
      </c>
      <c r="K839">
        <f t="shared" si="40"/>
        <v>0</v>
      </c>
    </row>
    <row r="840" spans="1:11">
      <c r="A840">
        <v>27.981</v>
      </c>
      <c r="B840">
        <v>-213.1</v>
      </c>
      <c r="C840">
        <v>79.5</v>
      </c>
      <c r="E840">
        <v>27.948</v>
      </c>
      <c r="F840">
        <v>-213.1</v>
      </c>
      <c r="G840">
        <v>80.7</v>
      </c>
      <c r="I840">
        <f t="shared" si="39"/>
        <v>27.9</v>
      </c>
      <c r="J840">
        <f t="shared" si="41"/>
        <v>-10.1</v>
      </c>
      <c r="K840">
        <f t="shared" si="40"/>
        <v>0</v>
      </c>
    </row>
    <row r="841" spans="1:11">
      <c r="A841">
        <v>28.015</v>
      </c>
      <c r="B841">
        <v>-213</v>
      </c>
      <c r="C841">
        <v>77.8</v>
      </c>
      <c r="E841">
        <v>27.981</v>
      </c>
      <c r="F841">
        <v>-213.1</v>
      </c>
      <c r="G841">
        <v>79.5</v>
      </c>
      <c r="I841">
        <f t="shared" si="39"/>
        <v>27.95</v>
      </c>
      <c r="J841">
        <f t="shared" si="41"/>
        <v>-10.1</v>
      </c>
      <c r="K841">
        <f t="shared" si="40"/>
        <v>0</v>
      </c>
    </row>
    <row r="842" spans="1:11">
      <c r="A842">
        <v>28.048</v>
      </c>
      <c r="B842">
        <v>-212.8</v>
      </c>
      <c r="C842">
        <v>76.5</v>
      </c>
      <c r="E842">
        <v>28.015</v>
      </c>
      <c r="F842">
        <v>-213</v>
      </c>
      <c r="G842">
        <v>77.8</v>
      </c>
      <c r="I842">
        <f t="shared" si="39"/>
        <v>28</v>
      </c>
      <c r="J842">
        <f t="shared" si="41"/>
        <v>-10</v>
      </c>
      <c r="K842">
        <f t="shared" si="40"/>
        <v>0</v>
      </c>
    </row>
    <row r="843" spans="1:11">
      <c r="A843">
        <v>28.081</v>
      </c>
      <c r="B843">
        <v>-212.8</v>
      </c>
      <c r="C843">
        <v>122</v>
      </c>
      <c r="E843">
        <v>28.048</v>
      </c>
      <c r="F843">
        <v>-212.8</v>
      </c>
      <c r="G843">
        <v>76.5</v>
      </c>
      <c r="I843">
        <f t="shared" si="39"/>
        <v>28</v>
      </c>
      <c r="J843">
        <f t="shared" si="41"/>
        <v>-9.80000000000001</v>
      </c>
      <c r="K843">
        <f t="shared" si="40"/>
        <v>0</v>
      </c>
    </row>
    <row r="844" spans="1:11">
      <c r="A844">
        <v>28.115</v>
      </c>
      <c r="B844">
        <v>-212.7</v>
      </c>
      <c r="C844">
        <v>236.5</v>
      </c>
      <c r="E844">
        <v>28.081</v>
      </c>
      <c r="F844">
        <v>-212.8</v>
      </c>
      <c r="G844">
        <v>122</v>
      </c>
      <c r="I844">
        <f t="shared" si="39"/>
        <v>28.05</v>
      </c>
      <c r="J844">
        <f t="shared" si="41"/>
        <v>-9.80000000000001</v>
      </c>
      <c r="K844">
        <f t="shared" si="40"/>
        <v>0</v>
      </c>
    </row>
    <row r="845" spans="1:11">
      <c r="A845">
        <v>28.148</v>
      </c>
      <c r="B845">
        <v>-212.6</v>
      </c>
      <c r="C845">
        <v>236.7</v>
      </c>
      <c r="E845">
        <v>28.115</v>
      </c>
      <c r="F845">
        <v>-212.7</v>
      </c>
      <c r="G845">
        <v>236.5</v>
      </c>
      <c r="I845">
        <f t="shared" si="39"/>
        <v>28.1</v>
      </c>
      <c r="J845">
        <f t="shared" si="41"/>
        <v>-9.69999999999999</v>
      </c>
      <c r="K845">
        <f t="shared" si="40"/>
        <v>5</v>
      </c>
    </row>
    <row r="846" spans="1:11">
      <c r="A846">
        <v>28.182</v>
      </c>
      <c r="B846">
        <v>-212.1</v>
      </c>
      <c r="C846">
        <v>236.6</v>
      </c>
      <c r="E846">
        <v>28.148</v>
      </c>
      <c r="F846">
        <v>-212.6</v>
      </c>
      <c r="G846">
        <v>236.7</v>
      </c>
      <c r="I846">
        <f t="shared" si="39"/>
        <v>28.1</v>
      </c>
      <c r="J846">
        <f t="shared" si="41"/>
        <v>-9.59999999999999</v>
      </c>
      <c r="K846">
        <f t="shared" si="40"/>
        <v>5</v>
      </c>
    </row>
    <row r="847" spans="1:11">
      <c r="A847">
        <v>28.215</v>
      </c>
      <c r="B847">
        <v>-210.7</v>
      </c>
      <c r="C847">
        <v>237</v>
      </c>
      <c r="E847">
        <v>28.182</v>
      </c>
      <c r="F847">
        <v>-212.1</v>
      </c>
      <c r="G847">
        <v>236.6</v>
      </c>
      <c r="I847">
        <f t="shared" si="39"/>
        <v>28.15</v>
      </c>
      <c r="J847">
        <f t="shared" si="41"/>
        <v>-9.09999999999999</v>
      </c>
      <c r="K847">
        <f t="shared" si="40"/>
        <v>5</v>
      </c>
    </row>
    <row r="848" spans="1:11">
      <c r="A848">
        <v>28.249</v>
      </c>
      <c r="B848">
        <v>-210</v>
      </c>
      <c r="C848">
        <v>236.9</v>
      </c>
      <c r="E848">
        <v>28.215</v>
      </c>
      <c r="F848">
        <v>-210.7</v>
      </c>
      <c r="G848">
        <v>237</v>
      </c>
      <c r="I848">
        <f t="shared" si="39"/>
        <v>28.2</v>
      </c>
      <c r="J848">
        <f t="shared" si="41"/>
        <v>-7.69999999999999</v>
      </c>
      <c r="K848">
        <f t="shared" si="40"/>
        <v>5</v>
      </c>
    </row>
    <row r="849" spans="1:11">
      <c r="A849">
        <v>28.282</v>
      </c>
      <c r="B849">
        <v>-208.2</v>
      </c>
      <c r="C849">
        <v>236.6</v>
      </c>
      <c r="E849">
        <v>28.249</v>
      </c>
      <c r="F849">
        <v>-210</v>
      </c>
      <c r="G849">
        <v>236.9</v>
      </c>
      <c r="I849">
        <f t="shared" si="39"/>
        <v>28.2</v>
      </c>
      <c r="J849">
        <f t="shared" si="41"/>
        <v>-7</v>
      </c>
      <c r="K849">
        <f t="shared" si="40"/>
        <v>5</v>
      </c>
    </row>
    <row r="850" spans="1:11">
      <c r="A850">
        <v>28.315</v>
      </c>
      <c r="B850">
        <v>-206.7</v>
      </c>
      <c r="C850">
        <v>236.8</v>
      </c>
      <c r="E850">
        <v>28.282</v>
      </c>
      <c r="F850">
        <v>-208.2</v>
      </c>
      <c r="G850">
        <v>236.6</v>
      </c>
      <c r="I850">
        <f t="shared" si="39"/>
        <v>28.25</v>
      </c>
      <c r="J850">
        <f t="shared" si="41"/>
        <v>-5.19999999999999</v>
      </c>
      <c r="K850">
        <f t="shared" si="40"/>
        <v>5</v>
      </c>
    </row>
    <row r="851" spans="1:11">
      <c r="A851">
        <v>28.349</v>
      </c>
      <c r="B851">
        <v>-205.4</v>
      </c>
      <c r="C851">
        <v>236.9</v>
      </c>
      <c r="E851">
        <v>28.315</v>
      </c>
      <c r="F851">
        <v>-206.7</v>
      </c>
      <c r="G851">
        <v>236.8</v>
      </c>
      <c r="I851">
        <f t="shared" si="39"/>
        <v>28.3</v>
      </c>
      <c r="J851">
        <f t="shared" si="41"/>
        <v>-3.69999999999999</v>
      </c>
      <c r="K851">
        <f t="shared" si="40"/>
        <v>5</v>
      </c>
    </row>
    <row r="852" spans="1:11">
      <c r="A852">
        <v>28.382</v>
      </c>
      <c r="B852">
        <v>-203.5</v>
      </c>
      <c r="C852">
        <v>237.2</v>
      </c>
      <c r="E852">
        <v>28.349</v>
      </c>
      <c r="F852">
        <v>-205.4</v>
      </c>
      <c r="G852">
        <v>236.9</v>
      </c>
      <c r="I852">
        <f t="shared" si="39"/>
        <v>28.3</v>
      </c>
      <c r="J852">
        <f t="shared" si="41"/>
        <v>-2.40000000000001</v>
      </c>
      <c r="K852">
        <f t="shared" si="40"/>
        <v>5</v>
      </c>
    </row>
    <row r="853" spans="1:11">
      <c r="A853">
        <v>28.416</v>
      </c>
      <c r="B853">
        <v>-202</v>
      </c>
      <c r="C853">
        <v>237</v>
      </c>
      <c r="E853">
        <v>28.382</v>
      </c>
      <c r="F853">
        <v>-203.5</v>
      </c>
      <c r="G853">
        <v>237.2</v>
      </c>
      <c r="I853">
        <f t="shared" si="39"/>
        <v>28.35</v>
      </c>
      <c r="J853">
        <f t="shared" si="41"/>
        <v>-0.5</v>
      </c>
      <c r="K853">
        <f t="shared" si="40"/>
        <v>5</v>
      </c>
    </row>
    <row r="854" spans="1:11">
      <c r="A854">
        <v>28.449</v>
      </c>
      <c r="B854">
        <v>-200.7</v>
      </c>
      <c r="C854">
        <v>236.7</v>
      </c>
      <c r="E854">
        <v>28.416</v>
      </c>
      <c r="F854">
        <v>-202</v>
      </c>
      <c r="G854">
        <v>237</v>
      </c>
      <c r="I854">
        <f t="shared" si="39"/>
        <v>28.4</v>
      </c>
      <c r="J854">
        <f t="shared" si="41"/>
        <v>1</v>
      </c>
      <c r="K854">
        <f t="shared" si="40"/>
        <v>5</v>
      </c>
    </row>
    <row r="855" spans="1:11">
      <c r="A855">
        <v>28.483</v>
      </c>
      <c r="B855">
        <v>-198.6</v>
      </c>
      <c r="C855">
        <v>236.9</v>
      </c>
      <c r="E855">
        <v>28.449</v>
      </c>
      <c r="F855">
        <v>-200.7</v>
      </c>
      <c r="G855">
        <v>236.7</v>
      </c>
      <c r="I855">
        <f t="shared" si="39"/>
        <v>28.4</v>
      </c>
      <c r="J855">
        <f t="shared" si="41"/>
        <v>2.30000000000001</v>
      </c>
      <c r="K855">
        <f t="shared" si="40"/>
        <v>5</v>
      </c>
    </row>
    <row r="856" spans="1:11">
      <c r="A856">
        <v>28.516</v>
      </c>
      <c r="B856">
        <v>-196.9</v>
      </c>
      <c r="C856">
        <v>237.1</v>
      </c>
      <c r="E856">
        <v>28.483</v>
      </c>
      <c r="F856">
        <v>-198.6</v>
      </c>
      <c r="G856">
        <v>236.9</v>
      </c>
      <c r="I856">
        <f t="shared" si="39"/>
        <v>28.45</v>
      </c>
      <c r="J856">
        <f t="shared" si="41"/>
        <v>4.40000000000001</v>
      </c>
      <c r="K856">
        <f t="shared" si="40"/>
        <v>5</v>
      </c>
    </row>
    <row r="857" spans="1:11">
      <c r="A857">
        <v>28.549</v>
      </c>
      <c r="B857">
        <v>-195.2</v>
      </c>
      <c r="C857">
        <v>236.9</v>
      </c>
      <c r="E857">
        <v>28.516</v>
      </c>
      <c r="F857">
        <v>-196.9</v>
      </c>
      <c r="G857">
        <v>237.1</v>
      </c>
      <c r="I857">
        <f t="shared" si="39"/>
        <v>28.5</v>
      </c>
      <c r="J857">
        <f t="shared" si="41"/>
        <v>6.09999999999999</v>
      </c>
      <c r="K857">
        <f t="shared" si="40"/>
        <v>5</v>
      </c>
    </row>
    <row r="858" spans="1:11">
      <c r="A858">
        <v>28.583</v>
      </c>
      <c r="B858">
        <v>-194.2</v>
      </c>
      <c r="C858">
        <v>236.9</v>
      </c>
      <c r="E858">
        <v>28.549</v>
      </c>
      <c r="F858">
        <v>-195.2</v>
      </c>
      <c r="G858">
        <v>236.9</v>
      </c>
      <c r="I858">
        <f t="shared" si="39"/>
        <v>28.5</v>
      </c>
      <c r="J858">
        <f t="shared" si="41"/>
        <v>7.80000000000001</v>
      </c>
      <c r="K858">
        <f t="shared" si="40"/>
        <v>5</v>
      </c>
    </row>
    <row r="859" spans="1:11">
      <c r="A859">
        <v>28.616</v>
      </c>
      <c r="B859">
        <v>-192.9</v>
      </c>
      <c r="C859">
        <v>236.9</v>
      </c>
      <c r="E859">
        <v>28.583</v>
      </c>
      <c r="F859">
        <v>-194.2</v>
      </c>
      <c r="G859">
        <v>236.9</v>
      </c>
      <c r="I859">
        <f t="shared" si="39"/>
        <v>28.55</v>
      </c>
      <c r="J859">
        <f t="shared" si="41"/>
        <v>8.80000000000001</v>
      </c>
      <c r="K859">
        <f t="shared" si="40"/>
        <v>5</v>
      </c>
    </row>
    <row r="860" spans="1:11">
      <c r="A860">
        <v>28.65</v>
      </c>
      <c r="B860">
        <v>-192.2</v>
      </c>
      <c r="C860">
        <v>236.6</v>
      </c>
      <c r="E860">
        <v>28.616</v>
      </c>
      <c r="F860">
        <v>-192.9</v>
      </c>
      <c r="G860">
        <v>236.9</v>
      </c>
      <c r="I860">
        <f t="shared" ref="I860:I923" si="42">FLOOR(E860,0.05)</f>
        <v>28.6</v>
      </c>
      <c r="J860">
        <f t="shared" si="41"/>
        <v>10.1</v>
      </c>
      <c r="K860">
        <f t="shared" ref="K860:K923" si="43">IF(G860&lt;230,0,5)</f>
        <v>5</v>
      </c>
    </row>
    <row r="861" spans="1:11">
      <c r="A861">
        <v>28.683</v>
      </c>
      <c r="B861">
        <v>-190.4</v>
      </c>
      <c r="C861">
        <v>236.8</v>
      </c>
      <c r="E861">
        <v>28.65</v>
      </c>
      <c r="F861">
        <v>-192.2</v>
      </c>
      <c r="G861">
        <v>236.6</v>
      </c>
      <c r="I861">
        <f t="shared" si="42"/>
        <v>28.65</v>
      </c>
      <c r="J861">
        <f t="shared" si="41"/>
        <v>10.8</v>
      </c>
      <c r="K861">
        <f t="shared" si="43"/>
        <v>5</v>
      </c>
    </row>
    <row r="862" spans="1:11">
      <c r="A862">
        <v>28.717</v>
      </c>
      <c r="B862">
        <v>-190</v>
      </c>
      <c r="C862">
        <v>236.9</v>
      </c>
      <c r="E862">
        <v>28.683</v>
      </c>
      <c r="F862">
        <v>-190.4</v>
      </c>
      <c r="G862">
        <v>236.8</v>
      </c>
      <c r="I862">
        <f t="shared" si="42"/>
        <v>28.65</v>
      </c>
      <c r="J862">
        <f t="shared" si="41"/>
        <v>12.6</v>
      </c>
      <c r="K862">
        <f t="shared" si="43"/>
        <v>5</v>
      </c>
    </row>
    <row r="863" spans="1:11">
      <c r="A863">
        <v>28.75</v>
      </c>
      <c r="B863">
        <v>-189.6</v>
      </c>
      <c r="C863">
        <v>236.9</v>
      </c>
      <c r="E863">
        <v>28.717</v>
      </c>
      <c r="F863">
        <v>-190</v>
      </c>
      <c r="G863">
        <v>236.9</v>
      </c>
      <c r="I863">
        <f t="shared" si="42"/>
        <v>28.7</v>
      </c>
      <c r="J863">
        <f t="shared" si="41"/>
        <v>13</v>
      </c>
      <c r="K863">
        <f t="shared" si="43"/>
        <v>5</v>
      </c>
    </row>
    <row r="864" spans="1:11">
      <c r="A864">
        <v>28.783</v>
      </c>
      <c r="B864">
        <v>-189.4</v>
      </c>
      <c r="C864">
        <v>236.6</v>
      </c>
      <c r="E864">
        <v>28.75</v>
      </c>
      <c r="F864">
        <v>-189.6</v>
      </c>
      <c r="G864">
        <v>236.9</v>
      </c>
      <c r="I864">
        <f t="shared" si="42"/>
        <v>28.75</v>
      </c>
      <c r="J864">
        <f t="shared" si="41"/>
        <v>13.4</v>
      </c>
      <c r="K864">
        <f t="shared" si="43"/>
        <v>5</v>
      </c>
    </row>
    <row r="865" spans="1:11">
      <c r="A865">
        <v>28.817</v>
      </c>
      <c r="B865">
        <v>-189.6</v>
      </c>
      <c r="C865">
        <v>236.8</v>
      </c>
      <c r="E865">
        <v>28.783</v>
      </c>
      <c r="F865">
        <v>-189.4</v>
      </c>
      <c r="G865">
        <v>236.6</v>
      </c>
      <c r="I865">
        <f t="shared" si="42"/>
        <v>28.75</v>
      </c>
      <c r="J865">
        <f t="shared" si="41"/>
        <v>13.6</v>
      </c>
      <c r="K865">
        <f t="shared" si="43"/>
        <v>5</v>
      </c>
    </row>
    <row r="866" spans="1:11">
      <c r="A866">
        <v>28.85</v>
      </c>
      <c r="B866">
        <v>-189.8</v>
      </c>
      <c r="C866">
        <v>206.7</v>
      </c>
      <c r="E866">
        <v>28.817</v>
      </c>
      <c r="F866">
        <v>-189.6</v>
      </c>
      <c r="G866">
        <v>236.8</v>
      </c>
      <c r="I866">
        <f t="shared" si="42"/>
        <v>28.8</v>
      </c>
      <c r="J866">
        <f t="shared" si="41"/>
        <v>13.4</v>
      </c>
      <c r="K866">
        <f t="shared" si="43"/>
        <v>5</v>
      </c>
    </row>
    <row r="867" spans="1:11">
      <c r="A867">
        <v>28.884</v>
      </c>
      <c r="B867">
        <v>-190</v>
      </c>
      <c r="C867">
        <v>97.3</v>
      </c>
      <c r="E867">
        <v>28.85</v>
      </c>
      <c r="F867">
        <v>-189.8</v>
      </c>
      <c r="G867">
        <v>206.7</v>
      </c>
      <c r="I867">
        <f t="shared" si="42"/>
        <v>28.85</v>
      </c>
      <c r="J867">
        <f t="shared" si="41"/>
        <v>13.2</v>
      </c>
      <c r="K867">
        <f t="shared" si="43"/>
        <v>0</v>
      </c>
    </row>
    <row r="868" spans="1:11">
      <c r="A868">
        <v>28.917</v>
      </c>
      <c r="B868">
        <v>-190.2</v>
      </c>
      <c r="C868">
        <v>110.7</v>
      </c>
      <c r="E868">
        <v>28.884</v>
      </c>
      <c r="F868">
        <v>-190</v>
      </c>
      <c r="G868">
        <v>97.3</v>
      </c>
      <c r="I868">
        <f t="shared" si="42"/>
        <v>28.85</v>
      </c>
      <c r="J868">
        <f t="shared" si="41"/>
        <v>13</v>
      </c>
      <c r="K868">
        <f t="shared" si="43"/>
        <v>0</v>
      </c>
    </row>
    <row r="869" spans="1:11">
      <c r="A869">
        <v>28.951</v>
      </c>
      <c r="B869">
        <v>-190.8</v>
      </c>
      <c r="C869">
        <v>107.1</v>
      </c>
      <c r="E869">
        <v>28.917</v>
      </c>
      <c r="F869">
        <v>-190.2</v>
      </c>
      <c r="G869">
        <v>110.7</v>
      </c>
      <c r="I869">
        <f t="shared" si="42"/>
        <v>28.9</v>
      </c>
      <c r="J869">
        <f t="shared" si="41"/>
        <v>12.8</v>
      </c>
      <c r="K869">
        <f t="shared" si="43"/>
        <v>0</v>
      </c>
    </row>
    <row r="870" spans="1:11">
      <c r="A870">
        <v>28.984</v>
      </c>
      <c r="B870">
        <v>-193.4</v>
      </c>
      <c r="C870">
        <v>105.5</v>
      </c>
      <c r="E870">
        <v>28.951</v>
      </c>
      <c r="F870">
        <v>-190.8</v>
      </c>
      <c r="G870">
        <v>107.1</v>
      </c>
      <c r="I870">
        <f t="shared" si="42"/>
        <v>28.95</v>
      </c>
      <c r="J870">
        <f t="shared" si="41"/>
        <v>12.2</v>
      </c>
      <c r="K870">
        <f t="shared" si="43"/>
        <v>0</v>
      </c>
    </row>
    <row r="871" spans="1:11">
      <c r="A871">
        <v>29.017</v>
      </c>
      <c r="B871">
        <v>-194.5</v>
      </c>
      <c r="C871">
        <v>104.9</v>
      </c>
      <c r="E871">
        <v>28.984</v>
      </c>
      <c r="F871">
        <v>-193.4</v>
      </c>
      <c r="G871">
        <v>105.5</v>
      </c>
      <c r="I871">
        <f t="shared" si="42"/>
        <v>28.95</v>
      </c>
      <c r="J871">
        <f t="shared" si="41"/>
        <v>9.59999999999999</v>
      </c>
      <c r="K871">
        <f t="shared" si="43"/>
        <v>0</v>
      </c>
    </row>
    <row r="872" spans="1:11">
      <c r="A872">
        <v>29.051</v>
      </c>
      <c r="B872">
        <v>-195.7</v>
      </c>
      <c r="C872">
        <v>101.6</v>
      </c>
      <c r="E872">
        <v>29.017</v>
      </c>
      <c r="F872">
        <v>-194.5</v>
      </c>
      <c r="G872">
        <v>104.9</v>
      </c>
      <c r="I872">
        <f t="shared" si="42"/>
        <v>29</v>
      </c>
      <c r="J872">
        <f t="shared" si="41"/>
        <v>8.5</v>
      </c>
      <c r="K872">
        <f t="shared" si="43"/>
        <v>0</v>
      </c>
    </row>
    <row r="873" spans="1:11">
      <c r="A873">
        <v>29.084</v>
      </c>
      <c r="B873">
        <v>-197.7</v>
      </c>
      <c r="C873">
        <v>98.9</v>
      </c>
      <c r="E873">
        <v>29.051</v>
      </c>
      <c r="F873">
        <v>-195.7</v>
      </c>
      <c r="G873">
        <v>101.6</v>
      </c>
      <c r="I873">
        <f t="shared" si="42"/>
        <v>29.05</v>
      </c>
      <c r="J873">
        <f t="shared" si="41"/>
        <v>7.30000000000001</v>
      </c>
      <c r="K873">
        <f t="shared" si="43"/>
        <v>0</v>
      </c>
    </row>
    <row r="874" spans="1:11">
      <c r="A874">
        <v>29.118</v>
      </c>
      <c r="B874">
        <v>-199.9</v>
      </c>
      <c r="C874">
        <v>96.5</v>
      </c>
      <c r="E874">
        <v>29.084</v>
      </c>
      <c r="F874">
        <v>-197.7</v>
      </c>
      <c r="G874">
        <v>98.9</v>
      </c>
      <c r="I874">
        <f t="shared" si="42"/>
        <v>29.05</v>
      </c>
      <c r="J874">
        <f t="shared" si="41"/>
        <v>5.30000000000001</v>
      </c>
      <c r="K874">
        <f t="shared" si="43"/>
        <v>0</v>
      </c>
    </row>
    <row r="875" spans="1:11">
      <c r="A875">
        <v>29.151</v>
      </c>
      <c r="B875">
        <v>-201.2</v>
      </c>
      <c r="C875">
        <v>95</v>
      </c>
      <c r="E875">
        <v>29.118</v>
      </c>
      <c r="F875">
        <v>-199.9</v>
      </c>
      <c r="G875">
        <v>96.5</v>
      </c>
      <c r="I875">
        <f t="shared" si="42"/>
        <v>29.1</v>
      </c>
      <c r="J875">
        <f t="shared" si="41"/>
        <v>3.09999999999999</v>
      </c>
      <c r="K875">
        <f t="shared" si="43"/>
        <v>0</v>
      </c>
    </row>
    <row r="876" spans="1:11">
      <c r="A876">
        <v>29.185</v>
      </c>
      <c r="B876">
        <v>-202.7</v>
      </c>
      <c r="C876">
        <v>92.9</v>
      </c>
      <c r="E876">
        <v>29.151</v>
      </c>
      <c r="F876">
        <v>-201.2</v>
      </c>
      <c r="G876">
        <v>95</v>
      </c>
      <c r="I876">
        <f t="shared" si="42"/>
        <v>29.15</v>
      </c>
      <c r="J876">
        <f t="shared" si="41"/>
        <v>1.80000000000001</v>
      </c>
      <c r="K876">
        <f t="shared" si="43"/>
        <v>0</v>
      </c>
    </row>
    <row r="877" spans="1:11">
      <c r="A877">
        <v>29.218</v>
      </c>
      <c r="B877">
        <v>-204.3</v>
      </c>
      <c r="C877">
        <v>91.6</v>
      </c>
      <c r="E877">
        <v>29.185</v>
      </c>
      <c r="F877">
        <v>-202.7</v>
      </c>
      <c r="G877">
        <v>92.9</v>
      </c>
      <c r="I877">
        <f t="shared" si="42"/>
        <v>29.15</v>
      </c>
      <c r="J877">
        <f t="shared" si="41"/>
        <v>0.300000000000011</v>
      </c>
      <c r="K877">
        <f t="shared" si="43"/>
        <v>0</v>
      </c>
    </row>
    <row r="878" spans="1:11">
      <c r="A878">
        <v>29.251</v>
      </c>
      <c r="B878">
        <v>-206.3</v>
      </c>
      <c r="C878">
        <v>90</v>
      </c>
      <c r="E878">
        <v>29.218</v>
      </c>
      <c r="F878">
        <v>-204.3</v>
      </c>
      <c r="G878">
        <v>91.6</v>
      </c>
      <c r="I878">
        <f t="shared" si="42"/>
        <v>29.2</v>
      </c>
      <c r="J878">
        <f t="shared" si="41"/>
        <v>-1.30000000000001</v>
      </c>
      <c r="K878">
        <f t="shared" si="43"/>
        <v>0</v>
      </c>
    </row>
    <row r="879" spans="1:11">
      <c r="A879">
        <v>29.285</v>
      </c>
      <c r="B879">
        <v>-207.2</v>
      </c>
      <c r="C879">
        <v>88.2</v>
      </c>
      <c r="E879">
        <v>29.251</v>
      </c>
      <c r="F879">
        <v>-206.3</v>
      </c>
      <c r="G879">
        <v>90</v>
      </c>
      <c r="I879">
        <f t="shared" si="42"/>
        <v>29.25</v>
      </c>
      <c r="J879">
        <f t="shared" si="41"/>
        <v>-3.30000000000001</v>
      </c>
      <c r="K879">
        <f t="shared" si="43"/>
        <v>0</v>
      </c>
    </row>
    <row r="880" spans="1:11">
      <c r="A880">
        <v>29.318</v>
      </c>
      <c r="B880">
        <v>-208.2</v>
      </c>
      <c r="C880">
        <v>86.9</v>
      </c>
      <c r="E880">
        <v>29.285</v>
      </c>
      <c r="F880">
        <v>-207.2</v>
      </c>
      <c r="G880">
        <v>88.2</v>
      </c>
      <c r="I880">
        <f t="shared" si="42"/>
        <v>29.25</v>
      </c>
      <c r="J880">
        <f t="shared" si="41"/>
        <v>-4.19999999999999</v>
      </c>
      <c r="K880">
        <f t="shared" si="43"/>
        <v>0</v>
      </c>
    </row>
    <row r="881" spans="1:11">
      <c r="A881">
        <v>29.352</v>
      </c>
      <c r="B881">
        <v>-208.9</v>
      </c>
      <c r="C881">
        <v>85.4</v>
      </c>
      <c r="E881">
        <v>29.318</v>
      </c>
      <c r="F881">
        <v>-208.2</v>
      </c>
      <c r="G881">
        <v>86.9</v>
      </c>
      <c r="I881">
        <f t="shared" si="42"/>
        <v>29.3</v>
      </c>
      <c r="J881">
        <f t="shared" si="41"/>
        <v>-5.19999999999999</v>
      </c>
      <c r="K881">
        <f t="shared" si="43"/>
        <v>0</v>
      </c>
    </row>
    <row r="882" spans="1:11">
      <c r="A882">
        <v>29.385</v>
      </c>
      <c r="B882">
        <v>-210.6</v>
      </c>
      <c r="C882">
        <v>83.1</v>
      </c>
      <c r="E882">
        <v>29.352</v>
      </c>
      <c r="F882">
        <v>-208.9</v>
      </c>
      <c r="G882">
        <v>85.4</v>
      </c>
      <c r="I882">
        <f t="shared" si="42"/>
        <v>29.35</v>
      </c>
      <c r="J882">
        <f t="shared" si="41"/>
        <v>-5.90000000000001</v>
      </c>
      <c r="K882">
        <f t="shared" si="43"/>
        <v>0</v>
      </c>
    </row>
    <row r="883" spans="1:11">
      <c r="A883">
        <v>29.419</v>
      </c>
      <c r="B883">
        <v>-211.1</v>
      </c>
      <c r="C883">
        <v>81.7</v>
      </c>
      <c r="E883">
        <v>29.385</v>
      </c>
      <c r="F883">
        <v>-210.6</v>
      </c>
      <c r="G883">
        <v>83.1</v>
      </c>
      <c r="I883">
        <f t="shared" si="42"/>
        <v>29.35</v>
      </c>
      <c r="J883">
        <f t="shared" si="41"/>
        <v>-7.59999999999999</v>
      </c>
      <c r="K883">
        <f t="shared" si="43"/>
        <v>0</v>
      </c>
    </row>
    <row r="884" spans="1:11">
      <c r="A884">
        <v>29.452</v>
      </c>
      <c r="B884">
        <v>-211.4</v>
      </c>
      <c r="C884">
        <v>79.6</v>
      </c>
      <c r="E884">
        <v>29.419</v>
      </c>
      <c r="F884">
        <v>-211.1</v>
      </c>
      <c r="G884">
        <v>81.7</v>
      </c>
      <c r="I884">
        <f t="shared" si="42"/>
        <v>29.4</v>
      </c>
      <c r="J884">
        <f t="shared" si="41"/>
        <v>-8.09999999999999</v>
      </c>
      <c r="K884">
        <f t="shared" si="43"/>
        <v>0</v>
      </c>
    </row>
    <row r="885" spans="1:11">
      <c r="A885">
        <v>29.485</v>
      </c>
      <c r="B885">
        <v>-212</v>
      </c>
      <c r="C885">
        <v>78.2</v>
      </c>
      <c r="E885">
        <v>29.452</v>
      </c>
      <c r="F885">
        <v>-211.4</v>
      </c>
      <c r="G885">
        <v>79.6</v>
      </c>
      <c r="I885">
        <f t="shared" si="42"/>
        <v>29.45</v>
      </c>
      <c r="J885">
        <f t="shared" si="41"/>
        <v>-8.40000000000001</v>
      </c>
      <c r="K885">
        <f t="shared" si="43"/>
        <v>0</v>
      </c>
    </row>
    <row r="886" spans="1:11">
      <c r="A886">
        <v>29.519</v>
      </c>
      <c r="B886">
        <v>-212.1</v>
      </c>
      <c r="C886">
        <v>76.1</v>
      </c>
      <c r="E886">
        <v>29.485</v>
      </c>
      <c r="F886">
        <v>-212</v>
      </c>
      <c r="G886">
        <v>78.2</v>
      </c>
      <c r="I886">
        <f t="shared" si="42"/>
        <v>29.45</v>
      </c>
      <c r="J886">
        <f t="shared" si="41"/>
        <v>-9</v>
      </c>
      <c r="K886">
        <f t="shared" si="43"/>
        <v>0</v>
      </c>
    </row>
    <row r="887" spans="1:11">
      <c r="A887">
        <v>29.552</v>
      </c>
      <c r="B887">
        <v>-211.9</v>
      </c>
      <c r="C887">
        <v>76.2</v>
      </c>
      <c r="E887">
        <v>29.519</v>
      </c>
      <c r="F887">
        <v>-212.1</v>
      </c>
      <c r="G887">
        <v>76.1</v>
      </c>
      <c r="I887">
        <f t="shared" si="42"/>
        <v>29.5</v>
      </c>
      <c r="J887">
        <f t="shared" si="41"/>
        <v>-9.09999999999999</v>
      </c>
      <c r="K887">
        <f t="shared" si="43"/>
        <v>0</v>
      </c>
    </row>
    <row r="888" spans="1:11">
      <c r="A888">
        <v>29.586</v>
      </c>
      <c r="B888">
        <v>-211.7</v>
      </c>
      <c r="C888">
        <v>174.5</v>
      </c>
      <c r="E888">
        <v>29.552</v>
      </c>
      <c r="F888">
        <v>-211.9</v>
      </c>
      <c r="G888">
        <v>76.2</v>
      </c>
      <c r="I888">
        <f t="shared" si="42"/>
        <v>29.55</v>
      </c>
      <c r="J888">
        <f t="shared" si="41"/>
        <v>-8.90000000000001</v>
      </c>
      <c r="K888">
        <f t="shared" si="43"/>
        <v>0</v>
      </c>
    </row>
    <row r="889" spans="1:11">
      <c r="A889">
        <v>29.619</v>
      </c>
      <c r="B889">
        <v>-211.7</v>
      </c>
      <c r="C889">
        <v>236.7</v>
      </c>
      <c r="E889">
        <v>29.586</v>
      </c>
      <c r="F889">
        <v>-211.7</v>
      </c>
      <c r="G889">
        <v>174.5</v>
      </c>
      <c r="I889">
        <f t="shared" si="42"/>
        <v>29.55</v>
      </c>
      <c r="J889">
        <f t="shared" si="41"/>
        <v>-8.69999999999999</v>
      </c>
      <c r="K889">
        <f t="shared" si="43"/>
        <v>0</v>
      </c>
    </row>
    <row r="890" spans="1:11">
      <c r="A890">
        <v>29.653</v>
      </c>
      <c r="B890">
        <v>-211.4</v>
      </c>
      <c r="C890">
        <v>236.5</v>
      </c>
      <c r="E890">
        <v>29.619</v>
      </c>
      <c r="F890">
        <v>-211.7</v>
      </c>
      <c r="G890">
        <v>236.7</v>
      </c>
      <c r="I890">
        <f t="shared" si="42"/>
        <v>29.6</v>
      </c>
      <c r="J890">
        <f t="shared" si="41"/>
        <v>-8.69999999999999</v>
      </c>
      <c r="K890">
        <f t="shared" si="43"/>
        <v>5</v>
      </c>
    </row>
    <row r="891" spans="1:11">
      <c r="A891">
        <v>29.686</v>
      </c>
      <c r="B891">
        <v>-211.4</v>
      </c>
      <c r="C891">
        <v>236.5</v>
      </c>
      <c r="E891">
        <v>29.653</v>
      </c>
      <c r="F891">
        <v>-211.4</v>
      </c>
      <c r="G891">
        <v>236.5</v>
      </c>
      <c r="I891">
        <f t="shared" si="42"/>
        <v>29.65</v>
      </c>
      <c r="J891">
        <f t="shared" si="41"/>
        <v>-8.40000000000001</v>
      </c>
      <c r="K891">
        <f t="shared" si="43"/>
        <v>5</v>
      </c>
    </row>
    <row r="892" spans="1:11">
      <c r="A892">
        <v>29.719</v>
      </c>
      <c r="B892">
        <v>-210.4</v>
      </c>
      <c r="C892">
        <v>236.5</v>
      </c>
      <c r="E892">
        <v>29.686</v>
      </c>
      <c r="F892">
        <v>-211.4</v>
      </c>
      <c r="G892">
        <v>236.5</v>
      </c>
      <c r="I892">
        <f t="shared" si="42"/>
        <v>29.65</v>
      </c>
      <c r="J892">
        <f t="shared" si="41"/>
        <v>-8.40000000000001</v>
      </c>
      <c r="K892">
        <f t="shared" si="43"/>
        <v>5</v>
      </c>
    </row>
    <row r="893" spans="1:11">
      <c r="A893">
        <v>29.753</v>
      </c>
      <c r="B893">
        <v>-209.6</v>
      </c>
      <c r="C893">
        <v>236.6</v>
      </c>
      <c r="E893">
        <v>29.719</v>
      </c>
      <c r="F893">
        <v>-210.4</v>
      </c>
      <c r="G893">
        <v>236.5</v>
      </c>
      <c r="I893">
        <f t="shared" si="42"/>
        <v>29.7</v>
      </c>
      <c r="J893">
        <f t="shared" si="41"/>
        <v>-7.40000000000001</v>
      </c>
      <c r="K893">
        <f t="shared" si="43"/>
        <v>5</v>
      </c>
    </row>
    <row r="894" spans="1:11">
      <c r="A894">
        <v>29.786</v>
      </c>
      <c r="B894">
        <v>-208.4</v>
      </c>
      <c r="C894">
        <v>237</v>
      </c>
      <c r="E894">
        <v>29.753</v>
      </c>
      <c r="F894">
        <v>-209.6</v>
      </c>
      <c r="G894">
        <v>236.6</v>
      </c>
      <c r="I894">
        <f t="shared" si="42"/>
        <v>29.75</v>
      </c>
      <c r="J894">
        <f t="shared" si="41"/>
        <v>-6.59999999999999</v>
      </c>
      <c r="K894">
        <f t="shared" si="43"/>
        <v>5</v>
      </c>
    </row>
    <row r="895" spans="1:11">
      <c r="A895">
        <v>29.82</v>
      </c>
      <c r="B895">
        <v>-206.5</v>
      </c>
      <c r="C895">
        <v>237</v>
      </c>
      <c r="E895">
        <v>29.786</v>
      </c>
      <c r="F895">
        <v>-208.4</v>
      </c>
      <c r="G895">
        <v>237</v>
      </c>
      <c r="I895">
        <f t="shared" si="42"/>
        <v>29.75</v>
      </c>
      <c r="J895">
        <f t="shared" si="41"/>
        <v>-5.40000000000001</v>
      </c>
      <c r="K895">
        <f t="shared" si="43"/>
        <v>5</v>
      </c>
    </row>
    <row r="896" spans="1:11">
      <c r="A896">
        <v>29.853</v>
      </c>
      <c r="B896">
        <v>-205.4</v>
      </c>
      <c r="C896">
        <v>237</v>
      </c>
      <c r="E896">
        <v>29.82</v>
      </c>
      <c r="F896">
        <v>-206.5</v>
      </c>
      <c r="G896">
        <v>237</v>
      </c>
      <c r="I896">
        <f t="shared" si="42"/>
        <v>29.8</v>
      </c>
      <c r="J896">
        <f t="shared" si="41"/>
        <v>-3.5</v>
      </c>
      <c r="K896">
        <f t="shared" si="43"/>
        <v>5</v>
      </c>
    </row>
    <row r="897" spans="1:11">
      <c r="A897">
        <v>29.887</v>
      </c>
      <c r="B897">
        <v>-203.5</v>
      </c>
      <c r="C897">
        <v>237</v>
      </c>
      <c r="E897">
        <v>29.853</v>
      </c>
      <c r="F897">
        <v>-205.4</v>
      </c>
      <c r="G897">
        <v>237</v>
      </c>
      <c r="I897">
        <f t="shared" si="42"/>
        <v>29.85</v>
      </c>
      <c r="J897">
        <f t="shared" si="41"/>
        <v>-2.40000000000001</v>
      </c>
      <c r="K897">
        <f t="shared" si="43"/>
        <v>5</v>
      </c>
    </row>
    <row r="898" spans="1:11">
      <c r="A898">
        <v>29.92</v>
      </c>
      <c r="B898">
        <v>-201.9</v>
      </c>
      <c r="C898">
        <v>237.1</v>
      </c>
      <c r="E898">
        <v>29.887</v>
      </c>
      <c r="F898">
        <v>-203.5</v>
      </c>
      <c r="G898">
        <v>237</v>
      </c>
      <c r="I898">
        <f t="shared" si="42"/>
        <v>29.85</v>
      </c>
      <c r="J898">
        <f t="shared" si="41"/>
        <v>-0.5</v>
      </c>
      <c r="K898">
        <f t="shared" si="43"/>
        <v>5</v>
      </c>
    </row>
    <row r="899" spans="1:11">
      <c r="A899">
        <v>29.953</v>
      </c>
      <c r="B899">
        <v>-200.5</v>
      </c>
      <c r="C899">
        <v>237</v>
      </c>
      <c r="E899">
        <v>29.92</v>
      </c>
      <c r="F899">
        <v>-201.9</v>
      </c>
      <c r="G899">
        <v>237.1</v>
      </c>
      <c r="I899">
        <f t="shared" si="42"/>
        <v>29.9</v>
      </c>
      <c r="J899">
        <f t="shared" si="41"/>
        <v>1.09999999999999</v>
      </c>
      <c r="K899">
        <f t="shared" si="43"/>
        <v>5</v>
      </c>
    </row>
    <row r="900" spans="1:11">
      <c r="A900">
        <v>29.987</v>
      </c>
      <c r="B900">
        <v>-198.5</v>
      </c>
      <c r="C900">
        <v>236.8</v>
      </c>
      <c r="E900">
        <v>29.953</v>
      </c>
      <c r="F900">
        <v>-200.5</v>
      </c>
      <c r="G900">
        <v>237</v>
      </c>
      <c r="I900">
        <f t="shared" si="42"/>
        <v>29.95</v>
      </c>
      <c r="J900">
        <f t="shared" si="41"/>
        <v>2.5</v>
      </c>
      <c r="K900">
        <f t="shared" si="43"/>
        <v>5</v>
      </c>
    </row>
    <row r="901" spans="1:11">
      <c r="A901">
        <v>30.02</v>
      </c>
      <c r="B901">
        <v>-196.2</v>
      </c>
      <c r="C901">
        <v>236.9</v>
      </c>
      <c r="E901">
        <v>29.987</v>
      </c>
      <c r="F901">
        <v>-198.5</v>
      </c>
      <c r="G901">
        <v>236.8</v>
      </c>
      <c r="I901">
        <f t="shared" si="42"/>
        <v>29.95</v>
      </c>
      <c r="J901">
        <f t="shared" ref="J901:J964" si="44">F901+203</f>
        <v>4.5</v>
      </c>
      <c r="K901">
        <f t="shared" si="43"/>
        <v>5</v>
      </c>
    </row>
    <row r="902" spans="1:11">
      <c r="A902">
        <v>30.054</v>
      </c>
      <c r="B902">
        <v>-194.6</v>
      </c>
      <c r="C902">
        <v>237</v>
      </c>
      <c r="E902">
        <v>30.02</v>
      </c>
      <c r="F902">
        <v>-196.2</v>
      </c>
      <c r="G902">
        <v>236.9</v>
      </c>
      <c r="I902">
        <f t="shared" si="42"/>
        <v>30</v>
      </c>
      <c r="J902">
        <f t="shared" si="44"/>
        <v>6.80000000000001</v>
      </c>
      <c r="K902">
        <f t="shared" si="43"/>
        <v>5</v>
      </c>
    </row>
    <row r="903" spans="1:11">
      <c r="A903">
        <v>30.087</v>
      </c>
      <c r="B903">
        <v>-193.7</v>
      </c>
      <c r="C903">
        <v>236.6</v>
      </c>
      <c r="E903">
        <v>30.054</v>
      </c>
      <c r="F903">
        <v>-194.6</v>
      </c>
      <c r="G903">
        <v>237</v>
      </c>
      <c r="I903">
        <f t="shared" si="42"/>
        <v>30.05</v>
      </c>
      <c r="J903">
        <f t="shared" si="44"/>
        <v>8.40000000000001</v>
      </c>
      <c r="K903">
        <f t="shared" si="43"/>
        <v>5</v>
      </c>
    </row>
    <row r="904" spans="1:11">
      <c r="A904">
        <v>30.121</v>
      </c>
      <c r="B904">
        <v>-192.8</v>
      </c>
      <c r="C904">
        <v>236.8</v>
      </c>
      <c r="E904">
        <v>30.087</v>
      </c>
      <c r="F904">
        <v>-193.7</v>
      </c>
      <c r="G904">
        <v>236.6</v>
      </c>
      <c r="I904">
        <f t="shared" si="42"/>
        <v>30.05</v>
      </c>
      <c r="J904">
        <f t="shared" si="44"/>
        <v>9.30000000000001</v>
      </c>
      <c r="K904">
        <f t="shared" si="43"/>
        <v>5</v>
      </c>
    </row>
    <row r="905" spans="1:11">
      <c r="A905">
        <v>30.154</v>
      </c>
      <c r="B905">
        <v>-192</v>
      </c>
      <c r="C905">
        <v>236.9</v>
      </c>
      <c r="E905">
        <v>30.121</v>
      </c>
      <c r="F905">
        <v>-192.8</v>
      </c>
      <c r="G905">
        <v>236.8</v>
      </c>
      <c r="I905">
        <f t="shared" si="42"/>
        <v>30.1</v>
      </c>
      <c r="J905">
        <f t="shared" si="44"/>
        <v>10.2</v>
      </c>
      <c r="K905">
        <f t="shared" si="43"/>
        <v>5</v>
      </c>
    </row>
    <row r="906" spans="1:11">
      <c r="A906">
        <v>30.187</v>
      </c>
      <c r="B906">
        <v>-189.7</v>
      </c>
      <c r="C906">
        <v>236.5</v>
      </c>
      <c r="E906">
        <v>30.154</v>
      </c>
      <c r="F906">
        <v>-192</v>
      </c>
      <c r="G906">
        <v>236.9</v>
      </c>
      <c r="I906">
        <f t="shared" si="42"/>
        <v>30.15</v>
      </c>
      <c r="J906">
        <f t="shared" si="44"/>
        <v>11</v>
      </c>
      <c r="K906">
        <f t="shared" si="43"/>
        <v>5</v>
      </c>
    </row>
    <row r="907" spans="1:11">
      <c r="A907">
        <v>30.221</v>
      </c>
      <c r="B907">
        <v>-189.3</v>
      </c>
      <c r="C907">
        <v>236.9</v>
      </c>
      <c r="E907">
        <v>30.187</v>
      </c>
      <c r="F907">
        <v>-189.7</v>
      </c>
      <c r="G907">
        <v>236.5</v>
      </c>
      <c r="I907">
        <f t="shared" si="42"/>
        <v>30.15</v>
      </c>
      <c r="J907">
        <f t="shared" si="44"/>
        <v>13.3</v>
      </c>
      <c r="K907">
        <f t="shared" si="43"/>
        <v>5</v>
      </c>
    </row>
    <row r="908" spans="1:11">
      <c r="A908">
        <v>30.254</v>
      </c>
      <c r="B908">
        <v>-189.1</v>
      </c>
      <c r="C908">
        <v>237</v>
      </c>
      <c r="E908">
        <v>30.221</v>
      </c>
      <c r="F908">
        <v>-189.3</v>
      </c>
      <c r="G908">
        <v>236.9</v>
      </c>
      <c r="I908">
        <f t="shared" si="42"/>
        <v>30.2</v>
      </c>
      <c r="J908">
        <f t="shared" si="44"/>
        <v>13.7</v>
      </c>
      <c r="K908">
        <f t="shared" si="43"/>
        <v>5</v>
      </c>
    </row>
    <row r="909" spans="1:11">
      <c r="A909">
        <v>30.288</v>
      </c>
      <c r="B909">
        <v>-188.7</v>
      </c>
      <c r="C909">
        <v>237.2</v>
      </c>
      <c r="E909">
        <v>30.254</v>
      </c>
      <c r="F909">
        <v>-189.1</v>
      </c>
      <c r="G909">
        <v>237</v>
      </c>
      <c r="I909">
        <f t="shared" si="42"/>
        <v>30.25</v>
      </c>
      <c r="J909">
        <f t="shared" si="44"/>
        <v>13.9</v>
      </c>
      <c r="K909">
        <f t="shared" si="43"/>
        <v>5</v>
      </c>
    </row>
    <row r="910" spans="1:11">
      <c r="A910">
        <v>30.321</v>
      </c>
      <c r="B910">
        <v>-188.8</v>
      </c>
      <c r="C910">
        <v>237</v>
      </c>
      <c r="E910">
        <v>30.288</v>
      </c>
      <c r="F910">
        <v>-188.7</v>
      </c>
      <c r="G910">
        <v>237.2</v>
      </c>
      <c r="I910">
        <f t="shared" si="42"/>
        <v>30.25</v>
      </c>
      <c r="J910">
        <f t="shared" si="44"/>
        <v>14.3</v>
      </c>
      <c r="K910">
        <f t="shared" si="43"/>
        <v>5</v>
      </c>
    </row>
    <row r="911" spans="1:11">
      <c r="A911">
        <v>30.355</v>
      </c>
      <c r="B911">
        <v>-188.8</v>
      </c>
      <c r="C911">
        <v>183.6</v>
      </c>
      <c r="E911">
        <v>30.321</v>
      </c>
      <c r="F911">
        <v>-188.8</v>
      </c>
      <c r="G911">
        <v>237</v>
      </c>
      <c r="I911">
        <f t="shared" si="42"/>
        <v>30.3</v>
      </c>
      <c r="J911">
        <f t="shared" si="44"/>
        <v>14.2</v>
      </c>
      <c r="K911">
        <f t="shared" si="43"/>
        <v>5</v>
      </c>
    </row>
    <row r="912" spans="1:11">
      <c r="A912">
        <v>30.388</v>
      </c>
      <c r="B912">
        <v>-189</v>
      </c>
      <c r="C912">
        <v>98.4</v>
      </c>
      <c r="E912">
        <v>30.355</v>
      </c>
      <c r="F912">
        <v>-188.8</v>
      </c>
      <c r="G912">
        <v>183.6</v>
      </c>
      <c r="I912">
        <f t="shared" si="42"/>
        <v>30.35</v>
      </c>
      <c r="J912">
        <f t="shared" si="44"/>
        <v>14.2</v>
      </c>
      <c r="K912">
        <f t="shared" si="43"/>
        <v>0</v>
      </c>
    </row>
    <row r="913" spans="1:11">
      <c r="A913">
        <v>30.421</v>
      </c>
      <c r="B913">
        <v>-189.1</v>
      </c>
      <c r="C913">
        <v>108</v>
      </c>
      <c r="E913">
        <v>30.388</v>
      </c>
      <c r="F913">
        <v>-189</v>
      </c>
      <c r="G913">
        <v>98.4</v>
      </c>
      <c r="I913">
        <f t="shared" si="42"/>
        <v>30.35</v>
      </c>
      <c r="J913">
        <f t="shared" si="44"/>
        <v>14</v>
      </c>
      <c r="K913">
        <f t="shared" si="43"/>
        <v>0</v>
      </c>
    </row>
    <row r="914" spans="1:11">
      <c r="A914">
        <v>30.455</v>
      </c>
      <c r="B914">
        <v>-189.7</v>
      </c>
      <c r="C914">
        <v>107.2</v>
      </c>
      <c r="E914">
        <v>30.421</v>
      </c>
      <c r="F914">
        <v>-189.1</v>
      </c>
      <c r="G914">
        <v>108</v>
      </c>
      <c r="I914">
        <f t="shared" si="42"/>
        <v>30.4</v>
      </c>
      <c r="J914">
        <f t="shared" si="44"/>
        <v>13.9</v>
      </c>
      <c r="K914">
        <f t="shared" si="43"/>
        <v>0</v>
      </c>
    </row>
    <row r="915" spans="1:11">
      <c r="A915">
        <v>30.488</v>
      </c>
      <c r="B915">
        <v>-190.6</v>
      </c>
      <c r="C915">
        <v>105.4</v>
      </c>
      <c r="E915">
        <v>30.455</v>
      </c>
      <c r="F915">
        <v>-189.7</v>
      </c>
      <c r="G915">
        <v>107.2</v>
      </c>
      <c r="I915">
        <f t="shared" si="42"/>
        <v>30.45</v>
      </c>
      <c r="J915">
        <f t="shared" si="44"/>
        <v>13.3</v>
      </c>
      <c r="K915">
        <f t="shared" si="43"/>
        <v>0</v>
      </c>
    </row>
    <row r="916" spans="1:11">
      <c r="A916">
        <v>30.522</v>
      </c>
      <c r="B916">
        <v>-192</v>
      </c>
      <c r="C916">
        <v>102.8</v>
      </c>
      <c r="E916">
        <v>30.488</v>
      </c>
      <c r="F916">
        <v>-190.6</v>
      </c>
      <c r="G916">
        <v>105.4</v>
      </c>
      <c r="I916">
        <f t="shared" si="42"/>
        <v>30.45</v>
      </c>
      <c r="J916">
        <f t="shared" si="44"/>
        <v>12.4</v>
      </c>
      <c r="K916">
        <f t="shared" si="43"/>
        <v>0</v>
      </c>
    </row>
    <row r="917" spans="1:11">
      <c r="A917">
        <v>30.555</v>
      </c>
      <c r="B917">
        <v>-193.4</v>
      </c>
      <c r="C917">
        <v>101</v>
      </c>
      <c r="E917">
        <v>30.522</v>
      </c>
      <c r="F917">
        <v>-192</v>
      </c>
      <c r="G917">
        <v>102.8</v>
      </c>
      <c r="I917">
        <f t="shared" si="42"/>
        <v>30.5</v>
      </c>
      <c r="J917">
        <f t="shared" si="44"/>
        <v>11</v>
      </c>
      <c r="K917">
        <f t="shared" si="43"/>
        <v>0</v>
      </c>
    </row>
    <row r="918" spans="1:11">
      <c r="A918">
        <v>30.589</v>
      </c>
      <c r="B918">
        <v>-195</v>
      </c>
      <c r="C918">
        <v>99.5</v>
      </c>
      <c r="E918">
        <v>30.555</v>
      </c>
      <c r="F918">
        <v>-193.4</v>
      </c>
      <c r="G918">
        <v>101</v>
      </c>
      <c r="I918">
        <f t="shared" si="42"/>
        <v>30.55</v>
      </c>
      <c r="J918">
        <f t="shared" si="44"/>
        <v>9.59999999999999</v>
      </c>
      <c r="K918">
        <f t="shared" si="43"/>
        <v>0</v>
      </c>
    </row>
    <row r="919" spans="1:11">
      <c r="A919">
        <v>30.622</v>
      </c>
      <c r="B919">
        <v>-197.8</v>
      </c>
      <c r="C919">
        <v>96.9</v>
      </c>
      <c r="E919">
        <v>30.589</v>
      </c>
      <c r="F919">
        <v>-195</v>
      </c>
      <c r="G919">
        <v>99.5</v>
      </c>
      <c r="I919">
        <f t="shared" si="42"/>
        <v>30.55</v>
      </c>
      <c r="J919">
        <f t="shared" si="44"/>
        <v>8</v>
      </c>
      <c r="K919">
        <f t="shared" si="43"/>
        <v>0</v>
      </c>
    </row>
    <row r="920" spans="1:11">
      <c r="A920">
        <v>30.656</v>
      </c>
      <c r="B920">
        <v>-199</v>
      </c>
      <c r="C920">
        <v>95.5</v>
      </c>
      <c r="E920">
        <v>30.622</v>
      </c>
      <c r="F920">
        <v>-197.8</v>
      </c>
      <c r="G920">
        <v>96.9</v>
      </c>
      <c r="I920">
        <f t="shared" si="42"/>
        <v>30.6</v>
      </c>
      <c r="J920">
        <f t="shared" si="44"/>
        <v>5.19999999999999</v>
      </c>
      <c r="K920">
        <f t="shared" si="43"/>
        <v>0</v>
      </c>
    </row>
    <row r="921" spans="1:11">
      <c r="A921">
        <v>30.689</v>
      </c>
      <c r="B921">
        <v>-200.6</v>
      </c>
      <c r="C921">
        <v>94.2</v>
      </c>
      <c r="E921">
        <v>30.656</v>
      </c>
      <c r="F921">
        <v>-199</v>
      </c>
      <c r="G921">
        <v>95.5</v>
      </c>
      <c r="I921">
        <f t="shared" si="42"/>
        <v>30.65</v>
      </c>
      <c r="J921">
        <f t="shared" si="44"/>
        <v>4</v>
      </c>
      <c r="K921">
        <f t="shared" si="43"/>
        <v>0</v>
      </c>
    </row>
    <row r="922" spans="1:11">
      <c r="A922">
        <v>30.722</v>
      </c>
      <c r="B922">
        <v>-201.9</v>
      </c>
      <c r="C922">
        <v>90.4</v>
      </c>
      <c r="E922">
        <v>30.689</v>
      </c>
      <c r="F922">
        <v>-200.6</v>
      </c>
      <c r="G922">
        <v>94.2</v>
      </c>
      <c r="I922">
        <f t="shared" si="42"/>
        <v>30.65</v>
      </c>
      <c r="J922">
        <f t="shared" si="44"/>
        <v>2.40000000000001</v>
      </c>
      <c r="K922">
        <f t="shared" si="43"/>
        <v>0</v>
      </c>
    </row>
    <row r="923" spans="1:11">
      <c r="A923">
        <v>30.756</v>
      </c>
      <c r="B923">
        <v>-203.8</v>
      </c>
      <c r="C923">
        <v>88.4</v>
      </c>
      <c r="E923">
        <v>30.722</v>
      </c>
      <c r="F923">
        <v>-201.9</v>
      </c>
      <c r="G923">
        <v>90.4</v>
      </c>
      <c r="I923">
        <f t="shared" si="42"/>
        <v>30.7</v>
      </c>
      <c r="J923">
        <f t="shared" si="44"/>
        <v>1.09999999999999</v>
      </c>
      <c r="K923">
        <f t="shared" si="43"/>
        <v>0</v>
      </c>
    </row>
    <row r="924" spans="1:11">
      <c r="A924">
        <v>30.789</v>
      </c>
      <c r="B924">
        <v>-206</v>
      </c>
      <c r="C924">
        <v>87.5</v>
      </c>
      <c r="E924">
        <v>30.756</v>
      </c>
      <c r="F924">
        <v>-203.8</v>
      </c>
      <c r="G924">
        <v>88.4</v>
      </c>
      <c r="I924">
        <f t="shared" ref="I924:I987" si="45">FLOOR(E924,0.05)</f>
        <v>30.75</v>
      </c>
      <c r="J924">
        <f t="shared" si="44"/>
        <v>-0.800000000000011</v>
      </c>
      <c r="K924">
        <f t="shared" ref="K924:K987" si="46">IF(G924&lt;230,0,5)</f>
        <v>0</v>
      </c>
    </row>
    <row r="925" spans="1:11">
      <c r="A925">
        <v>30.823</v>
      </c>
      <c r="B925">
        <v>-207.1</v>
      </c>
      <c r="C925">
        <v>86.7</v>
      </c>
      <c r="E925">
        <v>30.789</v>
      </c>
      <c r="F925">
        <v>-206</v>
      </c>
      <c r="G925">
        <v>87.5</v>
      </c>
      <c r="I925">
        <f t="shared" si="45"/>
        <v>30.75</v>
      </c>
      <c r="J925">
        <f t="shared" si="44"/>
        <v>-3</v>
      </c>
      <c r="K925">
        <f t="shared" si="46"/>
        <v>0</v>
      </c>
    </row>
    <row r="926" spans="1:11">
      <c r="A926">
        <v>30.856</v>
      </c>
      <c r="B926">
        <v>-207.9</v>
      </c>
      <c r="C926">
        <v>84.2</v>
      </c>
      <c r="E926">
        <v>30.823</v>
      </c>
      <c r="F926">
        <v>-207.1</v>
      </c>
      <c r="G926">
        <v>86.7</v>
      </c>
      <c r="I926">
        <f t="shared" si="45"/>
        <v>30.8</v>
      </c>
      <c r="J926">
        <f t="shared" si="44"/>
        <v>-4.09999999999999</v>
      </c>
      <c r="K926">
        <f t="shared" si="46"/>
        <v>0</v>
      </c>
    </row>
    <row r="927" spans="1:11">
      <c r="A927">
        <v>30.89</v>
      </c>
      <c r="B927">
        <v>-209.1</v>
      </c>
      <c r="C927">
        <v>83.3</v>
      </c>
      <c r="E927">
        <v>30.856</v>
      </c>
      <c r="F927">
        <v>-207.9</v>
      </c>
      <c r="G927">
        <v>84.2</v>
      </c>
      <c r="I927">
        <f t="shared" si="45"/>
        <v>30.85</v>
      </c>
      <c r="J927">
        <f t="shared" si="44"/>
        <v>-4.90000000000001</v>
      </c>
      <c r="K927">
        <f t="shared" si="46"/>
        <v>0</v>
      </c>
    </row>
    <row r="928" spans="1:11">
      <c r="A928">
        <v>30.923</v>
      </c>
      <c r="B928">
        <v>-209.6</v>
      </c>
      <c r="C928">
        <v>81.4</v>
      </c>
      <c r="E928">
        <v>30.89</v>
      </c>
      <c r="F928">
        <v>-209.1</v>
      </c>
      <c r="G928">
        <v>83.3</v>
      </c>
      <c r="I928">
        <f t="shared" si="45"/>
        <v>30.85</v>
      </c>
      <c r="J928">
        <f t="shared" si="44"/>
        <v>-6.09999999999999</v>
      </c>
      <c r="K928">
        <f t="shared" si="46"/>
        <v>0</v>
      </c>
    </row>
    <row r="929" spans="1:11">
      <c r="A929">
        <v>30.956</v>
      </c>
      <c r="B929">
        <v>-210.7</v>
      </c>
      <c r="C929">
        <v>79.2</v>
      </c>
      <c r="E929">
        <v>30.923</v>
      </c>
      <c r="F929">
        <v>-209.6</v>
      </c>
      <c r="G929">
        <v>81.4</v>
      </c>
      <c r="I929">
        <f t="shared" si="45"/>
        <v>30.9</v>
      </c>
      <c r="J929">
        <f t="shared" si="44"/>
        <v>-6.59999999999999</v>
      </c>
      <c r="K929">
        <f t="shared" si="46"/>
        <v>0</v>
      </c>
    </row>
    <row r="930" spans="1:11">
      <c r="A930">
        <v>30.99</v>
      </c>
      <c r="B930">
        <v>-210.9</v>
      </c>
      <c r="C930">
        <v>78.5</v>
      </c>
      <c r="E930">
        <v>30.956</v>
      </c>
      <c r="F930">
        <v>-210.7</v>
      </c>
      <c r="G930">
        <v>79.2</v>
      </c>
      <c r="I930">
        <f t="shared" si="45"/>
        <v>30.95</v>
      </c>
      <c r="J930">
        <f t="shared" si="44"/>
        <v>-7.69999999999999</v>
      </c>
      <c r="K930">
        <f t="shared" si="46"/>
        <v>0</v>
      </c>
    </row>
    <row r="931" spans="1:11">
      <c r="A931">
        <v>31.023</v>
      </c>
      <c r="B931">
        <v>-211.1</v>
      </c>
      <c r="C931">
        <v>76.1</v>
      </c>
      <c r="E931">
        <v>30.99</v>
      </c>
      <c r="F931">
        <v>-210.9</v>
      </c>
      <c r="G931">
        <v>78.5</v>
      </c>
      <c r="I931">
        <f t="shared" si="45"/>
        <v>30.95</v>
      </c>
      <c r="J931">
        <f t="shared" si="44"/>
        <v>-7.90000000000001</v>
      </c>
      <c r="K931">
        <f t="shared" si="46"/>
        <v>0</v>
      </c>
    </row>
    <row r="932" spans="1:11">
      <c r="A932">
        <v>31.057</v>
      </c>
      <c r="B932">
        <v>-211.1</v>
      </c>
      <c r="C932">
        <v>75.6</v>
      </c>
      <c r="E932">
        <v>31.023</v>
      </c>
      <c r="F932">
        <v>-211.1</v>
      </c>
      <c r="G932">
        <v>76.1</v>
      </c>
      <c r="I932">
        <f t="shared" si="45"/>
        <v>31</v>
      </c>
      <c r="J932">
        <f t="shared" si="44"/>
        <v>-8.09999999999999</v>
      </c>
      <c r="K932">
        <f t="shared" si="46"/>
        <v>0</v>
      </c>
    </row>
    <row r="933" spans="1:11">
      <c r="A933">
        <v>31.09</v>
      </c>
      <c r="B933">
        <v>-210.9</v>
      </c>
      <c r="C933">
        <v>198.6</v>
      </c>
      <c r="E933">
        <v>31.057</v>
      </c>
      <c r="F933">
        <v>-211.1</v>
      </c>
      <c r="G933">
        <v>75.6</v>
      </c>
      <c r="I933">
        <f t="shared" si="45"/>
        <v>31.05</v>
      </c>
      <c r="J933">
        <f t="shared" si="44"/>
        <v>-8.09999999999999</v>
      </c>
      <c r="K933">
        <f t="shared" si="46"/>
        <v>0</v>
      </c>
    </row>
    <row r="934" spans="1:11">
      <c r="A934">
        <v>31.124</v>
      </c>
      <c r="B934">
        <v>-210.7</v>
      </c>
      <c r="C934">
        <v>236.7</v>
      </c>
      <c r="E934">
        <v>31.09</v>
      </c>
      <c r="F934">
        <v>-210.9</v>
      </c>
      <c r="G934">
        <v>198.6</v>
      </c>
      <c r="I934">
        <f t="shared" si="45"/>
        <v>31.05</v>
      </c>
      <c r="J934">
        <f t="shared" si="44"/>
        <v>-7.90000000000001</v>
      </c>
      <c r="K934">
        <f t="shared" si="46"/>
        <v>0</v>
      </c>
    </row>
    <row r="935" spans="1:11">
      <c r="A935">
        <v>31.157</v>
      </c>
      <c r="B935">
        <v>-210.5</v>
      </c>
      <c r="C935">
        <v>236.8</v>
      </c>
      <c r="E935">
        <v>31.124</v>
      </c>
      <c r="F935">
        <v>-210.7</v>
      </c>
      <c r="G935">
        <v>236.7</v>
      </c>
      <c r="I935">
        <f t="shared" si="45"/>
        <v>31.1</v>
      </c>
      <c r="J935">
        <f t="shared" si="44"/>
        <v>-7.69999999999999</v>
      </c>
      <c r="K935">
        <f t="shared" si="46"/>
        <v>5</v>
      </c>
    </row>
    <row r="936" spans="1:11">
      <c r="A936">
        <v>31.19</v>
      </c>
      <c r="B936">
        <v>-210.3</v>
      </c>
      <c r="C936">
        <v>237.2</v>
      </c>
      <c r="E936">
        <v>31.157</v>
      </c>
      <c r="F936">
        <v>-210.5</v>
      </c>
      <c r="G936">
        <v>236.8</v>
      </c>
      <c r="I936">
        <f t="shared" si="45"/>
        <v>31.15</v>
      </c>
      <c r="J936">
        <f t="shared" si="44"/>
        <v>-7.5</v>
      </c>
      <c r="K936">
        <f t="shared" si="46"/>
        <v>5</v>
      </c>
    </row>
    <row r="937" spans="1:11">
      <c r="A937">
        <v>31.224</v>
      </c>
      <c r="B937">
        <v>-209.4</v>
      </c>
      <c r="C937">
        <v>236.9</v>
      </c>
      <c r="E937">
        <v>31.19</v>
      </c>
      <c r="F937">
        <v>-210.3</v>
      </c>
      <c r="G937">
        <v>237.2</v>
      </c>
      <c r="I937">
        <f t="shared" si="45"/>
        <v>31.15</v>
      </c>
      <c r="J937">
        <f t="shared" si="44"/>
        <v>-7.30000000000001</v>
      </c>
      <c r="K937">
        <f t="shared" si="46"/>
        <v>5</v>
      </c>
    </row>
    <row r="938" spans="1:11">
      <c r="A938">
        <v>31.257</v>
      </c>
      <c r="B938">
        <v>-207.7</v>
      </c>
      <c r="C938">
        <v>236.8</v>
      </c>
      <c r="E938">
        <v>31.224</v>
      </c>
      <c r="F938">
        <v>-209.4</v>
      </c>
      <c r="G938">
        <v>236.9</v>
      </c>
      <c r="I938">
        <f t="shared" si="45"/>
        <v>31.2</v>
      </c>
      <c r="J938">
        <f t="shared" si="44"/>
        <v>-6.40000000000001</v>
      </c>
      <c r="K938">
        <f t="shared" si="46"/>
        <v>5</v>
      </c>
    </row>
    <row r="939" spans="1:11">
      <c r="A939">
        <v>31.291</v>
      </c>
      <c r="B939">
        <v>-206.7</v>
      </c>
      <c r="C939">
        <v>236.8</v>
      </c>
      <c r="E939">
        <v>31.257</v>
      </c>
      <c r="F939">
        <v>-207.7</v>
      </c>
      <c r="G939">
        <v>236.8</v>
      </c>
      <c r="I939">
        <f t="shared" si="45"/>
        <v>31.25</v>
      </c>
      <c r="J939">
        <f t="shared" si="44"/>
        <v>-4.69999999999999</v>
      </c>
      <c r="K939">
        <f t="shared" si="46"/>
        <v>5</v>
      </c>
    </row>
    <row r="940" spans="1:11">
      <c r="A940">
        <v>31.324</v>
      </c>
      <c r="B940">
        <v>-205.3</v>
      </c>
      <c r="C940">
        <v>236.7</v>
      </c>
      <c r="E940">
        <v>31.291</v>
      </c>
      <c r="F940">
        <v>-206.7</v>
      </c>
      <c r="G940">
        <v>236.8</v>
      </c>
      <c r="I940">
        <f t="shared" si="45"/>
        <v>31.25</v>
      </c>
      <c r="J940">
        <f t="shared" si="44"/>
        <v>-3.69999999999999</v>
      </c>
      <c r="K940">
        <f t="shared" si="46"/>
        <v>5</v>
      </c>
    </row>
    <row r="941" spans="1:11">
      <c r="A941">
        <v>31.358</v>
      </c>
      <c r="B941">
        <v>-203.2</v>
      </c>
      <c r="C941">
        <v>236.9</v>
      </c>
      <c r="E941">
        <v>31.324</v>
      </c>
      <c r="F941">
        <v>-205.3</v>
      </c>
      <c r="G941">
        <v>236.7</v>
      </c>
      <c r="I941">
        <f t="shared" si="45"/>
        <v>31.3</v>
      </c>
      <c r="J941">
        <f t="shared" si="44"/>
        <v>-2.30000000000001</v>
      </c>
      <c r="K941">
        <f t="shared" si="46"/>
        <v>5</v>
      </c>
    </row>
    <row r="942" spans="1:11">
      <c r="A942">
        <v>31.391</v>
      </c>
      <c r="B942">
        <v>-200.9</v>
      </c>
      <c r="C942">
        <v>236.8</v>
      </c>
      <c r="E942">
        <v>31.358</v>
      </c>
      <c r="F942">
        <v>-203.2</v>
      </c>
      <c r="G942">
        <v>236.9</v>
      </c>
      <c r="I942">
        <f t="shared" si="45"/>
        <v>31.35</v>
      </c>
      <c r="J942">
        <f t="shared" si="44"/>
        <v>-0.199999999999989</v>
      </c>
      <c r="K942">
        <f t="shared" si="46"/>
        <v>5</v>
      </c>
    </row>
    <row r="943" spans="1:11">
      <c r="A943">
        <v>31.424</v>
      </c>
      <c r="B943">
        <v>-199.5</v>
      </c>
      <c r="C943">
        <v>237</v>
      </c>
      <c r="E943">
        <v>31.391</v>
      </c>
      <c r="F943">
        <v>-200.9</v>
      </c>
      <c r="G943">
        <v>236.8</v>
      </c>
      <c r="I943">
        <f t="shared" si="45"/>
        <v>31.35</v>
      </c>
      <c r="J943">
        <f t="shared" si="44"/>
        <v>2.09999999999999</v>
      </c>
      <c r="K943">
        <f t="shared" si="46"/>
        <v>5</v>
      </c>
    </row>
    <row r="944" spans="1:11">
      <c r="A944">
        <v>31.458</v>
      </c>
      <c r="B944">
        <v>-197.6</v>
      </c>
      <c r="C944">
        <v>236.7</v>
      </c>
      <c r="E944">
        <v>31.424</v>
      </c>
      <c r="F944">
        <v>-199.5</v>
      </c>
      <c r="G944">
        <v>237</v>
      </c>
      <c r="I944">
        <f t="shared" si="45"/>
        <v>31.4</v>
      </c>
      <c r="J944">
        <f t="shared" si="44"/>
        <v>3.5</v>
      </c>
      <c r="K944">
        <f t="shared" si="46"/>
        <v>5</v>
      </c>
    </row>
    <row r="945" spans="1:11">
      <c r="A945">
        <v>31.491</v>
      </c>
      <c r="B945">
        <v>-197.3</v>
      </c>
      <c r="C945">
        <v>236.7</v>
      </c>
      <c r="E945">
        <v>31.458</v>
      </c>
      <c r="F945">
        <v>-197.6</v>
      </c>
      <c r="G945">
        <v>236.7</v>
      </c>
      <c r="I945">
        <f t="shared" si="45"/>
        <v>31.45</v>
      </c>
      <c r="J945">
        <f t="shared" si="44"/>
        <v>5.40000000000001</v>
      </c>
      <c r="K945">
        <f t="shared" si="46"/>
        <v>5</v>
      </c>
    </row>
    <row r="946" spans="1:11">
      <c r="A946">
        <v>31.525</v>
      </c>
      <c r="B946">
        <v>-193.4</v>
      </c>
      <c r="C946">
        <v>236.8</v>
      </c>
      <c r="E946">
        <v>31.491</v>
      </c>
      <c r="F946">
        <v>-197.3</v>
      </c>
      <c r="G946">
        <v>236.7</v>
      </c>
      <c r="I946">
        <f t="shared" si="45"/>
        <v>31.45</v>
      </c>
      <c r="J946">
        <f t="shared" si="44"/>
        <v>5.69999999999999</v>
      </c>
      <c r="K946">
        <f t="shared" si="46"/>
        <v>5</v>
      </c>
    </row>
    <row r="947" spans="1:11">
      <c r="A947">
        <v>31.558</v>
      </c>
      <c r="B947">
        <v>-193.3</v>
      </c>
      <c r="C947">
        <v>236.8</v>
      </c>
      <c r="E947">
        <v>31.525</v>
      </c>
      <c r="F947">
        <v>-193.4</v>
      </c>
      <c r="G947">
        <v>236.8</v>
      </c>
      <c r="I947">
        <f t="shared" si="45"/>
        <v>31.5</v>
      </c>
      <c r="J947">
        <f t="shared" si="44"/>
        <v>9.59999999999999</v>
      </c>
      <c r="K947">
        <f t="shared" si="46"/>
        <v>5</v>
      </c>
    </row>
    <row r="948" spans="1:11">
      <c r="A948">
        <v>31.592</v>
      </c>
      <c r="B948">
        <v>-192.6</v>
      </c>
      <c r="C948">
        <v>236.9</v>
      </c>
      <c r="E948">
        <v>31.558</v>
      </c>
      <c r="F948">
        <v>-193.3</v>
      </c>
      <c r="G948">
        <v>236.8</v>
      </c>
      <c r="I948">
        <f t="shared" si="45"/>
        <v>31.55</v>
      </c>
      <c r="J948">
        <f t="shared" si="44"/>
        <v>9.69999999999999</v>
      </c>
      <c r="K948">
        <f t="shared" si="46"/>
        <v>5</v>
      </c>
    </row>
    <row r="949" spans="1:11">
      <c r="A949">
        <v>31.625</v>
      </c>
      <c r="B949">
        <v>-190.9</v>
      </c>
      <c r="C949">
        <v>236.8</v>
      </c>
      <c r="E949">
        <v>31.592</v>
      </c>
      <c r="F949">
        <v>-192.6</v>
      </c>
      <c r="G949">
        <v>236.9</v>
      </c>
      <c r="I949">
        <f t="shared" si="45"/>
        <v>31.55</v>
      </c>
      <c r="J949">
        <f t="shared" si="44"/>
        <v>10.4</v>
      </c>
      <c r="K949">
        <f t="shared" si="46"/>
        <v>5</v>
      </c>
    </row>
    <row r="950" spans="1:11">
      <c r="A950">
        <v>31.658</v>
      </c>
      <c r="B950">
        <v>-190</v>
      </c>
      <c r="C950">
        <v>236.6</v>
      </c>
      <c r="E950">
        <v>31.625</v>
      </c>
      <c r="F950">
        <v>-190.9</v>
      </c>
      <c r="G950">
        <v>236.8</v>
      </c>
      <c r="I950">
        <f t="shared" si="45"/>
        <v>31.6</v>
      </c>
      <c r="J950">
        <f t="shared" si="44"/>
        <v>12.1</v>
      </c>
      <c r="K950">
        <f t="shared" si="46"/>
        <v>5</v>
      </c>
    </row>
    <row r="951" spans="1:11">
      <c r="A951">
        <v>31.692</v>
      </c>
      <c r="B951">
        <v>-189.4</v>
      </c>
      <c r="C951">
        <v>236.8</v>
      </c>
      <c r="E951">
        <v>31.658</v>
      </c>
      <c r="F951">
        <v>-190</v>
      </c>
      <c r="G951">
        <v>236.6</v>
      </c>
      <c r="I951">
        <f t="shared" si="45"/>
        <v>31.65</v>
      </c>
      <c r="J951">
        <f t="shared" si="44"/>
        <v>13</v>
      </c>
      <c r="K951">
        <f t="shared" si="46"/>
        <v>5</v>
      </c>
    </row>
    <row r="952" spans="1:11">
      <c r="A952">
        <v>31.725</v>
      </c>
      <c r="B952">
        <v>-189.1</v>
      </c>
      <c r="C952">
        <v>236.8</v>
      </c>
      <c r="E952">
        <v>31.692</v>
      </c>
      <c r="F952">
        <v>-189.4</v>
      </c>
      <c r="G952">
        <v>236.8</v>
      </c>
      <c r="I952">
        <f t="shared" si="45"/>
        <v>31.65</v>
      </c>
      <c r="J952">
        <f t="shared" si="44"/>
        <v>13.6</v>
      </c>
      <c r="K952">
        <f t="shared" si="46"/>
        <v>5</v>
      </c>
    </row>
    <row r="953" spans="1:11">
      <c r="A953">
        <v>31.759</v>
      </c>
      <c r="B953">
        <v>-188.4</v>
      </c>
      <c r="C953">
        <v>236.7</v>
      </c>
      <c r="E953">
        <v>31.725</v>
      </c>
      <c r="F953">
        <v>-189.1</v>
      </c>
      <c r="G953">
        <v>236.8</v>
      </c>
      <c r="I953">
        <f t="shared" si="45"/>
        <v>31.7</v>
      </c>
      <c r="J953">
        <f t="shared" si="44"/>
        <v>13.9</v>
      </c>
      <c r="K953">
        <f t="shared" si="46"/>
        <v>5</v>
      </c>
    </row>
    <row r="954" spans="1:11">
      <c r="A954">
        <v>31.792</v>
      </c>
      <c r="B954">
        <v>-188.5</v>
      </c>
      <c r="C954">
        <v>236.7</v>
      </c>
      <c r="E954">
        <v>31.759</v>
      </c>
      <c r="F954">
        <v>-188.4</v>
      </c>
      <c r="G954">
        <v>236.7</v>
      </c>
      <c r="I954">
        <f t="shared" si="45"/>
        <v>31.75</v>
      </c>
      <c r="J954">
        <f t="shared" si="44"/>
        <v>14.6</v>
      </c>
      <c r="K954">
        <f t="shared" si="46"/>
        <v>5</v>
      </c>
    </row>
    <row r="955" spans="1:11">
      <c r="A955">
        <v>31.826</v>
      </c>
      <c r="B955">
        <v>-188.6</v>
      </c>
      <c r="C955">
        <v>236.9</v>
      </c>
      <c r="E955">
        <v>31.792</v>
      </c>
      <c r="F955">
        <v>-188.5</v>
      </c>
      <c r="G955">
        <v>236.7</v>
      </c>
      <c r="I955">
        <f t="shared" si="45"/>
        <v>31.75</v>
      </c>
      <c r="J955">
        <f t="shared" si="44"/>
        <v>14.5</v>
      </c>
      <c r="K955">
        <f t="shared" si="46"/>
        <v>5</v>
      </c>
    </row>
    <row r="956" spans="1:11">
      <c r="A956">
        <v>31.859</v>
      </c>
      <c r="B956">
        <v>-188.6</v>
      </c>
      <c r="C956">
        <v>155.2</v>
      </c>
      <c r="E956">
        <v>31.826</v>
      </c>
      <c r="F956">
        <v>-188.6</v>
      </c>
      <c r="G956">
        <v>236.9</v>
      </c>
      <c r="I956">
        <f t="shared" si="45"/>
        <v>31.8</v>
      </c>
      <c r="J956">
        <f t="shared" si="44"/>
        <v>14.4</v>
      </c>
      <c r="K956">
        <f t="shared" si="46"/>
        <v>5</v>
      </c>
    </row>
    <row r="957" spans="1:11">
      <c r="A957">
        <v>31.892</v>
      </c>
      <c r="B957">
        <v>-188.7</v>
      </c>
      <c r="C957">
        <v>102.6</v>
      </c>
      <c r="E957">
        <v>31.859</v>
      </c>
      <c r="F957">
        <v>-188.6</v>
      </c>
      <c r="G957">
        <v>155.2</v>
      </c>
      <c r="I957">
        <f t="shared" si="45"/>
        <v>31.85</v>
      </c>
      <c r="J957">
        <f t="shared" si="44"/>
        <v>14.4</v>
      </c>
      <c r="K957">
        <f t="shared" si="46"/>
        <v>0</v>
      </c>
    </row>
    <row r="958" spans="1:11">
      <c r="A958">
        <v>31.926</v>
      </c>
      <c r="B958">
        <v>-189.1</v>
      </c>
      <c r="C958">
        <v>109.5</v>
      </c>
      <c r="E958">
        <v>31.892</v>
      </c>
      <c r="F958">
        <v>-188.7</v>
      </c>
      <c r="G958">
        <v>102.6</v>
      </c>
      <c r="I958">
        <f t="shared" si="45"/>
        <v>31.85</v>
      </c>
      <c r="J958">
        <f t="shared" si="44"/>
        <v>14.3</v>
      </c>
      <c r="K958">
        <f t="shared" si="46"/>
        <v>0</v>
      </c>
    </row>
    <row r="959" spans="1:11">
      <c r="A959">
        <v>31.959</v>
      </c>
      <c r="B959">
        <v>-189.2</v>
      </c>
      <c r="C959">
        <v>104.7</v>
      </c>
      <c r="E959">
        <v>31.926</v>
      </c>
      <c r="F959">
        <v>-189.1</v>
      </c>
      <c r="G959">
        <v>109.5</v>
      </c>
      <c r="I959">
        <f t="shared" si="45"/>
        <v>31.9</v>
      </c>
      <c r="J959">
        <f t="shared" si="44"/>
        <v>13.9</v>
      </c>
      <c r="K959">
        <f t="shared" si="46"/>
        <v>0</v>
      </c>
    </row>
    <row r="960" spans="1:11">
      <c r="A960">
        <v>31.993</v>
      </c>
      <c r="B960">
        <v>-189.6</v>
      </c>
      <c r="C960">
        <v>104</v>
      </c>
      <c r="E960">
        <v>31.959</v>
      </c>
      <c r="F960">
        <v>-189.2</v>
      </c>
      <c r="G960">
        <v>104.7</v>
      </c>
      <c r="I960">
        <f t="shared" si="45"/>
        <v>31.95</v>
      </c>
      <c r="J960">
        <f t="shared" si="44"/>
        <v>13.8</v>
      </c>
      <c r="K960">
        <f t="shared" si="46"/>
        <v>0</v>
      </c>
    </row>
    <row r="961" spans="1:11">
      <c r="A961">
        <v>32.026</v>
      </c>
      <c r="B961">
        <v>-190.7</v>
      </c>
      <c r="C961">
        <v>102.7</v>
      </c>
      <c r="E961">
        <v>31.993</v>
      </c>
      <c r="F961">
        <v>-189.6</v>
      </c>
      <c r="G961">
        <v>104</v>
      </c>
      <c r="I961">
        <f t="shared" si="45"/>
        <v>31.95</v>
      </c>
      <c r="J961">
        <f t="shared" si="44"/>
        <v>13.4</v>
      </c>
      <c r="K961">
        <f t="shared" si="46"/>
        <v>0</v>
      </c>
    </row>
    <row r="962" spans="1:11">
      <c r="A962">
        <v>32.06</v>
      </c>
      <c r="B962">
        <v>-192.5</v>
      </c>
      <c r="C962">
        <v>99.2</v>
      </c>
      <c r="E962">
        <v>32.026</v>
      </c>
      <c r="F962">
        <v>-190.7</v>
      </c>
      <c r="G962">
        <v>102.7</v>
      </c>
      <c r="I962">
        <f t="shared" si="45"/>
        <v>32</v>
      </c>
      <c r="J962">
        <f t="shared" si="44"/>
        <v>12.3</v>
      </c>
      <c r="K962">
        <f t="shared" si="46"/>
        <v>0</v>
      </c>
    </row>
    <row r="963" spans="1:11">
      <c r="A963">
        <v>32.093</v>
      </c>
      <c r="B963">
        <v>-193.8</v>
      </c>
      <c r="C963">
        <v>97.4</v>
      </c>
      <c r="E963">
        <v>32.06</v>
      </c>
      <c r="F963">
        <v>-192.5</v>
      </c>
      <c r="G963">
        <v>99.2</v>
      </c>
      <c r="I963">
        <f t="shared" si="45"/>
        <v>32.05</v>
      </c>
      <c r="J963">
        <f t="shared" si="44"/>
        <v>10.5</v>
      </c>
      <c r="K963">
        <f t="shared" si="46"/>
        <v>0</v>
      </c>
    </row>
    <row r="964" spans="1:11">
      <c r="A964">
        <v>32.126</v>
      </c>
      <c r="B964">
        <v>-196</v>
      </c>
      <c r="C964">
        <v>96.6</v>
      </c>
      <c r="E964">
        <v>32.093</v>
      </c>
      <c r="F964">
        <v>-193.8</v>
      </c>
      <c r="G964">
        <v>97.4</v>
      </c>
      <c r="I964">
        <f t="shared" si="45"/>
        <v>32.05</v>
      </c>
      <c r="J964">
        <f t="shared" si="44"/>
        <v>9.19999999999999</v>
      </c>
      <c r="K964">
        <f t="shared" si="46"/>
        <v>0</v>
      </c>
    </row>
    <row r="965" spans="1:11">
      <c r="A965">
        <v>32.16</v>
      </c>
      <c r="B965">
        <v>-197.6</v>
      </c>
      <c r="C965">
        <v>93.7</v>
      </c>
      <c r="E965">
        <v>32.126</v>
      </c>
      <c r="F965">
        <v>-196</v>
      </c>
      <c r="G965">
        <v>96.6</v>
      </c>
      <c r="I965">
        <f t="shared" si="45"/>
        <v>32.1</v>
      </c>
      <c r="J965">
        <f t="shared" ref="J965:J1028" si="47">F965+203</f>
        <v>7</v>
      </c>
      <c r="K965">
        <f t="shared" si="46"/>
        <v>0</v>
      </c>
    </row>
    <row r="966" spans="1:11">
      <c r="A966">
        <v>32.193</v>
      </c>
      <c r="B966">
        <v>-199.7</v>
      </c>
      <c r="C966">
        <v>93.2</v>
      </c>
      <c r="E966">
        <v>32.16</v>
      </c>
      <c r="F966">
        <v>-197.6</v>
      </c>
      <c r="G966">
        <v>93.7</v>
      </c>
      <c r="I966">
        <f t="shared" si="45"/>
        <v>32.15</v>
      </c>
      <c r="J966">
        <f t="shared" si="47"/>
        <v>5.40000000000001</v>
      </c>
      <c r="K966">
        <f t="shared" si="46"/>
        <v>0</v>
      </c>
    </row>
    <row r="967" spans="1:11">
      <c r="A967">
        <v>32.227</v>
      </c>
      <c r="B967">
        <v>-201.1</v>
      </c>
      <c r="C967">
        <v>90.1</v>
      </c>
      <c r="E967">
        <v>32.193</v>
      </c>
      <c r="F967">
        <v>-199.7</v>
      </c>
      <c r="G967">
        <v>93.2</v>
      </c>
      <c r="I967">
        <f t="shared" si="45"/>
        <v>32.15</v>
      </c>
      <c r="J967">
        <f t="shared" si="47"/>
        <v>3.30000000000001</v>
      </c>
      <c r="K967">
        <f t="shared" si="46"/>
        <v>0</v>
      </c>
    </row>
    <row r="968" spans="1:11">
      <c r="A968">
        <v>32.26</v>
      </c>
      <c r="B968">
        <v>-202.8</v>
      </c>
      <c r="C968">
        <v>88.4</v>
      </c>
      <c r="E968">
        <v>32.227</v>
      </c>
      <c r="F968">
        <v>-201.1</v>
      </c>
      <c r="G968">
        <v>90.1</v>
      </c>
      <c r="I968">
        <f t="shared" si="45"/>
        <v>32.2</v>
      </c>
      <c r="J968">
        <f t="shared" si="47"/>
        <v>1.90000000000001</v>
      </c>
      <c r="K968">
        <f t="shared" si="46"/>
        <v>0</v>
      </c>
    </row>
    <row r="969" spans="1:11">
      <c r="A969">
        <v>32.294</v>
      </c>
      <c r="B969">
        <v>-204.9</v>
      </c>
      <c r="C969">
        <v>86.3</v>
      </c>
      <c r="E969">
        <v>32.26</v>
      </c>
      <c r="F969">
        <v>-202.8</v>
      </c>
      <c r="G969">
        <v>88.4</v>
      </c>
      <c r="I969">
        <f t="shared" si="45"/>
        <v>32.25</v>
      </c>
      <c r="J969">
        <f t="shared" si="47"/>
        <v>0.199999999999989</v>
      </c>
      <c r="K969">
        <f t="shared" si="46"/>
        <v>0</v>
      </c>
    </row>
    <row r="970" spans="1:11">
      <c r="A970">
        <v>32.327</v>
      </c>
      <c r="B970">
        <v>-206.5</v>
      </c>
      <c r="C970">
        <v>84.9</v>
      </c>
      <c r="E970">
        <v>32.294</v>
      </c>
      <c r="F970">
        <v>-204.9</v>
      </c>
      <c r="G970">
        <v>86.3</v>
      </c>
      <c r="I970">
        <f t="shared" si="45"/>
        <v>32.25</v>
      </c>
      <c r="J970">
        <f t="shared" si="47"/>
        <v>-1.90000000000001</v>
      </c>
      <c r="K970">
        <f t="shared" si="46"/>
        <v>0</v>
      </c>
    </row>
    <row r="971" spans="1:11">
      <c r="A971">
        <v>32.36</v>
      </c>
      <c r="B971">
        <v>-207.4</v>
      </c>
      <c r="C971">
        <v>83.1</v>
      </c>
      <c r="E971">
        <v>32.327</v>
      </c>
      <c r="F971">
        <v>-206.5</v>
      </c>
      <c r="G971">
        <v>84.9</v>
      </c>
      <c r="I971">
        <f t="shared" si="45"/>
        <v>32.3</v>
      </c>
      <c r="J971">
        <f t="shared" si="47"/>
        <v>-3.5</v>
      </c>
      <c r="K971">
        <f t="shared" si="46"/>
        <v>0</v>
      </c>
    </row>
    <row r="972" spans="1:11">
      <c r="A972">
        <v>32.394</v>
      </c>
      <c r="B972">
        <v>-208.7</v>
      </c>
      <c r="C972">
        <v>81.2</v>
      </c>
      <c r="E972">
        <v>32.36</v>
      </c>
      <c r="F972">
        <v>-207.4</v>
      </c>
      <c r="G972">
        <v>83.1</v>
      </c>
      <c r="I972">
        <f t="shared" si="45"/>
        <v>32.35</v>
      </c>
      <c r="J972">
        <f t="shared" si="47"/>
        <v>-4.40000000000001</v>
      </c>
      <c r="K972">
        <f t="shared" si="46"/>
        <v>0</v>
      </c>
    </row>
    <row r="973" spans="1:11">
      <c r="A973">
        <v>32.427</v>
      </c>
      <c r="B973">
        <v>-209.6</v>
      </c>
      <c r="C973">
        <v>80.6</v>
      </c>
      <c r="E973">
        <v>32.394</v>
      </c>
      <c r="F973">
        <v>-208.7</v>
      </c>
      <c r="G973">
        <v>81.2</v>
      </c>
      <c r="I973">
        <f t="shared" si="45"/>
        <v>32.35</v>
      </c>
      <c r="J973">
        <f t="shared" si="47"/>
        <v>-5.69999999999999</v>
      </c>
      <c r="K973">
        <f t="shared" si="46"/>
        <v>0</v>
      </c>
    </row>
    <row r="974" spans="1:11">
      <c r="A974">
        <v>32.461</v>
      </c>
      <c r="B974">
        <v>-210.4</v>
      </c>
      <c r="C974">
        <v>78.7</v>
      </c>
      <c r="E974">
        <v>32.427</v>
      </c>
      <c r="F974">
        <v>-209.6</v>
      </c>
      <c r="G974">
        <v>80.6</v>
      </c>
      <c r="I974">
        <f t="shared" si="45"/>
        <v>32.4</v>
      </c>
      <c r="J974">
        <f t="shared" si="47"/>
        <v>-6.59999999999999</v>
      </c>
      <c r="K974">
        <f t="shared" si="46"/>
        <v>0</v>
      </c>
    </row>
    <row r="975" spans="1:11">
      <c r="A975">
        <v>32.494</v>
      </c>
      <c r="B975">
        <v>-211</v>
      </c>
      <c r="C975">
        <v>77.2</v>
      </c>
      <c r="E975">
        <v>32.461</v>
      </c>
      <c r="F975">
        <v>-210.4</v>
      </c>
      <c r="G975">
        <v>78.7</v>
      </c>
      <c r="I975">
        <f t="shared" si="45"/>
        <v>32.45</v>
      </c>
      <c r="J975">
        <f t="shared" si="47"/>
        <v>-7.40000000000001</v>
      </c>
      <c r="K975">
        <f t="shared" si="46"/>
        <v>0</v>
      </c>
    </row>
    <row r="976" spans="1:11">
      <c r="A976">
        <v>32.528</v>
      </c>
      <c r="B976">
        <v>-211.1</v>
      </c>
      <c r="C976">
        <v>76</v>
      </c>
      <c r="E976">
        <v>32.494</v>
      </c>
      <c r="F976">
        <v>-211</v>
      </c>
      <c r="G976">
        <v>77.2</v>
      </c>
      <c r="I976">
        <f t="shared" si="45"/>
        <v>32.45</v>
      </c>
      <c r="J976">
        <f t="shared" si="47"/>
        <v>-8</v>
      </c>
      <c r="K976">
        <f t="shared" si="46"/>
        <v>0</v>
      </c>
    </row>
    <row r="977" spans="1:11">
      <c r="A977">
        <v>32.561</v>
      </c>
      <c r="B977">
        <v>-211.1</v>
      </c>
      <c r="C977">
        <v>75.1</v>
      </c>
      <c r="E977">
        <v>32.528</v>
      </c>
      <c r="F977">
        <v>-211.1</v>
      </c>
      <c r="G977">
        <v>76</v>
      </c>
      <c r="I977">
        <f t="shared" si="45"/>
        <v>32.5</v>
      </c>
      <c r="J977">
        <f t="shared" si="47"/>
        <v>-8.09999999999999</v>
      </c>
      <c r="K977">
        <f t="shared" si="46"/>
        <v>0</v>
      </c>
    </row>
    <row r="978" spans="1:11">
      <c r="A978">
        <v>32.594</v>
      </c>
      <c r="B978">
        <v>-211</v>
      </c>
      <c r="C978">
        <v>73</v>
      </c>
      <c r="E978">
        <v>32.561</v>
      </c>
      <c r="F978">
        <v>-211.1</v>
      </c>
      <c r="G978">
        <v>75.1</v>
      </c>
      <c r="I978">
        <f t="shared" si="45"/>
        <v>32.55</v>
      </c>
      <c r="J978">
        <f t="shared" si="47"/>
        <v>-8.09999999999999</v>
      </c>
      <c r="K978">
        <f t="shared" si="46"/>
        <v>0</v>
      </c>
    </row>
    <row r="979" spans="1:11">
      <c r="A979">
        <v>32.628</v>
      </c>
      <c r="B979">
        <v>-210.8</v>
      </c>
      <c r="C979">
        <v>72.5</v>
      </c>
      <c r="E979">
        <v>32.594</v>
      </c>
      <c r="F979">
        <v>-211</v>
      </c>
      <c r="G979">
        <v>73</v>
      </c>
      <c r="I979">
        <f t="shared" si="45"/>
        <v>32.55</v>
      </c>
      <c r="J979">
        <f t="shared" si="47"/>
        <v>-8</v>
      </c>
      <c r="K979">
        <f t="shared" si="46"/>
        <v>0</v>
      </c>
    </row>
    <row r="980" spans="1:11">
      <c r="A980">
        <v>32.661</v>
      </c>
      <c r="B980">
        <v>-210.6</v>
      </c>
      <c r="C980">
        <v>71.2</v>
      </c>
      <c r="E980">
        <v>32.628</v>
      </c>
      <c r="F980">
        <v>-210.8</v>
      </c>
      <c r="G980">
        <v>72.5</v>
      </c>
      <c r="I980">
        <f t="shared" si="45"/>
        <v>32.6</v>
      </c>
      <c r="J980">
        <f t="shared" si="47"/>
        <v>-7.80000000000001</v>
      </c>
      <c r="K980">
        <f t="shared" si="46"/>
        <v>0</v>
      </c>
    </row>
    <row r="981" spans="1:11">
      <c r="A981">
        <v>32.695</v>
      </c>
      <c r="B981">
        <v>-210.5</v>
      </c>
      <c r="C981">
        <v>69.8</v>
      </c>
      <c r="E981">
        <v>32.661</v>
      </c>
      <c r="F981">
        <v>-210.6</v>
      </c>
      <c r="G981">
        <v>71.2</v>
      </c>
      <c r="I981">
        <f t="shared" si="45"/>
        <v>32.65</v>
      </c>
      <c r="J981">
        <f t="shared" si="47"/>
        <v>-7.59999999999999</v>
      </c>
      <c r="K981">
        <f t="shared" si="46"/>
        <v>0</v>
      </c>
    </row>
    <row r="982" spans="1:11">
      <c r="A982">
        <v>32.728</v>
      </c>
      <c r="B982">
        <v>-210.1</v>
      </c>
      <c r="C982">
        <v>69.4</v>
      </c>
      <c r="E982">
        <v>32.695</v>
      </c>
      <c r="F982">
        <v>-210.5</v>
      </c>
      <c r="G982">
        <v>69.8</v>
      </c>
      <c r="I982">
        <f t="shared" si="45"/>
        <v>32.65</v>
      </c>
      <c r="J982">
        <f t="shared" si="47"/>
        <v>-7.5</v>
      </c>
      <c r="K982">
        <f t="shared" si="46"/>
        <v>0</v>
      </c>
    </row>
    <row r="983" spans="1:11">
      <c r="A983">
        <v>32.762</v>
      </c>
      <c r="B983">
        <v>-208.4</v>
      </c>
      <c r="C983">
        <v>68.5</v>
      </c>
      <c r="E983">
        <v>32.728</v>
      </c>
      <c r="F983">
        <v>-210.1</v>
      </c>
      <c r="G983">
        <v>69.4</v>
      </c>
      <c r="I983">
        <f t="shared" si="45"/>
        <v>32.7</v>
      </c>
      <c r="J983">
        <f t="shared" si="47"/>
        <v>-7.09999999999999</v>
      </c>
      <c r="K983">
        <f t="shared" si="46"/>
        <v>0</v>
      </c>
    </row>
    <row r="984" spans="1:11">
      <c r="A984">
        <v>32.795</v>
      </c>
      <c r="B984">
        <v>-206.9</v>
      </c>
      <c r="C984">
        <v>68</v>
      </c>
      <c r="E984">
        <v>32.762</v>
      </c>
      <c r="F984">
        <v>-208.4</v>
      </c>
      <c r="G984">
        <v>68.5</v>
      </c>
      <c r="I984">
        <f t="shared" si="45"/>
        <v>32.75</v>
      </c>
      <c r="J984">
        <f t="shared" si="47"/>
        <v>-5.40000000000001</v>
      </c>
      <c r="K984">
        <f t="shared" si="46"/>
        <v>0</v>
      </c>
    </row>
    <row r="985" spans="1:11">
      <c r="A985">
        <v>32.828</v>
      </c>
      <c r="B985">
        <v>-205.3</v>
      </c>
      <c r="C985">
        <v>67</v>
      </c>
      <c r="E985">
        <v>32.795</v>
      </c>
      <c r="F985">
        <v>-206.9</v>
      </c>
      <c r="G985">
        <v>68</v>
      </c>
      <c r="I985">
        <f t="shared" si="45"/>
        <v>32.75</v>
      </c>
      <c r="J985">
        <f t="shared" si="47"/>
        <v>-3.90000000000001</v>
      </c>
      <c r="K985">
        <f t="shared" si="46"/>
        <v>0</v>
      </c>
    </row>
    <row r="986" spans="1:11">
      <c r="A986">
        <v>32.862</v>
      </c>
      <c r="B986">
        <v>-203.4</v>
      </c>
      <c r="C986">
        <v>66</v>
      </c>
      <c r="E986">
        <v>32.828</v>
      </c>
      <c r="F986">
        <v>-205.3</v>
      </c>
      <c r="G986">
        <v>67</v>
      </c>
      <c r="I986">
        <f t="shared" si="45"/>
        <v>32.8</v>
      </c>
      <c r="J986">
        <f t="shared" si="47"/>
        <v>-2.30000000000001</v>
      </c>
      <c r="K986">
        <f t="shared" si="46"/>
        <v>0</v>
      </c>
    </row>
    <row r="987" spans="1:11">
      <c r="A987">
        <v>32.895</v>
      </c>
      <c r="B987">
        <v>-202.2</v>
      </c>
      <c r="C987">
        <v>65.8</v>
      </c>
      <c r="E987">
        <v>32.862</v>
      </c>
      <c r="F987">
        <v>-203.4</v>
      </c>
      <c r="G987">
        <v>66</v>
      </c>
      <c r="I987">
        <f t="shared" si="45"/>
        <v>32.85</v>
      </c>
      <c r="J987">
        <f t="shared" si="47"/>
        <v>-0.400000000000006</v>
      </c>
      <c r="K987">
        <f t="shared" si="46"/>
        <v>0</v>
      </c>
    </row>
    <row r="988" spans="1:11">
      <c r="A988">
        <v>32.929</v>
      </c>
      <c r="B988">
        <v>-199.9</v>
      </c>
      <c r="C988">
        <v>64.5</v>
      </c>
      <c r="E988">
        <v>32.895</v>
      </c>
      <c r="F988">
        <v>-202.2</v>
      </c>
      <c r="G988">
        <v>65.8</v>
      </c>
      <c r="I988">
        <f t="shared" ref="I988:I1051" si="48">FLOOR(E988,0.05)</f>
        <v>32.85</v>
      </c>
      <c r="J988">
        <f t="shared" si="47"/>
        <v>0.800000000000011</v>
      </c>
      <c r="K988">
        <f t="shared" ref="K988:K1051" si="49">IF(G988&lt;230,0,5)</f>
        <v>0</v>
      </c>
    </row>
    <row r="989" spans="1:11">
      <c r="A989">
        <v>32.962</v>
      </c>
      <c r="B989">
        <v>-198.8</v>
      </c>
      <c r="C989">
        <v>64.2</v>
      </c>
      <c r="E989">
        <v>32.929</v>
      </c>
      <c r="F989">
        <v>-199.9</v>
      </c>
      <c r="G989">
        <v>64.5</v>
      </c>
      <c r="I989">
        <f t="shared" si="48"/>
        <v>32.9</v>
      </c>
      <c r="J989">
        <f t="shared" si="47"/>
        <v>3.09999999999999</v>
      </c>
      <c r="K989">
        <f t="shared" si="49"/>
        <v>0</v>
      </c>
    </row>
    <row r="990" spans="1:11">
      <c r="A990">
        <v>32.996</v>
      </c>
      <c r="B990">
        <v>-198.3</v>
      </c>
      <c r="C990">
        <v>63.7</v>
      </c>
      <c r="E990">
        <v>32.962</v>
      </c>
      <c r="F990">
        <v>-198.8</v>
      </c>
      <c r="G990">
        <v>64.2</v>
      </c>
      <c r="I990">
        <f t="shared" si="48"/>
        <v>32.95</v>
      </c>
      <c r="J990">
        <f t="shared" si="47"/>
        <v>4.19999999999999</v>
      </c>
      <c r="K990">
        <f t="shared" si="49"/>
        <v>0</v>
      </c>
    </row>
    <row r="991" spans="1:11">
      <c r="A991">
        <v>33.029</v>
      </c>
      <c r="B991">
        <v>-194.6</v>
      </c>
      <c r="C991">
        <v>63.4</v>
      </c>
      <c r="E991">
        <v>32.996</v>
      </c>
      <c r="F991">
        <v>-198.3</v>
      </c>
      <c r="G991">
        <v>63.7</v>
      </c>
      <c r="I991">
        <f t="shared" si="48"/>
        <v>32.95</v>
      </c>
      <c r="J991">
        <f t="shared" si="47"/>
        <v>4.69999999999999</v>
      </c>
      <c r="K991">
        <f t="shared" si="49"/>
        <v>0</v>
      </c>
    </row>
    <row r="992" spans="1:11">
      <c r="A992">
        <v>33.062</v>
      </c>
      <c r="B992">
        <v>-193.2</v>
      </c>
      <c r="C992">
        <v>62.9</v>
      </c>
      <c r="E992">
        <v>33.029</v>
      </c>
      <c r="F992">
        <v>-194.6</v>
      </c>
      <c r="G992">
        <v>63.4</v>
      </c>
      <c r="I992">
        <f t="shared" si="48"/>
        <v>33</v>
      </c>
      <c r="J992">
        <f t="shared" si="47"/>
        <v>8.40000000000001</v>
      </c>
      <c r="K992">
        <f t="shared" si="49"/>
        <v>0</v>
      </c>
    </row>
    <row r="993" spans="1:11">
      <c r="A993">
        <v>33.096</v>
      </c>
      <c r="B993">
        <v>-190.9</v>
      </c>
      <c r="C993">
        <v>62.4</v>
      </c>
      <c r="E993">
        <v>33.062</v>
      </c>
      <c r="F993">
        <v>-193.2</v>
      </c>
      <c r="G993">
        <v>62.9</v>
      </c>
      <c r="I993">
        <f t="shared" si="48"/>
        <v>33.05</v>
      </c>
      <c r="J993">
        <f t="shared" si="47"/>
        <v>9.80000000000001</v>
      </c>
      <c r="K993">
        <f t="shared" si="49"/>
        <v>0</v>
      </c>
    </row>
    <row r="994" spans="1:11">
      <c r="A994">
        <v>33.129</v>
      </c>
      <c r="B994">
        <v>-190.2</v>
      </c>
      <c r="C994">
        <v>62.5</v>
      </c>
      <c r="E994">
        <v>33.096</v>
      </c>
      <c r="F994">
        <v>-190.9</v>
      </c>
      <c r="G994">
        <v>62.4</v>
      </c>
      <c r="I994">
        <f t="shared" si="48"/>
        <v>33.05</v>
      </c>
      <c r="J994">
        <f t="shared" si="47"/>
        <v>12.1</v>
      </c>
      <c r="K994">
        <f t="shared" si="49"/>
        <v>0</v>
      </c>
    </row>
    <row r="995" spans="1:11">
      <c r="A995">
        <v>33.163</v>
      </c>
      <c r="B995">
        <v>-189.8</v>
      </c>
      <c r="C995">
        <v>62.2</v>
      </c>
      <c r="E995">
        <v>33.129</v>
      </c>
      <c r="F995">
        <v>-190.2</v>
      </c>
      <c r="G995">
        <v>62.5</v>
      </c>
      <c r="I995">
        <f t="shared" si="48"/>
        <v>33.1</v>
      </c>
      <c r="J995">
        <f t="shared" si="47"/>
        <v>12.8</v>
      </c>
      <c r="K995">
        <f t="shared" si="49"/>
        <v>0</v>
      </c>
    </row>
    <row r="996" spans="1:11">
      <c r="A996">
        <v>33.196</v>
      </c>
      <c r="B996">
        <v>-189.3</v>
      </c>
      <c r="C996">
        <v>61.8</v>
      </c>
      <c r="E996">
        <v>33.163</v>
      </c>
      <c r="F996">
        <v>-189.8</v>
      </c>
      <c r="G996">
        <v>62.2</v>
      </c>
      <c r="I996">
        <f t="shared" si="48"/>
        <v>33.15</v>
      </c>
      <c r="J996">
        <f t="shared" si="47"/>
        <v>13.2</v>
      </c>
      <c r="K996">
        <f t="shared" si="49"/>
        <v>0</v>
      </c>
    </row>
    <row r="997" spans="1:11">
      <c r="A997">
        <v>33.23</v>
      </c>
      <c r="B997">
        <v>-189.4</v>
      </c>
      <c r="C997">
        <v>61.5</v>
      </c>
      <c r="E997">
        <v>33.196</v>
      </c>
      <c r="F997">
        <v>-189.3</v>
      </c>
      <c r="G997">
        <v>61.8</v>
      </c>
      <c r="I997">
        <f t="shared" si="48"/>
        <v>33.15</v>
      </c>
      <c r="J997">
        <f t="shared" si="47"/>
        <v>13.7</v>
      </c>
      <c r="K997">
        <f t="shared" si="49"/>
        <v>0</v>
      </c>
    </row>
    <row r="998" spans="1:11">
      <c r="A998">
        <v>33.263</v>
      </c>
      <c r="B998">
        <v>-189.4</v>
      </c>
      <c r="C998">
        <v>60.9</v>
      </c>
      <c r="E998">
        <v>33.23</v>
      </c>
      <c r="F998">
        <v>-189.4</v>
      </c>
      <c r="G998">
        <v>61.5</v>
      </c>
      <c r="I998">
        <f t="shared" si="48"/>
        <v>33.2</v>
      </c>
      <c r="J998">
        <f t="shared" si="47"/>
        <v>13.6</v>
      </c>
      <c r="K998">
        <f t="shared" si="49"/>
        <v>0</v>
      </c>
    </row>
    <row r="999" spans="1:11">
      <c r="A999">
        <v>33.296</v>
      </c>
      <c r="B999">
        <v>-189.5</v>
      </c>
      <c r="C999">
        <v>61.2</v>
      </c>
      <c r="E999">
        <v>33.263</v>
      </c>
      <c r="F999">
        <v>-189.4</v>
      </c>
      <c r="G999">
        <v>60.9</v>
      </c>
      <c r="I999">
        <f t="shared" si="48"/>
        <v>33.25</v>
      </c>
      <c r="J999">
        <f t="shared" si="47"/>
        <v>13.6</v>
      </c>
      <c r="K999">
        <f t="shared" si="49"/>
        <v>0</v>
      </c>
    </row>
    <row r="1000" spans="1:11">
      <c r="A1000">
        <v>33.33</v>
      </c>
      <c r="B1000">
        <v>-189.6</v>
      </c>
      <c r="C1000">
        <v>60.9</v>
      </c>
      <c r="E1000">
        <v>33.296</v>
      </c>
      <c r="F1000">
        <v>-189.5</v>
      </c>
      <c r="G1000">
        <v>61.2</v>
      </c>
      <c r="I1000">
        <f t="shared" si="48"/>
        <v>33.25</v>
      </c>
      <c r="J1000">
        <f t="shared" si="47"/>
        <v>13.5</v>
      </c>
      <c r="K1000">
        <f t="shared" si="49"/>
        <v>0</v>
      </c>
    </row>
    <row r="1001" spans="1:11">
      <c r="A1001">
        <v>33.363</v>
      </c>
      <c r="B1001">
        <v>-189.7</v>
      </c>
      <c r="C1001">
        <v>60.8</v>
      </c>
      <c r="E1001">
        <v>33.33</v>
      </c>
      <c r="F1001">
        <v>-189.6</v>
      </c>
      <c r="G1001">
        <v>60.9</v>
      </c>
      <c r="I1001">
        <f t="shared" si="48"/>
        <v>33.3</v>
      </c>
      <c r="J1001">
        <f t="shared" si="47"/>
        <v>13.4</v>
      </c>
      <c r="K1001">
        <f t="shared" si="49"/>
        <v>0</v>
      </c>
    </row>
    <row r="1002" spans="1:11">
      <c r="A1002">
        <v>33.397</v>
      </c>
      <c r="B1002">
        <v>-189.8</v>
      </c>
      <c r="C1002">
        <v>60.6</v>
      </c>
      <c r="E1002">
        <v>33.363</v>
      </c>
      <c r="F1002">
        <v>-189.7</v>
      </c>
      <c r="G1002">
        <v>60.8</v>
      </c>
      <c r="I1002">
        <f t="shared" si="48"/>
        <v>33.35</v>
      </c>
      <c r="J1002">
        <f t="shared" si="47"/>
        <v>13.3</v>
      </c>
      <c r="K1002">
        <f t="shared" si="49"/>
        <v>0</v>
      </c>
    </row>
    <row r="1003" spans="1:11">
      <c r="A1003">
        <v>33.43</v>
      </c>
      <c r="B1003">
        <v>-189.9</v>
      </c>
      <c r="C1003">
        <v>60.3</v>
      </c>
      <c r="E1003">
        <v>33.397</v>
      </c>
      <c r="F1003">
        <v>-189.8</v>
      </c>
      <c r="G1003">
        <v>60.6</v>
      </c>
      <c r="I1003">
        <f t="shared" si="48"/>
        <v>33.35</v>
      </c>
      <c r="J1003">
        <f t="shared" si="47"/>
        <v>13.2</v>
      </c>
      <c r="K1003">
        <f t="shared" si="49"/>
        <v>0</v>
      </c>
    </row>
    <row r="1004" spans="1:11">
      <c r="A1004">
        <v>33.464</v>
      </c>
      <c r="B1004">
        <v>-190.1</v>
      </c>
      <c r="C1004">
        <v>60</v>
      </c>
      <c r="E1004">
        <v>33.43</v>
      </c>
      <c r="F1004">
        <v>-189.9</v>
      </c>
      <c r="G1004">
        <v>60.3</v>
      </c>
      <c r="I1004">
        <f t="shared" si="48"/>
        <v>33.4</v>
      </c>
      <c r="J1004">
        <f t="shared" si="47"/>
        <v>13.1</v>
      </c>
      <c r="K1004">
        <f t="shared" si="49"/>
        <v>0</v>
      </c>
    </row>
    <row r="1005" spans="1:11">
      <c r="A1005">
        <v>33.497</v>
      </c>
      <c r="B1005">
        <v>-190.3</v>
      </c>
      <c r="C1005">
        <v>60.4</v>
      </c>
      <c r="E1005">
        <v>33.464</v>
      </c>
      <c r="F1005">
        <v>-190.1</v>
      </c>
      <c r="G1005">
        <v>60</v>
      </c>
      <c r="I1005">
        <f t="shared" si="48"/>
        <v>33.45</v>
      </c>
      <c r="J1005">
        <f t="shared" si="47"/>
        <v>12.9</v>
      </c>
      <c r="K1005">
        <f t="shared" si="49"/>
        <v>0</v>
      </c>
    </row>
    <row r="1006" spans="1:11">
      <c r="A1006">
        <v>33.531</v>
      </c>
      <c r="B1006">
        <v>-191.1</v>
      </c>
      <c r="C1006">
        <v>60.3</v>
      </c>
      <c r="E1006">
        <v>33.497</v>
      </c>
      <c r="F1006">
        <v>-190.3</v>
      </c>
      <c r="G1006">
        <v>60.4</v>
      </c>
      <c r="I1006">
        <f t="shared" si="48"/>
        <v>33.45</v>
      </c>
      <c r="J1006">
        <f t="shared" si="47"/>
        <v>12.7</v>
      </c>
      <c r="K1006">
        <f t="shared" si="49"/>
        <v>0</v>
      </c>
    </row>
    <row r="1007" spans="1:11">
      <c r="A1007">
        <v>33.564</v>
      </c>
      <c r="B1007">
        <v>-193.6</v>
      </c>
      <c r="C1007">
        <v>60.1</v>
      </c>
      <c r="E1007">
        <v>33.531</v>
      </c>
      <c r="F1007">
        <v>-191.1</v>
      </c>
      <c r="G1007">
        <v>60.3</v>
      </c>
      <c r="I1007">
        <f t="shared" si="48"/>
        <v>33.5</v>
      </c>
      <c r="J1007">
        <f t="shared" si="47"/>
        <v>11.9</v>
      </c>
      <c r="K1007">
        <f t="shared" si="49"/>
        <v>0</v>
      </c>
    </row>
    <row r="1008" spans="1:11">
      <c r="A1008">
        <v>33.597</v>
      </c>
      <c r="B1008">
        <v>-195.4</v>
      </c>
      <c r="C1008">
        <v>60.1</v>
      </c>
      <c r="E1008">
        <v>33.564</v>
      </c>
      <c r="F1008">
        <v>-193.6</v>
      </c>
      <c r="G1008">
        <v>60.1</v>
      </c>
      <c r="I1008">
        <f t="shared" si="48"/>
        <v>33.55</v>
      </c>
      <c r="J1008">
        <f t="shared" si="47"/>
        <v>9.40000000000001</v>
      </c>
      <c r="K1008">
        <f t="shared" si="49"/>
        <v>0</v>
      </c>
    </row>
    <row r="1009" spans="1:11">
      <c r="A1009">
        <v>33.631</v>
      </c>
      <c r="B1009">
        <v>-197.1</v>
      </c>
      <c r="C1009">
        <v>60.1</v>
      </c>
      <c r="E1009">
        <v>33.597</v>
      </c>
      <c r="F1009">
        <v>-195.4</v>
      </c>
      <c r="G1009">
        <v>60.1</v>
      </c>
      <c r="I1009">
        <f t="shared" si="48"/>
        <v>33.55</v>
      </c>
      <c r="J1009">
        <f t="shared" si="47"/>
        <v>7.59999999999999</v>
      </c>
      <c r="K1009">
        <f t="shared" si="49"/>
        <v>0</v>
      </c>
    </row>
    <row r="1010" spans="1:11">
      <c r="A1010">
        <v>33.664</v>
      </c>
      <c r="B1010">
        <v>-199.3</v>
      </c>
      <c r="C1010">
        <v>60.1</v>
      </c>
      <c r="E1010">
        <v>33.631</v>
      </c>
      <c r="F1010">
        <v>-197.1</v>
      </c>
      <c r="G1010">
        <v>60.1</v>
      </c>
      <c r="I1010">
        <f t="shared" si="48"/>
        <v>33.6</v>
      </c>
      <c r="J1010">
        <f t="shared" si="47"/>
        <v>5.90000000000001</v>
      </c>
      <c r="K1010">
        <f t="shared" si="49"/>
        <v>0</v>
      </c>
    </row>
    <row r="1011" spans="1:11">
      <c r="A1011">
        <v>33.698</v>
      </c>
      <c r="B1011">
        <v>-200.2</v>
      </c>
      <c r="C1011">
        <v>59.8</v>
      </c>
      <c r="E1011">
        <v>33.664</v>
      </c>
      <c r="F1011">
        <v>-199.3</v>
      </c>
      <c r="G1011">
        <v>60.1</v>
      </c>
      <c r="I1011">
        <f t="shared" si="48"/>
        <v>33.65</v>
      </c>
      <c r="J1011">
        <f t="shared" si="47"/>
        <v>3.69999999999999</v>
      </c>
      <c r="K1011">
        <f t="shared" si="49"/>
        <v>0</v>
      </c>
    </row>
    <row r="1012" spans="1:11">
      <c r="A1012">
        <v>33.731</v>
      </c>
      <c r="B1012">
        <v>-202.4</v>
      </c>
      <c r="C1012">
        <v>59.4</v>
      </c>
      <c r="E1012">
        <v>33.698</v>
      </c>
      <c r="F1012">
        <v>-200.2</v>
      </c>
      <c r="G1012">
        <v>59.8</v>
      </c>
      <c r="I1012">
        <f t="shared" si="48"/>
        <v>33.65</v>
      </c>
      <c r="J1012">
        <f t="shared" si="47"/>
        <v>2.80000000000001</v>
      </c>
      <c r="K1012">
        <f t="shared" si="49"/>
        <v>0</v>
      </c>
    </row>
    <row r="1013" spans="1:11">
      <c r="A1013">
        <v>33.765</v>
      </c>
      <c r="B1013">
        <v>-204.1</v>
      </c>
      <c r="C1013">
        <v>59.4</v>
      </c>
      <c r="E1013">
        <v>33.731</v>
      </c>
      <c r="F1013">
        <v>-202.4</v>
      </c>
      <c r="G1013">
        <v>59.4</v>
      </c>
      <c r="I1013">
        <f t="shared" si="48"/>
        <v>33.7</v>
      </c>
      <c r="J1013">
        <f t="shared" si="47"/>
        <v>0.599999999999994</v>
      </c>
      <c r="K1013">
        <f t="shared" si="49"/>
        <v>0</v>
      </c>
    </row>
    <row r="1014" spans="1:11">
      <c r="A1014">
        <v>33.798</v>
      </c>
      <c r="B1014">
        <v>-205.8</v>
      </c>
      <c r="C1014">
        <v>59.6</v>
      </c>
      <c r="E1014">
        <v>33.765</v>
      </c>
      <c r="F1014">
        <v>-204.1</v>
      </c>
      <c r="G1014">
        <v>59.4</v>
      </c>
      <c r="I1014">
        <f t="shared" si="48"/>
        <v>33.75</v>
      </c>
      <c r="J1014">
        <f t="shared" si="47"/>
        <v>-1.09999999999999</v>
      </c>
      <c r="K1014">
        <f t="shared" si="49"/>
        <v>0</v>
      </c>
    </row>
    <row r="1015" spans="1:11">
      <c r="A1015">
        <v>33.831</v>
      </c>
      <c r="B1015">
        <v>-207.2</v>
      </c>
      <c r="C1015">
        <v>59.3</v>
      </c>
      <c r="E1015">
        <v>33.798</v>
      </c>
      <c r="F1015">
        <v>-205.8</v>
      </c>
      <c r="G1015">
        <v>59.6</v>
      </c>
      <c r="I1015">
        <f t="shared" si="48"/>
        <v>33.75</v>
      </c>
      <c r="J1015">
        <f t="shared" si="47"/>
        <v>-2.80000000000001</v>
      </c>
      <c r="K1015">
        <f t="shared" si="49"/>
        <v>0</v>
      </c>
    </row>
    <row r="1016" spans="1:11">
      <c r="A1016">
        <v>33.865</v>
      </c>
      <c r="B1016">
        <v>-207.9</v>
      </c>
      <c r="C1016">
        <v>59.2</v>
      </c>
      <c r="E1016">
        <v>33.831</v>
      </c>
      <c r="F1016">
        <v>-207.2</v>
      </c>
      <c r="G1016">
        <v>59.3</v>
      </c>
      <c r="I1016">
        <f t="shared" si="48"/>
        <v>33.8</v>
      </c>
      <c r="J1016">
        <f t="shared" si="47"/>
        <v>-4.19999999999999</v>
      </c>
      <c r="K1016">
        <f t="shared" si="49"/>
        <v>0</v>
      </c>
    </row>
    <row r="1017" spans="1:11">
      <c r="A1017">
        <v>33.898</v>
      </c>
      <c r="B1017">
        <v>-208.8</v>
      </c>
      <c r="C1017">
        <v>58.9</v>
      </c>
      <c r="E1017">
        <v>33.865</v>
      </c>
      <c r="F1017">
        <v>-207.9</v>
      </c>
      <c r="G1017">
        <v>59.2</v>
      </c>
      <c r="I1017">
        <f t="shared" si="48"/>
        <v>33.85</v>
      </c>
      <c r="J1017">
        <f t="shared" si="47"/>
        <v>-4.90000000000001</v>
      </c>
      <c r="K1017">
        <f t="shared" si="49"/>
        <v>0</v>
      </c>
    </row>
    <row r="1018" spans="1:11">
      <c r="A1018">
        <v>33.932</v>
      </c>
      <c r="B1018">
        <v>-209.5</v>
      </c>
      <c r="C1018">
        <v>58.7</v>
      </c>
      <c r="E1018">
        <v>33.898</v>
      </c>
      <c r="F1018">
        <v>-208.8</v>
      </c>
      <c r="G1018">
        <v>58.9</v>
      </c>
      <c r="I1018">
        <f t="shared" si="48"/>
        <v>33.85</v>
      </c>
      <c r="J1018">
        <f t="shared" si="47"/>
        <v>-5.80000000000001</v>
      </c>
      <c r="K1018">
        <f t="shared" si="49"/>
        <v>0</v>
      </c>
    </row>
    <row r="1019" spans="1:11">
      <c r="A1019">
        <v>33.965</v>
      </c>
      <c r="B1019">
        <v>-210</v>
      </c>
      <c r="C1019">
        <v>58.6</v>
      </c>
      <c r="E1019">
        <v>33.932</v>
      </c>
      <c r="F1019">
        <v>-209.5</v>
      </c>
      <c r="G1019">
        <v>58.7</v>
      </c>
      <c r="I1019">
        <f t="shared" si="48"/>
        <v>33.9</v>
      </c>
      <c r="J1019">
        <f t="shared" si="47"/>
        <v>-6.5</v>
      </c>
      <c r="K1019">
        <f t="shared" si="49"/>
        <v>0</v>
      </c>
    </row>
    <row r="1020" spans="1:11">
      <c r="A1020">
        <v>33.999</v>
      </c>
      <c r="B1020">
        <v>-210.4</v>
      </c>
      <c r="C1020">
        <v>58.6</v>
      </c>
      <c r="E1020">
        <v>33.965</v>
      </c>
      <c r="F1020">
        <v>-210</v>
      </c>
      <c r="G1020">
        <v>58.6</v>
      </c>
      <c r="I1020">
        <f t="shared" si="48"/>
        <v>33.95</v>
      </c>
      <c r="J1020">
        <f t="shared" si="47"/>
        <v>-7</v>
      </c>
      <c r="K1020">
        <f t="shared" si="49"/>
        <v>0</v>
      </c>
    </row>
    <row r="1021" spans="1:11">
      <c r="A1021">
        <v>34.032</v>
      </c>
      <c r="B1021">
        <v>-210.6</v>
      </c>
      <c r="C1021">
        <v>58.1</v>
      </c>
      <c r="E1021">
        <v>33.999</v>
      </c>
      <c r="F1021">
        <v>-210.4</v>
      </c>
      <c r="G1021">
        <v>58.6</v>
      </c>
      <c r="I1021">
        <f t="shared" si="48"/>
        <v>33.95</v>
      </c>
      <c r="J1021">
        <f t="shared" si="47"/>
        <v>-7.40000000000001</v>
      </c>
      <c r="K1021">
        <f t="shared" si="49"/>
        <v>0</v>
      </c>
    </row>
    <row r="1022" spans="1:11">
      <c r="A1022">
        <v>34.065</v>
      </c>
      <c r="B1022">
        <v>-210.6</v>
      </c>
      <c r="C1022">
        <v>57.8</v>
      </c>
      <c r="E1022">
        <v>34.032</v>
      </c>
      <c r="F1022">
        <v>-210.6</v>
      </c>
      <c r="G1022">
        <v>58.1</v>
      </c>
      <c r="I1022">
        <f t="shared" si="48"/>
        <v>34</v>
      </c>
      <c r="J1022">
        <f t="shared" si="47"/>
        <v>-7.59999999999999</v>
      </c>
      <c r="K1022">
        <f t="shared" si="49"/>
        <v>0</v>
      </c>
    </row>
    <row r="1023" spans="1:11">
      <c r="A1023">
        <v>34.099</v>
      </c>
      <c r="B1023">
        <v>-210.5</v>
      </c>
      <c r="C1023">
        <v>56.4</v>
      </c>
      <c r="E1023">
        <v>34.065</v>
      </c>
      <c r="F1023">
        <v>-210.6</v>
      </c>
      <c r="G1023">
        <v>57.8</v>
      </c>
      <c r="I1023">
        <f t="shared" si="48"/>
        <v>34.05</v>
      </c>
      <c r="J1023">
        <f t="shared" si="47"/>
        <v>-7.59999999999999</v>
      </c>
      <c r="K1023">
        <f t="shared" si="49"/>
        <v>0</v>
      </c>
    </row>
    <row r="1024" spans="1:11">
      <c r="A1024">
        <v>34.132</v>
      </c>
      <c r="B1024">
        <v>-210.5</v>
      </c>
      <c r="C1024">
        <v>56.5</v>
      </c>
      <c r="E1024">
        <v>34.099</v>
      </c>
      <c r="F1024">
        <v>-210.5</v>
      </c>
      <c r="G1024">
        <v>56.4</v>
      </c>
      <c r="I1024">
        <f t="shared" si="48"/>
        <v>34.05</v>
      </c>
      <c r="J1024">
        <f t="shared" si="47"/>
        <v>-7.5</v>
      </c>
      <c r="K1024">
        <f t="shared" si="49"/>
        <v>0</v>
      </c>
    </row>
    <row r="1025" spans="1:11">
      <c r="A1025">
        <v>34.166</v>
      </c>
      <c r="B1025">
        <v>-210.2</v>
      </c>
      <c r="C1025">
        <v>55.8</v>
      </c>
      <c r="E1025">
        <v>34.132</v>
      </c>
      <c r="F1025">
        <v>-210.5</v>
      </c>
      <c r="G1025">
        <v>56.5</v>
      </c>
      <c r="I1025">
        <f t="shared" si="48"/>
        <v>34.1</v>
      </c>
      <c r="J1025">
        <f t="shared" si="47"/>
        <v>-7.5</v>
      </c>
      <c r="K1025">
        <f t="shared" si="49"/>
        <v>0</v>
      </c>
    </row>
    <row r="1026" spans="1:11">
      <c r="A1026">
        <v>34.199</v>
      </c>
      <c r="B1026">
        <v>-209.6</v>
      </c>
      <c r="C1026">
        <v>55.2</v>
      </c>
      <c r="E1026">
        <v>34.166</v>
      </c>
      <c r="F1026">
        <v>-210.2</v>
      </c>
      <c r="G1026">
        <v>55.8</v>
      </c>
      <c r="I1026">
        <f t="shared" si="48"/>
        <v>34.15</v>
      </c>
      <c r="J1026">
        <f t="shared" si="47"/>
        <v>-7.19999999999999</v>
      </c>
      <c r="K1026">
        <f t="shared" si="49"/>
        <v>0</v>
      </c>
    </row>
    <row r="1027" spans="1:11">
      <c r="A1027">
        <v>34.233</v>
      </c>
      <c r="B1027">
        <v>-208.5</v>
      </c>
      <c r="C1027">
        <v>54.4</v>
      </c>
      <c r="E1027">
        <v>34.199</v>
      </c>
      <c r="F1027">
        <v>-209.6</v>
      </c>
      <c r="G1027">
        <v>55.2</v>
      </c>
      <c r="I1027">
        <f t="shared" si="48"/>
        <v>34.15</v>
      </c>
      <c r="J1027">
        <f t="shared" si="47"/>
        <v>-6.59999999999999</v>
      </c>
      <c r="K1027">
        <f t="shared" si="49"/>
        <v>0</v>
      </c>
    </row>
    <row r="1028" spans="1:11">
      <c r="A1028">
        <v>34.266</v>
      </c>
      <c r="B1028">
        <v>-207.4</v>
      </c>
      <c r="C1028">
        <v>53.9</v>
      </c>
      <c r="E1028">
        <v>34.233</v>
      </c>
      <c r="F1028">
        <v>-208.5</v>
      </c>
      <c r="G1028">
        <v>54.4</v>
      </c>
      <c r="I1028">
        <f t="shared" si="48"/>
        <v>34.2</v>
      </c>
      <c r="J1028">
        <f t="shared" si="47"/>
        <v>-5.5</v>
      </c>
      <c r="K1028">
        <f t="shared" si="49"/>
        <v>0</v>
      </c>
    </row>
    <row r="1029" spans="1:11">
      <c r="A1029">
        <v>34.299</v>
      </c>
      <c r="B1029">
        <v>-206.4</v>
      </c>
      <c r="C1029">
        <v>53.4</v>
      </c>
      <c r="E1029">
        <v>34.266</v>
      </c>
      <c r="F1029">
        <v>-207.4</v>
      </c>
      <c r="G1029">
        <v>53.9</v>
      </c>
      <c r="I1029">
        <f t="shared" si="48"/>
        <v>34.25</v>
      </c>
      <c r="J1029">
        <f t="shared" ref="J1029:J1092" si="50">F1029+203</f>
        <v>-4.40000000000001</v>
      </c>
      <c r="K1029">
        <f t="shared" si="49"/>
        <v>0</v>
      </c>
    </row>
    <row r="1030" spans="1:11">
      <c r="A1030">
        <v>34.333</v>
      </c>
      <c r="B1030">
        <v>-204.4</v>
      </c>
      <c r="C1030">
        <v>52.1</v>
      </c>
      <c r="E1030">
        <v>34.299</v>
      </c>
      <c r="F1030">
        <v>-206.4</v>
      </c>
      <c r="G1030">
        <v>53.4</v>
      </c>
      <c r="I1030">
        <f t="shared" si="48"/>
        <v>34.25</v>
      </c>
      <c r="J1030">
        <f t="shared" si="50"/>
        <v>-3.40000000000001</v>
      </c>
      <c r="K1030">
        <f t="shared" si="49"/>
        <v>0</v>
      </c>
    </row>
    <row r="1031" spans="1:11">
      <c r="A1031">
        <v>34.366</v>
      </c>
      <c r="B1031">
        <v>-202.7</v>
      </c>
      <c r="C1031">
        <v>50.6</v>
      </c>
      <c r="E1031">
        <v>34.333</v>
      </c>
      <c r="F1031">
        <v>-204.4</v>
      </c>
      <c r="G1031">
        <v>52.1</v>
      </c>
      <c r="I1031">
        <f t="shared" si="48"/>
        <v>34.3</v>
      </c>
      <c r="J1031">
        <f t="shared" si="50"/>
        <v>-1.40000000000001</v>
      </c>
      <c r="K1031">
        <f t="shared" si="49"/>
        <v>0</v>
      </c>
    </row>
    <row r="1032" spans="1:11">
      <c r="A1032">
        <v>34.4</v>
      </c>
      <c r="B1032">
        <v>-200.9</v>
      </c>
      <c r="C1032">
        <v>49.7</v>
      </c>
      <c r="E1032">
        <v>34.366</v>
      </c>
      <c r="F1032">
        <v>-202.7</v>
      </c>
      <c r="G1032">
        <v>50.6</v>
      </c>
      <c r="I1032">
        <f t="shared" si="48"/>
        <v>34.35</v>
      </c>
      <c r="J1032">
        <f t="shared" si="50"/>
        <v>0.300000000000011</v>
      </c>
      <c r="K1032">
        <f t="shared" si="49"/>
        <v>0</v>
      </c>
    </row>
    <row r="1033" spans="1:11">
      <c r="A1033">
        <v>34.433</v>
      </c>
      <c r="B1033">
        <v>-199.4</v>
      </c>
      <c r="C1033">
        <v>48.6</v>
      </c>
      <c r="E1033">
        <v>34.4</v>
      </c>
      <c r="F1033">
        <v>-200.9</v>
      </c>
      <c r="G1033">
        <v>49.7</v>
      </c>
      <c r="I1033">
        <f t="shared" si="48"/>
        <v>34.4</v>
      </c>
      <c r="J1033">
        <f t="shared" si="50"/>
        <v>2.09999999999999</v>
      </c>
      <c r="K1033">
        <f t="shared" si="49"/>
        <v>0</v>
      </c>
    </row>
    <row r="1034" spans="1:11">
      <c r="A1034">
        <v>34.467</v>
      </c>
      <c r="B1034">
        <v>-197.9</v>
      </c>
      <c r="C1034">
        <v>47.8</v>
      </c>
      <c r="E1034">
        <v>34.433</v>
      </c>
      <c r="F1034">
        <v>-199.4</v>
      </c>
      <c r="G1034">
        <v>48.6</v>
      </c>
      <c r="I1034">
        <f t="shared" si="48"/>
        <v>34.4</v>
      </c>
      <c r="J1034">
        <f t="shared" si="50"/>
        <v>3.59999999999999</v>
      </c>
      <c r="K1034">
        <f t="shared" si="49"/>
        <v>0</v>
      </c>
    </row>
    <row r="1035" spans="1:11">
      <c r="A1035">
        <v>34.5</v>
      </c>
      <c r="B1035">
        <v>-195.8</v>
      </c>
      <c r="C1035">
        <v>46.1</v>
      </c>
      <c r="E1035">
        <v>34.467</v>
      </c>
      <c r="F1035">
        <v>-197.9</v>
      </c>
      <c r="G1035">
        <v>47.8</v>
      </c>
      <c r="I1035">
        <f t="shared" si="48"/>
        <v>34.45</v>
      </c>
      <c r="J1035">
        <f t="shared" si="50"/>
        <v>5.09999999999999</v>
      </c>
      <c r="K1035">
        <f t="shared" si="49"/>
        <v>0</v>
      </c>
    </row>
    <row r="1036" spans="1:11">
      <c r="A1036">
        <v>34.533</v>
      </c>
      <c r="B1036">
        <v>-193.9</v>
      </c>
      <c r="C1036">
        <v>45.4</v>
      </c>
      <c r="E1036">
        <v>34.5</v>
      </c>
      <c r="F1036">
        <v>-195.8</v>
      </c>
      <c r="G1036">
        <v>46.1</v>
      </c>
      <c r="I1036">
        <f t="shared" si="48"/>
        <v>34.5</v>
      </c>
      <c r="J1036">
        <f t="shared" si="50"/>
        <v>7.19999999999999</v>
      </c>
      <c r="K1036">
        <f t="shared" si="49"/>
        <v>0</v>
      </c>
    </row>
    <row r="1037" spans="1:11">
      <c r="A1037">
        <v>34.567</v>
      </c>
      <c r="B1037">
        <v>-192.2</v>
      </c>
      <c r="C1037">
        <v>43.7</v>
      </c>
      <c r="E1037">
        <v>34.533</v>
      </c>
      <c r="F1037">
        <v>-193.9</v>
      </c>
      <c r="G1037">
        <v>45.4</v>
      </c>
      <c r="I1037">
        <f t="shared" si="48"/>
        <v>34.5</v>
      </c>
      <c r="J1037">
        <f t="shared" si="50"/>
        <v>9.09999999999999</v>
      </c>
      <c r="K1037">
        <f t="shared" si="49"/>
        <v>0</v>
      </c>
    </row>
    <row r="1038" spans="1:11">
      <c r="A1038">
        <v>34.6</v>
      </c>
      <c r="B1038">
        <v>-190.9</v>
      </c>
      <c r="C1038">
        <v>42.8</v>
      </c>
      <c r="E1038">
        <v>34.567</v>
      </c>
      <c r="F1038">
        <v>-192.2</v>
      </c>
      <c r="G1038">
        <v>43.7</v>
      </c>
      <c r="I1038">
        <f t="shared" si="48"/>
        <v>34.55</v>
      </c>
      <c r="J1038">
        <f t="shared" si="50"/>
        <v>10.8</v>
      </c>
      <c r="K1038">
        <f t="shared" si="49"/>
        <v>0</v>
      </c>
    </row>
    <row r="1039" spans="1:11">
      <c r="A1039">
        <v>34.634</v>
      </c>
      <c r="B1039">
        <v>-190.1</v>
      </c>
      <c r="C1039">
        <v>42.3</v>
      </c>
      <c r="E1039">
        <v>34.6</v>
      </c>
      <c r="F1039">
        <v>-190.9</v>
      </c>
      <c r="G1039">
        <v>42.8</v>
      </c>
      <c r="I1039">
        <f t="shared" si="48"/>
        <v>34.6</v>
      </c>
      <c r="J1039">
        <f t="shared" si="50"/>
        <v>12.1</v>
      </c>
      <c r="K1039">
        <f t="shared" si="49"/>
        <v>0</v>
      </c>
    </row>
    <row r="1040" spans="1:11">
      <c r="A1040">
        <v>34.667</v>
      </c>
      <c r="B1040">
        <v>-189.3</v>
      </c>
      <c r="C1040">
        <v>41.4</v>
      </c>
      <c r="E1040">
        <v>34.634</v>
      </c>
      <c r="F1040">
        <v>-190.1</v>
      </c>
      <c r="G1040">
        <v>42.3</v>
      </c>
      <c r="I1040">
        <f t="shared" si="48"/>
        <v>34.6</v>
      </c>
      <c r="J1040">
        <f t="shared" si="50"/>
        <v>12.9</v>
      </c>
      <c r="K1040">
        <f t="shared" si="49"/>
        <v>0</v>
      </c>
    </row>
    <row r="1041" spans="1:11">
      <c r="A1041">
        <v>34.701</v>
      </c>
      <c r="B1041">
        <v>-188.8</v>
      </c>
      <c r="C1041">
        <v>39.6</v>
      </c>
      <c r="E1041">
        <v>34.667</v>
      </c>
      <c r="F1041">
        <v>-189.3</v>
      </c>
      <c r="G1041">
        <v>41.4</v>
      </c>
      <c r="I1041">
        <f t="shared" si="48"/>
        <v>34.65</v>
      </c>
      <c r="J1041">
        <f t="shared" si="50"/>
        <v>13.7</v>
      </c>
      <c r="K1041">
        <f t="shared" si="49"/>
        <v>0</v>
      </c>
    </row>
    <row r="1042" spans="1:11">
      <c r="A1042">
        <v>34.734</v>
      </c>
      <c r="B1042">
        <v>-188.5</v>
      </c>
      <c r="C1042">
        <v>39.2</v>
      </c>
      <c r="E1042">
        <v>34.701</v>
      </c>
      <c r="F1042">
        <v>-188.8</v>
      </c>
      <c r="G1042">
        <v>39.6</v>
      </c>
      <c r="I1042">
        <f t="shared" si="48"/>
        <v>34.7</v>
      </c>
      <c r="J1042">
        <f t="shared" si="50"/>
        <v>14.2</v>
      </c>
      <c r="K1042">
        <f t="shared" si="49"/>
        <v>0</v>
      </c>
    </row>
    <row r="1043" spans="1:11">
      <c r="A1043">
        <v>34.767</v>
      </c>
      <c r="B1043">
        <v>-188.6</v>
      </c>
      <c r="C1043">
        <v>37.7</v>
      </c>
      <c r="E1043">
        <v>34.734</v>
      </c>
      <c r="F1043">
        <v>-188.5</v>
      </c>
      <c r="G1043">
        <v>39.2</v>
      </c>
      <c r="I1043">
        <f t="shared" si="48"/>
        <v>34.7</v>
      </c>
      <c r="J1043">
        <f t="shared" si="50"/>
        <v>14.5</v>
      </c>
      <c r="K1043">
        <f t="shared" si="49"/>
        <v>0</v>
      </c>
    </row>
    <row r="1044" spans="1:11">
      <c r="A1044">
        <v>34.801</v>
      </c>
      <c r="B1044">
        <v>-188.6</v>
      </c>
      <c r="C1044">
        <v>36.5</v>
      </c>
      <c r="E1044">
        <v>34.767</v>
      </c>
      <c r="F1044">
        <v>-188.6</v>
      </c>
      <c r="G1044">
        <v>37.7</v>
      </c>
      <c r="I1044">
        <f t="shared" si="48"/>
        <v>34.75</v>
      </c>
      <c r="J1044">
        <f t="shared" si="50"/>
        <v>14.4</v>
      </c>
      <c r="K1044">
        <f t="shared" si="49"/>
        <v>0</v>
      </c>
    </row>
    <row r="1045" spans="1:11">
      <c r="A1045">
        <v>34.834</v>
      </c>
      <c r="B1045">
        <v>-188.8</v>
      </c>
      <c r="C1045">
        <v>35.5</v>
      </c>
      <c r="E1045">
        <v>34.801</v>
      </c>
      <c r="F1045">
        <v>-188.6</v>
      </c>
      <c r="G1045">
        <v>36.5</v>
      </c>
      <c r="I1045">
        <f t="shared" si="48"/>
        <v>34.8</v>
      </c>
      <c r="J1045">
        <f t="shared" si="50"/>
        <v>14.4</v>
      </c>
      <c r="K1045">
        <f t="shared" si="49"/>
        <v>0</v>
      </c>
    </row>
    <row r="1046" spans="1:11">
      <c r="A1046">
        <v>34.868</v>
      </c>
      <c r="B1046">
        <v>-188.7</v>
      </c>
      <c r="C1046">
        <v>34.5</v>
      </c>
      <c r="E1046">
        <v>34.834</v>
      </c>
      <c r="F1046">
        <v>-188.8</v>
      </c>
      <c r="G1046">
        <v>35.5</v>
      </c>
      <c r="I1046">
        <f t="shared" si="48"/>
        <v>34.8</v>
      </c>
      <c r="J1046">
        <f t="shared" si="50"/>
        <v>14.2</v>
      </c>
      <c r="K1046">
        <f t="shared" si="49"/>
        <v>0</v>
      </c>
    </row>
    <row r="1047" spans="1:11">
      <c r="A1047">
        <v>34.901</v>
      </c>
      <c r="B1047">
        <v>-189</v>
      </c>
      <c r="C1047">
        <v>33.3</v>
      </c>
      <c r="E1047">
        <v>34.868</v>
      </c>
      <c r="F1047">
        <v>-188.7</v>
      </c>
      <c r="G1047">
        <v>34.5</v>
      </c>
      <c r="I1047">
        <f t="shared" si="48"/>
        <v>34.85</v>
      </c>
      <c r="J1047">
        <f t="shared" si="50"/>
        <v>14.3</v>
      </c>
      <c r="K1047">
        <f t="shared" si="49"/>
        <v>0</v>
      </c>
    </row>
    <row r="1048" spans="1:11">
      <c r="A1048">
        <v>34.935</v>
      </c>
      <c r="B1048">
        <v>-189.6</v>
      </c>
      <c r="C1048">
        <v>32.3</v>
      </c>
      <c r="E1048">
        <v>34.901</v>
      </c>
      <c r="F1048">
        <v>-189</v>
      </c>
      <c r="G1048">
        <v>33.3</v>
      </c>
      <c r="I1048">
        <f t="shared" si="48"/>
        <v>34.9</v>
      </c>
      <c r="J1048">
        <f t="shared" si="50"/>
        <v>14</v>
      </c>
      <c r="K1048">
        <f t="shared" si="49"/>
        <v>0</v>
      </c>
    </row>
    <row r="1049" spans="1:11">
      <c r="A1049">
        <v>34.968</v>
      </c>
      <c r="B1049">
        <v>-190.2</v>
      </c>
      <c r="C1049">
        <v>31.6</v>
      </c>
      <c r="E1049">
        <v>34.935</v>
      </c>
      <c r="F1049">
        <v>-189.6</v>
      </c>
      <c r="G1049">
        <v>32.3</v>
      </c>
      <c r="I1049">
        <f t="shared" si="48"/>
        <v>34.9</v>
      </c>
      <c r="J1049">
        <f t="shared" si="50"/>
        <v>13.4</v>
      </c>
      <c r="K1049">
        <f t="shared" si="49"/>
        <v>0</v>
      </c>
    </row>
    <row r="1050" spans="1:11">
      <c r="A1050">
        <v>35.001</v>
      </c>
      <c r="B1050">
        <v>-191.6</v>
      </c>
      <c r="C1050">
        <v>30.9</v>
      </c>
      <c r="E1050">
        <v>34.968</v>
      </c>
      <c r="F1050">
        <v>-190.2</v>
      </c>
      <c r="G1050">
        <v>31.6</v>
      </c>
      <c r="I1050">
        <f t="shared" si="48"/>
        <v>34.95</v>
      </c>
      <c r="J1050">
        <f t="shared" si="50"/>
        <v>12.8</v>
      </c>
      <c r="K1050">
        <f t="shared" si="49"/>
        <v>0</v>
      </c>
    </row>
    <row r="1051" spans="1:11">
      <c r="A1051">
        <v>35.035</v>
      </c>
      <c r="B1051">
        <v>-193.4</v>
      </c>
      <c r="C1051">
        <v>30.1</v>
      </c>
      <c r="E1051">
        <v>35.001</v>
      </c>
      <c r="F1051">
        <v>-191.6</v>
      </c>
      <c r="G1051">
        <v>30.9</v>
      </c>
      <c r="I1051">
        <f t="shared" si="48"/>
        <v>35</v>
      </c>
      <c r="J1051">
        <f t="shared" si="50"/>
        <v>11.4</v>
      </c>
      <c r="K1051">
        <f t="shared" si="49"/>
        <v>0</v>
      </c>
    </row>
    <row r="1052" spans="1:11">
      <c r="A1052">
        <v>35.068</v>
      </c>
      <c r="B1052">
        <v>-195</v>
      </c>
      <c r="C1052">
        <v>29.2</v>
      </c>
      <c r="E1052">
        <v>35.035</v>
      </c>
      <c r="F1052">
        <v>-193.4</v>
      </c>
      <c r="G1052">
        <v>30.1</v>
      </c>
      <c r="I1052">
        <f t="shared" ref="I1052:I1115" si="51">FLOOR(E1052,0.05)</f>
        <v>35</v>
      </c>
      <c r="J1052">
        <f t="shared" si="50"/>
        <v>9.59999999999999</v>
      </c>
      <c r="K1052">
        <f t="shared" ref="K1052:K1115" si="52">IF(G1052&lt;230,0,5)</f>
        <v>0</v>
      </c>
    </row>
    <row r="1053" spans="1:11">
      <c r="A1053">
        <v>35.102</v>
      </c>
      <c r="B1053">
        <v>-196.6</v>
      </c>
      <c r="C1053">
        <v>28.7</v>
      </c>
      <c r="E1053">
        <v>35.068</v>
      </c>
      <c r="F1053">
        <v>-195</v>
      </c>
      <c r="G1053">
        <v>29.2</v>
      </c>
      <c r="I1053">
        <f t="shared" si="51"/>
        <v>35.05</v>
      </c>
      <c r="J1053">
        <f t="shared" si="50"/>
        <v>8</v>
      </c>
      <c r="K1053">
        <f t="shared" si="52"/>
        <v>0</v>
      </c>
    </row>
    <row r="1054" spans="1:11">
      <c r="A1054">
        <v>35.135</v>
      </c>
      <c r="B1054">
        <v>-198.5</v>
      </c>
      <c r="C1054">
        <v>27.6</v>
      </c>
      <c r="E1054">
        <v>35.102</v>
      </c>
      <c r="F1054">
        <v>-196.6</v>
      </c>
      <c r="G1054">
        <v>28.7</v>
      </c>
      <c r="I1054">
        <f t="shared" si="51"/>
        <v>35.1</v>
      </c>
      <c r="J1054">
        <f t="shared" si="50"/>
        <v>6.40000000000001</v>
      </c>
      <c r="K1054">
        <f t="shared" si="52"/>
        <v>0</v>
      </c>
    </row>
    <row r="1055" spans="1:11">
      <c r="A1055">
        <v>35.169</v>
      </c>
      <c r="B1055">
        <v>-199.9</v>
      </c>
      <c r="C1055">
        <v>27.7</v>
      </c>
      <c r="E1055">
        <v>35.135</v>
      </c>
      <c r="F1055">
        <v>-198.5</v>
      </c>
      <c r="G1055">
        <v>27.6</v>
      </c>
      <c r="I1055">
        <f t="shared" si="51"/>
        <v>35.1</v>
      </c>
      <c r="J1055">
        <f t="shared" si="50"/>
        <v>4.5</v>
      </c>
      <c r="K1055">
        <f t="shared" si="52"/>
        <v>0</v>
      </c>
    </row>
    <row r="1056" spans="1:11">
      <c r="A1056">
        <v>35.202</v>
      </c>
      <c r="B1056">
        <v>-202.1</v>
      </c>
      <c r="C1056">
        <v>27.7</v>
      </c>
      <c r="E1056">
        <v>35.169</v>
      </c>
      <c r="F1056">
        <v>-199.9</v>
      </c>
      <c r="G1056">
        <v>27.7</v>
      </c>
      <c r="I1056">
        <f t="shared" si="51"/>
        <v>35.15</v>
      </c>
      <c r="J1056">
        <f t="shared" si="50"/>
        <v>3.09999999999999</v>
      </c>
      <c r="K1056">
        <f t="shared" si="52"/>
        <v>0</v>
      </c>
    </row>
    <row r="1057" spans="1:11">
      <c r="A1057">
        <v>35.235</v>
      </c>
      <c r="B1057">
        <v>-203.8</v>
      </c>
      <c r="C1057">
        <v>27</v>
      </c>
      <c r="E1057">
        <v>35.202</v>
      </c>
      <c r="F1057">
        <v>-202.1</v>
      </c>
      <c r="G1057">
        <v>27.7</v>
      </c>
      <c r="I1057">
        <f t="shared" si="51"/>
        <v>35.2</v>
      </c>
      <c r="J1057">
        <f t="shared" si="50"/>
        <v>0.900000000000006</v>
      </c>
      <c r="K1057">
        <f t="shared" si="52"/>
        <v>0</v>
      </c>
    </row>
    <row r="1058" spans="1:11">
      <c r="A1058">
        <v>35.269</v>
      </c>
      <c r="B1058">
        <v>-205.2</v>
      </c>
      <c r="C1058">
        <v>26.6</v>
      </c>
      <c r="E1058">
        <v>35.235</v>
      </c>
      <c r="F1058">
        <v>-203.8</v>
      </c>
      <c r="G1058">
        <v>27</v>
      </c>
      <c r="I1058">
        <f t="shared" si="51"/>
        <v>35.2</v>
      </c>
      <c r="J1058">
        <f t="shared" si="50"/>
        <v>-0.800000000000011</v>
      </c>
      <c r="K1058">
        <f t="shared" si="52"/>
        <v>0</v>
      </c>
    </row>
    <row r="1059" spans="1:11">
      <c r="A1059">
        <v>35.302</v>
      </c>
      <c r="B1059">
        <v>-206.4</v>
      </c>
      <c r="C1059">
        <v>26.4</v>
      </c>
      <c r="E1059">
        <v>35.269</v>
      </c>
      <c r="F1059">
        <v>-205.2</v>
      </c>
      <c r="G1059">
        <v>26.6</v>
      </c>
      <c r="I1059">
        <f t="shared" si="51"/>
        <v>35.25</v>
      </c>
      <c r="J1059">
        <f t="shared" si="50"/>
        <v>-2.19999999999999</v>
      </c>
      <c r="K1059">
        <f t="shared" si="52"/>
        <v>0</v>
      </c>
    </row>
    <row r="1060" spans="1:11">
      <c r="A1060">
        <v>35.336</v>
      </c>
      <c r="B1060">
        <v>-207.4</v>
      </c>
      <c r="C1060">
        <v>26.1</v>
      </c>
      <c r="E1060">
        <v>35.302</v>
      </c>
      <c r="F1060">
        <v>-206.4</v>
      </c>
      <c r="G1060">
        <v>26.4</v>
      </c>
      <c r="I1060">
        <f t="shared" si="51"/>
        <v>35.3</v>
      </c>
      <c r="J1060">
        <f t="shared" si="50"/>
        <v>-3.40000000000001</v>
      </c>
      <c r="K1060">
        <f t="shared" si="52"/>
        <v>0</v>
      </c>
    </row>
    <row r="1061" spans="1:11">
      <c r="A1061">
        <v>35.369</v>
      </c>
      <c r="B1061">
        <v>-208.3</v>
      </c>
      <c r="C1061">
        <v>25.6</v>
      </c>
      <c r="E1061">
        <v>35.336</v>
      </c>
      <c r="F1061">
        <v>-207.4</v>
      </c>
      <c r="G1061">
        <v>26.1</v>
      </c>
      <c r="I1061">
        <f t="shared" si="51"/>
        <v>35.3</v>
      </c>
      <c r="J1061">
        <f t="shared" si="50"/>
        <v>-4.40000000000001</v>
      </c>
      <c r="K1061">
        <f t="shared" si="52"/>
        <v>0</v>
      </c>
    </row>
    <row r="1062" spans="1:11">
      <c r="A1062">
        <v>35.403</v>
      </c>
      <c r="B1062">
        <v>-209.2</v>
      </c>
      <c r="C1062">
        <v>26.1</v>
      </c>
      <c r="E1062">
        <v>35.369</v>
      </c>
      <c r="F1062">
        <v>-208.3</v>
      </c>
      <c r="G1062">
        <v>25.6</v>
      </c>
      <c r="I1062">
        <f t="shared" si="51"/>
        <v>35.35</v>
      </c>
      <c r="J1062">
        <f t="shared" si="50"/>
        <v>-5.30000000000001</v>
      </c>
      <c r="K1062">
        <f t="shared" si="52"/>
        <v>0</v>
      </c>
    </row>
    <row r="1063" spans="1:11">
      <c r="A1063">
        <v>35.436</v>
      </c>
      <c r="B1063">
        <v>-209.4</v>
      </c>
      <c r="C1063">
        <v>26.7</v>
      </c>
      <c r="E1063">
        <v>35.403</v>
      </c>
      <c r="F1063">
        <v>-209.2</v>
      </c>
      <c r="G1063">
        <v>26.1</v>
      </c>
      <c r="I1063">
        <f t="shared" si="51"/>
        <v>35.4</v>
      </c>
      <c r="J1063">
        <f t="shared" si="50"/>
        <v>-6.19999999999999</v>
      </c>
      <c r="K1063">
        <f t="shared" si="52"/>
        <v>0</v>
      </c>
    </row>
    <row r="1064" spans="1:11">
      <c r="A1064">
        <v>35.469</v>
      </c>
      <c r="B1064">
        <v>-210.1</v>
      </c>
      <c r="C1064">
        <v>25.4</v>
      </c>
      <c r="E1064">
        <v>35.436</v>
      </c>
      <c r="F1064">
        <v>-209.4</v>
      </c>
      <c r="G1064">
        <v>26.7</v>
      </c>
      <c r="I1064">
        <f t="shared" si="51"/>
        <v>35.4</v>
      </c>
      <c r="J1064">
        <f t="shared" si="50"/>
        <v>-6.40000000000001</v>
      </c>
      <c r="K1064">
        <f t="shared" si="52"/>
        <v>0</v>
      </c>
    </row>
    <row r="1065" spans="1:11">
      <c r="A1065">
        <v>35.503</v>
      </c>
      <c r="B1065">
        <v>-210</v>
      </c>
      <c r="C1065">
        <v>26.2</v>
      </c>
      <c r="E1065">
        <v>35.469</v>
      </c>
      <c r="F1065">
        <v>-210.1</v>
      </c>
      <c r="G1065">
        <v>25.4</v>
      </c>
      <c r="I1065">
        <f t="shared" si="51"/>
        <v>35.45</v>
      </c>
      <c r="J1065">
        <f t="shared" si="50"/>
        <v>-7.09999999999999</v>
      </c>
      <c r="K1065">
        <f t="shared" si="52"/>
        <v>0</v>
      </c>
    </row>
    <row r="1066" spans="1:11">
      <c r="A1066">
        <v>35.536</v>
      </c>
      <c r="B1066">
        <v>-209.9</v>
      </c>
      <c r="C1066">
        <v>25.4</v>
      </c>
      <c r="E1066">
        <v>35.503</v>
      </c>
      <c r="F1066">
        <v>-210</v>
      </c>
      <c r="G1066">
        <v>26.2</v>
      </c>
      <c r="I1066">
        <f t="shared" si="51"/>
        <v>35.5</v>
      </c>
      <c r="J1066">
        <f t="shared" si="50"/>
        <v>-7</v>
      </c>
      <c r="K1066">
        <f t="shared" si="52"/>
        <v>0</v>
      </c>
    </row>
    <row r="1067" spans="1:11">
      <c r="A1067">
        <v>35.57</v>
      </c>
      <c r="B1067">
        <v>-209.9</v>
      </c>
      <c r="C1067">
        <v>26</v>
      </c>
      <c r="E1067">
        <v>35.536</v>
      </c>
      <c r="F1067">
        <v>-209.9</v>
      </c>
      <c r="G1067">
        <v>25.4</v>
      </c>
      <c r="I1067">
        <f t="shared" si="51"/>
        <v>35.5</v>
      </c>
      <c r="J1067">
        <f t="shared" si="50"/>
        <v>-6.90000000000001</v>
      </c>
      <c r="K1067">
        <f t="shared" si="52"/>
        <v>0</v>
      </c>
    </row>
    <row r="1068" spans="1:11">
      <c r="A1068">
        <v>35.603</v>
      </c>
      <c r="B1068">
        <v>-209.7</v>
      </c>
      <c r="C1068">
        <v>25.3</v>
      </c>
      <c r="E1068">
        <v>35.57</v>
      </c>
      <c r="F1068">
        <v>-209.9</v>
      </c>
      <c r="G1068">
        <v>26</v>
      </c>
      <c r="I1068">
        <f t="shared" si="51"/>
        <v>35.55</v>
      </c>
      <c r="J1068">
        <f t="shared" si="50"/>
        <v>-6.90000000000001</v>
      </c>
      <c r="K1068">
        <f t="shared" si="52"/>
        <v>0</v>
      </c>
    </row>
    <row r="1069" spans="1:11">
      <c r="A1069">
        <v>35.637</v>
      </c>
      <c r="B1069">
        <v>-209.4</v>
      </c>
      <c r="C1069">
        <v>25.5</v>
      </c>
      <c r="E1069">
        <v>35.603</v>
      </c>
      <c r="F1069">
        <v>-209.7</v>
      </c>
      <c r="G1069">
        <v>25.3</v>
      </c>
      <c r="I1069">
        <f t="shared" si="51"/>
        <v>35.6</v>
      </c>
      <c r="J1069">
        <f t="shared" si="50"/>
        <v>-6.69999999999999</v>
      </c>
      <c r="K1069">
        <f t="shared" si="52"/>
        <v>0</v>
      </c>
    </row>
    <row r="1070" spans="1:11">
      <c r="A1070">
        <v>35.67</v>
      </c>
      <c r="B1070">
        <v>-209</v>
      </c>
      <c r="C1070">
        <v>25.4</v>
      </c>
      <c r="E1070">
        <v>35.637</v>
      </c>
      <c r="F1070">
        <v>-209.4</v>
      </c>
      <c r="G1070">
        <v>25.5</v>
      </c>
      <c r="I1070">
        <f t="shared" si="51"/>
        <v>35.6</v>
      </c>
      <c r="J1070">
        <f t="shared" si="50"/>
        <v>-6.40000000000001</v>
      </c>
      <c r="K1070">
        <f t="shared" si="52"/>
        <v>0</v>
      </c>
    </row>
    <row r="1071" spans="1:11">
      <c r="A1071">
        <v>35.703</v>
      </c>
      <c r="B1071">
        <v>-207.8</v>
      </c>
      <c r="C1071">
        <v>25.5</v>
      </c>
      <c r="E1071">
        <v>35.67</v>
      </c>
      <c r="F1071">
        <v>-209</v>
      </c>
      <c r="G1071">
        <v>25.4</v>
      </c>
      <c r="I1071">
        <f t="shared" si="51"/>
        <v>35.65</v>
      </c>
      <c r="J1071">
        <f t="shared" si="50"/>
        <v>-6</v>
      </c>
      <c r="K1071">
        <f t="shared" si="52"/>
        <v>0</v>
      </c>
    </row>
    <row r="1072" spans="1:11">
      <c r="A1072">
        <v>35.737</v>
      </c>
      <c r="B1072">
        <v>-207</v>
      </c>
      <c r="C1072">
        <v>25.9</v>
      </c>
      <c r="E1072">
        <v>35.703</v>
      </c>
      <c r="F1072">
        <v>-207.8</v>
      </c>
      <c r="G1072">
        <v>25.5</v>
      </c>
      <c r="I1072">
        <f t="shared" si="51"/>
        <v>35.7</v>
      </c>
      <c r="J1072">
        <f t="shared" si="50"/>
        <v>-4.80000000000001</v>
      </c>
      <c r="K1072">
        <f t="shared" si="52"/>
        <v>0</v>
      </c>
    </row>
    <row r="1073" spans="1:11">
      <c r="A1073">
        <v>35.77</v>
      </c>
      <c r="B1073">
        <v>-206</v>
      </c>
      <c r="C1073">
        <v>26</v>
      </c>
      <c r="E1073">
        <v>35.737</v>
      </c>
      <c r="F1073">
        <v>-207</v>
      </c>
      <c r="G1073">
        <v>25.9</v>
      </c>
      <c r="I1073">
        <f t="shared" si="51"/>
        <v>35.7</v>
      </c>
      <c r="J1073">
        <f t="shared" si="50"/>
        <v>-4</v>
      </c>
      <c r="K1073">
        <f t="shared" si="52"/>
        <v>0</v>
      </c>
    </row>
    <row r="1074" spans="1:11">
      <c r="A1074">
        <v>35.804</v>
      </c>
      <c r="B1074">
        <v>-204</v>
      </c>
      <c r="C1074">
        <v>26.1</v>
      </c>
      <c r="E1074">
        <v>35.77</v>
      </c>
      <c r="F1074">
        <v>-206</v>
      </c>
      <c r="G1074">
        <v>26</v>
      </c>
      <c r="I1074">
        <f t="shared" si="51"/>
        <v>35.75</v>
      </c>
      <c r="J1074">
        <f t="shared" si="50"/>
        <v>-3</v>
      </c>
      <c r="K1074">
        <f t="shared" si="52"/>
        <v>0</v>
      </c>
    </row>
    <row r="1075" spans="1:11">
      <c r="A1075">
        <v>35.837</v>
      </c>
      <c r="B1075">
        <v>-202.2</v>
      </c>
      <c r="C1075">
        <v>25.9</v>
      </c>
      <c r="E1075">
        <v>35.804</v>
      </c>
      <c r="F1075">
        <v>-204</v>
      </c>
      <c r="G1075">
        <v>26.1</v>
      </c>
      <c r="I1075">
        <f t="shared" si="51"/>
        <v>35.8</v>
      </c>
      <c r="J1075">
        <f t="shared" si="50"/>
        <v>-1</v>
      </c>
      <c r="K1075">
        <f t="shared" si="52"/>
        <v>0</v>
      </c>
    </row>
    <row r="1076" spans="1:11">
      <c r="A1076">
        <v>35.871</v>
      </c>
      <c r="B1076">
        <v>-200.7</v>
      </c>
      <c r="C1076">
        <v>25.6</v>
      </c>
      <c r="E1076">
        <v>35.837</v>
      </c>
      <c r="F1076">
        <v>-202.2</v>
      </c>
      <c r="G1076">
        <v>25.9</v>
      </c>
      <c r="I1076">
        <f t="shared" si="51"/>
        <v>35.8</v>
      </c>
      <c r="J1076">
        <f t="shared" si="50"/>
        <v>0.800000000000011</v>
      </c>
      <c r="K1076">
        <f t="shared" si="52"/>
        <v>0</v>
      </c>
    </row>
    <row r="1077" spans="1:11">
      <c r="A1077">
        <v>35.904</v>
      </c>
      <c r="B1077">
        <v>-198.8</v>
      </c>
      <c r="C1077">
        <v>25.2</v>
      </c>
      <c r="E1077">
        <v>35.871</v>
      </c>
      <c r="F1077">
        <v>-200.7</v>
      </c>
      <c r="G1077">
        <v>25.6</v>
      </c>
      <c r="I1077">
        <f t="shared" si="51"/>
        <v>35.85</v>
      </c>
      <c r="J1077">
        <f t="shared" si="50"/>
        <v>2.30000000000001</v>
      </c>
      <c r="K1077">
        <f t="shared" si="52"/>
        <v>0</v>
      </c>
    </row>
    <row r="1078" spans="1:11">
      <c r="A1078">
        <v>35.937</v>
      </c>
      <c r="B1078">
        <v>-197.4</v>
      </c>
      <c r="C1078">
        <v>25.5</v>
      </c>
      <c r="E1078">
        <v>35.904</v>
      </c>
      <c r="F1078">
        <v>-198.8</v>
      </c>
      <c r="G1078">
        <v>25.2</v>
      </c>
      <c r="I1078">
        <f t="shared" si="51"/>
        <v>35.9</v>
      </c>
      <c r="J1078">
        <f t="shared" si="50"/>
        <v>4.19999999999999</v>
      </c>
      <c r="K1078">
        <f t="shared" si="52"/>
        <v>0</v>
      </c>
    </row>
    <row r="1079" spans="1:11">
      <c r="A1079">
        <v>35.971</v>
      </c>
      <c r="B1079">
        <v>-195.6</v>
      </c>
      <c r="C1079">
        <v>26.3</v>
      </c>
      <c r="E1079">
        <v>35.937</v>
      </c>
      <c r="F1079">
        <v>-197.4</v>
      </c>
      <c r="G1079">
        <v>25.5</v>
      </c>
      <c r="I1079">
        <f t="shared" si="51"/>
        <v>35.9</v>
      </c>
      <c r="J1079">
        <f t="shared" si="50"/>
        <v>5.59999999999999</v>
      </c>
      <c r="K1079">
        <f t="shared" si="52"/>
        <v>0</v>
      </c>
    </row>
    <row r="1080" spans="1:11">
      <c r="A1080">
        <v>36.004</v>
      </c>
      <c r="B1080">
        <v>-194.2</v>
      </c>
      <c r="C1080">
        <v>25.8</v>
      </c>
      <c r="E1080">
        <v>35.971</v>
      </c>
      <c r="F1080">
        <v>-195.6</v>
      </c>
      <c r="G1080">
        <v>26.3</v>
      </c>
      <c r="I1080">
        <f t="shared" si="51"/>
        <v>35.95</v>
      </c>
      <c r="J1080">
        <f t="shared" si="50"/>
        <v>7.40000000000001</v>
      </c>
      <c r="K1080">
        <f t="shared" si="52"/>
        <v>0</v>
      </c>
    </row>
    <row r="1081" spans="1:11">
      <c r="A1081">
        <v>36.038</v>
      </c>
      <c r="B1081">
        <v>-192.5</v>
      </c>
      <c r="C1081">
        <v>25.6</v>
      </c>
      <c r="E1081">
        <v>36.004</v>
      </c>
      <c r="F1081">
        <v>-194.2</v>
      </c>
      <c r="G1081">
        <v>25.8</v>
      </c>
      <c r="I1081">
        <f t="shared" si="51"/>
        <v>36</v>
      </c>
      <c r="J1081">
        <f t="shared" si="50"/>
        <v>8.80000000000001</v>
      </c>
      <c r="K1081">
        <f t="shared" si="52"/>
        <v>0</v>
      </c>
    </row>
    <row r="1082" spans="1:11">
      <c r="A1082">
        <v>36.071</v>
      </c>
      <c r="B1082">
        <v>-191.1</v>
      </c>
      <c r="C1082">
        <v>25.6</v>
      </c>
      <c r="E1082">
        <v>36.038</v>
      </c>
      <c r="F1082">
        <v>-192.5</v>
      </c>
      <c r="G1082">
        <v>25.6</v>
      </c>
      <c r="I1082">
        <f t="shared" si="51"/>
        <v>36</v>
      </c>
      <c r="J1082">
        <f t="shared" si="50"/>
        <v>10.5</v>
      </c>
      <c r="K1082">
        <f t="shared" si="52"/>
        <v>0</v>
      </c>
    </row>
    <row r="1083" spans="1:11">
      <c r="A1083">
        <v>36.105</v>
      </c>
      <c r="B1083">
        <v>-189.9</v>
      </c>
      <c r="C1083">
        <v>26</v>
      </c>
      <c r="E1083">
        <v>36.071</v>
      </c>
      <c r="F1083">
        <v>-191.1</v>
      </c>
      <c r="G1083">
        <v>25.6</v>
      </c>
      <c r="I1083">
        <f t="shared" si="51"/>
        <v>36.05</v>
      </c>
      <c r="J1083">
        <f t="shared" si="50"/>
        <v>11.9</v>
      </c>
      <c r="K1083">
        <f t="shared" si="52"/>
        <v>0</v>
      </c>
    </row>
    <row r="1084" spans="1:11">
      <c r="A1084">
        <v>36.138</v>
      </c>
      <c r="B1084">
        <v>-189.2</v>
      </c>
      <c r="C1084">
        <v>26</v>
      </c>
      <c r="E1084">
        <v>36.105</v>
      </c>
      <c r="F1084">
        <v>-189.9</v>
      </c>
      <c r="G1084">
        <v>26</v>
      </c>
      <c r="I1084">
        <f t="shared" si="51"/>
        <v>36.1</v>
      </c>
      <c r="J1084">
        <f t="shared" si="50"/>
        <v>13.1</v>
      </c>
      <c r="K1084">
        <f t="shared" si="52"/>
        <v>0</v>
      </c>
    </row>
    <row r="1085" spans="1:11">
      <c r="A1085">
        <v>36.171</v>
      </c>
      <c r="B1085">
        <v>-188.4</v>
      </c>
      <c r="C1085">
        <v>25.8</v>
      </c>
      <c r="E1085">
        <v>36.138</v>
      </c>
      <c r="F1085">
        <v>-189.2</v>
      </c>
      <c r="G1085">
        <v>26</v>
      </c>
      <c r="I1085">
        <f t="shared" si="51"/>
        <v>36.1</v>
      </c>
      <c r="J1085">
        <f t="shared" si="50"/>
        <v>13.8</v>
      </c>
      <c r="K1085">
        <f t="shared" si="52"/>
        <v>0</v>
      </c>
    </row>
    <row r="1086" spans="1:11">
      <c r="A1086">
        <v>36.205</v>
      </c>
      <c r="B1086">
        <v>-188</v>
      </c>
      <c r="C1086">
        <v>26.3</v>
      </c>
      <c r="E1086">
        <v>36.171</v>
      </c>
      <c r="F1086">
        <v>-188.4</v>
      </c>
      <c r="G1086">
        <v>25.8</v>
      </c>
      <c r="I1086">
        <f t="shared" si="51"/>
        <v>36.15</v>
      </c>
      <c r="J1086">
        <f t="shared" si="50"/>
        <v>14.6</v>
      </c>
      <c r="K1086">
        <f t="shared" si="52"/>
        <v>0</v>
      </c>
    </row>
    <row r="1087" spans="1:11">
      <c r="A1087">
        <v>36.238</v>
      </c>
      <c r="B1087">
        <v>-187.5</v>
      </c>
      <c r="C1087">
        <v>25.3</v>
      </c>
      <c r="E1087">
        <v>36.205</v>
      </c>
      <c r="F1087">
        <v>-188</v>
      </c>
      <c r="G1087">
        <v>26.3</v>
      </c>
      <c r="I1087">
        <f t="shared" si="51"/>
        <v>36.2</v>
      </c>
      <c r="J1087">
        <f t="shared" si="50"/>
        <v>15</v>
      </c>
      <c r="K1087">
        <f t="shared" si="52"/>
        <v>0</v>
      </c>
    </row>
    <row r="1088" spans="1:11">
      <c r="A1088">
        <v>36.272</v>
      </c>
      <c r="B1088">
        <v>-187.7</v>
      </c>
      <c r="C1088">
        <v>25.9</v>
      </c>
      <c r="E1088">
        <v>36.238</v>
      </c>
      <c r="F1088">
        <v>-187.5</v>
      </c>
      <c r="G1088">
        <v>25.3</v>
      </c>
      <c r="I1088">
        <f t="shared" si="51"/>
        <v>36.2</v>
      </c>
      <c r="J1088">
        <f t="shared" si="50"/>
        <v>15.5</v>
      </c>
      <c r="K1088">
        <f t="shared" si="52"/>
        <v>0</v>
      </c>
    </row>
    <row r="1089" spans="1:11">
      <c r="A1089">
        <v>36.305</v>
      </c>
      <c r="B1089">
        <v>-187.7</v>
      </c>
      <c r="C1089">
        <v>26.1</v>
      </c>
      <c r="E1089">
        <v>36.272</v>
      </c>
      <c r="F1089">
        <v>-187.7</v>
      </c>
      <c r="G1089">
        <v>25.9</v>
      </c>
      <c r="I1089">
        <f t="shared" si="51"/>
        <v>36.25</v>
      </c>
      <c r="J1089">
        <f t="shared" si="50"/>
        <v>15.3</v>
      </c>
      <c r="K1089">
        <f t="shared" si="52"/>
        <v>0</v>
      </c>
    </row>
    <row r="1090" spans="1:11">
      <c r="A1090">
        <v>36.339</v>
      </c>
      <c r="B1090">
        <v>-188.1</v>
      </c>
      <c r="C1090">
        <v>25.7</v>
      </c>
      <c r="E1090">
        <v>36.305</v>
      </c>
      <c r="F1090">
        <v>-187.7</v>
      </c>
      <c r="G1090">
        <v>26.1</v>
      </c>
      <c r="I1090">
        <f t="shared" si="51"/>
        <v>36.3</v>
      </c>
      <c r="J1090">
        <f t="shared" si="50"/>
        <v>15.3</v>
      </c>
      <c r="K1090">
        <f t="shared" si="52"/>
        <v>0</v>
      </c>
    </row>
    <row r="1091" spans="1:11">
      <c r="A1091">
        <v>36.372</v>
      </c>
      <c r="B1091">
        <v>-188.2</v>
      </c>
      <c r="C1091">
        <v>25.4</v>
      </c>
      <c r="E1091">
        <v>36.339</v>
      </c>
      <c r="F1091">
        <v>-188.1</v>
      </c>
      <c r="G1091">
        <v>25.7</v>
      </c>
      <c r="I1091">
        <f t="shared" si="51"/>
        <v>36.3</v>
      </c>
      <c r="J1091">
        <f t="shared" si="50"/>
        <v>14.9</v>
      </c>
      <c r="K1091">
        <f t="shared" si="52"/>
        <v>0</v>
      </c>
    </row>
    <row r="1092" spans="1:11">
      <c r="A1092">
        <v>36.405</v>
      </c>
      <c r="B1092">
        <v>-188.8</v>
      </c>
      <c r="C1092">
        <v>25.4</v>
      </c>
      <c r="E1092">
        <v>36.372</v>
      </c>
      <c r="F1092">
        <v>-188.2</v>
      </c>
      <c r="G1092">
        <v>25.4</v>
      </c>
      <c r="I1092">
        <f t="shared" si="51"/>
        <v>36.35</v>
      </c>
      <c r="J1092">
        <f t="shared" si="50"/>
        <v>14.8</v>
      </c>
      <c r="K1092">
        <f t="shared" si="52"/>
        <v>0</v>
      </c>
    </row>
    <row r="1093" spans="1:11">
      <c r="A1093">
        <v>36.439</v>
      </c>
      <c r="B1093">
        <v>-189.9</v>
      </c>
      <c r="C1093">
        <v>26.2</v>
      </c>
      <c r="E1093">
        <v>36.405</v>
      </c>
      <c r="F1093">
        <v>-188.8</v>
      </c>
      <c r="G1093">
        <v>25.4</v>
      </c>
      <c r="I1093">
        <f t="shared" si="51"/>
        <v>36.4</v>
      </c>
      <c r="J1093">
        <f t="shared" ref="J1093:J1156" si="53">F1093+203</f>
        <v>14.2</v>
      </c>
      <c r="K1093">
        <f t="shared" si="52"/>
        <v>0</v>
      </c>
    </row>
    <row r="1094" spans="1:11">
      <c r="A1094">
        <v>36.472</v>
      </c>
      <c r="B1094">
        <v>-191.1</v>
      </c>
      <c r="C1094">
        <v>26</v>
      </c>
      <c r="E1094">
        <v>36.439</v>
      </c>
      <c r="F1094">
        <v>-189.9</v>
      </c>
      <c r="G1094">
        <v>26.2</v>
      </c>
      <c r="I1094">
        <f t="shared" si="51"/>
        <v>36.4</v>
      </c>
      <c r="J1094">
        <f t="shared" si="53"/>
        <v>13.1</v>
      </c>
      <c r="K1094">
        <f t="shared" si="52"/>
        <v>0</v>
      </c>
    </row>
    <row r="1095" spans="1:11">
      <c r="A1095">
        <v>36.506</v>
      </c>
      <c r="B1095">
        <v>-192.7</v>
      </c>
      <c r="C1095">
        <v>25.5</v>
      </c>
      <c r="E1095">
        <v>36.472</v>
      </c>
      <c r="F1095">
        <v>-191.1</v>
      </c>
      <c r="G1095">
        <v>26</v>
      </c>
      <c r="I1095">
        <f t="shared" si="51"/>
        <v>36.45</v>
      </c>
      <c r="J1095">
        <f t="shared" si="53"/>
        <v>11.9</v>
      </c>
      <c r="K1095">
        <f t="shared" si="52"/>
        <v>0</v>
      </c>
    </row>
    <row r="1096" spans="1:11">
      <c r="A1096">
        <v>36.539</v>
      </c>
      <c r="B1096">
        <v>-194.1</v>
      </c>
      <c r="C1096">
        <v>25.9</v>
      </c>
      <c r="E1096">
        <v>36.506</v>
      </c>
      <c r="F1096">
        <v>-192.7</v>
      </c>
      <c r="G1096">
        <v>25.5</v>
      </c>
      <c r="I1096">
        <f t="shared" si="51"/>
        <v>36.5</v>
      </c>
      <c r="J1096">
        <f t="shared" si="53"/>
        <v>10.3</v>
      </c>
      <c r="K1096">
        <f t="shared" si="52"/>
        <v>0</v>
      </c>
    </row>
    <row r="1097" spans="1:11">
      <c r="A1097">
        <v>36.573</v>
      </c>
      <c r="B1097">
        <v>-195.3</v>
      </c>
      <c r="C1097">
        <v>25.8</v>
      </c>
      <c r="E1097">
        <v>36.539</v>
      </c>
      <c r="F1097">
        <v>-194.1</v>
      </c>
      <c r="G1097">
        <v>25.9</v>
      </c>
      <c r="I1097">
        <f t="shared" si="51"/>
        <v>36.5</v>
      </c>
      <c r="J1097">
        <f t="shared" si="53"/>
        <v>8.90000000000001</v>
      </c>
      <c r="K1097">
        <f t="shared" si="52"/>
        <v>0</v>
      </c>
    </row>
    <row r="1098" spans="1:11">
      <c r="A1098">
        <v>36.606</v>
      </c>
      <c r="B1098">
        <v>-197.4</v>
      </c>
      <c r="C1098">
        <v>25.7</v>
      </c>
      <c r="E1098">
        <v>36.573</v>
      </c>
      <c r="F1098">
        <v>-195.3</v>
      </c>
      <c r="G1098">
        <v>25.8</v>
      </c>
      <c r="I1098">
        <f t="shared" si="51"/>
        <v>36.55</v>
      </c>
      <c r="J1098">
        <f t="shared" si="53"/>
        <v>7.69999999999999</v>
      </c>
      <c r="K1098">
        <f t="shared" si="52"/>
        <v>0</v>
      </c>
    </row>
    <row r="1099" spans="1:11">
      <c r="A1099">
        <v>36.64</v>
      </c>
      <c r="B1099">
        <v>-199</v>
      </c>
      <c r="C1099">
        <v>25.9</v>
      </c>
      <c r="E1099">
        <v>36.606</v>
      </c>
      <c r="F1099">
        <v>-197.4</v>
      </c>
      <c r="G1099">
        <v>25.7</v>
      </c>
      <c r="I1099">
        <f t="shared" si="51"/>
        <v>36.6</v>
      </c>
      <c r="J1099">
        <f t="shared" si="53"/>
        <v>5.59999999999999</v>
      </c>
      <c r="K1099">
        <f t="shared" si="52"/>
        <v>0</v>
      </c>
    </row>
    <row r="1100" spans="1:11">
      <c r="A1100">
        <v>36.673</v>
      </c>
      <c r="B1100">
        <v>-200.5</v>
      </c>
      <c r="C1100">
        <v>25.4</v>
      </c>
      <c r="E1100">
        <v>36.64</v>
      </c>
      <c r="F1100">
        <v>-199</v>
      </c>
      <c r="G1100">
        <v>25.9</v>
      </c>
      <c r="I1100">
        <f t="shared" si="51"/>
        <v>36.6</v>
      </c>
      <c r="J1100">
        <f t="shared" si="53"/>
        <v>4</v>
      </c>
      <c r="K1100">
        <f t="shared" si="52"/>
        <v>0</v>
      </c>
    </row>
    <row r="1101" spans="1:11">
      <c r="A1101">
        <v>36.706</v>
      </c>
      <c r="B1101">
        <v>-202.5</v>
      </c>
      <c r="C1101">
        <v>25.4</v>
      </c>
      <c r="E1101">
        <v>36.673</v>
      </c>
      <c r="F1101">
        <v>-200.5</v>
      </c>
      <c r="G1101">
        <v>25.4</v>
      </c>
      <c r="I1101">
        <f t="shared" si="51"/>
        <v>36.65</v>
      </c>
      <c r="J1101">
        <f t="shared" si="53"/>
        <v>2.5</v>
      </c>
      <c r="K1101">
        <f t="shared" si="52"/>
        <v>0</v>
      </c>
    </row>
    <row r="1102" spans="1:11">
      <c r="A1102">
        <v>36.74</v>
      </c>
      <c r="B1102">
        <v>-203.9</v>
      </c>
      <c r="C1102">
        <v>25.9</v>
      </c>
      <c r="E1102">
        <v>36.706</v>
      </c>
      <c r="F1102">
        <v>-202.5</v>
      </c>
      <c r="G1102">
        <v>25.4</v>
      </c>
      <c r="I1102">
        <f t="shared" si="51"/>
        <v>36.7</v>
      </c>
      <c r="J1102">
        <f t="shared" si="53"/>
        <v>0.5</v>
      </c>
      <c r="K1102">
        <f t="shared" si="52"/>
        <v>0</v>
      </c>
    </row>
    <row r="1103" spans="1:11">
      <c r="A1103">
        <v>36.773</v>
      </c>
      <c r="B1103">
        <v>-205.4</v>
      </c>
      <c r="C1103">
        <v>26.4</v>
      </c>
      <c r="E1103">
        <v>36.74</v>
      </c>
      <c r="F1103">
        <v>-203.9</v>
      </c>
      <c r="G1103">
        <v>25.9</v>
      </c>
      <c r="I1103">
        <f t="shared" si="51"/>
        <v>36.7</v>
      </c>
      <c r="J1103">
        <f t="shared" si="53"/>
        <v>-0.900000000000006</v>
      </c>
      <c r="K1103">
        <f t="shared" si="52"/>
        <v>0</v>
      </c>
    </row>
    <row r="1104" spans="1:11">
      <c r="A1104">
        <v>36.807</v>
      </c>
      <c r="B1104">
        <v>-206.3</v>
      </c>
      <c r="C1104">
        <v>25.3</v>
      </c>
      <c r="E1104">
        <v>36.773</v>
      </c>
      <c r="F1104">
        <v>-205.4</v>
      </c>
      <c r="G1104">
        <v>26.4</v>
      </c>
      <c r="I1104">
        <f t="shared" si="51"/>
        <v>36.75</v>
      </c>
      <c r="J1104">
        <f t="shared" si="53"/>
        <v>-2.40000000000001</v>
      </c>
      <c r="K1104">
        <f t="shared" si="52"/>
        <v>0</v>
      </c>
    </row>
    <row r="1105" spans="1:11">
      <c r="A1105">
        <v>36.84</v>
      </c>
      <c r="B1105">
        <v>-207.3</v>
      </c>
      <c r="C1105">
        <v>25.7</v>
      </c>
      <c r="E1105">
        <v>36.807</v>
      </c>
      <c r="F1105">
        <v>-206.3</v>
      </c>
      <c r="G1105">
        <v>25.3</v>
      </c>
      <c r="I1105">
        <f t="shared" si="51"/>
        <v>36.8</v>
      </c>
      <c r="J1105">
        <f t="shared" si="53"/>
        <v>-3.30000000000001</v>
      </c>
      <c r="K1105">
        <f t="shared" si="52"/>
        <v>0</v>
      </c>
    </row>
    <row r="1106" spans="1:11">
      <c r="A1106">
        <v>36.874</v>
      </c>
      <c r="B1106">
        <v>-208.3</v>
      </c>
      <c r="C1106">
        <v>25.8</v>
      </c>
      <c r="E1106">
        <v>36.84</v>
      </c>
      <c r="F1106">
        <v>-207.3</v>
      </c>
      <c r="G1106">
        <v>25.7</v>
      </c>
      <c r="I1106">
        <f t="shared" si="51"/>
        <v>36.8</v>
      </c>
      <c r="J1106">
        <f t="shared" si="53"/>
        <v>-4.30000000000001</v>
      </c>
      <c r="K1106">
        <f t="shared" si="52"/>
        <v>0</v>
      </c>
    </row>
    <row r="1107" spans="1:11">
      <c r="A1107">
        <v>36.907</v>
      </c>
      <c r="B1107">
        <v>-208.9</v>
      </c>
      <c r="C1107">
        <v>25.6</v>
      </c>
      <c r="E1107">
        <v>36.874</v>
      </c>
      <c r="F1107">
        <v>-208.3</v>
      </c>
      <c r="G1107">
        <v>25.8</v>
      </c>
      <c r="I1107">
        <f t="shared" si="51"/>
        <v>36.85</v>
      </c>
      <c r="J1107">
        <f t="shared" si="53"/>
        <v>-5.30000000000001</v>
      </c>
      <c r="K1107">
        <f t="shared" si="52"/>
        <v>0</v>
      </c>
    </row>
    <row r="1108" spans="1:11">
      <c r="A1108">
        <v>36.94</v>
      </c>
      <c r="B1108">
        <v>-209.1</v>
      </c>
      <c r="C1108">
        <v>25.8</v>
      </c>
      <c r="E1108">
        <v>36.907</v>
      </c>
      <c r="F1108">
        <v>-208.9</v>
      </c>
      <c r="G1108">
        <v>25.6</v>
      </c>
      <c r="I1108">
        <f t="shared" si="51"/>
        <v>36.9</v>
      </c>
      <c r="J1108">
        <f t="shared" si="53"/>
        <v>-5.90000000000001</v>
      </c>
      <c r="K1108">
        <f t="shared" si="52"/>
        <v>0</v>
      </c>
    </row>
    <row r="1109" spans="1:11">
      <c r="A1109">
        <v>36.974</v>
      </c>
      <c r="B1109">
        <v>-209.2</v>
      </c>
      <c r="C1109">
        <v>26.2</v>
      </c>
      <c r="E1109">
        <v>36.94</v>
      </c>
      <c r="F1109">
        <v>-209.1</v>
      </c>
      <c r="G1109">
        <v>25.8</v>
      </c>
      <c r="I1109">
        <f t="shared" si="51"/>
        <v>36.9</v>
      </c>
      <c r="J1109">
        <f t="shared" si="53"/>
        <v>-6.09999999999999</v>
      </c>
      <c r="K1109">
        <f t="shared" si="52"/>
        <v>0</v>
      </c>
    </row>
    <row r="1110" spans="1:11">
      <c r="A1110">
        <v>37.007</v>
      </c>
      <c r="B1110">
        <v>-209.2</v>
      </c>
      <c r="C1110">
        <v>25.4</v>
      </c>
      <c r="E1110">
        <v>36.974</v>
      </c>
      <c r="F1110">
        <v>-209.2</v>
      </c>
      <c r="G1110">
        <v>26.2</v>
      </c>
      <c r="I1110">
        <f t="shared" si="51"/>
        <v>36.95</v>
      </c>
      <c r="J1110">
        <f t="shared" si="53"/>
        <v>-6.19999999999999</v>
      </c>
      <c r="K1110">
        <f t="shared" si="52"/>
        <v>0</v>
      </c>
    </row>
    <row r="1111" spans="1:11">
      <c r="A1111">
        <v>37.041</v>
      </c>
      <c r="B1111">
        <v>-208.9</v>
      </c>
      <c r="C1111">
        <v>25.1</v>
      </c>
      <c r="E1111">
        <v>37.007</v>
      </c>
      <c r="F1111">
        <v>-209.2</v>
      </c>
      <c r="G1111">
        <v>25.4</v>
      </c>
      <c r="I1111">
        <f t="shared" si="51"/>
        <v>37</v>
      </c>
      <c r="J1111">
        <f t="shared" si="53"/>
        <v>-6.19999999999999</v>
      </c>
      <c r="K1111">
        <f t="shared" si="52"/>
        <v>0</v>
      </c>
    </row>
    <row r="1112" spans="1:11">
      <c r="A1112">
        <v>37.074</v>
      </c>
      <c r="B1112">
        <v>-208.8</v>
      </c>
      <c r="C1112">
        <v>25.7</v>
      </c>
      <c r="E1112">
        <v>37.041</v>
      </c>
      <c r="F1112">
        <v>-208.9</v>
      </c>
      <c r="G1112">
        <v>25.1</v>
      </c>
      <c r="I1112">
        <f t="shared" si="51"/>
        <v>37</v>
      </c>
      <c r="J1112">
        <f t="shared" si="53"/>
        <v>-5.90000000000001</v>
      </c>
      <c r="K1112">
        <f t="shared" si="52"/>
        <v>0</v>
      </c>
    </row>
    <row r="1113" spans="1:11">
      <c r="A1113">
        <v>37.108</v>
      </c>
      <c r="B1113">
        <v>-208.5</v>
      </c>
      <c r="C1113">
        <v>25.9</v>
      </c>
      <c r="E1113">
        <v>37.074</v>
      </c>
      <c r="F1113">
        <v>-208.8</v>
      </c>
      <c r="G1113">
        <v>25.7</v>
      </c>
      <c r="I1113">
        <f t="shared" si="51"/>
        <v>37.05</v>
      </c>
      <c r="J1113">
        <f t="shared" si="53"/>
        <v>-5.80000000000001</v>
      </c>
      <c r="K1113">
        <f t="shared" si="52"/>
        <v>0</v>
      </c>
    </row>
    <row r="1114" spans="1:11">
      <c r="A1114">
        <v>37.141</v>
      </c>
      <c r="B1114">
        <v>-208.1</v>
      </c>
      <c r="C1114">
        <v>25.4</v>
      </c>
      <c r="E1114">
        <v>37.108</v>
      </c>
      <c r="F1114">
        <v>-208.5</v>
      </c>
      <c r="G1114">
        <v>25.9</v>
      </c>
      <c r="I1114">
        <f t="shared" si="51"/>
        <v>37.1</v>
      </c>
      <c r="J1114">
        <f t="shared" si="53"/>
        <v>-5.5</v>
      </c>
      <c r="K1114">
        <f t="shared" si="52"/>
        <v>0</v>
      </c>
    </row>
    <row r="1115" spans="1:11">
      <c r="A1115">
        <v>37.174</v>
      </c>
      <c r="B1115">
        <v>-207.3</v>
      </c>
      <c r="C1115">
        <v>26</v>
      </c>
      <c r="E1115">
        <v>37.141</v>
      </c>
      <c r="F1115">
        <v>-208.1</v>
      </c>
      <c r="G1115">
        <v>25.4</v>
      </c>
      <c r="I1115">
        <f t="shared" si="51"/>
        <v>37.1</v>
      </c>
      <c r="J1115">
        <f t="shared" si="53"/>
        <v>-5.09999999999999</v>
      </c>
      <c r="K1115">
        <f t="shared" si="52"/>
        <v>0</v>
      </c>
    </row>
    <row r="1116" spans="1:11">
      <c r="A1116">
        <v>37.208</v>
      </c>
      <c r="B1116">
        <v>-206.5</v>
      </c>
      <c r="C1116">
        <v>26</v>
      </c>
      <c r="E1116">
        <v>37.174</v>
      </c>
      <c r="F1116">
        <v>-207.3</v>
      </c>
      <c r="G1116">
        <v>26</v>
      </c>
      <c r="I1116">
        <f t="shared" ref="I1116:I1179" si="54">FLOOR(E1116,0.05)</f>
        <v>37.15</v>
      </c>
      <c r="J1116">
        <f t="shared" si="53"/>
        <v>-4.30000000000001</v>
      </c>
      <c r="K1116">
        <f t="shared" ref="K1116:K1179" si="55">IF(G1116&lt;230,0,5)</f>
        <v>0</v>
      </c>
    </row>
    <row r="1117" spans="1:11">
      <c r="A1117">
        <v>37.241</v>
      </c>
      <c r="B1117">
        <v>-205.7</v>
      </c>
      <c r="C1117">
        <v>25.9</v>
      </c>
      <c r="E1117">
        <v>37.208</v>
      </c>
      <c r="F1117">
        <v>-206.5</v>
      </c>
      <c r="G1117">
        <v>26</v>
      </c>
      <c r="I1117">
        <f t="shared" si="54"/>
        <v>37.2</v>
      </c>
      <c r="J1117">
        <f t="shared" si="53"/>
        <v>-3.5</v>
      </c>
      <c r="K1117">
        <f t="shared" si="55"/>
        <v>0</v>
      </c>
    </row>
    <row r="1118" spans="1:11">
      <c r="A1118">
        <v>37.275</v>
      </c>
      <c r="B1118">
        <v>-204.3</v>
      </c>
      <c r="C1118">
        <v>25.9</v>
      </c>
      <c r="E1118">
        <v>37.241</v>
      </c>
      <c r="F1118">
        <v>-205.7</v>
      </c>
      <c r="G1118">
        <v>25.9</v>
      </c>
      <c r="I1118">
        <f t="shared" si="54"/>
        <v>37.2</v>
      </c>
      <c r="J1118">
        <f t="shared" si="53"/>
        <v>-2.69999999999999</v>
      </c>
      <c r="K1118">
        <f t="shared" si="55"/>
        <v>0</v>
      </c>
    </row>
    <row r="1119" spans="1:11">
      <c r="A1119">
        <v>37.308</v>
      </c>
      <c r="B1119">
        <v>-202.5</v>
      </c>
      <c r="C1119">
        <v>26.4</v>
      </c>
      <c r="E1119">
        <v>37.275</v>
      </c>
      <c r="F1119">
        <v>-204.3</v>
      </c>
      <c r="G1119">
        <v>25.9</v>
      </c>
      <c r="I1119">
        <f t="shared" si="54"/>
        <v>37.25</v>
      </c>
      <c r="J1119">
        <f t="shared" si="53"/>
        <v>-1.30000000000001</v>
      </c>
      <c r="K1119">
        <f t="shared" si="55"/>
        <v>0</v>
      </c>
    </row>
    <row r="1120" spans="1:11">
      <c r="A1120">
        <v>37.342</v>
      </c>
      <c r="B1120">
        <v>-201.3</v>
      </c>
      <c r="C1120">
        <v>25.7</v>
      </c>
      <c r="E1120">
        <v>37.308</v>
      </c>
      <c r="F1120">
        <v>-202.5</v>
      </c>
      <c r="G1120">
        <v>26.4</v>
      </c>
      <c r="I1120">
        <f t="shared" si="54"/>
        <v>37.3</v>
      </c>
      <c r="J1120">
        <f t="shared" si="53"/>
        <v>0.5</v>
      </c>
      <c r="K1120">
        <f t="shared" si="55"/>
        <v>0</v>
      </c>
    </row>
    <row r="1121" spans="1:11">
      <c r="A1121">
        <v>37.375</v>
      </c>
      <c r="B1121">
        <v>-199.5</v>
      </c>
      <c r="C1121">
        <v>25.5</v>
      </c>
      <c r="E1121">
        <v>37.342</v>
      </c>
      <c r="F1121">
        <v>-201.3</v>
      </c>
      <c r="G1121">
        <v>25.7</v>
      </c>
      <c r="I1121">
        <f t="shared" si="54"/>
        <v>37.3</v>
      </c>
      <c r="J1121">
        <f t="shared" si="53"/>
        <v>1.69999999999999</v>
      </c>
      <c r="K1121">
        <f t="shared" si="55"/>
        <v>0</v>
      </c>
    </row>
    <row r="1122" spans="1:11">
      <c r="A1122">
        <v>37.408</v>
      </c>
      <c r="B1122">
        <v>-198.1</v>
      </c>
      <c r="C1122">
        <v>25.8</v>
      </c>
      <c r="E1122">
        <v>37.375</v>
      </c>
      <c r="F1122">
        <v>-199.5</v>
      </c>
      <c r="G1122">
        <v>25.5</v>
      </c>
      <c r="I1122">
        <f t="shared" si="54"/>
        <v>37.35</v>
      </c>
      <c r="J1122">
        <f t="shared" si="53"/>
        <v>3.5</v>
      </c>
      <c r="K1122">
        <f t="shared" si="55"/>
        <v>0</v>
      </c>
    </row>
    <row r="1123" spans="1:11">
      <c r="A1123">
        <v>37.442</v>
      </c>
      <c r="B1123">
        <v>-196.3</v>
      </c>
      <c r="C1123">
        <v>25.8</v>
      </c>
      <c r="E1123">
        <v>37.408</v>
      </c>
      <c r="F1123">
        <v>-198.1</v>
      </c>
      <c r="G1123">
        <v>25.8</v>
      </c>
      <c r="I1123">
        <f t="shared" si="54"/>
        <v>37.4</v>
      </c>
      <c r="J1123">
        <f t="shared" si="53"/>
        <v>4.90000000000001</v>
      </c>
      <c r="K1123">
        <f t="shared" si="55"/>
        <v>0</v>
      </c>
    </row>
    <row r="1124" spans="1:11">
      <c r="A1124">
        <v>37.475</v>
      </c>
      <c r="B1124">
        <v>-194.8</v>
      </c>
      <c r="C1124">
        <v>25.6</v>
      </c>
      <c r="E1124">
        <v>37.442</v>
      </c>
      <c r="F1124">
        <v>-196.3</v>
      </c>
      <c r="G1124">
        <v>25.8</v>
      </c>
      <c r="I1124">
        <f t="shared" si="54"/>
        <v>37.4</v>
      </c>
      <c r="J1124">
        <f t="shared" si="53"/>
        <v>6.69999999999999</v>
      </c>
      <c r="K1124">
        <f t="shared" si="55"/>
        <v>0</v>
      </c>
    </row>
    <row r="1125" spans="1:11">
      <c r="A1125">
        <v>37.509</v>
      </c>
      <c r="B1125">
        <v>-193.8</v>
      </c>
      <c r="C1125">
        <v>25.9</v>
      </c>
      <c r="E1125">
        <v>37.475</v>
      </c>
      <c r="F1125">
        <v>-194.8</v>
      </c>
      <c r="G1125">
        <v>25.6</v>
      </c>
      <c r="I1125">
        <f t="shared" si="54"/>
        <v>37.45</v>
      </c>
      <c r="J1125">
        <f t="shared" si="53"/>
        <v>8.19999999999999</v>
      </c>
      <c r="K1125">
        <f t="shared" si="55"/>
        <v>0</v>
      </c>
    </row>
    <row r="1126" spans="1:11">
      <c r="A1126">
        <v>37.542</v>
      </c>
      <c r="B1126">
        <v>-192.4</v>
      </c>
      <c r="C1126">
        <v>26.1</v>
      </c>
      <c r="E1126">
        <v>37.509</v>
      </c>
      <c r="F1126">
        <v>-193.8</v>
      </c>
      <c r="G1126">
        <v>25.9</v>
      </c>
      <c r="I1126">
        <f t="shared" si="54"/>
        <v>37.5</v>
      </c>
      <c r="J1126">
        <f t="shared" si="53"/>
        <v>9.19999999999999</v>
      </c>
      <c r="K1126">
        <f t="shared" si="55"/>
        <v>0</v>
      </c>
    </row>
    <row r="1127" spans="1:11">
      <c r="A1127">
        <v>37.576</v>
      </c>
      <c r="B1127">
        <v>-191.5</v>
      </c>
      <c r="C1127">
        <v>25.6</v>
      </c>
      <c r="E1127">
        <v>37.542</v>
      </c>
      <c r="F1127">
        <v>-192.4</v>
      </c>
      <c r="G1127">
        <v>26.1</v>
      </c>
      <c r="I1127">
        <f t="shared" si="54"/>
        <v>37.5</v>
      </c>
      <c r="J1127">
        <f t="shared" si="53"/>
        <v>10.6</v>
      </c>
      <c r="K1127">
        <f t="shared" si="55"/>
        <v>0</v>
      </c>
    </row>
    <row r="1128" spans="1:11">
      <c r="A1128">
        <v>37.609</v>
      </c>
      <c r="B1128">
        <v>-190.3</v>
      </c>
      <c r="C1128">
        <v>25.5</v>
      </c>
      <c r="E1128">
        <v>37.576</v>
      </c>
      <c r="F1128">
        <v>-191.5</v>
      </c>
      <c r="G1128">
        <v>25.6</v>
      </c>
      <c r="I1128">
        <f t="shared" si="54"/>
        <v>37.55</v>
      </c>
      <c r="J1128">
        <f t="shared" si="53"/>
        <v>11.5</v>
      </c>
      <c r="K1128">
        <f t="shared" si="55"/>
        <v>0</v>
      </c>
    </row>
    <row r="1129" spans="1:11">
      <c r="A1129">
        <v>37.642</v>
      </c>
      <c r="B1129">
        <v>-190</v>
      </c>
      <c r="C1129">
        <v>25.7</v>
      </c>
      <c r="E1129">
        <v>37.609</v>
      </c>
      <c r="F1129">
        <v>-190.3</v>
      </c>
      <c r="G1129">
        <v>25.5</v>
      </c>
      <c r="I1129">
        <f t="shared" si="54"/>
        <v>37.6</v>
      </c>
      <c r="J1129">
        <f t="shared" si="53"/>
        <v>12.7</v>
      </c>
      <c r="K1129">
        <f t="shared" si="55"/>
        <v>0</v>
      </c>
    </row>
    <row r="1130" spans="1:11">
      <c r="A1130">
        <v>37.676</v>
      </c>
      <c r="B1130">
        <v>-189.6</v>
      </c>
      <c r="C1130">
        <v>25.5</v>
      </c>
      <c r="E1130">
        <v>37.642</v>
      </c>
      <c r="F1130">
        <v>-190</v>
      </c>
      <c r="G1130">
        <v>25.7</v>
      </c>
      <c r="I1130">
        <f t="shared" si="54"/>
        <v>37.6</v>
      </c>
      <c r="J1130">
        <f t="shared" si="53"/>
        <v>13</v>
      </c>
      <c r="K1130">
        <f t="shared" si="55"/>
        <v>0</v>
      </c>
    </row>
    <row r="1131" spans="1:11">
      <c r="A1131">
        <v>37.709</v>
      </c>
      <c r="B1131">
        <v>-189.3</v>
      </c>
      <c r="C1131">
        <v>25.5</v>
      </c>
      <c r="E1131">
        <v>37.676</v>
      </c>
      <c r="F1131">
        <v>-189.6</v>
      </c>
      <c r="G1131">
        <v>25.5</v>
      </c>
      <c r="I1131">
        <f t="shared" si="54"/>
        <v>37.65</v>
      </c>
      <c r="J1131">
        <f t="shared" si="53"/>
        <v>13.4</v>
      </c>
      <c r="K1131">
        <f t="shared" si="55"/>
        <v>0</v>
      </c>
    </row>
    <row r="1132" spans="1:11">
      <c r="A1132">
        <v>37.743</v>
      </c>
      <c r="B1132">
        <v>-189.4</v>
      </c>
      <c r="C1132">
        <v>26</v>
      </c>
      <c r="E1132">
        <v>37.709</v>
      </c>
      <c r="F1132">
        <v>-189.3</v>
      </c>
      <c r="G1132">
        <v>25.5</v>
      </c>
      <c r="I1132">
        <f t="shared" si="54"/>
        <v>37.7</v>
      </c>
      <c r="J1132">
        <f t="shared" si="53"/>
        <v>13.7</v>
      </c>
      <c r="K1132">
        <f t="shared" si="55"/>
        <v>0</v>
      </c>
    </row>
    <row r="1133" spans="1:11">
      <c r="A1133">
        <v>37.776</v>
      </c>
      <c r="B1133">
        <v>-189.6</v>
      </c>
      <c r="C1133">
        <v>26.1</v>
      </c>
      <c r="E1133">
        <v>37.743</v>
      </c>
      <c r="F1133">
        <v>-189.4</v>
      </c>
      <c r="G1133">
        <v>26</v>
      </c>
      <c r="I1133">
        <f t="shared" si="54"/>
        <v>37.7</v>
      </c>
      <c r="J1133">
        <f t="shared" si="53"/>
        <v>13.6</v>
      </c>
      <c r="K1133">
        <f t="shared" si="55"/>
        <v>0</v>
      </c>
    </row>
    <row r="1134" spans="1:11">
      <c r="A1134">
        <v>37.81</v>
      </c>
      <c r="B1134">
        <v>-189.7</v>
      </c>
      <c r="C1134">
        <v>25.5</v>
      </c>
      <c r="E1134">
        <v>37.776</v>
      </c>
      <c r="F1134">
        <v>-189.6</v>
      </c>
      <c r="G1134">
        <v>26.1</v>
      </c>
      <c r="I1134">
        <f t="shared" si="54"/>
        <v>37.75</v>
      </c>
      <c r="J1134">
        <f t="shared" si="53"/>
        <v>13.4</v>
      </c>
      <c r="K1134">
        <f t="shared" si="55"/>
        <v>0</v>
      </c>
    </row>
    <row r="1135" spans="1:11">
      <c r="A1135">
        <v>37.843</v>
      </c>
      <c r="B1135">
        <v>-189.9</v>
      </c>
      <c r="C1135">
        <v>25.4</v>
      </c>
      <c r="E1135">
        <v>37.81</v>
      </c>
      <c r="F1135">
        <v>-189.7</v>
      </c>
      <c r="G1135">
        <v>25.5</v>
      </c>
      <c r="I1135">
        <f t="shared" si="54"/>
        <v>37.8</v>
      </c>
      <c r="J1135">
        <f t="shared" si="53"/>
        <v>13.3</v>
      </c>
      <c r="K1135">
        <f t="shared" si="55"/>
        <v>0</v>
      </c>
    </row>
    <row r="1136" spans="1:11">
      <c r="A1136">
        <v>37.876</v>
      </c>
      <c r="B1136">
        <v>-190.3</v>
      </c>
      <c r="C1136">
        <v>26.8</v>
      </c>
      <c r="E1136">
        <v>37.843</v>
      </c>
      <c r="F1136">
        <v>-189.9</v>
      </c>
      <c r="G1136">
        <v>25.4</v>
      </c>
      <c r="I1136">
        <f t="shared" si="54"/>
        <v>37.8</v>
      </c>
      <c r="J1136">
        <f t="shared" si="53"/>
        <v>13.1</v>
      </c>
      <c r="K1136">
        <f t="shared" si="55"/>
        <v>0</v>
      </c>
    </row>
    <row r="1137" spans="1:11">
      <c r="A1137">
        <v>37.91</v>
      </c>
      <c r="B1137">
        <v>-191.6</v>
      </c>
      <c r="C1137">
        <v>25.2</v>
      </c>
      <c r="E1137">
        <v>37.876</v>
      </c>
      <c r="F1137">
        <v>-190.3</v>
      </c>
      <c r="G1137">
        <v>26.8</v>
      </c>
      <c r="I1137">
        <f t="shared" si="54"/>
        <v>37.85</v>
      </c>
      <c r="J1137">
        <f t="shared" si="53"/>
        <v>12.7</v>
      </c>
      <c r="K1137">
        <f t="shared" si="55"/>
        <v>0</v>
      </c>
    </row>
    <row r="1138" spans="1:11">
      <c r="A1138">
        <v>37.943</v>
      </c>
      <c r="B1138">
        <v>-192.7</v>
      </c>
      <c r="C1138">
        <v>25.6</v>
      </c>
      <c r="E1138">
        <v>37.91</v>
      </c>
      <c r="F1138">
        <v>-191.6</v>
      </c>
      <c r="G1138">
        <v>25.2</v>
      </c>
      <c r="I1138">
        <f t="shared" si="54"/>
        <v>37.9</v>
      </c>
      <c r="J1138">
        <f t="shared" si="53"/>
        <v>11.4</v>
      </c>
      <c r="K1138">
        <f t="shared" si="55"/>
        <v>0</v>
      </c>
    </row>
    <row r="1139" spans="1:11">
      <c r="A1139">
        <v>37.977</v>
      </c>
      <c r="B1139">
        <v>-194</v>
      </c>
      <c r="C1139">
        <v>25.6</v>
      </c>
      <c r="E1139">
        <v>37.943</v>
      </c>
      <c r="F1139">
        <v>-192.7</v>
      </c>
      <c r="G1139">
        <v>25.6</v>
      </c>
      <c r="I1139">
        <f t="shared" si="54"/>
        <v>37.9</v>
      </c>
      <c r="J1139">
        <f t="shared" si="53"/>
        <v>10.3</v>
      </c>
      <c r="K1139">
        <f t="shared" si="55"/>
        <v>0</v>
      </c>
    </row>
    <row r="1140" spans="1:11">
      <c r="A1140">
        <v>38.01</v>
      </c>
      <c r="B1140">
        <v>-195.1</v>
      </c>
      <c r="C1140">
        <v>25.7</v>
      </c>
      <c r="E1140">
        <v>37.977</v>
      </c>
      <c r="F1140">
        <v>-194</v>
      </c>
      <c r="G1140">
        <v>25.6</v>
      </c>
      <c r="I1140">
        <f t="shared" si="54"/>
        <v>37.95</v>
      </c>
      <c r="J1140">
        <f t="shared" si="53"/>
        <v>9</v>
      </c>
      <c r="K1140">
        <f t="shared" si="55"/>
        <v>0</v>
      </c>
    </row>
    <row r="1141" spans="1:11">
      <c r="A1141">
        <v>38.044</v>
      </c>
      <c r="B1141">
        <v>-196.6</v>
      </c>
      <c r="C1141">
        <v>25.9</v>
      </c>
      <c r="E1141">
        <v>38.01</v>
      </c>
      <c r="F1141">
        <v>-195.1</v>
      </c>
      <c r="G1141">
        <v>25.7</v>
      </c>
      <c r="I1141">
        <f t="shared" si="54"/>
        <v>38</v>
      </c>
      <c r="J1141">
        <f t="shared" si="53"/>
        <v>7.90000000000001</v>
      </c>
      <c r="K1141">
        <f t="shared" si="55"/>
        <v>0</v>
      </c>
    </row>
    <row r="1142" spans="1:11">
      <c r="A1142">
        <v>38.077</v>
      </c>
      <c r="B1142">
        <v>-198.4</v>
      </c>
      <c r="C1142">
        <v>25.9</v>
      </c>
      <c r="E1142">
        <v>38.044</v>
      </c>
      <c r="F1142">
        <v>-196.6</v>
      </c>
      <c r="G1142">
        <v>25.9</v>
      </c>
      <c r="I1142">
        <f t="shared" si="54"/>
        <v>38</v>
      </c>
      <c r="J1142">
        <f t="shared" si="53"/>
        <v>6.40000000000001</v>
      </c>
      <c r="K1142">
        <f t="shared" si="55"/>
        <v>0</v>
      </c>
    </row>
    <row r="1143" spans="1:11">
      <c r="A1143">
        <v>38.11</v>
      </c>
      <c r="B1143">
        <v>-199.8</v>
      </c>
      <c r="C1143">
        <v>25.9</v>
      </c>
      <c r="E1143">
        <v>38.077</v>
      </c>
      <c r="F1143">
        <v>-198.4</v>
      </c>
      <c r="G1143">
        <v>25.9</v>
      </c>
      <c r="I1143">
        <f t="shared" si="54"/>
        <v>38.05</v>
      </c>
      <c r="J1143">
        <f t="shared" si="53"/>
        <v>4.59999999999999</v>
      </c>
      <c r="K1143">
        <f t="shared" si="55"/>
        <v>0</v>
      </c>
    </row>
    <row r="1144" spans="1:11">
      <c r="A1144">
        <v>38.144</v>
      </c>
      <c r="B1144">
        <v>-201.2</v>
      </c>
      <c r="C1144">
        <v>24.9</v>
      </c>
      <c r="E1144">
        <v>38.11</v>
      </c>
      <c r="F1144">
        <v>-199.8</v>
      </c>
      <c r="G1144">
        <v>25.9</v>
      </c>
      <c r="I1144">
        <f t="shared" si="54"/>
        <v>38.1</v>
      </c>
      <c r="J1144">
        <f t="shared" si="53"/>
        <v>3.19999999999999</v>
      </c>
      <c r="K1144">
        <f t="shared" si="55"/>
        <v>0</v>
      </c>
    </row>
    <row r="1145" spans="1:11">
      <c r="A1145">
        <v>38.177</v>
      </c>
      <c r="B1145">
        <v>-202.7</v>
      </c>
      <c r="C1145">
        <v>25.6</v>
      </c>
      <c r="E1145">
        <v>38.144</v>
      </c>
      <c r="F1145">
        <v>-201.2</v>
      </c>
      <c r="G1145">
        <v>24.9</v>
      </c>
      <c r="I1145">
        <f t="shared" si="54"/>
        <v>38.1</v>
      </c>
      <c r="J1145">
        <f t="shared" si="53"/>
        <v>1.80000000000001</v>
      </c>
      <c r="K1145">
        <f t="shared" si="55"/>
        <v>0</v>
      </c>
    </row>
    <row r="1146" spans="1:11">
      <c r="A1146">
        <v>38.211</v>
      </c>
      <c r="B1146">
        <v>-204.1</v>
      </c>
      <c r="C1146">
        <v>25.4</v>
      </c>
      <c r="E1146">
        <v>38.177</v>
      </c>
      <c r="F1146">
        <v>-202.7</v>
      </c>
      <c r="G1146">
        <v>25.6</v>
      </c>
      <c r="I1146">
        <f t="shared" si="54"/>
        <v>38.15</v>
      </c>
      <c r="J1146">
        <f t="shared" si="53"/>
        <v>0.300000000000011</v>
      </c>
      <c r="K1146">
        <f t="shared" si="55"/>
        <v>0</v>
      </c>
    </row>
    <row r="1147" spans="1:11">
      <c r="A1147">
        <v>38.244</v>
      </c>
      <c r="B1147">
        <v>-205.6</v>
      </c>
      <c r="C1147">
        <v>26.1</v>
      </c>
      <c r="E1147">
        <v>38.211</v>
      </c>
      <c r="F1147">
        <v>-204.1</v>
      </c>
      <c r="G1147">
        <v>25.4</v>
      </c>
      <c r="I1147">
        <f t="shared" si="54"/>
        <v>38.2</v>
      </c>
      <c r="J1147">
        <f t="shared" si="53"/>
        <v>-1.09999999999999</v>
      </c>
      <c r="K1147">
        <f t="shared" si="55"/>
        <v>0</v>
      </c>
    </row>
    <row r="1148" spans="1:11">
      <c r="A1148">
        <v>38.278</v>
      </c>
      <c r="B1148">
        <v>-206.5</v>
      </c>
      <c r="C1148">
        <v>25.7</v>
      </c>
      <c r="E1148">
        <v>38.244</v>
      </c>
      <c r="F1148">
        <v>-205.6</v>
      </c>
      <c r="G1148">
        <v>26.1</v>
      </c>
      <c r="I1148">
        <f t="shared" si="54"/>
        <v>38.2</v>
      </c>
      <c r="J1148">
        <f t="shared" si="53"/>
        <v>-2.59999999999999</v>
      </c>
      <c r="K1148">
        <f t="shared" si="55"/>
        <v>0</v>
      </c>
    </row>
    <row r="1149" spans="1:11">
      <c r="A1149">
        <v>38.311</v>
      </c>
      <c r="B1149">
        <v>-207.1</v>
      </c>
      <c r="C1149">
        <v>25.3</v>
      </c>
      <c r="E1149">
        <v>38.278</v>
      </c>
      <c r="F1149">
        <v>-206.5</v>
      </c>
      <c r="G1149">
        <v>25.7</v>
      </c>
      <c r="I1149">
        <f t="shared" si="54"/>
        <v>38.25</v>
      </c>
      <c r="J1149">
        <f t="shared" si="53"/>
        <v>-3.5</v>
      </c>
      <c r="K1149">
        <f t="shared" si="55"/>
        <v>0</v>
      </c>
    </row>
    <row r="1150" spans="1:11">
      <c r="A1150">
        <v>38.344</v>
      </c>
      <c r="B1150">
        <v>-207.6</v>
      </c>
      <c r="C1150">
        <v>25.9</v>
      </c>
      <c r="E1150">
        <v>38.311</v>
      </c>
      <c r="F1150">
        <v>-207.1</v>
      </c>
      <c r="G1150">
        <v>25.3</v>
      </c>
      <c r="I1150">
        <f t="shared" si="54"/>
        <v>38.3</v>
      </c>
      <c r="J1150">
        <f t="shared" si="53"/>
        <v>-4.09999999999999</v>
      </c>
      <c r="K1150">
        <f t="shared" si="55"/>
        <v>0</v>
      </c>
    </row>
    <row r="1151" spans="1:11">
      <c r="A1151">
        <v>38.378</v>
      </c>
      <c r="B1151">
        <v>-208.4</v>
      </c>
      <c r="C1151">
        <v>26.1</v>
      </c>
      <c r="E1151">
        <v>38.344</v>
      </c>
      <c r="F1151">
        <v>-207.6</v>
      </c>
      <c r="G1151">
        <v>25.9</v>
      </c>
      <c r="I1151">
        <f t="shared" si="54"/>
        <v>38.3</v>
      </c>
      <c r="J1151">
        <f t="shared" si="53"/>
        <v>-4.59999999999999</v>
      </c>
      <c r="K1151">
        <f t="shared" si="55"/>
        <v>0</v>
      </c>
    </row>
    <row r="1152" spans="1:11">
      <c r="A1152">
        <v>38.411</v>
      </c>
      <c r="B1152">
        <v>-208.8</v>
      </c>
      <c r="C1152">
        <v>25.3</v>
      </c>
      <c r="E1152">
        <v>38.378</v>
      </c>
      <c r="F1152">
        <v>-208.4</v>
      </c>
      <c r="G1152">
        <v>26.1</v>
      </c>
      <c r="I1152">
        <f t="shared" si="54"/>
        <v>38.35</v>
      </c>
      <c r="J1152">
        <f t="shared" si="53"/>
        <v>-5.40000000000001</v>
      </c>
      <c r="K1152">
        <f t="shared" si="55"/>
        <v>0</v>
      </c>
    </row>
    <row r="1153" spans="1:11">
      <c r="A1153">
        <v>38.445</v>
      </c>
      <c r="B1153">
        <v>-209</v>
      </c>
      <c r="C1153">
        <v>26.3</v>
      </c>
      <c r="E1153">
        <v>38.411</v>
      </c>
      <c r="F1153">
        <v>-208.8</v>
      </c>
      <c r="G1153">
        <v>25.3</v>
      </c>
      <c r="I1153">
        <f t="shared" si="54"/>
        <v>38.4</v>
      </c>
      <c r="J1153">
        <f t="shared" si="53"/>
        <v>-5.80000000000001</v>
      </c>
      <c r="K1153">
        <f t="shared" si="55"/>
        <v>0</v>
      </c>
    </row>
    <row r="1154" spans="1:11">
      <c r="A1154">
        <v>38.478</v>
      </c>
      <c r="B1154">
        <v>-208.9</v>
      </c>
      <c r="C1154">
        <v>26</v>
      </c>
      <c r="E1154">
        <v>38.445</v>
      </c>
      <c r="F1154">
        <v>-209</v>
      </c>
      <c r="G1154">
        <v>26.3</v>
      </c>
      <c r="I1154">
        <f t="shared" si="54"/>
        <v>38.4</v>
      </c>
      <c r="J1154">
        <f t="shared" si="53"/>
        <v>-6</v>
      </c>
      <c r="K1154">
        <f t="shared" si="55"/>
        <v>0</v>
      </c>
    </row>
    <row r="1155" spans="1:11">
      <c r="A1155">
        <v>38.512</v>
      </c>
      <c r="B1155">
        <v>-208.8</v>
      </c>
      <c r="C1155">
        <v>25.7</v>
      </c>
      <c r="E1155">
        <v>38.478</v>
      </c>
      <c r="F1155">
        <v>-208.9</v>
      </c>
      <c r="G1155">
        <v>26</v>
      </c>
      <c r="I1155">
        <f t="shared" si="54"/>
        <v>38.45</v>
      </c>
      <c r="J1155">
        <f t="shared" si="53"/>
        <v>-5.90000000000001</v>
      </c>
      <c r="K1155">
        <f t="shared" si="55"/>
        <v>0</v>
      </c>
    </row>
    <row r="1156" spans="1:11">
      <c r="A1156">
        <v>38.545</v>
      </c>
      <c r="B1156">
        <v>-208.8</v>
      </c>
      <c r="C1156">
        <v>25.6</v>
      </c>
      <c r="E1156">
        <v>38.512</v>
      </c>
      <c r="F1156">
        <v>-208.8</v>
      </c>
      <c r="G1156">
        <v>25.7</v>
      </c>
      <c r="I1156">
        <f t="shared" si="54"/>
        <v>38.5</v>
      </c>
      <c r="J1156">
        <f t="shared" si="53"/>
        <v>-5.80000000000001</v>
      </c>
      <c r="K1156">
        <f t="shared" si="55"/>
        <v>0</v>
      </c>
    </row>
    <row r="1157" spans="1:11">
      <c r="A1157">
        <v>38.578</v>
      </c>
      <c r="B1157">
        <v>-208.6</v>
      </c>
      <c r="C1157">
        <v>25.9</v>
      </c>
      <c r="E1157">
        <v>38.545</v>
      </c>
      <c r="F1157">
        <v>-208.8</v>
      </c>
      <c r="G1157">
        <v>25.6</v>
      </c>
      <c r="I1157">
        <f t="shared" si="54"/>
        <v>38.5</v>
      </c>
      <c r="J1157">
        <f t="shared" ref="J1157:J1220" si="56">F1157+203</f>
        <v>-5.80000000000001</v>
      </c>
      <c r="K1157">
        <f t="shared" si="55"/>
        <v>0</v>
      </c>
    </row>
    <row r="1158" spans="1:11">
      <c r="A1158">
        <v>38.612</v>
      </c>
      <c r="B1158">
        <v>-208.1</v>
      </c>
      <c r="C1158">
        <v>25.2</v>
      </c>
      <c r="E1158">
        <v>38.578</v>
      </c>
      <c r="F1158">
        <v>-208.6</v>
      </c>
      <c r="G1158">
        <v>25.9</v>
      </c>
      <c r="I1158">
        <f t="shared" si="54"/>
        <v>38.55</v>
      </c>
      <c r="J1158">
        <f t="shared" si="56"/>
        <v>-5.59999999999999</v>
      </c>
      <c r="K1158">
        <f t="shared" si="55"/>
        <v>0</v>
      </c>
    </row>
    <row r="1159" spans="1:11">
      <c r="A1159">
        <v>38.645</v>
      </c>
      <c r="B1159">
        <v>-207</v>
      </c>
      <c r="C1159">
        <v>25.8</v>
      </c>
      <c r="E1159">
        <v>38.612</v>
      </c>
      <c r="F1159">
        <v>-208.1</v>
      </c>
      <c r="G1159">
        <v>25.2</v>
      </c>
      <c r="I1159">
        <f t="shared" si="54"/>
        <v>38.6</v>
      </c>
      <c r="J1159">
        <f t="shared" si="56"/>
        <v>-5.09999999999999</v>
      </c>
      <c r="K1159">
        <f t="shared" si="55"/>
        <v>0</v>
      </c>
    </row>
    <row r="1160" spans="1:11">
      <c r="A1160">
        <v>38.679</v>
      </c>
      <c r="B1160">
        <v>-206.3</v>
      </c>
      <c r="C1160">
        <v>25.7</v>
      </c>
      <c r="E1160">
        <v>38.645</v>
      </c>
      <c r="F1160">
        <v>-207</v>
      </c>
      <c r="G1160">
        <v>25.8</v>
      </c>
      <c r="I1160">
        <f t="shared" si="54"/>
        <v>38.6</v>
      </c>
      <c r="J1160">
        <f t="shared" si="56"/>
        <v>-4</v>
      </c>
      <c r="K1160">
        <f t="shared" si="55"/>
        <v>0</v>
      </c>
    </row>
    <row r="1161" spans="1:11">
      <c r="A1161">
        <v>38.712</v>
      </c>
      <c r="B1161">
        <v>-205.5</v>
      </c>
      <c r="C1161">
        <v>26.3</v>
      </c>
      <c r="E1161">
        <v>38.679</v>
      </c>
      <c r="F1161">
        <v>-206.3</v>
      </c>
      <c r="G1161">
        <v>25.7</v>
      </c>
      <c r="I1161">
        <f t="shared" si="54"/>
        <v>38.65</v>
      </c>
      <c r="J1161">
        <f t="shared" si="56"/>
        <v>-3.30000000000001</v>
      </c>
      <c r="K1161">
        <f t="shared" si="55"/>
        <v>0</v>
      </c>
    </row>
    <row r="1162" spans="1:11">
      <c r="A1162">
        <v>38.746</v>
      </c>
      <c r="B1162">
        <v>-203.9</v>
      </c>
      <c r="C1162">
        <v>25.4</v>
      </c>
      <c r="E1162">
        <v>38.712</v>
      </c>
      <c r="F1162">
        <v>-205.5</v>
      </c>
      <c r="G1162">
        <v>26.3</v>
      </c>
      <c r="I1162">
        <f t="shared" si="54"/>
        <v>38.7</v>
      </c>
      <c r="J1162">
        <f t="shared" si="56"/>
        <v>-2.5</v>
      </c>
      <c r="K1162">
        <f t="shared" si="55"/>
        <v>0</v>
      </c>
    </row>
    <row r="1163" spans="1:11">
      <c r="A1163">
        <v>38.779</v>
      </c>
      <c r="B1163">
        <v>-202.4</v>
      </c>
      <c r="C1163">
        <v>25.8</v>
      </c>
      <c r="E1163">
        <v>38.746</v>
      </c>
      <c r="F1163">
        <v>-203.9</v>
      </c>
      <c r="G1163">
        <v>25.4</v>
      </c>
      <c r="I1163">
        <f t="shared" si="54"/>
        <v>38.7</v>
      </c>
      <c r="J1163">
        <f t="shared" si="56"/>
        <v>-0.900000000000006</v>
      </c>
      <c r="K1163">
        <f t="shared" si="55"/>
        <v>0</v>
      </c>
    </row>
    <row r="1164" spans="1:11">
      <c r="A1164">
        <v>38.812</v>
      </c>
      <c r="B1164">
        <v>-200.9</v>
      </c>
      <c r="C1164">
        <v>26</v>
      </c>
      <c r="E1164">
        <v>38.779</v>
      </c>
      <c r="F1164">
        <v>-202.4</v>
      </c>
      <c r="G1164">
        <v>25.8</v>
      </c>
      <c r="I1164">
        <f t="shared" si="54"/>
        <v>38.75</v>
      </c>
      <c r="J1164">
        <f t="shared" si="56"/>
        <v>0.599999999999994</v>
      </c>
      <c r="K1164">
        <f t="shared" si="55"/>
        <v>0</v>
      </c>
    </row>
    <row r="1165" spans="1:11">
      <c r="A1165">
        <v>38.846</v>
      </c>
      <c r="B1165">
        <v>-199.6</v>
      </c>
      <c r="C1165">
        <v>26</v>
      </c>
      <c r="E1165">
        <v>38.812</v>
      </c>
      <c r="F1165">
        <v>-200.9</v>
      </c>
      <c r="G1165">
        <v>26</v>
      </c>
      <c r="I1165">
        <f t="shared" si="54"/>
        <v>38.8</v>
      </c>
      <c r="J1165">
        <f t="shared" si="56"/>
        <v>2.09999999999999</v>
      </c>
      <c r="K1165">
        <f t="shared" si="55"/>
        <v>0</v>
      </c>
    </row>
    <row r="1166" spans="1:11">
      <c r="A1166">
        <v>38.879</v>
      </c>
      <c r="B1166">
        <v>-198.4</v>
      </c>
      <c r="C1166">
        <v>25.4</v>
      </c>
      <c r="E1166">
        <v>38.846</v>
      </c>
      <c r="F1166">
        <v>-199.6</v>
      </c>
      <c r="G1166">
        <v>26</v>
      </c>
      <c r="I1166">
        <f t="shared" si="54"/>
        <v>38.8</v>
      </c>
      <c r="J1166">
        <f t="shared" si="56"/>
        <v>3.40000000000001</v>
      </c>
      <c r="K1166">
        <f t="shared" si="55"/>
        <v>0</v>
      </c>
    </row>
    <row r="1167" spans="1:11">
      <c r="A1167">
        <v>38.913</v>
      </c>
      <c r="B1167">
        <v>-196.4</v>
      </c>
      <c r="C1167">
        <v>25.3</v>
      </c>
      <c r="E1167">
        <v>38.879</v>
      </c>
      <c r="F1167">
        <v>-198.4</v>
      </c>
      <c r="G1167">
        <v>25.4</v>
      </c>
      <c r="I1167">
        <f t="shared" si="54"/>
        <v>38.85</v>
      </c>
      <c r="J1167">
        <f t="shared" si="56"/>
        <v>4.59999999999999</v>
      </c>
      <c r="K1167">
        <f t="shared" si="55"/>
        <v>0</v>
      </c>
    </row>
    <row r="1168" spans="1:11">
      <c r="A1168">
        <v>38.946</v>
      </c>
      <c r="B1168">
        <v>-195.1</v>
      </c>
      <c r="C1168">
        <v>25.4</v>
      </c>
      <c r="E1168">
        <v>38.913</v>
      </c>
      <c r="F1168">
        <v>-196.4</v>
      </c>
      <c r="G1168">
        <v>25.3</v>
      </c>
      <c r="I1168">
        <f t="shared" si="54"/>
        <v>38.9</v>
      </c>
      <c r="J1168">
        <f t="shared" si="56"/>
        <v>6.59999999999999</v>
      </c>
      <c r="K1168">
        <f t="shared" si="55"/>
        <v>0</v>
      </c>
    </row>
    <row r="1169" spans="1:11">
      <c r="A1169">
        <v>38.98</v>
      </c>
      <c r="B1169">
        <v>-193.8</v>
      </c>
      <c r="C1169">
        <v>26.2</v>
      </c>
      <c r="E1169">
        <v>38.946</v>
      </c>
      <c r="F1169">
        <v>-195.1</v>
      </c>
      <c r="G1169">
        <v>25.4</v>
      </c>
      <c r="I1169">
        <f t="shared" si="54"/>
        <v>38.9</v>
      </c>
      <c r="J1169">
        <f t="shared" si="56"/>
        <v>7.90000000000001</v>
      </c>
      <c r="K1169">
        <f t="shared" si="55"/>
        <v>0</v>
      </c>
    </row>
    <row r="1170" spans="1:11">
      <c r="A1170">
        <v>39.013</v>
      </c>
      <c r="B1170">
        <v>-192.7</v>
      </c>
      <c r="C1170">
        <v>26.1</v>
      </c>
      <c r="E1170">
        <v>38.98</v>
      </c>
      <c r="F1170">
        <v>-193.8</v>
      </c>
      <c r="G1170">
        <v>26.2</v>
      </c>
      <c r="I1170">
        <f t="shared" si="54"/>
        <v>38.95</v>
      </c>
      <c r="J1170">
        <f t="shared" si="56"/>
        <v>9.19999999999999</v>
      </c>
      <c r="K1170">
        <f t="shared" si="55"/>
        <v>0</v>
      </c>
    </row>
    <row r="1171" spans="1:11">
      <c r="A1171">
        <v>39.046</v>
      </c>
      <c r="B1171">
        <v>-191.8</v>
      </c>
      <c r="C1171">
        <v>26.3</v>
      </c>
      <c r="E1171">
        <v>39.013</v>
      </c>
      <c r="F1171">
        <v>-192.7</v>
      </c>
      <c r="G1171">
        <v>26.1</v>
      </c>
      <c r="I1171">
        <f t="shared" si="54"/>
        <v>39</v>
      </c>
      <c r="J1171">
        <f t="shared" si="56"/>
        <v>10.3</v>
      </c>
      <c r="K1171">
        <f t="shared" si="55"/>
        <v>0</v>
      </c>
    </row>
    <row r="1172" spans="1:11">
      <c r="A1172">
        <v>39.08</v>
      </c>
      <c r="B1172">
        <v>-190.9</v>
      </c>
      <c r="C1172">
        <v>26.3</v>
      </c>
      <c r="E1172">
        <v>39.046</v>
      </c>
      <c r="F1172">
        <v>-191.8</v>
      </c>
      <c r="G1172">
        <v>26.3</v>
      </c>
      <c r="I1172">
        <f t="shared" si="54"/>
        <v>39</v>
      </c>
      <c r="J1172">
        <f t="shared" si="56"/>
        <v>11.2</v>
      </c>
      <c r="K1172">
        <f t="shared" si="55"/>
        <v>0</v>
      </c>
    </row>
    <row r="1173" spans="1:11">
      <c r="A1173">
        <v>39.113</v>
      </c>
      <c r="B1173">
        <v>-190.2</v>
      </c>
      <c r="C1173">
        <v>25.2</v>
      </c>
      <c r="E1173">
        <v>39.08</v>
      </c>
      <c r="F1173">
        <v>-190.9</v>
      </c>
      <c r="G1173">
        <v>26.3</v>
      </c>
      <c r="I1173">
        <f t="shared" si="54"/>
        <v>39.05</v>
      </c>
      <c r="J1173">
        <f t="shared" si="56"/>
        <v>12.1</v>
      </c>
      <c r="K1173">
        <f t="shared" si="55"/>
        <v>0</v>
      </c>
    </row>
    <row r="1174" spans="1:11">
      <c r="A1174">
        <v>39.147</v>
      </c>
      <c r="B1174">
        <v>-189.8</v>
      </c>
      <c r="C1174">
        <v>25.3</v>
      </c>
      <c r="E1174">
        <v>39.113</v>
      </c>
      <c r="F1174">
        <v>-190.2</v>
      </c>
      <c r="G1174">
        <v>25.2</v>
      </c>
      <c r="I1174">
        <f t="shared" si="54"/>
        <v>39.1</v>
      </c>
      <c r="J1174">
        <f t="shared" si="56"/>
        <v>12.8</v>
      </c>
      <c r="K1174">
        <f t="shared" si="55"/>
        <v>0</v>
      </c>
    </row>
    <row r="1175" spans="1:11">
      <c r="A1175">
        <v>39.18</v>
      </c>
      <c r="B1175">
        <v>-189.5</v>
      </c>
      <c r="C1175">
        <v>26.2</v>
      </c>
      <c r="E1175">
        <v>39.147</v>
      </c>
      <c r="F1175">
        <v>-189.8</v>
      </c>
      <c r="G1175">
        <v>25.3</v>
      </c>
      <c r="I1175">
        <f t="shared" si="54"/>
        <v>39.1</v>
      </c>
      <c r="J1175">
        <f t="shared" si="56"/>
        <v>13.2</v>
      </c>
      <c r="K1175">
        <f t="shared" si="55"/>
        <v>0</v>
      </c>
    </row>
    <row r="1176" spans="1:11">
      <c r="A1176">
        <v>39.214</v>
      </c>
      <c r="B1176">
        <v>-189.6</v>
      </c>
      <c r="C1176">
        <v>26.5</v>
      </c>
      <c r="E1176">
        <v>39.18</v>
      </c>
      <c r="F1176">
        <v>-189.5</v>
      </c>
      <c r="G1176">
        <v>26.2</v>
      </c>
      <c r="I1176">
        <f t="shared" si="54"/>
        <v>39.15</v>
      </c>
      <c r="J1176">
        <f t="shared" si="56"/>
        <v>13.5</v>
      </c>
      <c r="K1176">
        <f t="shared" si="55"/>
        <v>0</v>
      </c>
    </row>
    <row r="1177" spans="1:11">
      <c r="A1177">
        <v>39.247</v>
      </c>
      <c r="B1177">
        <v>-189.8</v>
      </c>
      <c r="C1177">
        <v>26.1</v>
      </c>
      <c r="E1177">
        <v>39.214</v>
      </c>
      <c r="F1177">
        <v>-189.6</v>
      </c>
      <c r="G1177">
        <v>26.5</v>
      </c>
      <c r="I1177">
        <f t="shared" si="54"/>
        <v>39.2</v>
      </c>
      <c r="J1177">
        <f t="shared" si="56"/>
        <v>13.4</v>
      </c>
      <c r="K1177">
        <f t="shared" si="55"/>
        <v>0</v>
      </c>
    </row>
    <row r="1178" spans="1:11">
      <c r="A1178">
        <v>39.28</v>
      </c>
      <c r="B1178">
        <v>-189.8</v>
      </c>
      <c r="C1178">
        <v>26.2</v>
      </c>
      <c r="E1178">
        <v>39.247</v>
      </c>
      <c r="F1178">
        <v>-189.8</v>
      </c>
      <c r="G1178">
        <v>26.1</v>
      </c>
      <c r="I1178">
        <f t="shared" si="54"/>
        <v>39.2</v>
      </c>
      <c r="J1178">
        <f t="shared" si="56"/>
        <v>13.2</v>
      </c>
      <c r="K1178">
        <f t="shared" si="55"/>
        <v>0</v>
      </c>
    </row>
    <row r="1179" spans="1:11">
      <c r="A1179">
        <v>39.314</v>
      </c>
      <c r="B1179">
        <v>-190.1</v>
      </c>
      <c r="C1179">
        <v>25.9</v>
      </c>
      <c r="E1179">
        <v>39.28</v>
      </c>
      <c r="F1179">
        <v>-189.8</v>
      </c>
      <c r="G1179">
        <v>26.2</v>
      </c>
      <c r="I1179">
        <f t="shared" si="54"/>
        <v>39.25</v>
      </c>
      <c r="J1179">
        <f t="shared" si="56"/>
        <v>13.2</v>
      </c>
      <c r="K1179">
        <f t="shared" si="55"/>
        <v>0</v>
      </c>
    </row>
    <row r="1180" spans="1:11">
      <c r="A1180">
        <v>39.347</v>
      </c>
      <c r="B1180">
        <v>-190.4</v>
      </c>
      <c r="C1180">
        <v>26.1</v>
      </c>
      <c r="E1180">
        <v>39.314</v>
      </c>
      <c r="F1180">
        <v>-190.1</v>
      </c>
      <c r="G1180">
        <v>25.9</v>
      </c>
      <c r="I1180">
        <f t="shared" ref="I1180:I1243" si="57">FLOOR(E1180,0.05)</f>
        <v>39.3</v>
      </c>
      <c r="J1180">
        <f t="shared" si="56"/>
        <v>12.9</v>
      </c>
      <c r="K1180">
        <f t="shared" ref="K1180:K1243" si="58">IF(G1180&lt;230,0,5)</f>
        <v>0</v>
      </c>
    </row>
    <row r="1181" spans="1:11">
      <c r="A1181">
        <v>39.381</v>
      </c>
      <c r="B1181">
        <v>-191.5</v>
      </c>
      <c r="C1181">
        <v>25.3</v>
      </c>
      <c r="E1181">
        <v>39.347</v>
      </c>
      <c r="F1181">
        <v>-190.4</v>
      </c>
      <c r="G1181">
        <v>26.1</v>
      </c>
      <c r="I1181">
        <f t="shared" si="57"/>
        <v>39.3</v>
      </c>
      <c r="J1181">
        <f t="shared" si="56"/>
        <v>12.6</v>
      </c>
      <c r="K1181">
        <f t="shared" si="58"/>
        <v>0</v>
      </c>
    </row>
    <row r="1182" spans="1:11">
      <c r="A1182">
        <v>39.414</v>
      </c>
      <c r="B1182">
        <v>-192.6</v>
      </c>
      <c r="C1182">
        <v>25.1</v>
      </c>
      <c r="E1182">
        <v>39.381</v>
      </c>
      <c r="F1182">
        <v>-191.5</v>
      </c>
      <c r="G1182">
        <v>25.3</v>
      </c>
      <c r="I1182">
        <f t="shared" si="57"/>
        <v>39.35</v>
      </c>
      <c r="J1182">
        <f t="shared" si="56"/>
        <v>11.5</v>
      </c>
      <c r="K1182">
        <f t="shared" si="58"/>
        <v>0</v>
      </c>
    </row>
    <row r="1183" spans="1:11">
      <c r="A1183">
        <v>39.448</v>
      </c>
      <c r="B1183">
        <v>-193.8</v>
      </c>
      <c r="C1183">
        <v>25.5</v>
      </c>
      <c r="E1183">
        <v>39.414</v>
      </c>
      <c r="F1183">
        <v>-192.6</v>
      </c>
      <c r="G1183">
        <v>25.1</v>
      </c>
      <c r="I1183">
        <f t="shared" si="57"/>
        <v>39.4</v>
      </c>
      <c r="J1183">
        <f t="shared" si="56"/>
        <v>10.4</v>
      </c>
      <c r="K1183">
        <f t="shared" si="58"/>
        <v>0</v>
      </c>
    </row>
    <row r="1184" spans="1:11">
      <c r="A1184">
        <v>39.481</v>
      </c>
      <c r="B1184">
        <v>-195.1</v>
      </c>
      <c r="C1184">
        <v>25.7</v>
      </c>
      <c r="E1184">
        <v>39.448</v>
      </c>
      <c r="F1184">
        <v>-193.8</v>
      </c>
      <c r="G1184">
        <v>25.5</v>
      </c>
      <c r="I1184">
        <f t="shared" si="57"/>
        <v>39.4</v>
      </c>
      <c r="J1184">
        <f t="shared" si="56"/>
        <v>9.19999999999999</v>
      </c>
      <c r="K1184">
        <f t="shared" si="58"/>
        <v>0</v>
      </c>
    </row>
    <row r="1185" spans="1:11">
      <c r="A1185">
        <v>39.515</v>
      </c>
      <c r="B1185">
        <v>-196.3</v>
      </c>
      <c r="C1185">
        <v>25.7</v>
      </c>
      <c r="E1185">
        <v>39.481</v>
      </c>
      <c r="F1185">
        <v>-195.1</v>
      </c>
      <c r="G1185">
        <v>25.7</v>
      </c>
      <c r="I1185">
        <f t="shared" si="57"/>
        <v>39.45</v>
      </c>
      <c r="J1185">
        <f t="shared" si="56"/>
        <v>7.90000000000001</v>
      </c>
      <c r="K1185">
        <f t="shared" si="58"/>
        <v>0</v>
      </c>
    </row>
    <row r="1186" spans="1:11">
      <c r="A1186">
        <v>39.548</v>
      </c>
      <c r="B1186">
        <v>-198.1</v>
      </c>
      <c r="C1186">
        <v>25.5</v>
      </c>
      <c r="E1186">
        <v>39.515</v>
      </c>
      <c r="F1186">
        <v>-196.3</v>
      </c>
      <c r="G1186">
        <v>25.7</v>
      </c>
      <c r="I1186">
        <f t="shared" si="57"/>
        <v>39.5</v>
      </c>
      <c r="J1186">
        <f t="shared" si="56"/>
        <v>6.69999999999999</v>
      </c>
      <c r="K1186">
        <f t="shared" si="58"/>
        <v>0</v>
      </c>
    </row>
    <row r="1187" spans="1:11">
      <c r="A1187">
        <v>39.581</v>
      </c>
      <c r="B1187">
        <v>-199.5</v>
      </c>
      <c r="C1187">
        <v>25.6</v>
      </c>
      <c r="E1187">
        <v>39.548</v>
      </c>
      <c r="F1187">
        <v>-198.1</v>
      </c>
      <c r="G1187">
        <v>25.5</v>
      </c>
      <c r="I1187">
        <f t="shared" si="57"/>
        <v>39.5</v>
      </c>
      <c r="J1187">
        <f t="shared" si="56"/>
        <v>4.90000000000001</v>
      </c>
      <c r="K1187">
        <f t="shared" si="58"/>
        <v>0</v>
      </c>
    </row>
    <row r="1188" spans="1:11">
      <c r="A1188">
        <v>39.615</v>
      </c>
      <c r="B1188">
        <v>-200.5</v>
      </c>
      <c r="C1188">
        <v>26</v>
      </c>
      <c r="E1188">
        <v>39.581</v>
      </c>
      <c r="F1188">
        <v>-199.5</v>
      </c>
      <c r="G1188">
        <v>25.6</v>
      </c>
      <c r="I1188">
        <f t="shared" si="57"/>
        <v>39.55</v>
      </c>
      <c r="J1188">
        <f t="shared" si="56"/>
        <v>3.5</v>
      </c>
      <c r="K1188">
        <f t="shared" si="58"/>
        <v>0</v>
      </c>
    </row>
    <row r="1189" spans="1:11">
      <c r="A1189">
        <v>39.648</v>
      </c>
      <c r="B1189">
        <v>-202.3</v>
      </c>
      <c r="C1189">
        <v>25.8</v>
      </c>
      <c r="E1189">
        <v>39.615</v>
      </c>
      <c r="F1189">
        <v>-200.5</v>
      </c>
      <c r="G1189">
        <v>26</v>
      </c>
      <c r="I1189">
        <f t="shared" si="57"/>
        <v>39.6</v>
      </c>
      <c r="J1189">
        <f t="shared" si="56"/>
        <v>2.5</v>
      </c>
      <c r="K1189">
        <f t="shared" si="58"/>
        <v>0</v>
      </c>
    </row>
    <row r="1190" spans="1:11">
      <c r="A1190">
        <v>39.682</v>
      </c>
      <c r="B1190">
        <v>-203.7</v>
      </c>
      <c r="C1190">
        <v>26.3</v>
      </c>
      <c r="E1190">
        <v>39.648</v>
      </c>
      <c r="F1190">
        <v>-202.3</v>
      </c>
      <c r="G1190">
        <v>25.8</v>
      </c>
      <c r="I1190">
        <f t="shared" si="57"/>
        <v>39.6</v>
      </c>
      <c r="J1190">
        <f t="shared" si="56"/>
        <v>0.699999999999989</v>
      </c>
      <c r="K1190">
        <f t="shared" si="58"/>
        <v>0</v>
      </c>
    </row>
    <row r="1191" spans="1:11">
      <c r="A1191">
        <v>39.715</v>
      </c>
      <c r="B1191">
        <v>-204.9</v>
      </c>
      <c r="C1191">
        <v>25.9</v>
      </c>
      <c r="E1191">
        <v>39.682</v>
      </c>
      <c r="F1191">
        <v>-203.7</v>
      </c>
      <c r="G1191">
        <v>26.3</v>
      </c>
      <c r="I1191">
        <f t="shared" si="57"/>
        <v>39.65</v>
      </c>
      <c r="J1191">
        <f t="shared" si="56"/>
        <v>-0.699999999999989</v>
      </c>
      <c r="K1191">
        <f t="shared" si="58"/>
        <v>0</v>
      </c>
    </row>
    <row r="1192" spans="1:11">
      <c r="A1192">
        <v>39.749</v>
      </c>
      <c r="B1192">
        <v>-206.1</v>
      </c>
      <c r="C1192">
        <v>25.9</v>
      </c>
      <c r="E1192">
        <v>39.715</v>
      </c>
      <c r="F1192">
        <v>-204.9</v>
      </c>
      <c r="G1192">
        <v>25.9</v>
      </c>
      <c r="I1192">
        <f t="shared" si="57"/>
        <v>39.7</v>
      </c>
      <c r="J1192">
        <f t="shared" si="56"/>
        <v>-1.90000000000001</v>
      </c>
      <c r="K1192">
        <f t="shared" si="58"/>
        <v>0</v>
      </c>
    </row>
    <row r="1193" spans="1:11">
      <c r="A1193">
        <v>39.782</v>
      </c>
      <c r="B1193">
        <v>-206.6</v>
      </c>
      <c r="C1193">
        <v>25.3</v>
      </c>
      <c r="E1193">
        <v>39.749</v>
      </c>
      <c r="F1193">
        <v>-206.1</v>
      </c>
      <c r="G1193">
        <v>25.9</v>
      </c>
      <c r="I1193">
        <f t="shared" si="57"/>
        <v>39.7</v>
      </c>
      <c r="J1193">
        <f t="shared" si="56"/>
        <v>-3.09999999999999</v>
      </c>
      <c r="K1193">
        <f t="shared" si="58"/>
        <v>0</v>
      </c>
    </row>
    <row r="1194" spans="1:11">
      <c r="A1194">
        <v>39.815</v>
      </c>
      <c r="B1194">
        <v>-207.3</v>
      </c>
      <c r="C1194">
        <v>26</v>
      </c>
      <c r="E1194">
        <v>39.782</v>
      </c>
      <c r="F1194">
        <v>-206.6</v>
      </c>
      <c r="G1194">
        <v>25.3</v>
      </c>
      <c r="I1194">
        <f t="shared" si="57"/>
        <v>39.75</v>
      </c>
      <c r="J1194">
        <f t="shared" si="56"/>
        <v>-3.59999999999999</v>
      </c>
      <c r="K1194">
        <f t="shared" si="58"/>
        <v>0</v>
      </c>
    </row>
    <row r="1195" spans="1:11">
      <c r="A1195">
        <v>39.849</v>
      </c>
      <c r="B1195">
        <v>-208</v>
      </c>
      <c r="C1195">
        <v>25.9</v>
      </c>
      <c r="E1195">
        <v>39.815</v>
      </c>
      <c r="F1195">
        <v>-207.3</v>
      </c>
      <c r="G1195">
        <v>26</v>
      </c>
      <c r="I1195">
        <f t="shared" si="57"/>
        <v>39.8</v>
      </c>
      <c r="J1195">
        <f t="shared" si="56"/>
        <v>-4.30000000000001</v>
      </c>
      <c r="K1195">
        <f t="shared" si="58"/>
        <v>0</v>
      </c>
    </row>
    <row r="1196" spans="1:11">
      <c r="A1196">
        <v>39.882</v>
      </c>
      <c r="B1196">
        <v>-208.2</v>
      </c>
      <c r="C1196">
        <v>25.8</v>
      </c>
      <c r="E1196">
        <v>39.849</v>
      </c>
      <c r="F1196">
        <v>-208</v>
      </c>
      <c r="G1196">
        <v>25.9</v>
      </c>
      <c r="I1196">
        <f t="shared" si="57"/>
        <v>39.8</v>
      </c>
      <c r="J1196">
        <f t="shared" si="56"/>
        <v>-5</v>
      </c>
      <c r="K1196">
        <f t="shared" si="58"/>
        <v>0</v>
      </c>
    </row>
    <row r="1197" spans="1:11">
      <c r="A1197">
        <v>39.916</v>
      </c>
      <c r="B1197">
        <v>-208.3</v>
      </c>
      <c r="C1197">
        <v>26.6</v>
      </c>
      <c r="E1197">
        <v>39.882</v>
      </c>
      <c r="F1197">
        <v>-208.2</v>
      </c>
      <c r="G1197">
        <v>25.8</v>
      </c>
      <c r="I1197">
        <f t="shared" si="57"/>
        <v>39.85</v>
      </c>
      <c r="J1197">
        <f t="shared" si="56"/>
        <v>-5.19999999999999</v>
      </c>
      <c r="K1197">
        <f t="shared" si="58"/>
        <v>0</v>
      </c>
    </row>
    <row r="1198" spans="1:11">
      <c r="A1198">
        <v>39.949</v>
      </c>
      <c r="B1198">
        <v>-208.5</v>
      </c>
      <c r="C1198">
        <v>26.1</v>
      </c>
      <c r="E1198">
        <v>39.916</v>
      </c>
      <c r="F1198">
        <v>-208.3</v>
      </c>
      <c r="G1198">
        <v>26.6</v>
      </c>
      <c r="I1198">
        <f t="shared" si="57"/>
        <v>39.9</v>
      </c>
      <c r="J1198">
        <f t="shared" si="56"/>
        <v>-5.30000000000001</v>
      </c>
      <c r="K1198">
        <f t="shared" si="58"/>
        <v>0</v>
      </c>
    </row>
    <row r="1199" spans="1:11">
      <c r="A1199">
        <v>39.983</v>
      </c>
      <c r="B1199">
        <v>-208.6</v>
      </c>
      <c r="C1199">
        <v>25.1</v>
      </c>
      <c r="E1199">
        <v>39.949</v>
      </c>
      <c r="F1199">
        <v>-208.5</v>
      </c>
      <c r="G1199">
        <v>26.1</v>
      </c>
      <c r="I1199">
        <f t="shared" si="57"/>
        <v>39.9</v>
      </c>
      <c r="J1199">
        <f t="shared" si="56"/>
        <v>-5.5</v>
      </c>
      <c r="K1199">
        <f t="shared" si="58"/>
        <v>0</v>
      </c>
    </row>
    <row r="1200" spans="1:11">
      <c r="A1200">
        <v>40.016</v>
      </c>
      <c r="B1200">
        <v>-208.5</v>
      </c>
      <c r="C1200">
        <v>25.8</v>
      </c>
      <c r="E1200">
        <v>39.983</v>
      </c>
      <c r="F1200">
        <v>-208.6</v>
      </c>
      <c r="G1200">
        <v>25.1</v>
      </c>
      <c r="I1200">
        <f t="shared" si="57"/>
        <v>39.95</v>
      </c>
      <c r="J1200">
        <f t="shared" si="56"/>
        <v>-5.59999999999999</v>
      </c>
      <c r="K1200">
        <f t="shared" si="58"/>
        <v>0</v>
      </c>
    </row>
    <row r="1201" spans="1:11">
      <c r="A1201">
        <v>40.049</v>
      </c>
      <c r="B1201">
        <v>-208.3</v>
      </c>
      <c r="C1201">
        <v>25.6</v>
      </c>
      <c r="E1201">
        <v>40.016</v>
      </c>
      <c r="F1201">
        <v>-208.5</v>
      </c>
      <c r="G1201">
        <v>25.8</v>
      </c>
      <c r="I1201">
        <f t="shared" si="57"/>
        <v>40</v>
      </c>
      <c r="J1201">
        <f t="shared" si="56"/>
        <v>-5.5</v>
      </c>
      <c r="K1201">
        <f t="shared" si="58"/>
        <v>0</v>
      </c>
    </row>
    <row r="1202" spans="1:11">
      <c r="A1202">
        <v>40.083</v>
      </c>
      <c r="B1202">
        <v>-207.8</v>
      </c>
      <c r="C1202">
        <v>26.3</v>
      </c>
      <c r="E1202">
        <v>40.049</v>
      </c>
      <c r="F1202">
        <v>-208.3</v>
      </c>
      <c r="G1202">
        <v>25.6</v>
      </c>
      <c r="I1202">
        <f t="shared" si="57"/>
        <v>40</v>
      </c>
      <c r="J1202">
        <f t="shared" si="56"/>
        <v>-5.30000000000001</v>
      </c>
      <c r="K1202">
        <f t="shared" si="58"/>
        <v>0</v>
      </c>
    </row>
    <row r="1203" spans="1:11">
      <c r="A1203">
        <v>40.116</v>
      </c>
      <c r="B1203">
        <v>-207</v>
      </c>
      <c r="C1203">
        <v>25.3</v>
      </c>
      <c r="E1203">
        <v>40.083</v>
      </c>
      <c r="F1203">
        <v>-207.8</v>
      </c>
      <c r="G1203">
        <v>26.3</v>
      </c>
      <c r="I1203">
        <f t="shared" si="57"/>
        <v>40.05</v>
      </c>
      <c r="J1203">
        <f t="shared" si="56"/>
        <v>-4.80000000000001</v>
      </c>
      <c r="K1203">
        <f t="shared" si="58"/>
        <v>0</v>
      </c>
    </row>
    <row r="1204" spans="1:11">
      <c r="A1204">
        <v>40.15</v>
      </c>
      <c r="B1204">
        <v>-206.2</v>
      </c>
      <c r="C1204">
        <v>25.5</v>
      </c>
      <c r="E1204">
        <v>40.116</v>
      </c>
      <c r="F1204">
        <v>-207</v>
      </c>
      <c r="G1204">
        <v>25.3</v>
      </c>
      <c r="I1204">
        <f t="shared" si="57"/>
        <v>40.1</v>
      </c>
      <c r="J1204">
        <f t="shared" si="56"/>
        <v>-4</v>
      </c>
      <c r="K1204">
        <f t="shared" si="58"/>
        <v>0</v>
      </c>
    </row>
    <row r="1205" spans="1:11">
      <c r="A1205">
        <v>40.183</v>
      </c>
      <c r="B1205">
        <v>-204.9</v>
      </c>
      <c r="C1205">
        <v>25.3</v>
      </c>
      <c r="E1205">
        <v>40.15</v>
      </c>
      <c r="F1205">
        <v>-206.2</v>
      </c>
      <c r="G1205">
        <v>25.5</v>
      </c>
      <c r="I1205">
        <f t="shared" si="57"/>
        <v>40.15</v>
      </c>
      <c r="J1205">
        <f t="shared" si="56"/>
        <v>-3.19999999999999</v>
      </c>
      <c r="K1205">
        <f t="shared" si="58"/>
        <v>0</v>
      </c>
    </row>
    <row r="1206" spans="1:11">
      <c r="A1206">
        <v>40.217</v>
      </c>
      <c r="B1206">
        <v>-203.5</v>
      </c>
      <c r="C1206">
        <v>24.9</v>
      </c>
      <c r="E1206">
        <v>40.183</v>
      </c>
      <c r="F1206">
        <v>-204.9</v>
      </c>
      <c r="G1206">
        <v>25.3</v>
      </c>
      <c r="I1206">
        <f t="shared" si="57"/>
        <v>40.15</v>
      </c>
      <c r="J1206">
        <f t="shared" si="56"/>
        <v>-1.90000000000001</v>
      </c>
      <c r="K1206">
        <f t="shared" si="58"/>
        <v>0</v>
      </c>
    </row>
    <row r="1207" spans="1:11">
      <c r="A1207">
        <v>40.25</v>
      </c>
      <c r="B1207">
        <v>-202.4</v>
      </c>
      <c r="C1207">
        <v>25.9</v>
      </c>
      <c r="E1207">
        <v>40.217</v>
      </c>
      <c r="F1207">
        <v>-203.5</v>
      </c>
      <c r="G1207">
        <v>24.9</v>
      </c>
      <c r="I1207">
        <f t="shared" si="57"/>
        <v>40.2</v>
      </c>
      <c r="J1207">
        <f t="shared" si="56"/>
        <v>-0.5</v>
      </c>
      <c r="K1207">
        <f t="shared" si="58"/>
        <v>0</v>
      </c>
    </row>
    <row r="1208" spans="1:11">
      <c r="A1208">
        <v>40.283</v>
      </c>
      <c r="B1208">
        <v>-200.7</v>
      </c>
      <c r="C1208">
        <v>25.5</v>
      </c>
      <c r="E1208">
        <v>40.25</v>
      </c>
      <c r="F1208">
        <v>-202.4</v>
      </c>
      <c r="G1208">
        <v>25.9</v>
      </c>
      <c r="I1208">
        <f t="shared" si="57"/>
        <v>40.25</v>
      </c>
      <c r="J1208">
        <f t="shared" si="56"/>
        <v>0.599999999999994</v>
      </c>
      <c r="K1208">
        <f t="shared" si="58"/>
        <v>0</v>
      </c>
    </row>
    <row r="1209" spans="1:11">
      <c r="A1209">
        <v>40.317</v>
      </c>
      <c r="B1209">
        <v>-199.7</v>
      </c>
      <c r="C1209">
        <v>25.2</v>
      </c>
      <c r="E1209">
        <v>40.283</v>
      </c>
      <c r="F1209">
        <v>-200.7</v>
      </c>
      <c r="G1209">
        <v>25.5</v>
      </c>
      <c r="I1209">
        <f t="shared" si="57"/>
        <v>40.25</v>
      </c>
      <c r="J1209">
        <f t="shared" si="56"/>
        <v>2.30000000000001</v>
      </c>
      <c r="K1209">
        <f t="shared" si="58"/>
        <v>0</v>
      </c>
    </row>
    <row r="1210" spans="1:11">
      <c r="A1210">
        <v>40.35</v>
      </c>
      <c r="B1210">
        <v>-198.4</v>
      </c>
      <c r="C1210">
        <v>25.7</v>
      </c>
      <c r="E1210">
        <v>40.317</v>
      </c>
      <c r="F1210">
        <v>-199.7</v>
      </c>
      <c r="G1210">
        <v>25.2</v>
      </c>
      <c r="I1210">
        <f t="shared" si="57"/>
        <v>40.3</v>
      </c>
      <c r="J1210">
        <f t="shared" si="56"/>
        <v>3.30000000000001</v>
      </c>
      <c r="K1210">
        <f t="shared" si="58"/>
        <v>0</v>
      </c>
    </row>
    <row r="1211" spans="1:11">
      <c r="A1211">
        <v>40.384</v>
      </c>
      <c r="B1211">
        <v>-196.7</v>
      </c>
      <c r="C1211">
        <v>25.7</v>
      </c>
      <c r="E1211">
        <v>40.35</v>
      </c>
      <c r="F1211">
        <v>-198.4</v>
      </c>
      <c r="G1211">
        <v>25.7</v>
      </c>
      <c r="I1211">
        <f t="shared" si="57"/>
        <v>40.35</v>
      </c>
      <c r="J1211">
        <f t="shared" si="56"/>
        <v>4.59999999999999</v>
      </c>
      <c r="K1211">
        <f t="shared" si="58"/>
        <v>0</v>
      </c>
    </row>
    <row r="1212" spans="1:11">
      <c r="A1212">
        <v>40.417</v>
      </c>
      <c r="B1212">
        <v>-195.5</v>
      </c>
      <c r="C1212">
        <v>25.3</v>
      </c>
      <c r="E1212">
        <v>40.384</v>
      </c>
      <c r="F1212">
        <v>-196.7</v>
      </c>
      <c r="G1212">
        <v>25.7</v>
      </c>
      <c r="I1212">
        <f t="shared" si="57"/>
        <v>40.35</v>
      </c>
      <c r="J1212">
        <f t="shared" si="56"/>
        <v>6.30000000000001</v>
      </c>
      <c r="K1212">
        <f t="shared" si="58"/>
        <v>0</v>
      </c>
    </row>
    <row r="1213" spans="1:11">
      <c r="A1213">
        <v>40.451</v>
      </c>
      <c r="B1213">
        <v>-194.1</v>
      </c>
      <c r="C1213">
        <v>25.7</v>
      </c>
      <c r="E1213">
        <v>40.417</v>
      </c>
      <c r="F1213">
        <v>-195.5</v>
      </c>
      <c r="G1213">
        <v>25.3</v>
      </c>
      <c r="I1213">
        <f t="shared" si="57"/>
        <v>40.4</v>
      </c>
      <c r="J1213">
        <f t="shared" si="56"/>
        <v>7.5</v>
      </c>
      <c r="K1213">
        <f t="shared" si="58"/>
        <v>0</v>
      </c>
    </row>
    <row r="1214" spans="1:11">
      <c r="A1214">
        <v>40.484</v>
      </c>
      <c r="B1214">
        <v>-192.8</v>
      </c>
      <c r="C1214">
        <v>25.7</v>
      </c>
      <c r="E1214">
        <v>40.451</v>
      </c>
      <c r="F1214">
        <v>-194.1</v>
      </c>
      <c r="G1214">
        <v>25.7</v>
      </c>
      <c r="I1214">
        <f t="shared" si="57"/>
        <v>40.45</v>
      </c>
      <c r="J1214">
        <f t="shared" si="56"/>
        <v>8.90000000000001</v>
      </c>
      <c r="K1214">
        <f t="shared" si="58"/>
        <v>0</v>
      </c>
    </row>
    <row r="1215" spans="1:11">
      <c r="A1215">
        <v>40.517</v>
      </c>
      <c r="B1215">
        <v>-192.1</v>
      </c>
      <c r="C1215">
        <v>25.8</v>
      </c>
      <c r="E1215">
        <v>40.484</v>
      </c>
      <c r="F1215">
        <v>-192.8</v>
      </c>
      <c r="G1215">
        <v>25.7</v>
      </c>
      <c r="I1215">
        <f t="shared" si="57"/>
        <v>40.45</v>
      </c>
      <c r="J1215">
        <f t="shared" si="56"/>
        <v>10.2</v>
      </c>
      <c r="K1215">
        <f t="shared" si="58"/>
        <v>0</v>
      </c>
    </row>
    <row r="1216" spans="1:11">
      <c r="A1216">
        <v>40.551</v>
      </c>
      <c r="B1216">
        <v>-191.3</v>
      </c>
      <c r="C1216">
        <v>25.4</v>
      </c>
      <c r="E1216">
        <v>40.517</v>
      </c>
      <c r="F1216">
        <v>-192.1</v>
      </c>
      <c r="G1216">
        <v>25.8</v>
      </c>
      <c r="I1216">
        <f t="shared" si="57"/>
        <v>40.5</v>
      </c>
      <c r="J1216">
        <f t="shared" si="56"/>
        <v>10.9</v>
      </c>
      <c r="K1216">
        <f t="shared" si="58"/>
        <v>0</v>
      </c>
    </row>
    <row r="1217" spans="1:11">
      <c r="A1217">
        <v>40.584</v>
      </c>
      <c r="B1217">
        <v>-190.9</v>
      </c>
      <c r="C1217">
        <v>25.3</v>
      </c>
      <c r="E1217">
        <v>40.551</v>
      </c>
      <c r="F1217">
        <v>-191.3</v>
      </c>
      <c r="G1217">
        <v>25.4</v>
      </c>
      <c r="I1217">
        <f t="shared" si="57"/>
        <v>40.55</v>
      </c>
      <c r="J1217">
        <f t="shared" si="56"/>
        <v>11.7</v>
      </c>
      <c r="K1217">
        <f t="shared" si="58"/>
        <v>0</v>
      </c>
    </row>
    <row r="1218" spans="1:11">
      <c r="A1218">
        <v>40.618</v>
      </c>
      <c r="B1218">
        <v>-190.6</v>
      </c>
      <c r="C1218">
        <v>25.9</v>
      </c>
      <c r="E1218">
        <v>40.584</v>
      </c>
      <c r="F1218">
        <v>-190.9</v>
      </c>
      <c r="G1218">
        <v>25.3</v>
      </c>
      <c r="I1218">
        <f t="shared" si="57"/>
        <v>40.55</v>
      </c>
      <c r="J1218">
        <f t="shared" si="56"/>
        <v>12.1</v>
      </c>
      <c r="K1218">
        <f t="shared" si="58"/>
        <v>0</v>
      </c>
    </row>
    <row r="1219" spans="1:11">
      <c r="A1219">
        <v>40.651</v>
      </c>
      <c r="B1219">
        <v>-190.3</v>
      </c>
      <c r="C1219">
        <v>26.3</v>
      </c>
      <c r="E1219">
        <v>40.618</v>
      </c>
      <c r="F1219">
        <v>-190.6</v>
      </c>
      <c r="G1219">
        <v>25.9</v>
      </c>
      <c r="I1219">
        <f t="shared" si="57"/>
        <v>40.6</v>
      </c>
      <c r="J1219">
        <f t="shared" si="56"/>
        <v>12.4</v>
      </c>
      <c r="K1219">
        <f t="shared" si="58"/>
        <v>0</v>
      </c>
    </row>
    <row r="1220" spans="1:11">
      <c r="A1220">
        <v>40.685</v>
      </c>
      <c r="B1220">
        <v>-190.4</v>
      </c>
      <c r="C1220">
        <v>25.6</v>
      </c>
      <c r="E1220">
        <v>40.651</v>
      </c>
      <c r="F1220">
        <v>-190.3</v>
      </c>
      <c r="G1220">
        <v>26.3</v>
      </c>
      <c r="I1220">
        <f t="shared" si="57"/>
        <v>40.65</v>
      </c>
      <c r="J1220">
        <f t="shared" si="56"/>
        <v>12.7</v>
      </c>
      <c r="K1220">
        <f t="shared" si="58"/>
        <v>0</v>
      </c>
    </row>
    <row r="1221" spans="1:11">
      <c r="A1221">
        <v>40.718</v>
      </c>
      <c r="B1221">
        <v>-190.6</v>
      </c>
      <c r="C1221">
        <v>26.3</v>
      </c>
      <c r="E1221">
        <v>40.685</v>
      </c>
      <c r="F1221">
        <v>-190.4</v>
      </c>
      <c r="G1221">
        <v>25.6</v>
      </c>
      <c r="I1221">
        <f t="shared" si="57"/>
        <v>40.65</v>
      </c>
      <c r="J1221">
        <f t="shared" ref="J1221:J1284" si="59">F1221+203</f>
        <v>12.6</v>
      </c>
      <c r="K1221">
        <f t="shared" si="58"/>
        <v>0</v>
      </c>
    </row>
    <row r="1222" spans="1:11">
      <c r="A1222">
        <v>40.751</v>
      </c>
      <c r="B1222">
        <v>-190.8</v>
      </c>
      <c r="C1222">
        <v>25.8</v>
      </c>
      <c r="E1222">
        <v>40.718</v>
      </c>
      <c r="F1222">
        <v>-190.6</v>
      </c>
      <c r="G1222">
        <v>26.3</v>
      </c>
      <c r="I1222">
        <f t="shared" si="57"/>
        <v>40.7</v>
      </c>
      <c r="J1222">
        <f t="shared" si="59"/>
        <v>12.4</v>
      </c>
      <c r="K1222">
        <f t="shared" si="58"/>
        <v>0</v>
      </c>
    </row>
    <row r="1223" spans="1:11">
      <c r="A1223">
        <v>40.785</v>
      </c>
      <c r="B1223">
        <v>-191.1</v>
      </c>
      <c r="C1223">
        <v>25.2</v>
      </c>
      <c r="E1223">
        <v>40.751</v>
      </c>
      <c r="F1223">
        <v>-190.8</v>
      </c>
      <c r="G1223">
        <v>25.8</v>
      </c>
      <c r="I1223">
        <f t="shared" si="57"/>
        <v>40.75</v>
      </c>
      <c r="J1223">
        <f t="shared" si="59"/>
        <v>12.2</v>
      </c>
      <c r="K1223">
        <f t="shared" si="58"/>
        <v>0</v>
      </c>
    </row>
    <row r="1224" spans="1:11">
      <c r="A1224">
        <v>40.818</v>
      </c>
      <c r="B1224">
        <v>-191.6</v>
      </c>
      <c r="C1224">
        <v>25.4</v>
      </c>
      <c r="E1224">
        <v>40.785</v>
      </c>
      <c r="F1224">
        <v>-191.1</v>
      </c>
      <c r="G1224">
        <v>25.2</v>
      </c>
      <c r="I1224">
        <f t="shared" si="57"/>
        <v>40.75</v>
      </c>
      <c r="J1224">
        <f t="shared" si="59"/>
        <v>11.9</v>
      </c>
      <c r="K1224">
        <f t="shared" si="58"/>
        <v>0</v>
      </c>
    </row>
    <row r="1225" spans="1:11">
      <c r="A1225">
        <v>40.852</v>
      </c>
      <c r="B1225">
        <v>-192.2</v>
      </c>
      <c r="C1225">
        <v>25.8</v>
      </c>
      <c r="E1225">
        <v>40.818</v>
      </c>
      <c r="F1225">
        <v>-191.6</v>
      </c>
      <c r="G1225">
        <v>25.4</v>
      </c>
      <c r="I1225">
        <f t="shared" si="57"/>
        <v>40.8</v>
      </c>
      <c r="J1225">
        <f t="shared" si="59"/>
        <v>11.4</v>
      </c>
      <c r="K1225">
        <f t="shared" si="58"/>
        <v>0</v>
      </c>
    </row>
    <row r="1226" spans="1:11">
      <c r="A1226">
        <v>40.885</v>
      </c>
      <c r="B1226">
        <v>-193</v>
      </c>
      <c r="C1226">
        <v>25.8</v>
      </c>
      <c r="E1226">
        <v>40.852</v>
      </c>
      <c r="F1226">
        <v>-192.2</v>
      </c>
      <c r="G1226">
        <v>25.8</v>
      </c>
      <c r="I1226">
        <f t="shared" si="57"/>
        <v>40.85</v>
      </c>
      <c r="J1226">
        <f t="shared" si="59"/>
        <v>10.8</v>
      </c>
      <c r="K1226">
        <f t="shared" si="58"/>
        <v>0</v>
      </c>
    </row>
    <row r="1227" spans="1:11">
      <c r="A1227">
        <v>40.919</v>
      </c>
      <c r="B1227">
        <v>-194.2</v>
      </c>
      <c r="C1227">
        <v>25.5</v>
      </c>
      <c r="E1227">
        <v>40.885</v>
      </c>
      <c r="F1227">
        <v>-193</v>
      </c>
      <c r="G1227">
        <v>25.8</v>
      </c>
      <c r="I1227">
        <f t="shared" si="57"/>
        <v>40.85</v>
      </c>
      <c r="J1227">
        <f t="shared" si="59"/>
        <v>10</v>
      </c>
      <c r="K1227">
        <f t="shared" si="58"/>
        <v>0</v>
      </c>
    </row>
    <row r="1228" spans="1:11">
      <c r="A1228">
        <v>40.952</v>
      </c>
      <c r="B1228">
        <v>-195.4</v>
      </c>
      <c r="C1228">
        <v>25.8</v>
      </c>
      <c r="E1228">
        <v>40.919</v>
      </c>
      <c r="F1228">
        <v>-194.2</v>
      </c>
      <c r="G1228">
        <v>25.5</v>
      </c>
      <c r="I1228">
        <f t="shared" si="57"/>
        <v>40.9</v>
      </c>
      <c r="J1228">
        <f t="shared" si="59"/>
        <v>8.80000000000001</v>
      </c>
      <c r="K1228">
        <f t="shared" si="58"/>
        <v>0</v>
      </c>
    </row>
    <row r="1229" spans="1:11">
      <c r="A1229">
        <v>40.985</v>
      </c>
      <c r="B1229">
        <v>-196.7</v>
      </c>
      <c r="C1229">
        <v>26</v>
      </c>
      <c r="E1229">
        <v>40.952</v>
      </c>
      <c r="F1229">
        <v>-195.4</v>
      </c>
      <c r="G1229">
        <v>25.8</v>
      </c>
      <c r="I1229">
        <f t="shared" si="57"/>
        <v>40.95</v>
      </c>
      <c r="J1229">
        <f t="shared" si="59"/>
        <v>7.59999999999999</v>
      </c>
      <c r="K1229">
        <f t="shared" si="58"/>
        <v>0</v>
      </c>
    </row>
    <row r="1230" spans="1:11">
      <c r="A1230">
        <v>41.019</v>
      </c>
      <c r="B1230">
        <v>-198.4</v>
      </c>
      <c r="C1230">
        <v>26.2</v>
      </c>
      <c r="E1230">
        <v>40.985</v>
      </c>
      <c r="F1230">
        <v>-196.7</v>
      </c>
      <c r="G1230">
        <v>26</v>
      </c>
      <c r="I1230">
        <f t="shared" si="57"/>
        <v>40.95</v>
      </c>
      <c r="J1230">
        <f t="shared" si="59"/>
        <v>6.30000000000001</v>
      </c>
      <c r="K1230">
        <f t="shared" si="58"/>
        <v>0</v>
      </c>
    </row>
    <row r="1231" spans="1:11">
      <c r="A1231">
        <v>41.052</v>
      </c>
      <c r="B1231">
        <v>-199.8</v>
      </c>
      <c r="C1231">
        <v>25.8</v>
      </c>
      <c r="E1231">
        <v>41.019</v>
      </c>
      <c r="F1231">
        <v>-198.4</v>
      </c>
      <c r="G1231">
        <v>26.2</v>
      </c>
      <c r="I1231">
        <f t="shared" si="57"/>
        <v>41</v>
      </c>
      <c r="J1231">
        <f t="shared" si="59"/>
        <v>4.59999999999999</v>
      </c>
      <c r="K1231">
        <f t="shared" si="58"/>
        <v>0</v>
      </c>
    </row>
    <row r="1232" spans="1:11">
      <c r="A1232">
        <v>41.086</v>
      </c>
      <c r="B1232">
        <v>-201</v>
      </c>
      <c r="C1232">
        <v>25.6</v>
      </c>
      <c r="E1232">
        <v>41.052</v>
      </c>
      <c r="F1232">
        <v>-199.8</v>
      </c>
      <c r="G1232">
        <v>25.8</v>
      </c>
      <c r="I1232">
        <f t="shared" si="57"/>
        <v>41.05</v>
      </c>
      <c r="J1232">
        <f t="shared" si="59"/>
        <v>3.19999999999999</v>
      </c>
      <c r="K1232">
        <f t="shared" si="58"/>
        <v>0</v>
      </c>
    </row>
    <row r="1233" spans="1:11">
      <c r="A1233">
        <v>41.119</v>
      </c>
      <c r="B1233">
        <v>-202.4</v>
      </c>
      <c r="C1233">
        <v>26.1</v>
      </c>
      <c r="E1233">
        <v>41.086</v>
      </c>
      <c r="F1233">
        <v>-201</v>
      </c>
      <c r="G1233">
        <v>25.6</v>
      </c>
      <c r="I1233">
        <f t="shared" si="57"/>
        <v>41.05</v>
      </c>
      <c r="J1233">
        <f t="shared" si="59"/>
        <v>2</v>
      </c>
      <c r="K1233">
        <f t="shared" si="58"/>
        <v>0</v>
      </c>
    </row>
    <row r="1234" spans="1:11">
      <c r="A1234">
        <v>41.153</v>
      </c>
      <c r="B1234">
        <v>-203.6</v>
      </c>
      <c r="C1234">
        <v>25.8</v>
      </c>
      <c r="E1234">
        <v>41.119</v>
      </c>
      <c r="F1234">
        <v>-202.4</v>
      </c>
      <c r="G1234">
        <v>26.1</v>
      </c>
      <c r="I1234">
        <f t="shared" si="57"/>
        <v>41.1</v>
      </c>
      <c r="J1234">
        <f t="shared" si="59"/>
        <v>0.599999999999994</v>
      </c>
      <c r="K1234">
        <f t="shared" si="58"/>
        <v>0</v>
      </c>
    </row>
    <row r="1235" spans="1:11">
      <c r="A1235">
        <v>41.186</v>
      </c>
      <c r="B1235">
        <v>-204.8</v>
      </c>
      <c r="C1235">
        <v>25.9</v>
      </c>
      <c r="E1235">
        <v>41.153</v>
      </c>
      <c r="F1235">
        <v>-203.6</v>
      </c>
      <c r="G1235">
        <v>25.8</v>
      </c>
      <c r="I1235">
        <f t="shared" si="57"/>
        <v>41.15</v>
      </c>
      <c r="J1235">
        <f t="shared" si="59"/>
        <v>-0.599999999999994</v>
      </c>
      <c r="K1235">
        <f t="shared" si="58"/>
        <v>0</v>
      </c>
    </row>
    <row r="1236" spans="1:11">
      <c r="A1236">
        <v>41.219</v>
      </c>
      <c r="B1236">
        <v>-205.7</v>
      </c>
      <c r="C1236">
        <v>25.8</v>
      </c>
      <c r="E1236">
        <v>41.186</v>
      </c>
      <c r="F1236">
        <v>-204.8</v>
      </c>
      <c r="G1236">
        <v>25.9</v>
      </c>
      <c r="I1236">
        <f t="shared" si="57"/>
        <v>41.15</v>
      </c>
      <c r="J1236">
        <f t="shared" si="59"/>
        <v>-1.80000000000001</v>
      </c>
      <c r="K1236">
        <f t="shared" si="58"/>
        <v>0</v>
      </c>
    </row>
    <row r="1237" spans="1:11">
      <c r="A1237">
        <v>41.253</v>
      </c>
      <c r="B1237">
        <v>-206.4</v>
      </c>
      <c r="C1237">
        <v>26.2</v>
      </c>
      <c r="E1237">
        <v>41.219</v>
      </c>
      <c r="F1237">
        <v>-205.7</v>
      </c>
      <c r="G1237">
        <v>25.8</v>
      </c>
      <c r="I1237">
        <f t="shared" si="57"/>
        <v>41.2</v>
      </c>
      <c r="J1237">
        <f t="shared" si="59"/>
        <v>-2.69999999999999</v>
      </c>
      <c r="K1237">
        <f t="shared" si="58"/>
        <v>0</v>
      </c>
    </row>
    <row r="1238" spans="1:11">
      <c r="A1238">
        <v>41.286</v>
      </c>
      <c r="B1238">
        <v>-207.3</v>
      </c>
      <c r="C1238">
        <v>25.9</v>
      </c>
      <c r="E1238">
        <v>41.253</v>
      </c>
      <c r="F1238">
        <v>-206.4</v>
      </c>
      <c r="G1238">
        <v>26.2</v>
      </c>
      <c r="I1238">
        <f t="shared" si="57"/>
        <v>41.25</v>
      </c>
      <c r="J1238">
        <f t="shared" si="59"/>
        <v>-3.40000000000001</v>
      </c>
      <c r="K1238">
        <f t="shared" si="58"/>
        <v>0</v>
      </c>
    </row>
    <row r="1239" spans="1:11">
      <c r="A1239">
        <v>41.32</v>
      </c>
      <c r="B1239">
        <v>-207.9</v>
      </c>
      <c r="C1239">
        <v>26</v>
      </c>
      <c r="E1239">
        <v>41.286</v>
      </c>
      <c r="F1239">
        <v>-207.3</v>
      </c>
      <c r="G1239">
        <v>25.9</v>
      </c>
      <c r="I1239">
        <f t="shared" si="57"/>
        <v>41.25</v>
      </c>
      <c r="J1239">
        <f t="shared" si="59"/>
        <v>-4.30000000000001</v>
      </c>
      <c r="K1239">
        <f t="shared" si="58"/>
        <v>0</v>
      </c>
    </row>
    <row r="1240" spans="1:11">
      <c r="A1240">
        <v>41.353</v>
      </c>
      <c r="B1240">
        <v>-208</v>
      </c>
      <c r="C1240">
        <v>25.6</v>
      </c>
      <c r="E1240">
        <v>41.32</v>
      </c>
      <c r="F1240">
        <v>-207.9</v>
      </c>
      <c r="G1240">
        <v>26</v>
      </c>
      <c r="I1240">
        <f t="shared" si="57"/>
        <v>41.3</v>
      </c>
      <c r="J1240">
        <f t="shared" si="59"/>
        <v>-4.90000000000001</v>
      </c>
      <c r="K1240">
        <f t="shared" si="58"/>
        <v>0</v>
      </c>
    </row>
    <row r="1241" spans="1:11">
      <c r="A1241">
        <v>41.387</v>
      </c>
      <c r="B1241">
        <v>-208.3</v>
      </c>
      <c r="C1241">
        <v>26.2</v>
      </c>
      <c r="E1241">
        <v>41.353</v>
      </c>
      <c r="F1241">
        <v>-208</v>
      </c>
      <c r="G1241">
        <v>25.6</v>
      </c>
      <c r="I1241">
        <f t="shared" si="57"/>
        <v>41.35</v>
      </c>
      <c r="J1241">
        <f t="shared" si="59"/>
        <v>-5</v>
      </c>
      <c r="K1241">
        <f t="shared" si="58"/>
        <v>0</v>
      </c>
    </row>
    <row r="1242" spans="1:11">
      <c r="A1242">
        <v>41.42</v>
      </c>
      <c r="B1242">
        <v>-208.4</v>
      </c>
      <c r="C1242">
        <v>25.5</v>
      </c>
      <c r="E1242">
        <v>41.387</v>
      </c>
      <c r="F1242">
        <v>-208.3</v>
      </c>
      <c r="G1242">
        <v>26.2</v>
      </c>
      <c r="I1242">
        <f t="shared" si="57"/>
        <v>41.35</v>
      </c>
      <c r="J1242">
        <f t="shared" si="59"/>
        <v>-5.30000000000001</v>
      </c>
      <c r="K1242">
        <f t="shared" si="58"/>
        <v>0</v>
      </c>
    </row>
    <row r="1243" spans="1:11">
      <c r="A1243">
        <v>41.453</v>
      </c>
      <c r="B1243">
        <v>-208.4</v>
      </c>
      <c r="C1243">
        <v>25.7</v>
      </c>
      <c r="E1243">
        <v>41.42</v>
      </c>
      <c r="F1243">
        <v>-208.4</v>
      </c>
      <c r="G1243">
        <v>25.5</v>
      </c>
      <c r="I1243">
        <f t="shared" si="57"/>
        <v>41.4</v>
      </c>
      <c r="J1243">
        <f t="shared" si="59"/>
        <v>-5.40000000000001</v>
      </c>
      <c r="K1243">
        <f t="shared" si="58"/>
        <v>0</v>
      </c>
    </row>
    <row r="1244" spans="1:11">
      <c r="A1244">
        <v>41.487</v>
      </c>
      <c r="B1244">
        <v>-208.4</v>
      </c>
      <c r="C1244">
        <v>25.5</v>
      </c>
      <c r="E1244">
        <v>41.453</v>
      </c>
      <c r="F1244">
        <v>-208.4</v>
      </c>
      <c r="G1244">
        <v>25.7</v>
      </c>
      <c r="I1244">
        <f t="shared" ref="I1244:I1307" si="60">FLOOR(E1244,0.05)</f>
        <v>41.45</v>
      </c>
      <c r="J1244">
        <f t="shared" si="59"/>
        <v>-5.40000000000001</v>
      </c>
      <c r="K1244">
        <f t="shared" ref="K1244:K1307" si="61">IF(G1244&lt;230,0,5)</f>
        <v>0</v>
      </c>
    </row>
    <row r="1245" spans="1:11">
      <c r="A1245">
        <v>41.52</v>
      </c>
      <c r="B1245">
        <v>-208.1</v>
      </c>
      <c r="C1245">
        <v>25.8</v>
      </c>
      <c r="E1245">
        <v>41.487</v>
      </c>
      <c r="F1245">
        <v>-208.4</v>
      </c>
      <c r="G1245">
        <v>25.5</v>
      </c>
      <c r="I1245">
        <f t="shared" si="60"/>
        <v>41.45</v>
      </c>
      <c r="J1245">
        <f t="shared" si="59"/>
        <v>-5.40000000000001</v>
      </c>
      <c r="K1245">
        <f t="shared" si="61"/>
        <v>0</v>
      </c>
    </row>
    <row r="1246" spans="1:11">
      <c r="A1246">
        <v>41.554</v>
      </c>
      <c r="B1246">
        <v>-207.3</v>
      </c>
      <c r="C1246">
        <v>25.4</v>
      </c>
      <c r="E1246">
        <v>41.52</v>
      </c>
      <c r="F1246">
        <v>-208.1</v>
      </c>
      <c r="G1246">
        <v>25.8</v>
      </c>
      <c r="I1246">
        <f t="shared" si="60"/>
        <v>41.5</v>
      </c>
      <c r="J1246">
        <f t="shared" si="59"/>
        <v>-5.09999999999999</v>
      </c>
      <c r="K1246">
        <f t="shared" si="61"/>
        <v>0</v>
      </c>
    </row>
    <row r="1247" spans="1:11">
      <c r="A1247">
        <v>41.587</v>
      </c>
      <c r="B1247">
        <v>-206.7</v>
      </c>
      <c r="C1247">
        <v>25.8</v>
      </c>
      <c r="E1247">
        <v>41.554</v>
      </c>
      <c r="F1247">
        <v>-207.3</v>
      </c>
      <c r="G1247">
        <v>25.4</v>
      </c>
      <c r="I1247">
        <f t="shared" si="60"/>
        <v>41.55</v>
      </c>
      <c r="J1247">
        <f t="shared" si="59"/>
        <v>-4.30000000000001</v>
      </c>
      <c r="K1247">
        <f t="shared" si="61"/>
        <v>0</v>
      </c>
    </row>
    <row r="1248" spans="1:11">
      <c r="A1248">
        <v>41.621</v>
      </c>
      <c r="B1248">
        <v>-206.1</v>
      </c>
      <c r="C1248">
        <v>25.7</v>
      </c>
      <c r="E1248">
        <v>41.587</v>
      </c>
      <c r="F1248">
        <v>-206.7</v>
      </c>
      <c r="G1248">
        <v>25.8</v>
      </c>
      <c r="I1248">
        <f t="shared" si="60"/>
        <v>41.55</v>
      </c>
      <c r="J1248">
        <f t="shared" si="59"/>
        <v>-3.69999999999999</v>
      </c>
      <c r="K1248">
        <f t="shared" si="61"/>
        <v>0</v>
      </c>
    </row>
    <row r="1249" spans="1:11">
      <c r="A1249">
        <v>41.654</v>
      </c>
      <c r="B1249">
        <v>-204.7</v>
      </c>
      <c r="C1249">
        <v>26.2</v>
      </c>
      <c r="E1249">
        <v>41.621</v>
      </c>
      <c r="F1249">
        <v>-206.1</v>
      </c>
      <c r="G1249">
        <v>25.7</v>
      </c>
      <c r="I1249">
        <f t="shared" si="60"/>
        <v>41.6</v>
      </c>
      <c r="J1249">
        <f t="shared" si="59"/>
        <v>-3.09999999999999</v>
      </c>
      <c r="K1249">
        <f t="shared" si="61"/>
        <v>0</v>
      </c>
    </row>
    <row r="1250" spans="1:11">
      <c r="A1250">
        <v>41.687</v>
      </c>
      <c r="B1250">
        <v>-203.6</v>
      </c>
      <c r="C1250">
        <v>25.9</v>
      </c>
      <c r="E1250">
        <v>41.654</v>
      </c>
      <c r="F1250">
        <v>-204.7</v>
      </c>
      <c r="G1250">
        <v>26.2</v>
      </c>
      <c r="I1250">
        <f t="shared" si="60"/>
        <v>41.65</v>
      </c>
      <c r="J1250">
        <f t="shared" si="59"/>
        <v>-1.69999999999999</v>
      </c>
      <c r="K1250">
        <f t="shared" si="61"/>
        <v>0</v>
      </c>
    </row>
    <row r="1251" spans="1:11">
      <c r="A1251">
        <v>41.721</v>
      </c>
      <c r="B1251">
        <v>-202.4</v>
      </c>
      <c r="C1251">
        <v>26.1</v>
      </c>
      <c r="E1251">
        <v>41.687</v>
      </c>
      <c r="F1251">
        <v>-203.6</v>
      </c>
      <c r="G1251">
        <v>25.9</v>
      </c>
      <c r="I1251">
        <f t="shared" si="60"/>
        <v>41.65</v>
      </c>
      <c r="J1251">
        <f t="shared" si="59"/>
        <v>-0.599999999999994</v>
      </c>
      <c r="K1251">
        <f t="shared" si="61"/>
        <v>0</v>
      </c>
    </row>
    <row r="1252" spans="1:11">
      <c r="A1252">
        <v>41.754</v>
      </c>
      <c r="B1252">
        <v>-200.9</v>
      </c>
      <c r="C1252">
        <v>26.3</v>
      </c>
      <c r="E1252">
        <v>41.721</v>
      </c>
      <c r="F1252">
        <v>-202.4</v>
      </c>
      <c r="G1252">
        <v>26.1</v>
      </c>
      <c r="I1252">
        <f t="shared" si="60"/>
        <v>41.7</v>
      </c>
      <c r="J1252">
        <f t="shared" si="59"/>
        <v>0.599999999999994</v>
      </c>
      <c r="K1252">
        <f t="shared" si="61"/>
        <v>0</v>
      </c>
    </row>
    <row r="1253" spans="1:11">
      <c r="A1253">
        <v>41.788</v>
      </c>
      <c r="B1253">
        <v>-199.7</v>
      </c>
      <c r="C1253">
        <v>25.2</v>
      </c>
      <c r="E1253">
        <v>41.754</v>
      </c>
      <c r="F1253">
        <v>-200.9</v>
      </c>
      <c r="G1253">
        <v>26.3</v>
      </c>
      <c r="I1253">
        <f t="shared" si="60"/>
        <v>41.75</v>
      </c>
      <c r="J1253">
        <f t="shared" si="59"/>
        <v>2.09999999999999</v>
      </c>
      <c r="K1253">
        <f t="shared" si="61"/>
        <v>0</v>
      </c>
    </row>
    <row r="1254" spans="1:11">
      <c r="A1254">
        <v>41.821</v>
      </c>
      <c r="B1254">
        <v>-198.5</v>
      </c>
      <c r="C1254">
        <v>25.5</v>
      </c>
      <c r="E1254">
        <v>41.788</v>
      </c>
      <c r="F1254">
        <v>-199.7</v>
      </c>
      <c r="G1254">
        <v>25.2</v>
      </c>
      <c r="I1254">
        <f t="shared" si="60"/>
        <v>41.75</v>
      </c>
      <c r="J1254">
        <f t="shared" si="59"/>
        <v>3.30000000000001</v>
      </c>
      <c r="K1254">
        <f t="shared" si="61"/>
        <v>0</v>
      </c>
    </row>
    <row r="1255" spans="1:11">
      <c r="A1255">
        <v>41.855</v>
      </c>
      <c r="B1255">
        <v>-196.9</v>
      </c>
      <c r="C1255">
        <v>25.9</v>
      </c>
      <c r="E1255">
        <v>41.821</v>
      </c>
      <c r="F1255">
        <v>-198.5</v>
      </c>
      <c r="G1255">
        <v>25.5</v>
      </c>
      <c r="I1255">
        <f t="shared" si="60"/>
        <v>41.8</v>
      </c>
      <c r="J1255">
        <f t="shared" si="59"/>
        <v>4.5</v>
      </c>
      <c r="K1255">
        <f t="shared" si="61"/>
        <v>0</v>
      </c>
    </row>
    <row r="1256" spans="1:11">
      <c r="A1256">
        <v>41.888</v>
      </c>
      <c r="B1256">
        <v>-196</v>
      </c>
      <c r="C1256">
        <v>25.8</v>
      </c>
      <c r="E1256">
        <v>41.855</v>
      </c>
      <c r="F1256">
        <v>-196.9</v>
      </c>
      <c r="G1256">
        <v>25.9</v>
      </c>
      <c r="I1256">
        <f t="shared" si="60"/>
        <v>41.85</v>
      </c>
      <c r="J1256">
        <f t="shared" si="59"/>
        <v>6.09999999999999</v>
      </c>
      <c r="K1256">
        <f t="shared" si="61"/>
        <v>0</v>
      </c>
    </row>
    <row r="1257" spans="1:11">
      <c r="A1257">
        <v>41.921</v>
      </c>
      <c r="B1257">
        <v>-194.6</v>
      </c>
      <c r="C1257">
        <v>25.7</v>
      </c>
      <c r="E1257">
        <v>41.888</v>
      </c>
      <c r="F1257">
        <v>-196</v>
      </c>
      <c r="G1257">
        <v>25.8</v>
      </c>
      <c r="I1257">
        <f t="shared" si="60"/>
        <v>41.85</v>
      </c>
      <c r="J1257">
        <f t="shared" si="59"/>
        <v>7</v>
      </c>
      <c r="K1257">
        <f t="shared" si="61"/>
        <v>0</v>
      </c>
    </row>
    <row r="1258" spans="1:11">
      <c r="A1258">
        <v>41.955</v>
      </c>
      <c r="B1258">
        <v>-193.2</v>
      </c>
      <c r="C1258">
        <v>25.2</v>
      </c>
      <c r="E1258">
        <v>41.921</v>
      </c>
      <c r="F1258">
        <v>-194.6</v>
      </c>
      <c r="G1258">
        <v>25.7</v>
      </c>
      <c r="I1258">
        <f t="shared" si="60"/>
        <v>41.9</v>
      </c>
      <c r="J1258">
        <f t="shared" si="59"/>
        <v>8.40000000000001</v>
      </c>
      <c r="K1258">
        <f t="shared" si="61"/>
        <v>0</v>
      </c>
    </row>
    <row r="1259" spans="1:11">
      <c r="A1259">
        <v>41.988</v>
      </c>
      <c r="B1259">
        <v>-192.4</v>
      </c>
      <c r="C1259">
        <v>25.7</v>
      </c>
      <c r="E1259">
        <v>41.955</v>
      </c>
      <c r="F1259">
        <v>-193.2</v>
      </c>
      <c r="G1259">
        <v>25.2</v>
      </c>
      <c r="I1259">
        <f t="shared" si="60"/>
        <v>41.95</v>
      </c>
      <c r="J1259">
        <f t="shared" si="59"/>
        <v>9.80000000000001</v>
      </c>
      <c r="K1259">
        <f t="shared" si="61"/>
        <v>0</v>
      </c>
    </row>
    <row r="1260" spans="1:11">
      <c r="A1260">
        <v>42.022</v>
      </c>
      <c r="B1260">
        <v>-192.1</v>
      </c>
      <c r="C1260">
        <v>26.2</v>
      </c>
      <c r="E1260">
        <v>41.988</v>
      </c>
      <c r="F1260">
        <v>-192.4</v>
      </c>
      <c r="G1260">
        <v>25.7</v>
      </c>
      <c r="I1260">
        <f t="shared" si="60"/>
        <v>41.95</v>
      </c>
      <c r="J1260">
        <f t="shared" si="59"/>
        <v>10.6</v>
      </c>
      <c r="K1260">
        <f t="shared" si="61"/>
        <v>0</v>
      </c>
    </row>
    <row r="1261" spans="1:11">
      <c r="A1261">
        <v>42.055</v>
      </c>
      <c r="B1261">
        <v>-191.6</v>
      </c>
      <c r="C1261">
        <v>26.6</v>
      </c>
      <c r="E1261">
        <v>42.022</v>
      </c>
      <c r="F1261">
        <v>-192.1</v>
      </c>
      <c r="G1261">
        <v>26.2</v>
      </c>
      <c r="I1261">
        <f t="shared" si="60"/>
        <v>42</v>
      </c>
      <c r="J1261">
        <f t="shared" si="59"/>
        <v>10.9</v>
      </c>
      <c r="K1261">
        <f t="shared" si="61"/>
        <v>0</v>
      </c>
    </row>
    <row r="1262" spans="1:11">
      <c r="A1262">
        <v>42.089</v>
      </c>
      <c r="B1262">
        <v>-191.2</v>
      </c>
      <c r="C1262">
        <v>25.6</v>
      </c>
      <c r="E1262">
        <v>42.055</v>
      </c>
      <c r="F1262">
        <v>-191.6</v>
      </c>
      <c r="G1262">
        <v>26.6</v>
      </c>
      <c r="I1262">
        <f t="shared" si="60"/>
        <v>42.05</v>
      </c>
      <c r="J1262">
        <f t="shared" si="59"/>
        <v>11.4</v>
      </c>
      <c r="K1262">
        <f t="shared" si="61"/>
        <v>0</v>
      </c>
    </row>
    <row r="1263" spans="1:11">
      <c r="A1263">
        <v>42.122</v>
      </c>
      <c r="B1263">
        <v>-190.7</v>
      </c>
      <c r="C1263">
        <v>25.9</v>
      </c>
      <c r="E1263">
        <v>42.089</v>
      </c>
      <c r="F1263">
        <v>-191.2</v>
      </c>
      <c r="G1263">
        <v>25.6</v>
      </c>
      <c r="I1263">
        <f t="shared" si="60"/>
        <v>42.05</v>
      </c>
      <c r="J1263">
        <f t="shared" si="59"/>
        <v>11.8</v>
      </c>
      <c r="K1263">
        <f t="shared" si="61"/>
        <v>0</v>
      </c>
    </row>
    <row r="1264" spans="1:11">
      <c r="A1264">
        <v>42.155</v>
      </c>
      <c r="B1264">
        <v>-190.7</v>
      </c>
      <c r="C1264">
        <v>26</v>
      </c>
      <c r="E1264">
        <v>42.122</v>
      </c>
      <c r="F1264">
        <v>-190.7</v>
      </c>
      <c r="G1264">
        <v>25.9</v>
      </c>
      <c r="I1264">
        <f t="shared" si="60"/>
        <v>42.1</v>
      </c>
      <c r="J1264">
        <f t="shared" si="59"/>
        <v>12.3</v>
      </c>
      <c r="K1264">
        <f t="shared" si="61"/>
        <v>0</v>
      </c>
    </row>
    <row r="1265" spans="1:11">
      <c r="A1265">
        <v>42.189</v>
      </c>
      <c r="B1265">
        <v>-190.9</v>
      </c>
      <c r="C1265">
        <v>26.5</v>
      </c>
      <c r="E1265">
        <v>42.155</v>
      </c>
      <c r="F1265">
        <v>-190.7</v>
      </c>
      <c r="G1265">
        <v>26</v>
      </c>
      <c r="I1265">
        <f t="shared" si="60"/>
        <v>42.15</v>
      </c>
      <c r="J1265">
        <f t="shared" si="59"/>
        <v>12.3</v>
      </c>
      <c r="K1265">
        <f t="shared" si="61"/>
        <v>0</v>
      </c>
    </row>
    <row r="1266" spans="1:11">
      <c r="A1266">
        <v>42.222</v>
      </c>
      <c r="B1266">
        <v>-191.1</v>
      </c>
      <c r="C1266">
        <v>26</v>
      </c>
      <c r="E1266">
        <v>42.189</v>
      </c>
      <c r="F1266">
        <v>-190.9</v>
      </c>
      <c r="G1266">
        <v>26.5</v>
      </c>
      <c r="I1266">
        <f t="shared" si="60"/>
        <v>42.15</v>
      </c>
      <c r="J1266">
        <f t="shared" si="59"/>
        <v>12.1</v>
      </c>
      <c r="K1266">
        <f t="shared" si="61"/>
        <v>0</v>
      </c>
    </row>
    <row r="1267" spans="1:11">
      <c r="A1267">
        <v>42.256</v>
      </c>
      <c r="B1267">
        <v>-191.4</v>
      </c>
      <c r="C1267">
        <v>25.7</v>
      </c>
      <c r="E1267">
        <v>42.222</v>
      </c>
      <c r="F1267">
        <v>-191.1</v>
      </c>
      <c r="G1267">
        <v>26</v>
      </c>
      <c r="I1267">
        <f t="shared" si="60"/>
        <v>42.2</v>
      </c>
      <c r="J1267">
        <f t="shared" si="59"/>
        <v>11.9</v>
      </c>
      <c r="K1267">
        <f t="shared" si="61"/>
        <v>0</v>
      </c>
    </row>
    <row r="1268" spans="1:11">
      <c r="A1268">
        <v>42.289</v>
      </c>
      <c r="B1268">
        <v>-191.9</v>
      </c>
      <c r="C1268">
        <v>26.1</v>
      </c>
      <c r="E1268">
        <v>42.256</v>
      </c>
      <c r="F1268">
        <v>-191.4</v>
      </c>
      <c r="G1268">
        <v>25.7</v>
      </c>
      <c r="I1268">
        <f t="shared" si="60"/>
        <v>42.25</v>
      </c>
      <c r="J1268">
        <f t="shared" si="59"/>
        <v>11.6</v>
      </c>
      <c r="K1268">
        <f t="shared" si="61"/>
        <v>0</v>
      </c>
    </row>
    <row r="1269" spans="1:11">
      <c r="A1269">
        <v>42.323</v>
      </c>
      <c r="B1269">
        <v>-192.2</v>
      </c>
      <c r="C1269">
        <v>26</v>
      </c>
      <c r="E1269">
        <v>42.289</v>
      </c>
      <c r="F1269">
        <v>-191.9</v>
      </c>
      <c r="G1269">
        <v>26.1</v>
      </c>
      <c r="I1269">
        <f t="shared" si="60"/>
        <v>42.25</v>
      </c>
      <c r="J1269">
        <f t="shared" si="59"/>
        <v>11.1</v>
      </c>
      <c r="K1269">
        <f t="shared" si="61"/>
        <v>0</v>
      </c>
    </row>
    <row r="1270" spans="1:11">
      <c r="A1270">
        <v>42.356</v>
      </c>
      <c r="B1270">
        <v>-193</v>
      </c>
      <c r="C1270">
        <v>25.9</v>
      </c>
      <c r="E1270">
        <v>42.323</v>
      </c>
      <c r="F1270">
        <v>-192.2</v>
      </c>
      <c r="G1270">
        <v>26</v>
      </c>
      <c r="I1270">
        <f t="shared" si="60"/>
        <v>42.3</v>
      </c>
      <c r="J1270">
        <f t="shared" si="59"/>
        <v>10.8</v>
      </c>
      <c r="K1270">
        <f t="shared" si="61"/>
        <v>0</v>
      </c>
    </row>
    <row r="1271" spans="1:11">
      <c r="A1271">
        <v>42.39</v>
      </c>
      <c r="B1271">
        <v>-194.6</v>
      </c>
      <c r="C1271">
        <v>25</v>
      </c>
      <c r="E1271">
        <v>42.356</v>
      </c>
      <c r="F1271">
        <v>-193</v>
      </c>
      <c r="G1271">
        <v>25.9</v>
      </c>
      <c r="I1271">
        <f t="shared" si="60"/>
        <v>42.35</v>
      </c>
      <c r="J1271">
        <f t="shared" si="59"/>
        <v>10</v>
      </c>
      <c r="K1271">
        <f t="shared" si="61"/>
        <v>0</v>
      </c>
    </row>
    <row r="1272" spans="1:11">
      <c r="A1272">
        <v>42.423</v>
      </c>
      <c r="B1272">
        <v>-195.8</v>
      </c>
      <c r="C1272">
        <v>25.4</v>
      </c>
      <c r="E1272">
        <v>42.39</v>
      </c>
      <c r="F1272">
        <v>-194.6</v>
      </c>
      <c r="G1272">
        <v>25</v>
      </c>
      <c r="I1272">
        <f t="shared" si="60"/>
        <v>42.35</v>
      </c>
      <c r="J1272">
        <f t="shared" si="59"/>
        <v>8.40000000000001</v>
      </c>
      <c r="K1272">
        <f t="shared" si="61"/>
        <v>0</v>
      </c>
    </row>
    <row r="1273" spans="1:11">
      <c r="A1273">
        <v>42.456</v>
      </c>
      <c r="B1273">
        <v>-196.8</v>
      </c>
      <c r="C1273">
        <v>25.9</v>
      </c>
      <c r="E1273">
        <v>42.423</v>
      </c>
      <c r="F1273">
        <v>-195.8</v>
      </c>
      <c r="G1273">
        <v>25.4</v>
      </c>
      <c r="I1273">
        <f t="shared" si="60"/>
        <v>42.4</v>
      </c>
      <c r="J1273">
        <f t="shared" si="59"/>
        <v>7.19999999999999</v>
      </c>
      <c r="K1273">
        <f t="shared" si="61"/>
        <v>0</v>
      </c>
    </row>
    <row r="1274" spans="1:11">
      <c r="A1274">
        <v>42.49</v>
      </c>
      <c r="B1274">
        <v>-198.6</v>
      </c>
      <c r="C1274">
        <v>26.3</v>
      </c>
      <c r="E1274">
        <v>42.456</v>
      </c>
      <c r="F1274">
        <v>-196.8</v>
      </c>
      <c r="G1274">
        <v>25.9</v>
      </c>
      <c r="I1274">
        <f t="shared" si="60"/>
        <v>42.45</v>
      </c>
      <c r="J1274">
        <f t="shared" si="59"/>
        <v>6.19999999999999</v>
      </c>
      <c r="K1274">
        <f t="shared" si="61"/>
        <v>0</v>
      </c>
    </row>
    <row r="1275" spans="1:11">
      <c r="A1275">
        <v>42.523</v>
      </c>
      <c r="B1275">
        <v>-199.7</v>
      </c>
      <c r="C1275">
        <v>25.9</v>
      </c>
      <c r="E1275">
        <v>42.49</v>
      </c>
      <c r="F1275">
        <v>-198.6</v>
      </c>
      <c r="G1275">
        <v>26.3</v>
      </c>
      <c r="I1275">
        <f t="shared" si="60"/>
        <v>42.45</v>
      </c>
      <c r="J1275">
        <f t="shared" si="59"/>
        <v>4.40000000000001</v>
      </c>
      <c r="K1275">
        <f t="shared" si="61"/>
        <v>0</v>
      </c>
    </row>
    <row r="1276" spans="1:11">
      <c r="A1276">
        <v>42.557</v>
      </c>
      <c r="B1276">
        <v>-200.9</v>
      </c>
      <c r="C1276">
        <v>25.9</v>
      </c>
      <c r="E1276">
        <v>42.523</v>
      </c>
      <c r="F1276">
        <v>-199.7</v>
      </c>
      <c r="G1276">
        <v>25.9</v>
      </c>
      <c r="I1276">
        <f t="shared" si="60"/>
        <v>42.5</v>
      </c>
      <c r="J1276">
        <f t="shared" si="59"/>
        <v>3.30000000000001</v>
      </c>
      <c r="K1276">
        <f t="shared" si="61"/>
        <v>0</v>
      </c>
    </row>
    <row r="1277" spans="1:11">
      <c r="A1277">
        <v>42.59</v>
      </c>
      <c r="B1277">
        <v>-202</v>
      </c>
      <c r="C1277">
        <v>25.9</v>
      </c>
      <c r="E1277">
        <v>42.557</v>
      </c>
      <c r="F1277">
        <v>-200.9</v>
      </c>
      <c r="G1277">
        <v>25.9</v>
      </c>
      <c r="I1277">
        <f t="shared" si="60"/>
        <v>42.55</v>
      </c>
      <c r="J1277">
        <f t="shared" si="59"/>
        <v>2.09999999999999</v>
      </c>
      <c r="K1277">
        <f t="shared" si="61"/>
        <v>0</v>
      </c>
    </row>
    <row r="1278" spans="1:11">
      <c r="A1278">
        <v>42.624</v>
      </c>
      <c r="B1278">
        <v>-203</v>
      </c>
      <c r="C1278">
        <v>25.6</v>
      </c>
      <c r="E1278">
        <v>42.59</v>
      </c>
      <c r="F1278">
        <v>-202</v>
      </c>
      <c r="G1278">
        <v>25.9</v>
      </c>
      <c r="I1278">
        <f t="shared" si="60"/>
        <v>42.55</v>
      </c>
      <c r="J1278">
        <f t="shared" si="59"/>
        <v>1</v>
      </c>
      <c r="K1278">
        <f t="shared" si="61"/>
        <v>0</v>
      </c>
    </row>
    <row r="1279" spans="1:11">
      <c r="A1279">
        <v>42.657</v>
      </c>
      <c r="B1279">
        <v>-204.2</v>
      </c>
      <c r="C1279">
        <v>25.4</v>
      </c>
      <c r="E1279">
        <v>42.624</v>
      </c>
      <c r="F1279">
        <v>-203</v>
      </c>
      <c r="G1279">
        <v>25.6</v>
      </c>
      <c r="I1279">
        <f t="shared" si="60"/>
        <v>42.6</v>
      </c>
      <c r="J1279">
        <f t="shared" si="59"/>
        <v>0</v>
      </c>
      <c r="K1279">
        <f t="shared" si="61"/>
        <v>0</v>
      </c>
    </row>
    <row r="1280" spans="1:11">
      <c r="A1280">
        <v>42.69</v>
      </c>
      <c r="B1280">
        <v>-205.2</v>
      </c>
      <c r="C1280">
        <v>26.3</v>
      </c>
      <c r="E1280">
        <v>42.657</v>
      </c>
      <c r="F1280">
        <v>-204.2</v>
      </c>
      <c r="G1280">
        <v>25.4</v>
      </c>
      <c r="I1280">
        <f t="shared" si="60"/>
        <v>42.65</v>
      </c>
      <c r="J1280">
        <f t="shared" si="59"/>
        <v>-1.19999999999999</v>
      </c>
      <c r="K1280">
        <f t="shared" si="61"/>
        <v>0</v>
      </c>
    </row>
    <row r="1281" spans="1:11">
      <c r="A1281">
        <v>42.724</v>
      </c>
      <c r="B1281">
        <v>-205.8</v>
      </c>
      <c r="C1281">
        <v>26</v>
      </c>
      <c r="E1281">
        <v>42.69</v>
      </c>
      <c r="F1281">
        <v>-205.2</v>
      </c>
      <c r="G1281">
        <v>26.3</v>
      </c>
      <c r="I1281">
        <f t="shared" si="60"/>
        <v>42.65</v>
      </c>
      <c r="J1281">
        <f t="shared" si="59"/>
        <v>-2.19999999999999</v>
      </c>
      <c r="K1281">
        <f t="shared" si="61"/>
        <v>0</v>
      </c>
    </row>
    <row r="1282" spans="1:11">
      <c r="A1282">
        <v>42.757</v>
      </c>
      <c r="B1282">
        <v>-206.4</v>
      </c>
      <c r="C1282">
        <v>26</v>
      </c>
      <c r="E1282">
        <v>42.724</v>
      </c>
      <c r="F1282">
        <v>-205.8</v>
      </c>
      <c r="G1282">
        <v>26</v>
      </c>
      <c r="I1282">
        <f t="shared" si="60"/>
        <v>42.7</v>
      </c>
      <c r="J1282">
        <f t="shared" si="59"/>
        <v>-2.80000000000001</v>
      </c>
      <c r="K1282">
        <f t="shared" si="61"/>
        <v>0</v>
      </c>
    </row>
    <row r="1283" spans="1:11">
      <c r="A1283">
        <v>42.791</v>
      </c>
      <c r="B1283">
        <v>-207</v>
      </c>
      <c r="C1283">
        <v>25.3</v>
      </c>
      <c r="E1283">
        <v>42.757</v>
      </c>
      <c r="F1283">
        <v>-206.4</v>
      </c>
      <c r="G1283">
        <v>26</v>
      </c>
      <c r="I1283">
        <f t="shared" si="60"/>
        <v>42.75</v>
      </c>
      <c r="J1283">
        <f t="shared" si="59"/>
        <v>-3.40000000000001</v>
      </c>
      <c r="K1283">
        <f t="shared" si="61"/>
        <v>0</v>
      </c>
    </row>
    <row r="1284" spans="1:11">
      <c r="A1284">
        <v>42.824</v>
      </c>
      <c r="B1284">
        <v>-207.4</v>
      </c>
      <c r="C1284">
        <v>26</v>
      </c>
      <c r="E1284">
        <v>42.791</v>
      </c>
      <c r="F1284">
        <v>-207</v>
      </c>
      <c r="G1284">
        <v>25.3</v>
      </c>
      <c r="I1284">
        <f t="shared" si="60"/>
        <v>42.75</v>
      </c>
      <c r="J1284">
        <f t="shared" si="59"/>
        <v>-4</v>
      </c>
      <c r="K1284">
        <f t="shared" si="61"/>
        <v>0</v>
      </c>
    </row>
    <row r="1285" spans="1:11">
      <c r="A1285">
        <v>42.858</v>
      </c>
      <c r="B1285">
        <v>-207.6</v>
      </c>
      <c r="C1285">
        <v>26.2</v>
      </c>
      <c r="E1285">
        <v>42.824</v>
      </c>
      <c r="F1285">
        <v>-207.4</v>
      </c>
      <c r="G1285">
        <v>26</v>
      </c>
      <c r="I1285">
        <f t="shared" si="60"/>
        <v>42.8</v>
      </c>
      <c r="J1285">
        <f t="shared" ref="J1285:J1348" si="62">F1285+203</f>
        <v>-4.40000000000001</v>
      </c>
      <c r="K1285">
        <f t="shared" si="61"/>
        <v>0</v>
      </c>
    </row>
    <row r="1286" spans="1:11">
      <c r="A1286">
        <v>42.891</v>
      </c>
      <c r="B1286">
        <v>-207.8</v>
      </c>
      <c r="C1286">
        <v>26.1</v>
      </c>
      <c r="E1286">
        <v>42.858</v>
      </c>
      <c r="F1286">
        <v>-207.6</v>
      </c>
      <c r="G1286">
        <v>26.2</v>
      </c>
      <c r="I1286">
        <f t="shared" si="60"/>
        <v>42.85</v>
      </c>
      <c r="J1286">
        <f t="shared" si="62"/>
        <v>-4.59999999999999</v>
      </c>
      <c r="K1286">
        <f t="shared" si="61"/>
        <v>0</v>
      </c>
    </row>
    <row r="1287" spans="1:11">
      <c r="A1287">
        <v>42.924</v>
      </c>
      <c r="B1287">
        <v>-207.6</v>
      </c>
      <c r="C1287">
        <v>25.9</v>
      </c>
      <c r="E1287">
        <v>42.891</v>
      </c>
      <c r="F1287">
        <v>-207.8</v>
      </c>
      <c r="G1287">
        <v>26.1</v>
      </c>
      <c r="I1287">
        <f t="shared" si="60"/>
        <v>42.85</v>
      </c>
      <c r="J1287">
        <f t="shared" si="62"/>
        <v>-4.80000000000001</v>
      </c>
      <c r="K1287">
        <f t="shared" si="61"/>
        <v>0</v>
      </c>
    </row>
    <row r="1288" spans="1:11">
      <c r="A1288">
        <v>42.958</v>
      </c>
      <c r="B1288">
        <v>-207.4</v>
      </c>
      <c r="C1288">
        <v>26.2</v>
      </c>
      <c r="E1288">
        <v>42.924</v>
      </c>
      <c r="F1288">
        <v>-207.6</v>
      </c>
      <c r="G1288">
        <v>25.9</v>
      </c>
      <c r="I1288">
        <f t="shared" si="60"/>
        <v>42.9</v>
      </c>
      <c r="J1288">
        <f t="shared" si="62"/>
        <v>-4.59999999999999</v>
      </c>
      <c r="K1288">
        <f t="shared" si="61"/>
        <v>0</v>
      </c>
    </row>
    <row r="1289" spans="1:11">
      <c r="A1289">
        <v>42.991</v>
      </c>
      <c r="B1289">
        <v>-207.2</v>
      </c>
      <c r="C1289">
        <v>26</v>
      </c>
      <c r="E1289">
        <v>42.958</v>
      </c>
      <c r="F1289">
        <v>-207.4</v>
      </c>
      <c r="G1289">
        <v>26.2</v>
      </c>
      <c r="I1289">
        <f t="shared" si="60"/>
        <v>42.95</v>
      </c>
      <c r="J1289">
        <f t="shared" si="62"/>
        <v>-4.40000000000001</v>
      </c>
      <c r="K1289">
        <f t="shared" si="61"/>
        <v>0</v>
      </c>
    </row>
    <row r="1290" spans="1:11">
      <c r="A1290">
        <v>43.025</v>
      </c>
      <c r="B1290">
        <v>-206.6</v>
      </c>
      <c r="C1290">
        <v>25.5</v>
      </c>
      <c r="E1290">
        <v>42.991</v>
      </c>
      <c r="F1290">
        <v>-207.2</v>
      </c>
      <c r="G1290">
        <v>26</v>
      </c>
      <c r="I1290">
        <f t="shared" si="60"/>
        <v>42.95</v>
      </c>
      <c r="J1290">
        <f t="shared" si="62"/>
        <v>-4.19999999999999</v>
      </c>
      <c r="K1290">
        <f t="shared" si="61"/>
        <v>0</v>
      </c>
    </row>
    <row r="1291" spans="1:11">
      <c r="A1291">
        <v>43.058</v>
      </c>
      <c r="B1291">
        <v>-205.9</v>
      </c>
      <c r="C1291">
        <v>26.5</v>
      </c>
      <c r="E1291">
        <v>43.025</v>
      </c>
      <c r="F1291">
        <v>-206.6</v>
      </c>
      <c r="G1291">
        <v>25.5</v>
      </c>
      <c r="I1291">
        <f t="shared" si="60"/>
        <v>43</v>
      </c>
      <c r="J1291">
        <f t="shared" si="62"/>
        <v>-3.59999999999999</v>
      </c>
      <c r="K1291">
        <f t="shared" si="61"/>
        <v>0</v>
      </c>
    </row>
    <row r="1292" spans="1:11">
      <c r="A1292">
        <v>43.092</v>
      </c>
      <c r="B1292">
        <v>-205</v>
      </c>
      <c r="C1292">
        <v>26.5</v>
      </c>
      <c r="E1292">
        <v>43.058</v>
      </c>
      <c r="F1292">
        <v>-205.9</v>
      </c>
      <c r="G1292">
        <v>26.5</v>
      </c>
      <c r="I1292">
        <f t="shared" si="60"/>
        <v>43.05</v>
      </c>
      <c r="J1292">
        <f t="shared" si="62"/>
        <v>-2.90000000000001</v>
      </c>
      <c r="K1292">
        <f t="shared" si="61"/>
        <v>0</v>
      </c>
    </row>
    <row r="1293" spans="1:11">
      <c r="A1293">
        <v>43.125</v>
      </c>
      <c r="B1293">
        <v>-203.9</v>
      </c>
      <c r="C1293">
        <v>25.8</v>
      </c>
      <c r="E1293">
        <v>43.092</v>
      </c>
      <c r="F1293">
        <v>-205</v>
      </c>
      <c r="G1293">
        <v>26.5</v>
      </c>
      <c r="I1293">
        <f t="shared" si="60"/>
        <v>43.05</v>
      </c>
      <c r="J1293">
        <f t="shared" si="62"/>
        <v>-2</v>
      </c>
      <c r="K1293">
        <f t="shared" si="61"/>
        <v>0</v>
      </c>
    </row>
    <row r="1294" spans="1:11">
      <c r="A1294">
        <v>43.158</v>
      </c>
      <c r="B1294">
        <v>-202.8</v>
      </c>
      <c r="C1294">
        <v>26.2</v>
      </c>
      <c r="E1294">
        <v>43.125</v>
      </c>
      <c r="F1294">
        <v>-203.9</v>
      </c>
      <c r="G1294">
        <v>25.8</v>
      </c>
      <c r="I1294">
        <f t="shared" si="60"/>
        <v>43.1</v>
      </c>
      <c r="J1294">
        <f t="shared" si="62"/>
        <v>-0.900000000000006</v>
      </c>
      <c r="K1294">
        <f t="shared" si="61"/>
        <v>0</v>
      </c>
    </row>
    <row r="1295" spans="1:11">
      <c r="A1295">
        <v>43.192</v>
      </c>
      <c r="B1295">
        <v>-201.3</v>
      </c>
      <c r="C1295">
        <v>26.7</v>
      </c>
      <c r="E1295">
        <v>43.158</v>
      </c>
      <c r="F1295">
        <v>-202.8</v>
      </c>
      <c r="G1295">
        <v>26.2</v>
      </c>
      <c r="I1295">
        <f t="shared" si="60"/>
        <v>43.15</v>
      </c>
      <c r="J1295">
        <f t="shared" si="62"/>
        <v>0.199999999999989</v>
      </c>
      <c r="K1295">
        <f t="shared" si="61"/>
        <v>0</v>
      </c>
    </row>
    <row r="1296" spans="1:11">
      <c r="A1296">
        <v>43.225</v>
      </c>
      <c r="B1296">
        <v>-200.5</v>
      </c>
      <c r="C1296">
        <v>26.9</v>
      </c>
      <c r="E1296">
        <v>43.192</v>
      </c>
      <c r="F1296">
        <v>-201.3</v>
      </c>
      <c r="G1296">
        <v>26.7</v>
      </c>
      <c r="I1296">
        <f t="shared" si="60"/>
        <v>43.15</v>
      </c>
      <c r="J1296">
        <f t="shared" si="62"/>
        <v>1.69999999999999</v>
      </c>
      <c r="K1296">
        <f t="shared" si="61"/>
        <v>0</v>
      </c>
    </row>
    <row r="1297" spans="1:11">
      <c r="A1297">
        <v>43.259</v>
      </c>
      <c r="B1297">
        <v>-199.3</v>
      </c>
      <c r="C1297">
        <v>25.6</v>
      </c>
      <c r="E1297">
        <v>43.225</v>
      </c>
      <c r="F1297">
        <v>-200.5</v>
      </c>
      <c r="G1297">
        <v>26.9</v>
      </c>
      <c r="I1297">
        <f t="shared" si="60"/>
        <v>43.2</v>
      </c>
      <c r="J1297">
        <f t="shared" si="62"/>
        <v>2.5</v>
      </c>
      <c r="K1297">
        <f t="shared" si="61"/>
        <v>0</v>
      </c>
    </row>
    <row r="1298" spans="1:11">
      <c r="A1298">
        <v>43.292</v>
      </c>
      <c r="B1298">
        <v>-198.1</v>
      </c>
      <c r="C1298">
        <v>25.5</v>
      </c>
      <c r="E1298">
        <v>43.259</v>
      </c>
      <c r="F1298">
        <v>-199.3</v>
      </c>
      <c r="G1298">
        <v>25.6</v>
      </c>
      <c r="I1298">
        <f t="shared" si="60"/>
        <v>43.25</v>
      </c>
      <c r="J1298">
        <f t="shared" si="62"/>
        <v>3.69999999999999</v>
      </c>
      <c r="K1298">
        <f t="shared" si="61"/>
        <v>0</v>
      </c>
    </row>
    <row r="1299" spans="1:11">
      <c r="A1299">
        <v>43.326</v>
      </c>
      <c r="B1299">
        <v>-196.7</v>
      </c>
      <c r="C1299">
        <v>25.9</v>
      </c>
      <c r="E1299">
        <v>43.292</v>
      </c>
      <c r="F1299">
        <v>-198.1</v>
      </c>
      <c r="G1299">
        <v>25.5</v>
      </c>
      <c r="I1299">
        <f t="shared" si="60"/>
        <v>43.25</v>
      </c>
      <c r="J1299">
        <f t="shared" si="62"/>
        <v>4.90000000000001</v>
      </c>
      <c r="K1299">
        <f t="shared" si="61"/>
        <v>0</v>
      </c>
    </row>
    <row r="1300" spans="1:11">
      <c r="A1300">
        <v>43.359</v>
      </c>
      <c r="B1300">
        <v>-195.8</v>
      </c>
      <c r="C1300">
        <v>25.8</v>
      </c>
      <c r="E1300">
        <v>43.326</v>
      </c>
      <c r="F1300">
        <v>-196.7</v>
      </c>
      <c r="G1300">
        <v>25.9</v>
      </c>
      <c r="I1300">
        <f t="shared" si="60"/>
        <v>43.3</v>
      </c>
      <c r="J1300">
        <f t="shared" si="62"/>
        <v>6.30000000000001</v>
      </c>
      <c r="K1300">
        <f t="shared" si="61"/>
        <v>0</v>
      </c>
    </row>
    <row r="1301" spans="1:11">
      <c r="A1301">
        <v>43.392</v>
      </c>
      <c r="B1301">
        <v>-194.6</v>
      </c>
      <c r="C1301">
        <v>26</v>
      </c>
      <c r="E1301">
        <v>43.359</v>
      </c>
      <c r="F1301">
        <v>-195.8</v>
      </c>
      <c r="G1301">
        <v>25.8</v>
      </c>
      <c r="I1301">
        <f t="shared" si="60"/>
        <v>43.35</v>
      </c>
      <c r="J1301">
        <f t="shared" si="62"/>
        <v>7.19999999999999</v>
      </c>
      <c r="K1301">
        <f t="shared" si="61"/>
        <v>0</v>
      </c>
    </row>
    <row r="1302" spans="1:11">
      <c r="A1302">
        <v>43.426</v>
      </c>
      <c r="B1302">
        <v>-193.2</v>
      </c>
      <c r="C1302">
        <v>25.5</v>
      </c>
      <c r="E1302">
        <v>43.392</v>
      </c>
      <c r="F1302">
        <v>-194.6</v>
      </c>
      <c r="G1302">
        <v>26</v>
      </c>
      <c r="I1302">
        <f t="shared" si="60"/>
        <v>43.35</v>
      </c>
      <c r="J1302">
        <f t="shared" si="62"/>
        <v>8.40000000000001</v>
      </c>
      <c r="K1302">
        <f t="shared" si="61"/>
        <v>0</v>
      </c>
    </row>
    <row r="1303" spans="1:11">
      <c r="A1303">
        <v>43.459</v>
      </c>
      <c r="B1303">
        <v>-192.4</v>
      </c>
      <c r="C1303">
        <v>26.3</v>
      </c>
      <c r="E1303">
        <v>43.426</v>
      </c>
      <c r="F1303">
        <v>-193.2</v>
      </c>
      <c r="G1303">
        <v>25.5</v>
      </c>
      <c r="I1303">
        <f t="shared" si="60"/>
        <v>43.4</v>
      </c>
      <c r="J1303">
        <f t="shared" si="62"/>
        <v>9.80000000000001</v>
      </c>
      <c r="K1303">
        <f t="shared" si="61"/>
        <v>0</v>
      </c>
    </row>
    <row r="1304" spans="1:11">
      <c r="A1304">
        <v>43.493</v>
      </c>
      <c r="B1304">
        <v>-192.1</v>
      </c>
      <c r="C1304">
        <v>26.7</v>
      </c>
      <c r="E1304">
        <v>43.459</v>
      </c>
      <c r="F1304">
        <v>-192.4</v>
      </c>
      <c r="G1304">
        <v>26.3</v>
      </c>
      <c r="I1304">
        <f t="shared" si="60"/>
        <v>43.45</v>
      </c>
      <c r="J1304">
        <f t="shared" si="62"/>
        <v>10.6</v>
      </c>
      <c r="K1304">
        <f t="shared" si="61"/>
        <v>0</v>
      </c>
    </row>
    <row r="1305" spans="1:11">
      <c r="A1305">
        <v>43.526</v>
      </c>
      <c r="B1305">
        <v>-191.6</v>
      </c>
      <c r="C1305">
        <v>25.7</v>
      </c>
      <c r="E1305">
        <v>43.493</v>
      </c>
      <c r="F1305">
        <v>-192.1</v>
      </c>
      <c r="G1305">
        <v>26.7</v>
      </c>
      <c r="I1305">
        <f t="shared" si="60"/>
        <v>43.45</v>
      </c>
      <c r="J1305">
        <f t="shared" si="62"/>
        <v>10.9</v>
      </c>
      <c r="K1305">
        <f t="shared" si="61"/>
        <v>0</v>
      </c>
    </row>
    <row r="1306" spans="1:11">
      <c r="A1306">
        <v>43.56</v>
      </c>
      <c r="B1306">
        <v>-191.5</v>
      </c>
      <c r="C1306">
        <v>25.7</v>
      </c>
      <c r="E1306">
        <v>43.526</v>
      </c>
      <c r="F1306">
        <v>-191.6</v>
      </c>
      <c r="G1306">
        <v>25.7</v>
      </c>
      <c r="I1306">
        <f t="shared" si="60"/>
        <v>43.5</v>
      </c>
      <c r="J1306">
        <f t="shared" si="62"/>
        <v>11.4</v>
      </c>
      <c r="K1306">
        <f t="shared" si="61"/>
        <v>0</v>
      </c>
    </row>
    <row r="1307" spans="1:11">
      <c r="A1307">
        <v>43.593</v>
      </c>
      <c r="B1307">
        <v>-191.5</v>
      </c>
      <c r="C1307">
        <v>25.8</v>
      </c>
      <c r="E1307">
        <v>43.56</v>
      </c>
      <c r="F1307">
        <v>-191.5</v>
      </c>
      <c r="G1307">
        <v>25.7</v>
      </c>
      <c r="I1307">
        <f t="shared" si="60"/>
        <v>43.55</v>
      </c>
      <c r="J1307">
        <f t="shared" si="62"/>
        <v>11.5</v>
      </c>
      <c r="K1307">
        <f t="shared" si="61"/>
        <v>0</v>
      </c>
    </row>
    <row r="1308" spans="1:11">
      <c r="A1308">
        <v>43.626</v>
      </c>
      <c r="B1308">
        <v>-191.4</v>
      </c>
      <c r="C1308">
        <v>26.2</v>
      </c>
      <c r="E1308">
        <v>43.593</v>
      </c>
      <c r="F1308">
        <v>-191.5</v>
      </c>
      <c r="G1308">
        <v>25.8</v>
      </c>
      <c r="I1308">
        <f t="shared" ref="I1308:I1371" si="63">FLOOR(E1308,0.05)</f>
        <v>43.55</v>
      </c>
      <c r="J1308">
        <f t="shared" si="62"/>
        <v>11.5</v>
      </c>
      <c r="K1308">
        <f t="shared" ref="K1308:K1371" si="64">IF(G1308&lt;230,0,5)</f>
        <v>0</v>
      </c>
    </row>
    <row r="1309" spans="1:11">
      <c r="A1309">
        <v>43.66</v>
      </c>
      <c r="B1309">
        <v>-191.5</v>
      </c>
      <c r="C1309">
        <v>25.6</v>
      </c>
      <c r="E1309">
        <v>43.626</v>
      </c>
      <c r="F1309">
        <v>-191.4</v>
      </c>
      <c r="G1309">
        <v>26.2</v>
      </c>
      <c r="I1309">
        <f t="shared" si="63"/>
        <v>43.6</v>
      </c>
      <c r="J1309">
        <f t="shared" si="62"/>
        <v>11.6</v>
      </c>
      <c r="K1309">
        <f t="shared" si="64"/>
        <v>0</v>
      </c>
    </row>
    <row r="1310" spans="1:11">
      <c r="A1310">
        <v>43.693</v>
      </c>
      <c r="B1310">
        <v>-191.8</v>
      </c>
      <c r="C1310">
        <v>25.9</v>
      </c>
      <c r="E1310">
        <v>43.66</v>
      </c>
      <c r="F1310">
        <v>-191.5</v>
      </c>
      <c r="G1310">
        <v>25.6</v>
      </c>
      <c r="I1310">
        <f t="shared" si="63"/>
        <v>43.65</v>
      </c>
      <c r="J1310">
        <f t="shared" si="62"/>
        <v>11.5</v>
      </c>
      <c r="K1310">
        <f t="shared" si="64"/>
        <v>0</v>
      </c>
    </row>
    <row r="1311" spans="1:11">
      <c r="A1311">
        <v>43.727</v>
      </c>
      <c r="B1311">
        <v>-191.9</v>
      </c>
      <c r="C1311">
        <v>25.7</v>
      </c>
      <c r="E1311">
        <v>43.693</v>
      </c>
      <c r="F1311">
        <v>-191.8</v>
      </c>
      <c r="G1311">
        <v>25.9</v>
      </c>
      <c r="I1311">
        <f t="shared" si="63"/>
        <v>43.65</v>
      </c>
      <c r="J1311">
        <f t="shared" si="62"/>
        <v>11.2</v>
      </c>
      <c r="K1311">
        <f t="shared" si="64"/>
        <v>0</v>
      </c>
    </row>
    <row r="1312" spans="1:11">
      <c r="A1312">
        <v>43.76</v>
      </c>
      <c r="B1312">
        <v>-192.2</v>
      </c>
      <c r="C1312">
        <v>25.9</v>
      </c>
      <c r="E1312">
        <v>43.727</v>
      </c>
      <c r="F1312">
        <v>-191.9</v>
      </c>
      <c r="G1312">
        <v>25.7</v>
      </c>
      <c r="I1312">
        <f t="shared" si="63"/>
        <v>43.7</v>
      </c>
      <c r="J1312">
        <f t="shared" si="62"/>
        <v>11.1</v>
      </c>
      <c r="K1312">
        <f t="shared" si="64"/>
        <v>0</v>
      </c>
    </row>
    <row r="1313" spans="1:11">
      <c r="A1313">
        <v>43.794</v>
      </c>
      <c r="B1313">
        <v>-192.7</v>
      </c>
      <c r="C1313">
        <v>25.5</v>
      </c>
      <c r="E1313">
        <v>43.76</v>
      </c>
      <c r="F1313">
        <v>-192.2</v>
      </c>
      <c r="G1313">
        <v>25.9</v>
      </c>
      <c r="I1313">
        <f t="shared" si="63"/>
        <v>43.75</v>
      </c>
      <c r="J1313">
        <f t="shared" si="62"/>
        <v>10.8</v>
      </c>
      <c r="K1313">
        <f t="shared" si="64"/>
        <v>0</v>
      </c>
    </row>
    <row r="1314" spans="1:11">
      <c r="A1314">
        <v>43.827</v>
      </c>
      <c r="B1314">
        <v>-193.6</v>
      </c>
      <c r="C1314">
        <v>25.5</v>
      </c>
      <c r="E1314">
        <v>43.794</v>
      </c>
      <c r="F1314">
        <v>-192.7</v>
      </c>
      <c r="G1314">
        <v>25.5</v>
      </c>
      <c r="I1314">
        <f t="shared" si="63"/>
        <v>43.75</v>
      </c>
      <c r="J1314">
        <f t="shared" si="62"/>
        <v>10.3</v>
      </c>
      <c r="K1314">
        <f t="shared" si="64"/>
        <v>0</v>
      </c>
    </row>
    <row r="1315" spans="1:11">
      <c r="A1315">
        <v>43.86</v>
      </c>
      <c r="B1315">
        <v>-195</v>
      </c>
      <c r="C1315">
        <v>26</v>
      </c>
      <c r="E1315">
        <v>43.827</v>
      </c>
      <c r="F1315">
        <v>-193.6</v>
      </c>
      <c r="G1315">
        <v>25.5</v>
      </c>
      <c r="I1315">
        <f t="shared" si="63"/>
        <v>43.8</v>
      </c>
      <c r="J1315">
        <f t="shared" si="62"/>
        <v>9.40000000000001</v>
      </c>
      <c r="K1315">
        <f t="shared" si="64"/>
        <v>0</v>
      </c>
    </row>
    <row r="1316" spans="1:11">
      <c r="A1316">
        <v>43.894</v>
      </c>
      <c r="B1316">
        <v>-195.8</v>
      </c>
      <c r="C1316">
        <v>25.8</v>
      </c>
      <c r="E1316">
        <v>43.86</v>
      </c>
      <c r="F1316">
        <v>-195</v>
      </c>
      <c r="G1316">
        <v>26</v>
      </c>
      <c r="I1316">
        <f t="shared" si="63"/>
        <v>43.85</v>
      </c>
      <c r="J1316">
        <f t="shared" si="62"/>
        <v>8</v>
      </c>
      <c r="K1316">
        <f t="shared" si="64"/>
        <v>0</v>
      </c>
    </row>
    <row r="1317" spans="1:11">
      <c r="A1317">
        <v>43.927</v>
      </c>
      <c r="B1317">
        <v>-197</v>
      </c>
      <c r="C1317">
        <v>25.9</v>
      </c>
      <c r="E1317">
        <v>43.894</v>
      </c>
      <c r="F1317">
        <v>-195.8</v>
      </c>
      <c r="G1317">
        <v>25.8</v>
      </c>
      <c r="I1317">
        <f t="shared" si="63"/>
        <v>43.85</v>
      </c>
      <c r="J1317">
        <f t="shared" si="62"/>
        <v>7.19999999999999</v>
      </c>
      <c r="K1317">
        <f t="shared" si="64"/>
        <v>0</v>
      </c>
    </row>
    <row r="1318" spans="1:11">
      <c r="A1318">
        <v>43.961</v>
      </c>
      <c r="B1318">
        <v>-198.7</v>
      </c>
      <c r="C1318">
        <v>25.7</v>
      </c>
      <c r="E1318">
        <v>43.927</v>
      </c>
      <c r="F1318">
        <v>-197</v>
      </c>
      <c r="G1318">
        <v>25.9</v>
      </c>
      <c r="I1318">
        <f t="shared" si="63"/>
        <v>43.9</v>
      </c>
      <c r="J1318">
        <f t="shared" si="62"/>
        <v>6</v>
      </c>
      <c r="K1318">
        <f t="shared" si="64"/>
        <v>0</v>
      </c>
    </row>
    <row r="1319" spans="1:11">
      <c r="A1319">
        <v>43.994</v>
      </c>
      <c r="B1319">
        <v>-199.8</v>
      </c>
      <c r="C1319">
        <v>25.7</v>
      </c>
      <c r="E1319">
        <v>43.961</v>
      </c>
      <c r="F1319">
        <v>-198.7</v>
      </c>
      <c r="G1319">
        <v>25.7</v>
      </c>
      <c r="I1319">
        <f t="shared" si="63"/>
        <v>43.95</v>
      </c>
      <c r="J1319">
        <f t="shared" si="62"/>
        <v>4.30000000000001</v>
      </c>
      <c r="K1319">
        <f t="shared" si="64"/>
        <v>0</v>
      </c>
    </row>
    <row r="1320" spans="1:11">
      <c r="A1320">
        <v>44.028</v>
      </c>
      <c r="B1320">
        <v>-201</v>
      </c>
      <c r="C1320">
        <v>25.3</v>
      </c>
      <c r="E1320">
        <v>43.994</v>
      </c>
      <c r="F1320">
        <v>-199.8</v>
      </c>
      <c r="G1320">
        <v>25.7</v>
      </c>
      <c r="I1320">
        <f t="shared" si="63"/>
        <v>43.95</v>
      </c>
      <c r="J1320">
        <f t="shared" si="62"/>
        <v>3.19999999999999</v>
      </c>
      <c r="K1320">
        <f t="shared" si="64"/>
        <v>0</v>
      </c>
    </row>
    <row r="1321" spans="1:11">
      <c r="A1321">
        <v>44.061</v>
      </c>
      <c r="B1321">
        <v>-201.9</v>
      </c>
      <c r="C1321">
        <v>25.5</v>
      </c>
      <c r="E1321">
        <v>44.028</v>
      </c>
      <c r="F1321">
        <v>-201</v>
      </c>
      <c r="G1321">
        <v>25.3</v>
      </c>
      <c r="I1321">
        <f t="shared" si="63"/>
        <v>44</v>
      </c>
      <c r="J1321">
        <f t="shared" si="62"/>
        <v>2</v>
      </c>
      <c r="K1321">
        <f t="shared" si="64"/>
        <v>0</v>
      </c>
    </row>
    <row r="1322" spans="1:11">
      <c r="A1322">
        <v>44.094</v>
      </c>
      <c r="B1322">
        <v>-202.9</v>
      </c>
      <c r="C1322">
        <v>26.1</v>
      </c>
      <c r="E1322">
        <v>44.061</v>
      </c>
      <c r="F1322">
        <v>-201.9</v>
      </c>
      <c r="G1322">
        <v>25.5</v>
      </c>
      <c r="I1322">
        <f t="shared" si="63"/>
        <v>44.05</v>
      </c>
      <c r="J1322">
        <f t="shared" si="62"/>
        <v>1.09999999999999</v>
      </c>
      <c r="K1322">
        <f t="shared" si="64"/>
        <v>0</v>
      </c>
    </row>
    <row r="1323" spans="1:11">
      <c r="A1323">
        <v>44.128</v>
      </c>
      <c r="B1323">
        <v>-203.9</v>
      </c>
      <c r="C1323">
        <v>26.1</v>
      </c>
      <c r="E1323">
        <v>44.094</v>
      </c>
      <c r="F1323">
        <v>-202.9</v>
      </c>
      <c r="G1323">
        <v>26.1</v>
      </c>
      <c r="I1323">
        <f t="shared" si="63"/>
        <v>44.05</v>
      </c>
      <c r="J1323">
        <f t="shared" si="62"/>
        <v>0.0999999999999943</v>
      </c>
      <c r="K1323">
        <f t="shared" si="64"/>
        <v>0</v>
      </c>
    </row>
    <row r="1324" spans="1:11">
      <c r="A1324">
        <v>44.161</v>
      </c>
      <c r="B1324">
        <v>-204.8</v>
      </c>
      <c r="C1324">
        <v>26.2</v>
      </c>
      <c r="E1324">
        <v>44.128</v>
      </c>
      <c r="F1324">
        <v>-203.9</v>
      </c>
      <c r="G1324">
        <v>26.1</v>
      </c>
      <c r="I1324">
        <f t="shared" si="63"/>
        <v>44.1</v>
      </c>
      <c r="J1324">
        <f t="shared" si="62"/>
        <v>-0.900000000000006</v>
      </c>
      <c r="K1324">
        <f t="shared" si="64"/>
        <v>0</v>
      </c>
    </row>
    <row r="1325" spans="1:11">
      <c r="A1325">
        <v>44.195</v>
      </c>
      <c r="B1325">
        <v>-205.5</v>
      </c>
      <c r="C1325">
        <v>25.8</v>
      </c>
      <c r="E1325">
        <v>44.161</v>
      </c>
      <c r="F1325">
        <v>-204.8</v>
      </c>
      <c r="G1325">
        <v>26.2</v>
      </c>
      <c r="I1325">
        <f t="shared" si="63"/>
        <v>44.15</v>
      </c>
      <c r="J1325">
        <f t="shared" si="62"/>
        <v>-1.80000000000001</v>
      </c>
      <c r="K1325">
        <f t="shared" si="64"/>
        <v>0</v>
      </c>
    </row>
    <row r="1326" spans="1:11">
      <c r="A1326">
        <v>44.228</v>
      </c>
      <c r="B1326">
        <v>-206.1</v>
      </c>
      <c r="C1326">
        <v>25.7</v>
      </c>
      <c r="E1326">
        <v>44.195</v>
      </c>
      <c r="F1326">
        <v>-205.5</v>
      </c>
      <c r="G1326">
        <v>25.8</v>
      </c>
      <c r="I1326">
        <f t="shared" si="63"/>
        <v>44.15</v>
      </c>
      <c r="J1326">
        <f t="shared" si="62"/>
        <v>-2.5</v>
      </c>
      <c r="K1326">
        <f t="shared" si="64"/>
        <v>0</v>
      </c>
    </row>
    <row r="1327" spans="1:11">
      <c r="A1327">
        <v>44.262</v>
      </c>
      <c r="B1327">
        <v>-206.5</v>
      </c>
      <c r="C1327">
        <v>26.1</v>
      </c>
      <c r="E1327">
        <v>44.228</v>
      </c>
      <c r="F1327">
        <v>-206.1</v>
      </c>
      <c r="G1327">
        <v>25.7</v>
      </c>
      <c r="I1327">
        <f t="shared" si="63"/>
        <v>44.2</v>
      </c>
      <c r="J1327">
        <f t="shared" si="62"/>
        <v>-3.09999999999999</v>
      </c>
      <c r="K1327">
        <f t="shared" si="64"/>
        <v>0</v>
      </c>
    </row>
    <row r="1328" spans="1:11">
      <c r="A1328">
        <v>44.295</v>
      </c>
      <c r="B1328">
        <v>-206.9</v>
      </c>
      <c r="C1328">
        <v>25.4</v>
      </c>
      <c r="E1328">
        <v>44.262</v>
      </c>
      <c r="F1328">
        <v>-206.5</v>
      </c>
      <c r="G1328">
        <v>26.1</v>
      </c>
      <c r="I1328">
        <f t="shared" si="63"/>
        <v>44.25</v>
      </c>
      <c r="J1328">
        <f t="shared" si="62"/>
        <v>-3.5</v>
      </c>
      <c r="K1328">
        <f t="shared" si="64"/>
        <v>0</v>
      </c>
    </row>
    <row r="1329" spans="1:11">
      <c r="A1329">
        <v>44.328</v>
      </c>
      <c r="B1329">
        <v>-206.9</v>
      </c>
      <c r="C1329">
        <v>25.7</v>
      </c>
      <c r="E1329">
        <v>44.295</v>
      </c>
      <c r="F1329">
        <v>-206.9</v>
      </c>
      <c r="G1329">
        <v>25.4</v>
      </c>
      <c r="I1329">
        <f t="shared" si="63"/>
        <v>44.25</v>
      </c>
      <c r="J1329">
        <f t="shared" si="62"/>
        <v>-3.90000000000001</v>
      </c>
      <c r="K1329">
        <f t="shared" si="64"/>
        <v>0</v>
      </c>
    </row>
    <row r="1330" spans="1:11">
      <c r="A1330">
        <v>44.362</v>
      </c>
      <c r="B1330">
        <v>-206.9</v>
      </c>
      <c r="C1330">
        <v>25.7</v>
      </c>
      <c r="E1330">
        <v>44.328</v>
      </c>
      <c r="F1330">
        <v>-206.9</v>
      </c>
      <c r="G1330">
        <v>25.7</v>
      </c>
      <c r="I1330">
        <f t="shared" si="63"/>
        <v>44.3</v>
      </c>
      <c r="J1330">
        <f t="shared" si="62"/>
        <v>-3.90000000000001</v>
      </c>
      <c r="K1330">
        <f t="shared" si="64"/>
        <v>0</v>
      </c>
    </row>
    <row r="1331" spans="1:11">
      <c r="A1331">
        <v>44.395</v>
      </c>
      <c r="B1331">
        <v>-206.7</v>
      </c>
      <c r="C1331">
        <v>26</v>
      </c>
      <c r="E1331">
        <v>44.362</v>
      </c>
      <c r="F1331">
        <v>-206.9</v>
      </c>
      <c r="G1331">
        <v>25.7</v>
      </c>
      <c r="I1331">
        <f t="shared" si="63"/>
        <v>44.35</v>
      </c>
      <c r="J1331">
        <f t="shared" si="62"/>
        <v>-3.90000000000001</v>
      </c>
      <c r="K1331">
        <f t="shared" si="64"/>
        <v>0</v>
      </c>
    </row>
    <row r="1332" spans="1:11">
      <c r="A1332">
        <v>44.429</v>
      </c>
      <c r="B1332">
        <v>-206.4</v>
      </c>
      <c r="C1332">
        <v>25.8</v>
      </c>
      <c r="E1332">
        <v>44.395</v>
      </c>
      <c r="F1332">
        <v>-206.7</v>
      </c>
      <c r="G1332">
        <v>26</v>
      </c>
      <c r="I1332">
        <f t="shared" si="63"/>
        <v>44.35</v>
      </c>
      <c r="J1332">
        <f t="shared" si="62"/>
        <v>-3.69999999999999</v>
      </c>
      <c r="K1332">
        <f t="shared" si="64"/>
        <v>0</v>
      </c>
    </row>
    <row r="1333" spans="1:11">
      <c r="A1333">
        <v>44.462</v>
      </c>
      <c r="B1333">
        <v>-206.4</v>
      </c>
      <c r="C1333">
        <v>25.5</v>
      </c>
      <c r="E1333">
        <v>44.429</v>
      </c>
      <c r="F1333">
        <v>-206.4</v>
      </c>
      <c r="G1333">
        <v>25.8</v>
      </c>
      <c r="I1333">
        <f t="shared" si="63"/>
        <v>44.4</v>
      </c>
      <c r="J1333">
        <f t="shared" si="62"/>
        <v>-3.40000000000001</v>
      </c>
      <c r="K1333">
        <f t="shared" si="64"/>
        <v>0</v>
      </c>
    </row>
    <row r="1334" spans="1:11">
      <c r="A1334">
        <v>44.496</v>
      </c>
      <c r="B1334">
        <v>-205.9</v>
      </c>
      <c r="C1334">
        <v>25.7</v>
      </c>
      <c r="E1334">
        <v>44.462</v>
      </c>
      <c r="F1334">
        <v>-206.4</v>
      </c>
      <c r="G1334">
        <v>25.5</v>
      </c>
      <c r="I1334">
        <f t="shared" si="63"/>
        <v>44.45</v>
      </c>
      <c r="J1334">
        <f t="shared" si="62"/>
        <v>-3.40000000000001</v>
      </c>
      <c r="K1334">
        <f t="shared" si="64"/>
        <v>0</v>
      </c>
    </row>
    <row r="1335" spans="1:11">
      <c r="A1335">
        <v>44.529</v>
      </c>
      <c r="B1335">
        <v>-205.2</v>
      </c>
      <c r="C1335">
        <v>26</v>
      </c>
      <c r="E1335">
        <v>44.496</v>
      </c>
      <c r="F1335">
        <v>-205.9</v>
      </c>
      <c r="G1335">
        <v>25.7</v>
      </c>
      <c r="I1335">
        <f t="shared" si="63"/>
        <v>44.45</v>
      </c>
      <c r="J1335">
        <f t="shared" si="62"/>
        <v>-2.90000000000001</v>
      </c>
      <c r="K1335">
        <f t="shared" si="64"/>
        <v>0</v>
      </c>
    </row>
    <row r="1336" spans="1:11">
      <c r="A1336">
        <v>44.562</v>
      </c>
      <c r="B1336">
        <v>-204.2</v>
      </c>
      <c r="C1336">
        <v>26.1</v>
      </c>
      <c r="E1336">
        <v>44.529</v>
      </c>
      <c r="F1336">
        <v>-205.2</v>
      </c>
      <c r="G1336">
        <v>26</v>
      </c>
      <c r="I1336">
        <f t="shared" si="63"/>
        <v>44.5</v>
      </c>
      <c r="J1336">
        <f t="shared" si="62"/>
        <v>-2.19999999999999</v>
      </c>
      <c r="K1336">
        <f t="shared" si="64"/>
        <v>0</v>
      </c>
    </row>
    <row r="1337" spans="1:11">
      <c r="A1337">
        <v>44.596</v>
      </c>
      <c r="B1337">
        <v>-203</v>
      </c>
      <c r="C1337">
        <v>25.7</v>
      </c>
      <c r="E1337">
        <v>44.562</v>
      </c>
      <c r="F1337">
        <v>-204.2</v>
      </c>
      <c r="G1337">
        <v>26.1</v>
      </c>
      <c r="I1337">
        <f t="shared" si="63"/>
        <v>44.55</v>
      </c>
      <c r="J1337">
        <f t="shared" si="62"/>
        <v>-1.19999999999999</v>
      </c>
      <c r="K1337">
        <f t="shared" si="64"/>
        <v>0</v>
      </c>
    </row>
    <row r="1338" spans="1:11">
      <c r="A1338">
        <v>44.629</v>
      </c>
      <c r="B1338">
        <v>-202.2</v>
      </c>
      <c r="C1338">
        <v>25.9</v>
      </c>
      <c r="E1338">
        <v>44.596</v>
      </c>
      <c r="F1338">
        <v>-203</v>
      </c>
      <c r="G1338">
        <v>25.7</v>
      </c>
      <c r="I1338">
        <f t="shared" si="63"/>
        <v>44.55</v>
      </c>
      <c r="J1338">
        <f t="shared" si="62"/>
        <v>0</v>
      </c>
      <c r="K1338">
        <f t="shared" si="64"/>
        <v>0</v>
      </c>
    </row>
    <row r="1339" spans="1:11">
      <c r="A1339">
        <v>44.663</v>
      </c>
      <c r="B1339">
        <v>-201.1</v>
      </c>
      <c r="C1339">
        <v>25.8</v>
      </c>
      <c r="E1339">
        <v>44.629</v>
      </c>
      <c r="F1339">
        <v>-202.2</v>
      </c>
      <c r="G1339">
        <v>25.9</v>
      </c>
      <c r="I1339">
        <f t="shared" si="63"/>
        <v>44.6</v>
      </c>
      <c r="J1339">
        <f t="shared" si="62"/>
        <v>0.800000000000011</v>
      </c>
      <c r="K1339">
        <f t="shared" si="64"/>
        <v>0</v>
      </c>
    </row>
    <row r="1340" spans="1:11">
      <c r="A1340">
        <v>44.696</v>
      </c>
      <c r="B1340">
        <v>-199.7</v>
      </c>
      <c r="C1340">
        <v>26.1</v>
      </c>
      <c r="E1340">
        <v>44.663</v>
      </c>
      <c r="F1340">
        <v>-201.1</v>
      </c>
      <c r="G1340">
        <v>25.8</v>
      </c>
      <c r="I1340">
        <f t="shared" si="63"/>
        <v>44.65</v>
      </c>
      <c r="J1340">
        <f t="shared" si="62"/>
        <v>1.90000000000001</v>
      </c>
      <c r="K1340">
        <f t="shared" si="64"/>
        <v>0</v>
      </c>
    </row>
    <row r="1341" spans="1:11">
      <c r="A1341">
        <v>44.73</v>
      </c>
      <c r="B1341">
        <v>-198.8</v>
      </c>
      <c r="C1341">
        <v>25.8</v>
      </c>
      <c r="E1341">
        <v>44.696</v>
      </c>
      <c r="F1341">
        <v>-199.7</v>
      </c>
      <c r="G1341">
        <v>26.1</v>
      </c>
      <c r="I1341">
        <f t="shared" si="63"/>
        <v>44.65</v>
      </c>
      <c r="J1341">
        <f t="shared" si="62"/>
        <v>3.30000000000001</v>
      </c>
      <c r="K1341">
        <f t="shared" si="64"/>
        <v>0</v>
      </c>
    </row>
    <row r="1342" spans="1:11">
      <c r="A1342">
        <v>44.763</v>
      </c>
      <c r="B1342">
        <v>-197.4</v>
      </c>
      <c r="C1342">
        <v>26</v>
      </c>
      <c r="E1342">
        <v>44.73</v>
      </c>
      <c r="F1342">
        <v>-198.8</v>
      </c>
      <c r="G1342">
        <v>25.8</v>
      </c>
      <c r="I1342">
        <f t="shared" si="63"/>
        <v>44.7</v>
      </c>
      <c r="J1342">
        <f t="shared" si="62"/>
        <v>4.19999999999999</v>
      </c>
      <c r="K1342">
        <f t="shared" si="64"/>
        <v>0</v>
      </c>
    </row>
    <row r="1343" spans="1:11">
      <c r="A1343">
        <v>44.796</v>
      </c>
      <c r="B1343">
        <v>-196.2</v>
      </c>
      <c r="C1343">
        <v>26.1</v>
      </c>
      <c r="E1343">
        <v>44.763</v>
      </c>
      <c r="F1343">
        <v>-197.4</v>
      </c>
      <c r="G1343">
        <v>26</v>
      </c>
      <c r="I1343">
        <f t="shared" si="63"/>
        <v>44.75</v>
      </c>
      <c r="J1343">
        <f t="shared" si="62"/>
        <v>5.59999999999999</v>
      </c>
      <c r="K1343">
        <f t="shared" si="64"/>
        <v>0</v>
      </c>
    </row>
    <row r="1344" spans="1:11">
      <c r="A1344">
        <v>44.83</v>
      </c>
      <c r="B1344">
        <v>-195.3</v>
      </c>
      <c r="C1344">
        <v>25.3</v>
      </c>
      <c r="E1344">
        <v>44.796</v>
      </c>
      <c r="F1344">
        <v>-196.2</v>
      </c>
      <c r="G1344">
        <v>26.1</v>
      </c>
      <c r="I1344">
        <f t="shared" si="63"/>
        <v>44.75</v>
      </c>
      <c r="J1344">
        <f t="shared" si="62"/>
        <v>6.80000000000001</v>
      </c>
      <c r="K1344">
        <f t="shared" si="64"/>
        <v>0</v>
      </c>
    </row>
    <row r="1345" spans="1:11">
      <c r="A1345">
        <v>44.863</v>
      </c>
      <c r="B1345">
        <v>-194.2</v>
      </c>
      <c r="C1345">
        <v>26</v>
      </c>
      <c r="E1345">
        <v>44.83</v>
      </c>
      <c r="F1345">
        <v>-195.3</v>
      </c>
      <c r="G1345">
        <v>25.3</v>
      </c>
      <c r="I1345">
        <f t="shared" si="63"/>
        <v>44.8</v>
      </c>
      <c r="J1345">
        <f t="shared" si="62"/>
        <v>7.69999999999999</v>
      </c>
      <c r="K1345">
        <f t="shared" si="64"/>
        <v>0</v>
      </c>
    </row>
    <row r="1346" spans="1:11">
      <c r="A1346">
        <v>44.897</v>
      </c>
      <c r="B1346">
        <v>-193.3</v>
      </c>
      <c r="C1346">
        <v>26.2</v>
      </c>
      <c r="E1346">
        <v>44.863</v>
      </c>
      <c r="F1346">
        <v>-194.2</v>
      </c>
      <c r="G1346">
        <v>26</v>
      </c>
      <c r="I1346">
        <f t="shared" si="63"/>
        <v>44.85</v>
      </c>
      <c r="J1346">
        <f t="shared" si="62"/>
        <v>8.80000000000001</v>
      </c>
      <c r="K1346">
        <f t="shared" si="64"/>
        <v>0</v>
      </c>
    </row>
    <row r="1347" spans="1:11">
      <c r="A1347">
        <v>44.93</v>
      </c>
      <c r="B1347">
        <v>-192.5</v>
      </c>
      <c r="C1347">
        <v>25.9</v>
      </c>
      <c r="E1347">
        <v>44.897</v>
      </c>
      <c r="F1347">
        <v>-193.3</v>
      </c>
      <c r="G1347">
        <v>26.2</v>
      </c>
      <c r="I1347">
        <f t="shared" si="63"/>
        <v>44.85</v>
      </c>
      <c r="J1347">
        <f t="shared" si="62"/>
        <v>9.69999999999999</v>
      </c>
      <c r="K1347">
        <f t="shared" si="64"/>
        <v>0</v>
      </c>
    </row>
    <row r="1348" spans="1:11">
      <c r="A1348">
        <v>44.964</v>
      </c>
      <c r="B1348">
        <v>-192.2</v>
      </c>
      <c r="C1348">
        <v>26.3</v>
      </c>
      <c r="E1348">
        <v>44.93</v>
      </c>
      <c r="F1348">
        <v>-192.5</v>
      </c>
      <c r="G1348">
        <v>25.9</v>
      </c>
      <c r="I1348">
        <f t="shared" si="63"/>
        <v>44.9</v>
      </c>
      <c r="J1348">
        <f t="shared" si="62"/>
        <v>10.5</v>
      </c>
      <c r="K1348">
        <f t="shared" si="64"/>
        <v>0</v>
      </c>
    </row>
    <row r="1349" spans="1:11">
      <c r="A1349">
        <v>44.997</v>
      </c>
      <c r="B1349">
        <v>-191.7</v>
      </c>
      <c r="C1349">
        <v>25.5</v>
      </c>
      <c r="E1349">
        <v>44.964</v>
      </c>
      <c r="F1349">
        <v>-192.2</v>
      </c>
      <c r="G1349">
        <v>26.3</v>
      </c>
      <c r="I1349">
        <f t="shared" si="63"/>
        <v>44.95</v>
      </c>
      <c r="J1349">
        <f t="shared" ref="J1349:J1412" si="65">F1349+203</f>
        <v>10.8</v>
      </c>
      <c r="K1349">
        <f t="shared" si="64"/>
        <v>0</v>
      </c>
    </row>
    <row r="1350" spans="1:11">
      <c r="A1350">
        <v>45.03</v>
      </c>
      <c r="B1350">
        <v>-191.6</v>
      </c>
      <c r="C1350">
        <v>26.2</v>
      </c>
      <c r="E1350">
        <v>44.997</v>
      </c>
      <c r="F1350">
        <v>-191.7</v>
      </c>
      <c r="G1350">
        <v>25.5</v>
      </c>
      <c r="I1350">
        <f t="shared" si="63"/>
        <v>44.95</v>
      </c>
      <c r="J1350">
        <f t="shared" si="65"/>
        <v>11.3</v>
      </c>
      <c r="K1350">
        <f t="shared" si="64"/>
        <v>0</v>
      </c>
    </row>
    <row r="1351" spans="1:11">
      <c r="A1351">
        <v>45.064</v>
      </c>
      <c r="B1351">
        <v>-191.6</v>
      </c>
      <c r="C1351">
        <v>26.3</v>
      </c>
      <c r="E1351">
        <v>45.03</v>
      </c>
      <c r="F1351">
        <v>-191.6</v>
      </c>
      <c r="G1351">
        <v>26.2</v>
      </c>
      <c r="I1351">
        <f t="shared" si="63"/>
        <v>45</v>
      </c>
      <c r="J1351">
        <f t="shared" si="65"/>
        <v>11.4</v>
      </c>
      <c r="K1351">
        <f t="shared" si="64"/>
        <v>0</v>
      </c>
    </row>
    <row r="1352" spans="1:11">
      <c r="A1352">
        <v>45.097</v>
      </c>
      <c r="B1352">
        <v>-191.6</v>
      </c>
      <c r="C1352">
        <v>26.5</v>
      </c>
      <c r="E1352">
        <v>45.064</v>
      </c>
      <c r="F1352">
        <v>-191.6</v>
      </c>
      <c r="G1352">
        <v>26.3</v>
      </c>
      <c r="I1352">
        <f t="shared" si="63"/>
        <v>45.05</v>
      </c>
      <c r="J1352">
        <f t="shared" si="65"/>
        <v>11.4</v>
      </c>
      <c r="K1352">
        <f t="shared" si="64"/>
        <v>0</v>
      </c>
    </row>
    <row r="1353" spans="1:11">
      <c r="A1353">
        <v>45.131</v>
      </c>
      <c r="B1353">
        <v>-191.7</v>
      </c>
      <c r="C1353">
        <v>25.7</v>
      </c>
      <c r="E1353">
        <v>45.097</v>
      </c>
      <c r="F1353">
        <v>-191.6</v>
      </c>
      <c r="G1353">
        <v>26.5</v>
      </c>
      <c r="I1353">
        <f t="shared" si="63"/>
        <v>45.05</v>
      </c>
      <c r="J1353">
        <f t="shared" si="65"/>
        <v>11.4</v>
      </c>
      <c r="K1353">
        <f t="shared" si="64"/>
        <v>0</v>
      </c>
    </row>
    <row r="1354" spans="1:11">
      <c r="A1354">
        <v>45.164</v>
      </c>
      <c r="B1354">
        <v>-191.9</v>
      </c>
      <c r="C1354">
        <v>26.1</v>
      </c>
      <c r="E1354">
        <v>45.131</v>
      </c>
      <c r="F1354">
        <v>-191.7</v>
      </c>
      <c r="G1354">
        <v>25.7</v>
      </c>
      <c r="I1354">
        <f t="shared" si="63"/>
        <v>45.1</v>
      </c>
      <c r="J1354">
        <f t="shared" si="65"/>
        <v>11.3</v>
      </c>
      <c r="K1354">
        <f t="shared" si="64"/>
        <v>0</v>
      </c>
    </row>
    <row r="1355" spans="1:11">
      <c r="A1355">
        <v>45.198</v>
      </c>
      <c r="B1355">
        <v>-192.1</v>
      </c>
      <c r="C1355">
        <v>26.2</v>
      </c>
      <c r="E1355">
        <v>45.164</v>
      </c>
      <c r="F1355">
        <v>-191.9</v>
      </c>
      <c r="G1355">
        <v>26.1</v>
      </c>
      <c r="I1355">
        <f t="shared" si="63"/>
        <v>45.15</v>
      </c>
      <c r="J1355">
        <f t="shared" si="65"/>
        <v>11.1</v>
      </c>
      <c r="K1355">
        <f t="shared" si="64"/>
        <v>0</v>
      </c>
    </row>
    <row r="1356" spans="1:11">
      <c r="A1356">
        <v>45.231</v>
      </c>
      <c r="B1356">
        <v>-192.4</v>
      </c>
      <c r="C1356">
        <v>26.2</v>
      </c>
      <c r="E1356">
        <v>45.198</v>
      </c>
      <c r="F1356">
        <v>-192.1</v>
      </c>
      <c r="G1356">
        <v>26.2</v>
      </c>
      <c r="I1356">
        <f t="shared" si="63"/>
        <v>45.15</v>
      </c>
      <c r="J1356">
        <f t="shared" si="65"/>
        <v>10.9</v>
      </c>
      <c r="K1356">
        <f t="shared" si="64"/>
        <v>0</v>
      </c>
    </row>
    <row r="1357" spans="1:11">
      <c r="A1357">
        <v>45.265</v>
      </c>
      <c r="B1357">
        <v>-193.2</v>
      </c>
      <c r="C1357">
        <v>26.1</v>
      </c>
      <c r="E1357">
        <v>45.231</v>
      </c>
      <c r="F1357">
        <v>-192.4</v>
      </c>
      <c r="G1357">
        <v>26.2</v>
      </c>
      <c r="I1357">
        <f t="shared" si="63"/>
        <v>45.2</v>
      </c>
      <c r="J1357">
        <f t="shared" si="65"/>
        <v>10.6</v>
      </c>
      <c r="K1357">
        <f t="shared" si="64"/>
        <v>0</v>
      </c>
    </row>
    <row r="1358" spans="1:11">
      <c r="A1358">
        <v>45.298</v>
      </c>
      <c r="B1358">
        <v>-194</v>
      </c>
      <c r="C1358">
        <v>25.7</v>
      </c>
      <c r="E1358">
        <v>45.265</v>
      </c>
      <c r="F1358">
        <v>-193.2</v>
      </c>
      <c r="G1358">
        <v>26.1</v>
      </c>
      <c r="I1358">
        <f t="shared" si="63"/>
        <v>45.25</v>
      </c>
      <c r="J1358">
        <f t="shared" si="65"/>
        <v>9.80000000000001</v>
      </c>
      <c r="K1358">
        <f t="shared" si="64"/>
        <v>0</v>
      </c>
    </row>
    <row r="1359" spans="1:11">
      <c r="A1359">
        <v>45.331</v>
      </c>
      <c r="B1359">
        <v>-195.1</v>
      </c>
      <c r="C1359">
        <v>25.7</v>
      </c>
      <c r="E1359">
        <v>45.298</v>
      </c>
      <c r="F1359">
        <v>-194</v>
      </c>
      <c r="G1359">
        <v>25.7</v>
      </c>
      <c r="I1359">
        <f t="shared" si="63"/>
        <v>45.25</v>
      </c>
      <c r="J1359">
        <f t="shared" si="65"/>
        <v>9</v>
      </c>
      <c r="K1359">
        <f t="shared" si="64"/>
        <v>0</v>
      </c>
    </row>
    <row r="1360" spans="1:11">
      <c r="A1360">
        <v>45.365</v>
      </c>
      <c r="B1360">
        <v>-196</v>
      </c>
      <c r="C1360">
        <v>25</v>
      </c>
      <c r="E1360">
        <v>45.331</v>
      </c>
      <c r="F1360">
        <v>-195.1</v>
      </c>
      <c r="G1360">
        <v>25.7</v>
      </c>
      <c r="I1360">
        <f t="shared" si="63"/>
        <v>45.3</v>
      </c>
      <c r="J1360">
        <f t="shared" si="65"/>
        <v>7.90000000000001</v>
      </c>
      <c r="K1360">
        <f t="shared" si="64"/>
        <v>0</v>
      </c>
    </row>
    <row r="1361" spans="1:11">
      <c r="A1361">
        <v>45.398</v>
      </c>
      <c r="B1361">
        <v>-197.5</v>
      </c>
      <c r="C1361">
        <v>25.5</v>
      </c>
      <c r="E1361">
        <v>45.365</v>
      </c>
      <c r="F1361">
        <v>-196</v>
      </c>
      <c r="G1361">
        <v>25</v>
      </c>
      <c r="I1361">
        <f t="shared" si="63"/>
        <v>45.35</v>
      </c>
      <c r="J1361">
        <f t="shared" si="65"/>
        <v>7</v>
      </c>
      <c r="K1361">
        <f t="shared" si="64"/>
        <v>0</v>
      </c>
    </row>
    <row r="1362" spans="1:11">
      <c r="A1362">
        <v>45.432</v>
      </c>
      <c r="B1362">
        <v>-199</v>
      </c>
      <c r="C1362">
        <v>26</v>
      </c>
      <c r="E1362">
        <v>45.398</v>
      </c>
      <c r="F1362">
        <v>-197.5</v>
      </c>
      <c r="G1362">
        <v>25.5</v>
      </c>
      <c r="I1362">
        <f t="shared" si="63"/>
        <v>45.35</v>
      </c>
      <c r="J1362">
        <f t="shared" si="65"/>
        <v>5.5</v>
      </c>
      <c r="K1362">
        <f t="shared" si="64"/>
        <v>0</v>
      </c>
    </row>
    <row r="1363" spans="1:11">
      <c r="A1363">
        <v>45.465</v>
      </c>
      <c r="B1363">
        <v>-199.9</v>
      </c>
      <c r="C1363">
        <v>25.3</v>
      </c>
      <c r="E1363">
        <v>45.432</v>
      </c>
      <c r="F1363">
        <v>-199</v>
      </c>
      <c r="G1363">
        <v>26</v>
      </c>
      <c r="I1363">
        <f t="shared" si="63"/>
        <v>45.4</v>
      </c>
      <c r="J1363">
        <f t="shared" si="65"/>
        <v>4</v>
      </c>
      <c r="K1363">
        <f t="shared" si="64"/>
        <v>0</v>
      </c>
    </row>
    <row r="1364" spans="1:11">
      <c r="A1364">
        <v>45.499</v>
      </c>
      <c r="B1364">
        <v>-200.9</v>
      </c>
      <c r="C1364">
        <v>25.4</v>
      </c>
      <c r="E1364">
        <v>45.465</v>
      </c>
      <c r="F1364">
        <v>-199.9</v>
      </c>
      <c r="G1364">
        <v>25.3</v>
      </c>
      <c r="I1364">
        <f t="shared" si="63"/>
        <v>45.45</v>
      </c>
      <c r="J1364">
        <f t="shared" si="65"/>
        <v>3.09999999999999</v>
      </c>
      <c r="K1364">
        <f t="shared" si="64"/>
        <v>0</v>
      </c>
    </row>
    <row r="1365" spans="1:11">
      <c r="A1365">
        <v>45.532</v>
      </c>
      <c r="B1365">
        <v>-202.1</v>
      </c>
      <c r="C1365">
        <v>25.8</v>
      </c>
      <c r="E1365">
        <v>45.499</v>
      </c>
      <c r="F1365">
        <v>-200.9</v>
      </c>
      <c r="G1365">
        <v>25.4</v>
      </c>
      <c r="I1365">
        <f t="shared" si="63"/>
        <v>45.45</v>
      </c>
      <c r="J1365">
        <f t="shared" si="65"/>
        <v>2.09999999999999</v>
      </c>
      <c r="K1365">
        <f t="shared" si="64"/>
        <v>0</v>
      </c>
    </row>
    <row r="1366" spans="1:11">
      <c r="A1366">
        <v>45.565</v>
      </c>
      <c r="B1366">
        <v>-202.6</v>
      </c>
      <c r="C1366">
        <v>25.4</v>
      </c>
      <c r="E1366">
        <v>45.532</v>
      </c>
      <c r="F1366">
        <v>-202.1</v>
      </c>
      <c r="G1366">
        <v>25.8</v>
      </c>
      <c r="I1366">
        <f t="shared" si="63"/>
        <v>45.5</v>
      </c>
      <c r="J1366">
        <f t="shared" si="65"/>
        <v>0.900000000000006</v>
      </c>
      <c r="K1366">
        <f t="shared" si="64"/>
        <v>0</v>
      </c>
    </row>
    <row r="1367" spans="1:11">
      <c r="A1367">
        <v>45.599</v>
      </c>
      <c r="B1367">
        <v>-203.7</v>
      </c>
      <c r="C1367">
        <v>26.7</v>
      </c>
      <c r="E1367">
        <v>45.565</v>
      </c>
      <c r="F1367">
        <v>-202.6</v>
      </c>
      <c r="G1367">
        <v>25.4</v>
      </c>
      <c r="I1367">
        <f t="shared" si="63"/>
        <v>45.55</v>
      </c>
      <c r="J1367">
        <f t="shared" si="65"/>
        <v>0.400000000000006</v>
      </c>
      <c r="K1367">
        <f t="shared" si="64"/>
        <v>0</v>
      </c>
    </row>
    <row r="1368" spans="1:11">
      <c r="A1368">
        <v>45.632</v>
      </c>
      <c r="B1368">
        <v>-204.5</v>
      </c>
      <c r="C1368">
        <v>25.6</v>
      </c>
      <c r="E1368">
        <v>45.599</v>
      </c>
      <c r="F1368">
        <v>-203.7</v>
      </c>
      <c r="G1368">
        <v>26.7</v>
      </c>
      <c r="I1368">
        <f t="shared" si="63"/>
        <v>45.55</v>
      </c>
      <c r="J1368">
        <f t="shared" si="65"/>
        <v>-0.699999999999989</v>
      </c>
      <c r="K1368">
        <f t="shared" si="64"/>
        <v>0</v>
      </c>
    </row>
    <row r="1369" spans="1:11">
      <c r="A1369">
        <v>45.666</v>
      </c>
      <c r="B1369">
        <v>-205.3</v>
      </c>
      <c r="C1369">
        <v>26.2</v>
      </c>
      <c r="E1369">
        <v>45.632</v>
      </c>
      <c r="F1369">
        <v>-204.5</v>
      </c>
      <c r="G1369">
        <v>25.6</v>
      </c>
      <c r="I1369">
        <f t="shared" si="63"/>
        <v>45.6</v>
      </c>
      <c r="J1369">
        <f t="shared" si="65"/>
        <v>-1.5</v>
      </c>
      <c r="K1369">
        <f t="shared" si="64"/>
        <v>0</v>
      </c>
    </row>
    <row r="1370" spans="1:11">
      <c r="A1370">
        <v>45.699</v>
      </c>
      <c r="B1370">
        <v>-205.9</v>
      </c>
      <c r="C1370">
        <v>26.4</v>
      </c>
      <c r="E1370">
        <v>45.666</v>
      </c>
      <c r="F1370">
        <v>-205.3</v>
      </c>
      <c r="G1370">
        <v>26.2</v>
      </c>
      <c r="I1370">
        <f t="shared" si="63"/>
        <v>45.65</v>
      </c>
      <c r="J1370">
        <f t="shared" si="65"/>
        <v>-2.30000000000001</v>
      </c>
      <c r="K1370">
        <f t="shared" si="64"/>
        <v>0</v>
      </c>
    </row>
    <row r="1371" spans="1:11">
      <c r="A1371">
        <v>45.733</v>
      </c>
      <c r="B1371">
        <v>-206.1</v>
      </c>
      <c r="C1371">
        <v>25.8</v>
      </c>
      <c r="E1371">
        <v>45.699</v>
      </c>
      <c r="F1371">
        <v>-205.9</v>
      </c>
      <c r="G1371">
        <v>26.4</v>
      </c>
      <c r="I1371">
        <f t="shared" si="63"/>
        <v>45.65</v>
      </c>
      <c r="J1371">
        <f t="shared" si="65"/>
        <v>-2.90000000000001</v>
      </c>
      <c r="K1371">
        <f t="shared" si="64"/>
        <v>0</v>
      </c>
    </row>
    <row r="1372" spans="1:11">
      <c r="A1372">
        <v>45.766</v>
      </c>
      <c r="B1372">
        <v>-206.3</v>
      </c>
      <c r="C1372">
        <v>26.4</v>
      </c>
      <c r="E1372">
        <v>45.733</v>
      </c>
      <c r="F1372">
        <v>-206.1</v>
      </c>
      <c r="G1372">
        <v>25.8</v>
      </c>
      <c r="I1372">
        <f>FLOOR(E1372,0.05)</f>
        <v>45.7</v>
      </c>
      <c r="J1372">
        <f t="shared" si="65"/>
        <v>-3.09999999999999</v>
      </c>
      <c r="K1372">
        <f>IF(G1372&lt;230,0,5)</f>
        <v>0</v>
      </c>
    </row>
    <row r="1373" spans="1:11">
      <c r="A1373">
        <v>45.799</v>
      </c>
      <c r="B1373">
        <v>-206.5</v>
      </c>
      <c r="C1373">
        <v>25.6</v>
      </c>
      <c r="E1373">
        <v>45.766</v>
      </c>
      <c r="F1373">
        <v>-206.3</v>
      </c>
      <c r="G1373">
        <v>26.4</v>
      </c>
      <c r="I1373">
        <f>FLOOR(E1373,0.05)</f>
        <v>45.75</v>
      </c>
      <c r="J1373">
        <f t="shared" si="65"/>
        <v>-3.30000000000001</v>
      </c>
      <c r="K1373">
        <f>IF(G1373&lt;230,0,5)</f>
        <v>0</v>
      </c>
    </row>
    <row r="1374" spans="1:11">
      <c r="A1374">
        <v>45.833</v>
      </c>
      <c r="B1374">
        <v>-206.5</v>
      </c>
      <c r="C1374">
        <v>26.1</v>
      </c>
      <c r="E1374">
        <v>45.799</v>
      </c>
      <c r="F1374">
        <v>-206.5</v>
      </c>
      <c r="G1374">
        <v>25.6</v>
      </c>
      <c r="I1374">
        <f>FLOOR(E1374,0.05)</f>
        <v>45.75</v>
      </c>
      <c r="J1374">
        <f t="shared" si="65"/>
        <v>-3.5</v>
      </c>
      <c r="K1374">
        <f>IF(G1374&lt;230,0,5)</f>
        <v>0</v>
      </c>
    </row>
    <row r="1375" spans="1:11">
      <c r="A1375">
        <v>45.866</v>
      </c>
      <c r="B1375">
        <v>-206.6</v>
      </c>
      <c r="C1375">
        <v>26.2</v>
      </c>
      <c r="E1375">
        <v>45.833</v>
      </c>
      <c r="F1375">
        <v>-206.5</v>
      </c>
      <c r="G1375">
        <v>26.1</v>
      </c>
      <c r="I1375">
        <f t="shared" ref="I1375:I1438" si="66">FLOOR(E1375,0.05)</f>
        <v>45.8</v>
      </c>
      <c r="J1375">
        <f t="shared" si="65"/>
        <v>-3.5</v>
      </c>
      <c r="K1375">
        <f t="shared" ref="K1375:K1438" si="67">IF(G1375&lt;230,0,5)</f>
        <v>0</v>
      </c>
    </row>
    <row r="1376" spans="1:11">
      <c r="A1376">
        <v>45.9</v>
      </c>
      <c r="B1376">
        <v>-206.3</v>
      </c>
      <c r="C1376">
        <v>25.8</v>
      </c>
      <c r="E1376">
        <v>45.866</v>
      </c>
      <c r="F1376">
        <v>-206.6</v>
      </c>
      <c r="G1376">
        <v>26.2</v>
      </c>
      <c r="I1376">
        <f t="shared" si="66"/>
        <v>45.85</v>
      </c>
      <c r="J1376">
        <f t="shared" si="65"/>
        <v>-3.59999999999999</v>
      </c>
      <c r="K1376">
        <f t="shared" si="67"/>
        <v>0</v>
      </c>
    </row>
    <row r="1377" spans="1:11">
      <c r="A1377">
        <v>45.933</v>
      </c>
      <c r="B1377">
        <v>-206</v>
      </c>
      <c r="C1377">
        <v>26.2</v>
      </c>
      <c r="E1377">
        <v>45.9</v>
      </c>
      <c r="F1377">
        <v>-206.3</v>
      </c>
      <c r="G1377">
        <v>25.8</v>
      </c>
      <c r="I1377">
        <f t="shared" si="66"/>
        <v>45.9</v>
      </c>
      <c r="J1377">
        <f t="shared" si="65"/>
        <v>-3.30000000000001</v>
      </c>
      <c r="K1377">
        <f t="shared" si="67"/>
        <v>0</v>
      </c>
    </row>
    <row r="1378" spans="1:11">
      <c r="A1378">
        <v>45.967</v>
      </c>
      <c r="B1378">
        <v>-205.2</v>
      </c>
      <c r="C1378">
        <v>25.6</v>
      </c>
      <c r="E1378">
        <v>45.933</v>
      </c>
      <c r="F1378">
        <v>-206</v>
      </c>
      <c r="G1378">
        <v>26.2</v>
      </c>
      <c r="I1378">
        <f t="shared" si="66"/>
        <v>45.9</v>
      </c>
      <c r="J1378">
        <f t="shared" si="65"/>
        <v>-3</v>
      </c>
      <c r="K1378">
        <f t="shared" si="67"/>
        <v>0</v>
      </c>
    </row>
    <row r="1379" spans="1:11">
      <c r="A1379">
        <v>46</v>
      </c>
      <c r="B1379">
        <v>-204.6</v>
      </c>
      <c r="C1379">
        <v>25.9</v>
      </c>
      <c r="E1379">
        <v>45.967</v>
      </c>
      <c r="F1379">
        <v>-205.2</v>
      </c>
      <c r="G1379">
        <v>25.6</v>
      </c>
      <c r="I1379">
        <f t="shared" si="66"/>
        <v>45.95</v>
      </c>
      <c r="J1379">
        <f t="shared" si="65"/>
        <v>-2.19999999999999</v>
      </c>
      <c r="K1379">
        <f t="shared" si="67"/>
        <v>0</v>
      </c>
    </row>
    <row r="1380" spans="1:11">
      <c r="A1380">
        <v>46.033</v>
      </c>
      <c r="B1380">
        <v>-203.8</v>
      </c>
      <c r="C1380">
        <v>25.9</v>
      </c>
      <c r="E1380">
        <v>46</v>
      </c>
      <c r="F1380">
        <v>-204.6</v>
      </c>
      <c r="G1380">
        <v>25.9</v>
      </c>
      <c r="I1380">
        <f t="shared" si="66"/>
        <v>46</v>
      </c>
      <c r="J1380">
        <f t="shared" si="65"/>
        <v>-1.59999999999999</v>
      </c>
      <c r="K1380">
        <f t="shared" si="67"/>
        <v>0</v>
      </c>
    </row>
    <row r="1381" spans="1:11">
      <c r="A1381">
        <v>46.067</v>
      </c>
      <c r="B1381">
        <v>-202.9</v>
      </c>
      <c r="C1381">
        <v>26.4</v>
      </c>
      <c r="E1381">
        <v>46.033</v>
      </c>
      <c r="F1381">
        <v>-203.8</v>
      </c>
      <c r="G1381">
        <v>25.9</v>
      </c>
      <c r="I1381">
        <f t="shared" si="66"/>
        <v>46</v>
      </c>
      <c r="J1381">
        <f t="shared" si="65"/>
        <v>-0.800000000000011</v>
      </c>
      <c r="K1381">
        <f t="shared" si="67"/>
        <v>0</v>
      </c>
    </row>
    <row r="1382" spans="1:11">
      <c r="A1382">
        <v>46.1</v>
      </c>
      <c r="B1382">
        <v>-202</v>
      </c>
      <c r="C1382">
        <v>26</v>
      </c>
      <c r="E1382">
        <v>46.067</v>
      </c>
      <c r="F1382">
        <v>-202.9</v>
      </c>
      <c r="G1382">
        <v>26.4</v>
      </c>
      <c r="I1382">
        <f t="shared" si="66"/>
        <v>46.05</v>
      </c>
      <c r="J1382">
        <f t="shared" si="65"/>
        <v>0.0999999999999943</v>
      </c>
      <c r="K1382">
        <f t="shared" si="67"/>
        <v>0</v>
      </c>
    </row>
    <row r="1383" spans="1:11">
      <c r="A1383">
        <v>46.134</v>
      </c>
      <c r="B1383">
        <v>-200.9</v>
      </c>
      <c r="C1383">
        <v>25.9</v>
      </c>
      <c r="E1383">
        <v>46.1</v>
      </c>
      <c r="F1383">
        <v>-202</v>
      </c>
      <c r="G1383">
        <v>26</v>
      </c>
      <c r="I1383">
        <f t="shared" si="66"/>
        <v>46.1</v>
      </c>
      <c r="J1383">
        <f t="shared" si="65"/>
        <v>1</v>
      </c>
      <c r="K1383">
        <f t="shared" si="67"/>
        <v>0</v>
      </c>
    </row>
    <row r="1384" spans="1:11">
      <c r="A1384">
        <v>46.167</v>
      </c>
      <c r="B1384">
        <v>-199.3</v>
      </c>
      <c r="C1384">
        <v>26.4</v>
      </c>
      <c r="E1384">
        <v>46.134</v>
      </c>
      <c r="F1384">
        <v>-200.9</v>
      </c>
      <c r="G1384">
        <v>25.9</v>
      </c>
      <c r="I1384">
        <f t="shared" si="66"/>
        <v>46.1</v>
      </c>
      <c r="J1384">
        <f t="shared" si="65"/>
        <v>2.09999999999999</v>
      </c>
      <c r="K1384">
        <f t="shared" si="67"/>
        <v>0</v>
      </c>
    </row>
    <row r="1385" spans="1:11">
      <c r="A1385">
        <v>46.201</v>
      </c>
      <c r="B1385">
        <v>-198.7</v>
      </c>
      <c r="C1385">
        <v>25.8</v>
      </c>
      <c r="E1385">
        <v>46.167</v>
      </c>
      <c r="F1385">
        <v>-199.3</v>
      </c>
      <c r="G1385">
        <v>26.4</v>
      </c>
      <c r="I1385">
        <f t="shared" si="66"/>
        <v>46.15</v>
      </c>
      <c r="J1385">
        <f t="shared" si="65"/>
        <v>3.69999999999999</v>
      </c>
      <c r="K1385">
        <f t="shared" si="67"/>
        <v>0</v>
      </c>
    </row>
    <row r="1386" spans="1:11">
      <c r="A1386">
        <v>46.234</v>
      </c>
      <c r="B1386">
        <v>-197.3</v>
      </c>
      <c r="C1386">
        <v>25.9</v>
      </c>
      <c r="E1386">
        <v>46.201</v>
      </c>
      <c r="F1386">
        <v>-198.7</v>
      </c>
      <c r="G1386">
        <v>25.8</v>
      </c>
      <c r="I1386">
        <f t="shared" si="66"/>
        <v>46.2</v>
      </c>
      <c r="J1386">
        <f t="shared" si="65"/>
        <v>4.30000000000001</v>
      </c>
      <c r="K1386">
        <f t="shared" si="67"/>
        <v>0</v>
      </c>
    </row>
    <row r="1387" spans="1:11">
      <c r="A1387">
        <v>46.267</v>
      </c>
      <c r="B1387">
        <v>-196.3</v>
      </c>
      <c r="C1387">
        <v>25.7</v>
      </c>
      <c r="E1387">
        <v>46.234</v>
      </c>
      <c r="F1387">
        <v>-197.3</v>
      </c>
      <c r="G1387">
        <v>25.9</v>
      </c>
      <c r="I1387">
        <f t="shared" si="66"/>
        <v>46.2</v>
      </c>
      <c r="J1387">
        <f t="shared" si="65"/>
        <v>5.69999999999999</v>
      </c>
      <c r="K1387">
        <f t="shared" si="67"/>
        <v>0</v>
      </c>
    </row>
    <row r="1388" spans="1:11">
      <c r="A1388">
        <v>46.301</v>
      </c>
      <c r="B1388">
        <v>-195.5</v>
      </c>
      <c r="C1388">
        <v>25.3</v>
      </c>
      <c r="E1388">
        <v>46.267</v>
      </c>
      <c r="F1388">
        <v>-196.3</v>
      </c>
      <c r="G1388">
        <v>25.7</v>
      </c>
      <c r="I1388">
        <f t="shared" si="66"/>
        <v>46.25</v>
      </c>
      <c r="J1388">
        <f t="shared" si="65"/>
        <v>6.69999999999999</v>
      </c>
      <c r="K1388">
        <f t="shared" si="67"/>
        <v>0</v>
      </c>
    </row>
    <row r="1389" spans="1:11">
      <c r="A1389">
        <v>46.334</v>
      </c>
      <c r="B1389">
        <v>-194.6</v>
      </c>
      <c r="C1389">
        <v>25.3</v>
      </c>
      <c r="E1389">
        <v>46.301</v>
      </c>
      <c r="F1389">
        <v>-195.5</v>
      </c>
      <c r="G1389">
        <v>25.3</v>
      </c>
      <c r="I1389">
        <f t="shared" si="66"/>
        <v>46.3</v>
      </c>
      <c r="J1389">
        <f t="shared" si="65"/>
        <v>7.5</v>
      </c>
      <c r="K1389">
        <f t="shared" si="67"/>
        <v>0</v>
      </c>
    </row>
    <row r="1390" spans="1:11">
      <c r="A1390">
        <v>46.368</v>
      </c>
      <c r="B1390">
        <v>-193.7</v>
      </c>
      <c r="C1390">
        <v>26.1</v>
      </c>
      <c r="E1390">
        <v>46.334</v>
      </c>
      <c r="F1390">
        <v>-194.6</v>
      </c>
      <c r="G1390">
        <v>25.3</v>
      </c>
      <c r="I1390">
        <f t="shared" si="66"/>
        <v>46.3</v>
      </c>
      <c r="J1390">
        <f t="shared" si="65"/>
        <v>8.40000000000001</v>
      </c>
      <c r="K1390">
        <f t="shared" si="67"/>
        <v>0</v>
      </c>
    </row>
    <row r="1391" spans="1:11">
      <c r="A1391">
        <v>46.401</v>
      </c>
      <c r="B1391">
        <v>-192.9</v>
      </c>
      <c r="C1391">
        <v>25.8</v>
      </c>
      <c r="E1391">
        <v>46.368</v>
      </c>
      <c r="F1391">
        <v>-193.7</v>
      </c>
      <c r="G1391">
        <v>26.1</v>
      </c>
      <c r="I1391">
        <f t="shared" si="66"/>
        <v>46.35</v>
      </c>
      <c r="J1391">
        <f t="shared" si="65"/>
        <v>9.30000000000001</v>
      </c>
      <c r="K1391">
        <f t="shared" si="67"/>
        <v>0</v>
      </c>
    </row>
    <row r="1392" spans="1:11">
      <c r="A1392">
        <v>46.435</v>
      </c>
      <c r="B1392">
        <v>-192.7</v>
      </c>
      <c r="C1392">
        <v>25.5</v>
      </c>
      <c r="E1392">
        <v>46.401</v>
      </c>
      <c r="F1392">
        <v>-192.9</v>
      </c>
      <c r="G1392">
        <v>25.8</v>
      </c>
      <c r="I1392">
        <f t="shared" si="66"/>
        <v>46.4</v>
      </c>
      <c r="J1392">
        <f t="shared" si="65"/>
        <v>10.1</v>
      </c>
      <c r="K1392">
        <f t="shared" si="67"/>
        <v>0</v>
      </c>
    </row>
    <row r="1393" spans="1:11">
      <c r="A1393">
        <v>46.468</v>
      </c>
      <c r="B1393">
        <v>-192.4</v>
      </c>
      <c r="C1393">
        <v>25.7</v>
      </c>
      <c r="E1393">
        <v>46.435</v>
      </c>
      <c r="F1393">
        <v>-192.7</v>
      </c>
      <c r="G1393">
        <v>25.5</v>
      </c>
      <c r="I1393">
        <f t="shared" si="66"/>
        <v>46.4</v>
      </c>
      <c r="J1393">
        <f t="shared" si="65"/>
        <v>10.3</v>
      </c>
      <c r="K1393">
        <f t="shared" si="67"/>
        <v>0</v>
      </c>
    </row>
    <row r="1394" spans="1:11">
      <c r="A1394">
        <v>46.501</v>
      </c>
      <c r="B1394">
        <v>-192.4</v>
      </c>
      <c r="C1394">
        <v>25.7</v>
      </c>
      <c r="E1394">
        <v>46.468</v>
      </c>
      <c r="F1394">
        <v>-192.4</v>
      </c>
      <c r="G1394">
        <v>25.7</v>
      </c>
      <c r="I1394">
        <f t="shared" si="66"/>
        <v>46.45</v>
      </c>
      <c r="J1394">
        <f t="shared" si="65"/>
        <v>10.6</v>
      </c>
      <c r="K1394">
        <f t="shared" si="67"/>
        <v>0</v>
      </c>
    </row>
    <row r="1395" spans="1:11">
      <c r="A1395">
        <v>46.535</v>
      </c>
      <c r="B1395">
        <v>-192.3</v>
      </c>
      <c r="C1395">
        <v>26.4</v>
      </c>
      <c r="E1395">
        <v>46.501</v>
      </c>
      <c r="F1395">
        <v>-192.4</v>
      </c>
      <c r="G1395">
        <v>25.7</v>
      </c>
      <c r="I1395">
        <f t="shared" si="66"/>
        <v>46.5</v>
      </c>
      <c r="J1395">
        <f t="shared" si="65"/>
        <v>10.6</v>
      </c>
      <c r="K1395">
        <f t="shared" si="67"/>
        <v>0</v>
      </c>
    </row>
    <row r="1396" spans="1:11">
      <c r="A1396">
        <v>46.568</v>
      </c>
      <c r="B1396">
        <v>-192.5</v>
      </c>
      <c r="C1396">
        <v>26.6</v>
      </c>
      <c r="E1396">
        <v>46.535</v>
      </c>
      <c r="F1396">
        <v>-192.3</v>
      </c>
      <c r="G1396">
        <v>26.4</v>
      </c>
      <c r="I1396">
        <f t="shared" si="66"/>
        <v>46.5</v>
      </c>
      <c r="J1396">
        <f t="shared" si="65"/>
        <v>10.7</v>
      </c>
      <c r="K1396">
        <f t="shared" si="67"/>
        <v>0</v>
      </c>
    </row>
    <row r="1397" spans="1:11">
      <c r="A1397">
        <v>46.602</v>
      </c>
      <c r="B1397">
        <v>-192.8</v>
      </c>
      <c r="C1397">
        <v>25.4</v>
      </c>
      <c r="E1397">
        <v>46.568</v>
      </c>
      <c r="F1397">
        <v>-192.5</v>
      </c>
      <c r="G1397">
        <v>26.6</v>
      </c>
      <c r="I1397">
        <f t="shared" si="66"/>
        <v>46.55</v>
      </c>
      <c r="J1397">
        <f t="shared" si="65"/>
        <v>10.5</v>
      </c>
      <c r="K1397">
        <f t="shared" si="67"/>
        <v>0</v>
      </c>
    </row>
    <row r="1398" spans="1:11">
      <c r="A1398">
        <v>46.635</v>
      </c>
      <c r="B1398">
        <v>-192.8</v>
      </c>
      <c r="C1398">
        <v>25.6</v>
      </c>
      <c r="E1398">
        <v>46.602</v>
      </c>
      <c r="F1398">
        <v>-192.8</v>
      </c>
      <c r="G1398">
        <v>25.4</v>
      </c>
      <c r="I1398">
        <f t="shared" si="66"/>
        <v>46.6</v>
      </c>
      <c r="J1398">
        <f t="shared" si="65"/>
        <v>10.2</v>
      </c>
      <c r="K1398">
        <f t="shared" si="67"/>
        <v>0</v>
      </c>
    </row>
    <row r="1399" spans="1:11">
      <c r="A1399">
        <v>46.669</v>
      </c>
      <c r="B1399">
        <v>-192.9</v>
      </c>
      <c r="C1399">
        <v>26.4</v>
      </c>
      <c r="E1399">
        <v>46.635</v>
      </c>
      <c r="F1399">
        <v>-192.8</v>
      </c>
      <c r="G1399">
        <v>25.6</v>
      </c>
      <c r="I1399">
        <f t="shared" si="66"/>
        <v>46.6</v>
      </c>
      <c r="J1399">
        <f t="shared" si="65"/>
        <v>10.2</v>
      </c>
      <c r="K1399">
        <f t="shared" si="67"/>
        <v>0</v>
      </c>
    </row>
    <row r="1400" spans="1:11">
      <c r="A1400">
        <v>46.702</v>
      </c>
      <c r="B1400">
        <v>-193.3</v>
      </c>
      <c r="C1400">
        <v>25</v>
      </c>
      <c r="E1400">
        <v>46.669</v>
      </c>
      <c r="F1400">
        <v>-192.9</v>
      </c>
      <c r="G1400">
        <v>26.4</v>
      </c>
      <c r="I1400">
        <f t="shared" si="66"/>
        <v>46.65</v>
      </c>
      <c r="J1400">
        <f t="shared" si="65"/>
        <v>10.1</v>
      </c>
      <c r="K1400">
        <f t="shared" si="67"/>
        <v>0</v>
      </c>
    </row>
    <row r="1401" spans="1:11">
      <c r="A1401">
        <v>46.735</v>
      </c>
      <c r="B1401">
        <v>-194</v>
      </c>
      <c r="C1401">
        <v>25.3</v>
      </c>
      <c r="E1401">
        <v>46.702</v>
      </c>
      <c r="F1401">
        <v>-193.3</v>
      </c>
      <c r="G1401">
        <v>25</v>
      </c>
      <c r="I1401">
        <f t="shared" si="66"/>
        <v>46.7</v>
      </c>
      <c r="J1401">
        <f t="shared" si="65"/>
        <v>9.69999999999999</v>
      </c>
      <c r="K1401">
        <f t="shared" si="67"/>
        <v>0</v>
      </c>
    </row>
    <row r="1402" spans="1:11">
      <c r="A1402">
        <v>46.769</v>
      </c>
      <c r="B1402">
        <v>-194.9</v>
      </c>
      <c r="C1402">
        <v>25.4</v>
      </c>
      <c r="E1402">
        <v>46.735</v>
      </c>
      <c r="F1402">
        <v>-194</v>
      </c>
      <c r="G1402">
        <v>25.3</v>
      </c>
      <c r="I1402">
        <f t="shared" si="66"/>
        <v>46.7</v>
      </c>
      <c r="J1402">
        <f t="shared" si="65"/>
        <v>9</v>
      </c>
      <c r="K1402">
        <f t="shared" si="67"/>
        <v>0</v>
      </c>
    </row>
    <row r="1403" spans="1:11">
      <c r="A1403">
        <v>46.802</v>
      </c>
      <c r="B1403">
        <v>-196.3</v>
      </c>
      <c r="C1403">
        <v>25.8</v>
      </c>
      <c r="E1403">
        <v>46.769</v>
      </c>
      <c r="F1403">
        <v>-194.9</v>
      </c>
      <c r="G1403">
        <v>25.4</v>
      </c>
      <c r="I1403">
        <f t="shared" si="66"/>
        <v>46.75</v>
      </c>
      <c r="J1403">
        <f t="shared" si="65"/>
        <v>8.09999999999999</v>
      </c>
      <c r="K1403">
        <f t="shared" si="67"/>
        <v>0</v>
      </c>
    </row>
    <row r="1404" spans="1:11">
      <c r="A1404">
        <v>46.836</v>
      </c>
      <c r="B1404">
        <v>-197.3</v>
      </c>
      <c r="C1404">
        <v>25.8</v>
      </c>
      <c r="E1404">
        <v>46.802</v>
      </c>
      <c r="F1404">
        <v>-196.3</v>
      </c>
      <c r="G1404">
        <v>25.8</v>
      </c>
      <c r="I1404">
        <f t="shared" si="66"/>
        <v>46.8</v>
      </c>
      <c r="J1404">
        <f t="shared" si="65"/>
        <v>6.69999999999999</v>
      </c>
      <c r="K1404">
        <f t="shared" si="67"/>
        <v>0</v>
      </c>
    </row>
    <row r="1405" spans="1:11">
      <c r="A1405">
        <v>46.869</v>
      </c>
      <c r="B1405">
        <v>-198.8</v>
      </c>
      <c r="C1405">
        <v>26.2</v>
      </c>
      <c r="E1405">
        <v>46.836</v>
      </c>
      <c r="F1405">
        <v>-197.3</v>
      </c>
      <c r="G1405">
        <v>25.8</v>
      </c>
      <c r="I1405">
        <f t="shared" si="66"/>
        <v>46.8</v>
      </c>
      <c r="J1405">
        <f t="shared" si="65"/>
        <v>5.69999999999999</v>
      </c>
      <c r="K1405">
        <f t="shared" si="67"/>
        <v>0</v>
      </c>
    </row>
    <row r="1406" spans="1:11">
      <c r="A1406">
        <v>46.903</v>
      </c>
      <c r="B1406">
        <v>-199.7</v>
      </c>
      <c r="C1406">
        <v>25.9</v>
      </c>
      <c r="E1406">
        <v>46.869</v>
      </c>
      <c r="F1406">
        <v>-198.8</v>
      </c>
      <c r="G1406">
        <v>26.2</v>
      </c>
      <c r="I1406">
        <f t="shared" si="66"/>
        <v>46.85</v>
      </c>
      <c r="J1406">
        <f t="shared" si="65"/>
        <v>4.19999999999999</v>
      </c>
      <c r="K1406">
        <f t="shared" si="67"/>
        <v>0</v>
      </c>
    </row>
    <row r="1407" spans="1:11">
      <c r="A1407">
        <v>46.936</v>
      </c>
      <c r="B1407">
        <v>-201.1</v>
      </c>
      <c r="C1407">
        <v>25.8</v>
      </c>
      <c r="E1407">
        <v>46.903</v>
      </c>
      <c r="F1407">
        <v>-199.7</v>
      </c>
      <c r="G1407">
        <v>25.9</v>
      </c>
      <c r="I1407">
        <f t="shared" si="66"/>
        <v>46.9</v>
      </c>
      <c r="J1407">
        <f t="shared" si="65"/>
        <v>3.30000000000001</v>
      </c>
      <c r="K1407">
        <f t="shared" si="67"/>
        <v>0</v>
      </c>
    </row>
    <row r="1408" spans="1:11">
      <c r="A1408">
        <v>46.969</v>
      </c>
      <c r="B1408">
        <v>-202.1</v>
      </c>
      <c r="C1408">
        <v>25.4</v>
      </c>
      <c r="E1408">
        <v>46.936</v>
      </c>
      <c r="F1408">
        <v>-201.1</v>
      </c>
      <c r="G1408">
        <v>25.8</v>
      </c>
      <c r="I1408">
        <f t="shared" si="66"/>
        <v>46.9</v>
      </c>
      <c r="J1408">
        <f t="shared" si="65"/>
        <v>1.90000000000001</v>
      </c>
      <c r="K1408">
        <f t="shared" si="67"/>
        <v>0</v>
      </c>
    </row>
    <row r="1409" spans="1:11">
      <c r="A1409">
        <v>47.003</v>
      </c>
      <c r="B1409">
        <v>-202.7</v>
      </c>
      <c r="C1409">
        <v>25.5</v>
      </c>
      <c r="E1409">
        <v>46.969</v>
      </c>
      <c r="F1409">
        <v>-202.1</v>
      </c>
      <c r="G1409">
        <v>25.4</v>
      </c>
      <c r="I1409">
        <f t="shared" si="66"/>
        <v>46.95</v>
      </c>
      <c r="J1409">
        <f t="shared" si="65"/>
        <v>0.900000000000006</v>
      </c>
      <c r="K1409">
        <f t="shared" si="67"/>
        <v>0</v>
      </c>
    </row>
    <row r="1410" spans="1:11">
      <c r="A1410">
        <v>47.036</v>
      </c>
      <c r="B1410">
        <v>-203.5</v>
      </c>
      <c r="C1410">
        <v>25.5</v>
      </c>
      <c r="E1410">
        <v>47.003</v>
      </c>
      <c r="F1410">
        <v>-202.7</v>
      </c>
      <c r="G1410">
        <v>25.5</v>
      </c>
      <c r="I1410">
        <f t="shared" si="66"/>
        <v>47</v>
      </c>
      <c r="J1410">
        <f t="shared" si="65"/>
        <v>0.300000000000011</v>
      </c>
      <c r="K1410">
        <f t="shared" si="67"/>
        <v>0</v>
      </c>
    </row>
    <row r="1411" spans="1:11">
      <c r="A1411">
        <v>47.07</v>
      </c>
      <c r="B1411">
        <v>-204.5</v>
      </c>
      <c r="C1411">
        <v>25.6</v>
      </c>
      <c r="E1411">
        <v>47.036</v>
      </c>
      <c r="F1411">
        <v>-203.5</v>
      </c>
      <c r="G1411">
        <v>25.5</v>
      </c>
      <c r="I1411">
        <f t="shared" si="66"/>
        <v>47</v>
      </c>
      <c r="J1411">
        <f t="shared" si="65"/>
        <v>-0.5</v>
      </c>
      <c r="K1411">
        <f t="shared" si="67"/>
        <v>0</v>
      </c>
    </row>
    <row r="1412" spans="1:11">
      <c r="A1412">
        <v>47.103</v>
      </c>
      <c r="B1412">
        <v>-205</v>
      </c>
      <c r="C1412">
        <v>26.3</v>
      </c>
      <c r="E1412">
        <v>47.07</v>
      </c>
      <c r="F1412">
        <v>-204.5</v>
      </c>
      <c r="G1412">
        <v>25.6</v>
      </c>
      <c r="I1412">
        <f t="shared" si="66"/>
        <v>47.05</v>
      </c>
      <c r="J1412">
        <f t="shared" si="65"/>
        <v>-1.5</v>
      </c>
      <c r="K1412">
        <f t="shared" si="67"/>
        <v>0</v>
      </c>
    </row>
    <row r="1413" spans="1:11">
      <c r="A1413">
        <v>47.137</v>
      </c>
      <c r="B1413">
        <v>-205.5</v>
      </c>
      <c r="C1413">
        <v>25.7</v>
      </c>
      <c r="E1413">
        <v>47.103</v>
      </c>
      <c r="F1413">
        <v>-205</v>
      </c>
      <c r="G1413">
        <v>26.3</v>
      </c>
      <c r="I1413">
        <f t="shared" si="66"/>
        <v>47.1</v>
      </c>
      <c r="J1413">
        <f t="shared" ref="J1413:J1476" si="68">F1413+203</f>
        <v>-2</v>
      </c>
      <c r="K1413">
        <f t="shared" si="67"/>
        <v>0</v>
      </c>
    </row>
    <row r="1414" spans="1:11">
      <c r="A1414">
        <v>47.17</v>
      </c>
      <c r="B1414">
        <v>-206.1</v>
      </c>
      <c r="C1414">
        <v>25.3</v>
      </c>
      <c r="E1414">
        <v>47.137</v>
      </c>
      <c r="F1414">
        <v>-205.5</v>
      </c>
      <c r="G1414">
        <v>25.7</v>
      </c>
      <c r="I1414">
        <f t="shared" si="66"/>
        <v>47.1</v>
      </c>
      <c r="J1414">
        <f t="shared" si="68"/>
        <v>-2.5</v>
      </c>
      <c r="K1414">
        <f t="shared" si="67"/>
        <v>0</v>
      </c>
    </row>
    <row r="1415" spans="1:11">
      <c r="A1415">
        <v>47.203</v>
      </c>
      <c r="B1415">
        <v>-206.4</v>
      </c>
      <c r="C1415">
        <v>25.2</v>
      </c>
      <c r="E1415">
        <v>47.17</v>
      </c>
      <c r="F1415">
        <v>-206.1</v>
      </c>
      <c r="G1415">
        <v>25.3</v>
      </c>
      <c r="I1415">
        <f t="shared" si="66"/>
        <v>47.15</v>
      </c>
      <c r="J1415">
        <f t="shared" si="68"/>
        <v>-3.09999999999999</v>
      </c>
      <c r="K1415">
        <f t="shared" si="67"/>
        <v>0</v>
      </c>
    </row>
    <row r="1416" spans="1:11">
      <c r="A1416">
        <v>47.237</v>
      </c>
      <c r="B1416">
        <v>-206.6</v>
      </c>
      <c r="C1416">
        <v>25.6</v>
      </c>
      <c r="E1416">
        <v>47.203</v>
      </c>
      <c r="F1416">
        <v>-206.4</v>
      </c>
      <c r="G1416">
        <v>25.2</v>
      </c>
      <c r="I1416">
        <f t="shared" si="66"/>
        <v>47.2</v>
      </c>
      <c r="J1416">
        <f t="shared" si="68"/>
        <v>-3.40000000000001</v>
      </c>
      <c r="K1416">
        <f t="shared" si="67"/>
        <v>0</v>
      </c>
    </row>
    <row r="1417" spans="1:11">
      <c r="A1417">
        <v>47.27</v>
      </c>
      <c r="B1417">
        <v>-206.8</v>
      </c>
      <c r="C1417">
        <v>25.8</v>
      </c>
      <c r="E1417">
        <v>47.237</v>
      </c>
      <c r="F1417">
        <v>-206.6</v>
      </c>
      <c r="G1417">
        <v>25.6</v>
      </c>
      <c r="I1417">
        <f t="shared" si="66"/>
        <v>47.2</v>
      </c>
      <c r="J1417">
        <f t="shared" si="68"/>
        <v>-3.59999999999999</v>
      </c>
      <c r="K1417">
        <f t="shared" si="67"/>
        <v>0</v>
      </c>
    </row>
    <row r="1418" spans="1:11">
      <c r="A1418">
        <v>47.304</v>
      </c>
      <c r="B1418">
        <v>-206.7</v>
      </c>
      <c r="C1418">
        <v>25</v>
      </c>
      <c r="E1418">
        <v>47.27</v>
      </c>
      <c r="F1418">
        <v>-206.8</v>
      </c>
      <c r="G1418">
        <v>25.8</v>
      </c>
      <c r="I1418">
        <f t="shared" si="66"/>
        <v>47.25</v>
      </c>
      <c r="J1418">
        <f t="shared" si="68"/>
        <v>-3.80000000000001</v>
      </c>
      <c r="K1418">
        <f t="shared" si="67"/>
        <v>0</v>
      </c>
    </row>
    <row r="1419" spans="1:11">
      <c r="A1419">
        <v>47.337</v>
      </c>
      <c r="B1419">
        <v>-206.5</v>
      </c>
      <c r="C1419">
        <v>26</v>
      </c>
      <c r="E1419">
        <v>47.304</v>
      </c>
      <c r="F1419">
        <v>-206.7</v>
      </c>
      <c r="G1419">
        <v>25</v>
      </c>
      <c r="I1419">
        <f t="shared" si="66"/>
        <v>47.3</v>
      </c>
      <c r="J1419">
        <f t="shared" si="68"/>
        <v>-3.69999999999999</v>
      </c>
      <c r="K1419">
        <f t="shared" si="67"/>
        <v>0</v>
      </c>
    </row>
    <row r="1420" spans="1:11">
      <c r="A1420">
        <v>47.371</v>
      </c>
      <c r="B1420">
        <v>-206.3</v>
      </c>
      <c r="C1420">
        <v>25.6</v>
      </c>
      <c r="E1420">
        <v>47.337</v>
      </c>
      <c r="F1420">
        <v>-206.5</v>
      </c>
      <c r="G1420">
        <v>26</v>
      </c>
      <c r="I1420">
        <f t="shared" si="66"/>
        <v>47.3</v>
      </c>
      <c r="J1420">
        <f t="shared" si="68"/>
        <v>-3.5</v>
      </c>
      <c r="K1420">
        <f t="shared" si="67"/>
        <v>0</v>
      </c>
    </row>
    <row r="1421" spans="1:11">
      <c r="A1421">
        <v>47.404</v>
      </c>
      <c r="B1421">
        <v>-205.8</v>
      </c>
      <c r="C1421">
        <v>25.8</v>
      </c>
      <c r="E1421">
        <v>47.371</v>
      </c>
      <c r="F1421">
        <v>-206.3</v>
      </c>
      <c r="G1421">
        <v>25.6</v>
      </c>
      <c r="I1421">
        <f t="shared" si="66"/>
        <v>47.35</v>
      </c>
      <c r="J1421">
        <f t="shared" si="68"/>
        <v>-3.30000000000001</v>
      </c>
      <c r="K1421">
        <f t="shared" si="67"/>
        <v>0</v>
      </c>
    </row>
    <row r="1422" spans="1:11">
      <c r="A1422">
        <v>47.437</v>
      </c>
      <c r="B1422">
        <v>-205.4</v>
      </c>
      <c r="C1422">
        <v>25.6</v>
      </c>
      <c r="E1422">
        <v>47.404</v>
      </c>
      <c r="F1422">
        <v>-205.8</v>
      </c>
      <c r="G1422">
        <v>25.8</v>
      </c>
      <c r="I1422">
        <f t="shared" si="66"/>
        <v>47.4</v>
      </c>
      <c r="J1422">
        <f t="shared" si="68"/>
        <v>-2.80000000000001</v>
      </c>
      <c r="K1422">
        <f t="shared" si="67"/>
        <v>0</v>
      </c>
    </row>
    <row r="1423" spans="1:11">
      <c r="A1423">
        <v>47.471</v>
      </c>
      <c r="B1423">
        <v>-204.7</v>
      </c>
      <c r="C1423">
        <v>26</v>
      </c>
      <c r="E1423">
        <v>47.437</v>
      </c>
      <c r="F1423">
        <v>-205.4</v>
      </c>
      <c r="G1423">
        <v>25.6</v>
      </c>
      <c r="I1423">
        <f t="shared" si="66"/>
        <v>47.4</v>
      </c>
      <c r="J1423">
        <f t="shared" si="68"/>
        <v>-2.40000000000001</v>
      </c>
      <c r="K1423">
        <f t="shared" si="67"/>
        <v>0</v>
      </c>
    </row>
    <row r="1424" spans="1:11">
      <c r="A1424">
        <v>47.504</v>
      </c>
      <c r="B1424">
        <v>-203.7</v>
      </c>
      <c r="C1424">
        <v>26.1</v>
      </c>
      <c r="E1424">
        <v>47.471</v>
      </c>
      <c r="F1424">
        <v>-204.7</v>
      </c>
      <c r="G1424">
        <v>26</v>
      </c>
      <c r="I1424">
        <f t="shared" si="66"/>
        <v>47.45</v>
      </c>
      <c r="J1424">
        <f t="shared" si="68"/>
        <v>-1.69999999999999</v>
      </c>
      <c r="K1424">
        <f t="shared" si="67"/>
        <v>0</v>
      </c>
    </row>
    <row r="1425" spans="1:11">
      <c r="A1425">
        <v>47.538</v>
      </c>
      <c r="B1425">
        <v>-202.9</v>
      </c>
      <c r="C1425">
        <v>25.4</v>
      </c>
      <c r="E1425">
        <v>47.504</v>
      </c>
      <c r="F1425">
        <v>-203.7</v>
      </c>
      <c r="G1425">
        <v>26.1</v>
      </c>
      <c r="I1425">
        <f t="shared" si="66"/>
        <v>47.5</v>
      </c>
      <c r="J1425">
        <f t="shared" si="68"/>
        <v>-0.699999999999989</v>
      </c>
      <c r="K1425">
        <f t="shared" si="67"/>
        <v>0</v>
      </c>
    </row>
    <row r="1426" spans="1:11">
      <c r="A1426">
        <v>47.571</v>
      </c>
      <c r="B1426">
        <v>-202.1</v>
      </c>
      <c r="C1426">
        <v>25.5</v>
      </c>
      <c r="E1426">
        <v>47.538</v>
      </c>
      <c r="F1426">
        <v>-202.9</v>
      </c>
      <c r="G1426">
        <v>25.4</v>
      </c>
      <c r="I1426">
        <f t="shared" si="66"/>
        <v>47.5</v>
      </c>
      <c r="J1426">
        <f t="shared" si="68"/>
        <v>0.0999999999999943</v>
      </c>
      <c r="K1426">
        <f t="shared" si="67"/>
        <v>0</v>
      </c>
    </row>
    <row r="1427" spans="1:11">
      <c r="A1427">
        <v>47.605</v>
      </c>
      <c r="B1427">
        <v>-200.8</v>
      </c>
      <c r="C1427">
        <v>25.6</v>
      </c>
      <c r="E1427">
        <v>47.571</v>
      </c>
      <c r="F1427">
        <v>-202.1</v>
      </c>
      <c r="G1427">
        <v>25.5</v>
      </c>
      <c r="I1427">
        <f t="shared" si="66"/>
        <v>47.55</v>
      </c>
      <c r="J1427">
        <f t="shared" si="68"/>
        <v>0.900000000000006</v>
      </c>
      <c r="K1427">
        <f t="shared" si="67"/>
        <v>0</v>
      </c>
    </row>
    <row r="1428" spans="1:11">
      <c r="A1428">
        <v>47.638</v>
      </c>
      <c r="B1428">
        <v>-199.8</v>
      </c>
      <c r="C1428">
        <v>25.5</v>
      </c>
      <c r="E1428">
        <v>47.605</v>
      </c>
      <c r="F1428">
        <v>-200.8</v>
      </c>
      <c r="G1428">
        <v>25.6</v>
      </c>
      <c r="I1428">
        <f t="shared" si="66"/>
        <v>47.6</v>
      </c>
      <c r="J1428">
        <f t="shared" si="68"/>
        <v>2.19999999999999</v>
      </c>
      <c r="K1428">
        <f t="shared" si="67"/>
        <v>0</v>
      </c>
    </row>
    <row r="1429" spans="1:11">
      <c r="A1429">
        <v>47.671</v>
      </c>
      <c r="B1429">
        <v>-198.6</v>
      </c>
      <c r="C1429">
        <v>25.4</v>
      </c>
      <c r="E1429">
        <v>47.638</v>
      </c>
      <c r="F1429">
        <v>-199.8</v>
      </c>
      <c r="G1429">
        <v>25.5</v>
      </c>
      <c r="I1429">
        <f t="shared" si="66"/>
        <v>47.6</v>
      </c>
      <c r="J1429">
        <f t="shared" si="68"/>
        <v>3.19999999999999</v>
      </c>
      <c r="K1429">
        <f t="shared" si="67"/>
        <v>0</v>
      </c>
    </row>
    <row r="1430" spans="1:11">
      <c r="A1430">
        <v>47.705</v>
      </c>
      <c r="B1430">
        <v>-197.4</v>
      </c>
      <c r="C1430">
        <v>25.5</v>
      </c>
      <c r="E1430">
        <v>47.671</v>
      </c>
      <c r="F1430">
        <v>-198.6</v>
      </c>
      <c r="G1430">
        <v>25.4</v>
      </c>
      <c r="I1430">
        <f t="shared" si="66"/>
        <v>47.65</v>
      </c>
      <c r="J1430">
        <f t="shared" si="68"/>
        <v>4.40000000000001</v>
      </c>
      <c r="K1430">
        <f t="shared" si="67"/>
        <v>0</v>
      </c>
    </row>
    <row r="1431" spans="1:11">
      <c r="A1431">
        <v>47.738</v>
      </c>
      <c r="B1431">
        <v>-196.6</v>
      </c>
      <c r="C1431">
        <v>25.5</v>
      </c>
      <c r="E1431">
        <v>47.705</v>
      </c>
      <c r="F1431">
        <v>-197.4</v>
      </c>
      <c r="G1431">
        <v>25.5</v>
      </c>
      <c r="I1431">
        <f t="shared" si="66"/>
        <v>47.7</v>
      </c>
      <c r="J1431">
        <f t="shared" si="68"/>
        <v>5.59999999999999</v>
      </c>
      <c r="K1431">
        <f t="shared" si="67"/>
        <v>0</v>
      </c>
    </row>
    <row r="1432" spans="1:11">
      <c r="A1432">
        <v>47.772</v>
      </c>
      <c r="B1432">
        <v>-195.6</v>
      </c>
      <c r="C1432">
        <v>26.1</v>
      </c>
      <c r="E1432">
        <v>47.738</v>
      </c>
      <c r="F1432">
        <v>-196.6</v>
      </c>
      <c r="G1432">
        <v>25.5</v>
      </c>
      <c r="I1432">
        <f t="shared" si="66"/>
        <v>47.7</v>
      </c>
      <c r="J1432">
        <f t="shared" si="68"/>
        <v>6.40000000000001</v>
      </c>
      <c r="K1432">
        <f t="shared" si="67"/>
        <v>0</v>
      </c>
    </row>
    <row r="1433" spans="1:11">
      <c r="A1433">
        <v>47.805</v>
      </c>
      <c r="B1433">
        <v>-194.8</v>
      </c>
      <c r="C1433">
        <v>25.1</v>
      </c>
      <c r="E1433">
        <v>47.772</v>
      </c>
      <c r="F1433">
        <v>-195.6</v>
      </c>
      <c r="G1433">
        <v>26.1</v>
      </c>
      <c r="I1433">
        <f t="shared" si="66"/>
        <v>47.75</v>
      </c>
      <c r="J1433">
        <f t="shared" si="68"/>
        <v>7.40000000000001</v>
      </c>
      <c r="K1433">
        <f t="shared" si="67"/>
        <v>0</v>
      </c>
    </row>
    <row r="1434" spans="1:11">
      <c r="A1434">
        <v>47.839</v>
      </c>
      <c r="B1434">
        <v>-194.2</v>
      </c>
      <c r="C1434">
        <v>25</v>
      </c>
      <c r="E1434">
        <v>47.805</v>
      </c>
      <c r="F1434">
        <v>-194.8</v>
      </c>
      <c r="G1434">
        <v>25.1</v>
      </c>
      <c r="I1434">
        <f t="shared" si="66"/>
        <v>47.8</v>
      </c>
      <c r="J1434">
        <f t="shared" si="68"/>
        <v>8.19999999999999</v>
      </c>
      <c r="K1434">
        <f t="shared" si="67"/>
        <v>0</v>
      </c>
    </row>
    <row r="1435" spans="1:11">
      <c r="A1435">
        <v>47.872</v>
      </c>
      <c r="B1435">
        <v>-193.4</v>
      </c>
      <c r="C1435">
        <v>25.8</v>
      </c>
      <c r="E1435">
        <v>47.839</v>
      </c>
      <c r="F1435">
        <v>-194.2</v>
      </c>
      <c r="G1435">
        <v>25</v>
      </c>
      <c r="I1435">
        <f t="shared" si="66"/>
        <v>47.8</v>
      </c>
      <c r="J1435">
        <f t="shared" si="68"/>
        <v>8.80000000000001</v>
      </c>
      <c r="K1435">
        <f t="shared" si="67"/>
        <v>0</v>
      </c>
    </row>
    <row r="1436" spans="1:11">
      <c r="A1436">
        <v>47.905</v>
      </c>
      <c r="B1436">
        <v>-193.1</v>
      </c>
      <c r="C1436">
        <v>25.7</v>
      </c>
      <c r="E1436">
        <v>47.872</v>
      </c>
      <c r="F1436">
        <v>-193.4</v>
      </c>
      <c r="G1436">
        <v>25.8</v>
      </c>
      <c r="I1436">
        <f t="shared" si="66"/>
        <v>47.85</v>
      </c>
      <c r="J1436">
        <f t="shared" si="68"/>
        <v>9.59999999999999</v>
      </c>
      <c r="K1436">
        <f t="shared" si="67"/>
        <v>0</v>
      </c>
    </row>
    <row r="1437" spans="1:11">
      <c r="A1437">
        <v>47.939</v>
      </c>
      <c r="B1437">
        <v>-192.9</v>
      </c>
      <c r="C1437">
        <v>26.6</v>
      </c>
      <c r="E1437">
        <v>47.905</v>
      </c>
      <c r="F1437">
        <v>-193.1</v>
      </c>
      <c r="G1437">
        <v>25.7</v>
      </c>
      <c r="I1437">
        <f t="shared" si="66"/>
        <v>47.9</v>
      </c>
      <c r="J1437">
        <f t="shared" si="68"/>
        <v>9.90000000000001</v>
      </c>
      <c r="K1437">
        <f t="shared" si="67"/>
        <v>0</v>
      </c>
    </row>
    <row r="1438" spans="1:11">
      <c r="A1438">
        <v>47.972</v>
      </c>
      <c r="B1438">
        <v>-192.7</v>
      </c>
      <c r="C1438">
        <v>26.2</v>
      </c>
      <c r="E1438">
        <v>47.939</v>
      </c>
      <c r="F1438">
        <v>-192.9</v>
      </c>
      <c r="G1438">
        <v>26.6</v>
      </c>
      <c r="I1438">
        <f t="shared" si="66"/>
        <v>47.9</v>
      </c>
      <c r="J1438">
        <f t="shared" si="68"/>
        <v>10.1</v>
      </c>
      <c r="K1438">
        <f t="shared" si="67"/>
        <v>0</v>
      </c>
    </row>
    <row r="1439" spans="1:11">
      <c r="A1439">
        <v>48.006</v>
      </c>
      <c r="B1439">
        <v>-192.6</v>
      </c>
      <c r="C1439">
        <v>26</v>
      </c>
      <c r="E1439">
        <v>47.972</v>
      </c>
      <c r="F1439">
        <v>-192.7</v>
      </c>
      <c r="G1439">
        <v>26.2</v>
      </c>
      <c r="I1439">
        <f t="shared" ref="I1439:I1502" si="69">FLOOR(E1439,0.05)</f>
        <v>47.95</v>
      </c>
      <c r="J1439">
        <f t="shared" si="68"/>
        <v>10.3</v>
      </c>
      <c r="K1439">
        <f t="shared" ref="K1439:K1502" si="70">IF(G1439&lt;230,0,5)</f>
        <v>0</v>
      </c>
    </row>
    <row r="1440" spans="1:11">
      <c r="A1440">
        <v>48.039</v>
      </c>
      <c r="B1440">
        <v>-192.7</v>
      </c>
      <c r="C1440">
        <v>25.3</v>
      </c>
      <c r="E1440">
        <v>48.006</v>
      </c>
      <c r="F1440">
        <v>-192.6</v>
      </c>
      <c r="G1440">
        <v>26</v>
      </c>
      <c r="I1440">
        <f t="shared" si="69"/>
        <v>48</v>
      </c>
      <c r="J1440">
        <f t="shared" si="68"/>
        <v>10.4</v>
      </c>
      <c r="K1440">
        <f t="shared" si="70"/>
        <v>0</v>
      </c>
    </row>
    <row r="1441" spans="1:11">
      <c r="A1441">
        <v>48.073</v>
      </c>
      <c r="B1441">
        <v>-192.8</v>
      </c>
      <c r="C1441">
        <v>25.3</v>
      </c>
      <c r="E1441">
        <v>48.039</v>
      </c>
      <c r="F1441">
        <v>-192.7</v>
      </c>
      <c r="G1441">
        <v>25.3</v>
      </c>
      <c r="I1441">
        <f t="shared" si="69"/>
        <v>48</v>
      </c>
      <c r="J1441">
        <f t="shared" si="68"/>
        <v>10.3</v>
      </c>
      <c r="K1441">
        <f t="shared" si="70"/>
        <v>0</v>
      </c>
    </row>
    <row r="1442" spans="1:11">
      <c r="A1442">
        <v>48.106</v>
      </c>
      <c r="B1442">
        <v>-193.1</v>
      </c>
      <c r="C1442">
        <v>25.9</v>
      </c>
      <c r="E1442">
        <v>48.073</v>
      </c>
      <c r="F1442">
        <v>-192.8</v>
      </c>
      <c r="G1442">
        <v>25.3</v>
      </c>
      <c r="I1442">
        <f t="shared" si="69"/>
        <v>48.05</v>
      </c>
      <c r="J1442">
        <f t="shared" si="68"/>
        <v>10.2</v>
      </c>
      <c r="K1442">
        <f t="shared" si="70"/>
        <v>0</v>
      </c>
    </row>
    <row r="1443" spans="1:11">
      <c r="A1443">
        <v>48.14</v>
      </c>
      <c r="B1443">
        <v>-193.1</v>
      </c>
      <c r="C1443">
        <v>25.6</v>
      </c>
      <c r="E1443">
        <v>48.106</v>
      </c>
      <c r="F1443">
        <v>-193.1</v>
      </c>
      <c r="G1443">
        <v>25.9</v>
      </c>
      <c r="I1443">
        <f t="shared" si="69"/>
        <v>48.1</v>
      </c>
      <c r="J1443">
        <f t="shared" si="68"/>
        <v>9.90000000000001</v>
      </c>
      <c r="K1443">
        <f t="shared" si="70"/>
        <v>0</v>
      </c>
    </row>
    <row r="1444" spans="1:11">
      <c r="A1444">
        <v>48.173</v>
      </c>
      <c r="B1444">
        <v>-193.6</v>
      </c>
      <c r="C1444">
        <v>26.5</v>
      </c>
      <c r="E1444">
        <v>48.14</v>
      </c>
      <c r="F1444">
        <v>-193.1</v>
      </c>
      <c r="G1444">
        <v>25.6</v>
      </c>
      <c r="I1444">
        <f t="shared" si="69"/>
        <v>48.1</v>
      </c>
      <c r="J1444">
        <f t="shared" si="68"/>
        <v>9.90000000000001</v>
      </c>
      <c r="K1444">
        <f t="shared" si="70"/>
        <v>0</v>
      </c>
    </row>
    <row r="1445" spans="1:11">
      <c r="A1445">
        <v>48.206</v>
      </c>
      <c r="B1445">
        <v>-194.6</v>
      </c>
      <c r="C1445">
        <v>26.9</v>
      </c>
      <c r="E1445">
        <v>48.173</v>
      </c>
      <c r="F1445">
        <v>-193.6</v>
      </c>
      <c r="G1445">
        <v>26.5</v>
      </c>
      <c r="I1445">
        <f t="shared" si="69"/>
        <v>48.15</v>
      </c>
      <c r="J1445">
        <f t="shared" si="68"/>
        <v>9.40000000000001</v>
      </c>
      <c r="K1445">
        <f t="shared" si="70"/>
        <v>0</v>
      </c>
    </row>
    <row r="1446" spans="1:11">
      <c r="A1446">
        <v>48.24</v>
      </c>
      <c r="B1446">
        <v>-195.6</v>
      </c>
      <c r="C1446">
        <v>25.1</v>
      </c>
      <c r="E1446">
        <v>48.206</v>
      </c>
      <c r="F1446">
        <v>-194.6</v>
      </c>
      <c r="G1446">
        <v>26.9</v>
      </c>
      <c r="I1446">
        <f t="shared" si="69"/>
        <v>48.2</v>
      </c>
      <c r="J1446">
        <f t="shared" si="68"/>
        <v>8.40000000000001</v>
      </c>
      <c r="K1446">
        <f t="shared" si="70"/>
        <v>0</v>
      </c>
    </row>
    <row r="1447" spans="1:11">
      <c r="A1447">
        <v>48.273</v>
      </c>
      <c r="B1447">
        <v>-196.6</v>
      </c>
      <c r="C1447">
        <v>25.4</v>
      </c>
      <c r="E1447">
        <v>48.24</v>
      </c>
      <c r="F1447">
        <v>-195.6</v>
      </c>
      <c r="G1447">
        <v>25.1</v>
      </c>
      <c r="I1447">
        <f t="shared" si="69"/>
        <v>48.2</v>
      </c>
      <c r="J1447">
        <f t="shared" si="68"/>
        <v>7.40000000000001</v>
      </c>
      <c r="K1447">
        <f t="shared" si="70"/>
        <v>0</v>
      </c>
    </row>
    <row r="1448" spans="1:11">
      <c r="A1448">
        <v>48.307</v>
      </c>
      <c r="B1448">
        <v>-198.1</v>
      </c>
      <c r="C1448">
        <v>25.7</v>
      </c>
      <c r="E1448">
        <v>48.273</v>
      </c>
      <c r="F1448">
        <v>-196.6</v>
      </c>
      <c r="G1448">
        <v>25.4</v>
      </c>
      <c r="I1448">
        <f t="shared" si="69"/>
        <v>48.25</v>
      </c>
      <c r="J1448">
        <f t="shared" si="68"/>
        <v>6.40000000000001</v>
      </c>
      <c r="K1448">
        <f t="shared" si="70"/>
        <v>0</v>
      </c>
    </row>
    <row r="1449" spans="1:11">
      <c r="A1449">
        <v>48.34</v>
      </c>
      <c r="B1449">
        <v>-199.1</v>
      </c>
      <c r="C1449">
        <v>25.6</v>
      </c>
      <c r="E1449">
        <v>48.307</v>
      </c>
      <c r="F1449">
        <v>-198.1</v>
      </c>
      <c r="G1449">
        <v>25.7</v>
      </c>
      <c r="I1449">
        <f t="shared" si="69"/>
        <v>48.3</v>
      </c>
      <c r="J1449">
        <f t="shared" si="68"/>
        <v>4.90000000000001</v>
      </c>
      <c r="K1449">
        <f t="shared" si="70"/>
        <v>0</v>
      </c>
    </row>
    <row r="1450" spans="1:11">
      <c r="A1450">
        <v>48.374</v>
      </c>
      <c r="B1450">
        <v>-200.2</v>
      </c>
      <c r="C1450">
        <v>25.1</v>
      </c>
      <c r="E1450">
        <v>48.34</v>
      </c>
      <c r="F1450">
        <v>-199.1</v>
      </c>
      <c r="G1450">
        <v>25.6</v>
      </c>
      <c r="I1450">
        <f t="shared" si="69"/>
        <v>48.3</v>
      </c>
      <c r="J1450">
        <f t="shared" si="68"/>
        <v>3.90000000000001</v>
      </c>
      <c r="K1450">
        <f t="shared" si="70"/>
        <v>0</v>
      </c>
    </row>
    <row r="1451" spans="1:11">
      <c r="A1451">
        <v>48.407</v>
      </c>
      <c r="B1451">
        <v>-201</v>
      </c>
      <c r="C1451">
        <v>26.2</v>
      </c>
      <c r="E1451">
        <v>48.374</v>
      </c>
      <c r="F1451">
        <v>-200.2</v>
      </c>
      <c r="G1451">
        <v>25.1</v>
      </c>
      <c r="I1451">
        <f t="shared" si="69"/>
        <v>48.35</v>
      </c>
      <c r="J1451">
        <f t="shared" si="68"/>
        <v>2.80000000000001</v>
      </c>
      <c r="K1451">
        <f t="shared" si="70"/>
        <v>0</v>
      </c>
    </row>
    <row r="1452" spans="1:11">
      <c r="A1452">
        <v>48.44</v>
      </c>
      <c r="B1452">
        <v>-201.8</v>
      </c>
      <c r="C1452">
        <v>25.9</v>
      </c>
      <c r="E1452">
        <v>48.407</v>
      </c>
      <c r="F1452">
        <v>-201</v>
      </c>
      <c r="G1452">
        <v>26.2</v>
      </c>
      <c r="I1452">
        <f t="shared" si="69"/>
        <v>48.4</v>
      </c>
      <c r="J1452">
        <f t="shared" si="68"/>
        <v>2</v>
      </c>
      <c r="K1452">
        <f t="shared" si="70"/>
        <v>0</v>
      </c>
    </row>
    <row r="1453" spans="1:11">
      <c r="A1453">
        <v>48.474</v>
      </c>
      <c r="B1453">
        <v>-202.7</v>
      </c>
      <c r="C1453">
        <v>26.1</v>
      </c>
      <c r="E1453">
        <v>48.44</v>
      </c>
      <c r="F1453">
        <v>-201.8</v>
      </c>
      <c r="G1453">
        <v>25.9</v>
      </c>
      <c r="I1453">
        <f t="shared" si="69"/>
        <v>48.4</v>
      </c>
      <c r="J1453">
        <f t="shared" si="68"/>
        <v>1.19999999999999</v>
      </c>
      <c r="K1453">
        <f t="shared" si="70"/>
        <v>0</v>
      </c>
    </row>
    <row r="1454" spans="1:11">
      <c r="A1454">
        <v>48.507</v>
      </c>
      <c r="B1454">
        <v>-203.6</v>
      </c>
      <c r="C1454">
        <v>26</v>
      </c>
      <c r="E1454">
        <v>48.474</v>
      </c>
      <c r="F1454">
        <v>-202.7</v>
      </c>
      <c r="G1454">
        <v>26.1</v>
      </c>
      <c r="I1454">
        <f t="shared" si="69"/>
        <v>48.45</v>
      </c>
      <c r="J1454">
        <f t="shared" si="68"/>
        <v>0.300000000000011</v>
      </c>
      <c r="K1454">
        <f t="shared" si="70"/>
        <v>0</v>
      </c>
    </row>
    <row r="1455" spans="1:11">
      <c r="A1455">
        <v>48.541</v>
      </c>
      <c r="B1455">
        <v>-204.5</v>
      </c>
      <c r="C1455">
        <v>25.7</v>
      </c>
      <c r="E1455">
        <v>48.507</v>
      </c>
      <c r="F1455">
        <v>-203.6</v>
      </c>
      <c r="G1455">
        <v>26</v>
      </c>
      <c r="I1455">
        <f t="shared" si="69"/>
        <v>48.5</v>
      </c>
      <c r="J1455">
        <f t="shared" si="68"/>
        <v>-0.599999999999994</v>
      </c>
      <c r="K1455">
        <f t="shared" si="70"/>
        <v>0</v>
      </c>
    </row>
    <row r="1456" spans="1:11">
      <c r="A1456">
        <v>48.574</v>
      </c>
      <c r="B1456">
        <v>-205</v>
      </c>
      <c r="C1456">
        <v>25.6</v>
      </c>
      <c r="E1456">
        <v>48.541</v>
      </c>
      <c r="F1456">
        <v>-204.5</v>
      </c>
      <c r="G1456">
        <v>25.7</v>
      </c>
      <c r="I1456">
        <f t="shared" si="69"/>
        <v>48.5</v>
      </c>
      <c r="J1456">
        <f t="shared" si="68"/>
        <v>-1.5</v>
      </c>
      <c r="K1456">
        <f t="shared" si="70"/>
        <v>0</v>
      </c>
    </row>
    <row r="1457" spans="1:11">
      <c r="A1457">
        <v>48.608</v>
      </c>
      <c r="B1457">
        <v>-205.3</v>
      </c>
      <c r="C1457">
        <v>26</v>
      </c>
      <c r="E1457">
        <v>48.574</v>
      </c>
      <c r="F1457">
        <v>-205</v>
      </c>
      <c r="G1457">
        <v>25.6</v>
      </c>
      <c r="I1457">
        <f t="shared" si="69"/>
        <v>48.55</v>
      </c>
      <c r="J1457">
        <f t="shared" si="68"/>
        <v>-2</v>
      </c>
      <c r="K1457">
        <f t="shared" si="70"/>
        <v>0</v>
      </c>
    </row>
    <row r="1458" spans="1:11">
      <c r="A1458">
        <v>48.641</v>
      </c>
      <c r="B1458">
        <v>-205.9</v>
      </c>
      <c r="C1458">
        <v>26.2</v>
      </c>
      <c r="E1458">
        <v>48.608</v>
      </c>
      <c r="F1458">
        <v>-205.3</v>
      </c>
      <c r="G1458">
        <v>26</v>
      </c>
      <c r="I1458">
        <f t="shared" si="69"/>
        <v>48.6</v>
      </c>
      <c r="J1458">
        <f t="shared" si="68"/>
        <v>-2.30000000000001</v>
      </c>
      <c r="K1458">
        <f t="shared" si="70"/>
        <v>0</v>
      </c>
    </row>
    <row r="1459" spans="1:11">
      <c r="A1459">
        <v>48.674</v>
      </c>
      <c r="B1459">
        <v>-206.2</v>
      </c>
      <c r="C1459">
        <v>25.5</v>
      </c>
      <c r="E1459">
        <v>48.641</v>
      </c>
      <c r="F1459">
        <v>-205.9</v>
      </c>
      <c r="G1459">
        <v>26.2</v>
      </c>
      <c r="I1459">
        <f t="shared" si="69"/>
        <v>48.6</v>
      </c>
      <c r="J1459">
        <f t="shared" si="68"/>
        <v>-2.90000000000001</v>
      </c>
      <c r="K1459">
        <f t="shared" si="70"/>
        <v>0</v>
      </c>
    </row>
    <row r="1460" spans="1:11">
      <c r="A1460">
        <v>48.708</v>
      </c>
      <c r="B1460">
        <v>-206.2</v>
      </c>
      <c r="C1460">
        <v>26.7</v>
      </c>
      <c r="E1460">
        <v>48.674</v>
      </c>
      <c r="F1460">
        <v>-206.2</v>
      </c>
      <c r="G1460">
        <v>25.5</v>
      </c>
      <c r="I1460">
        <f t="shared" si="69"/>
        <v>48.65</v>
      </c>
      <c r="J1460">
        <f t="shared" si="68"/>
        <v>-3.19999999999999</v>
      </c>
      <c r="K1460">
        <f t="shared" si="70"/>
        <v>0</v>
      </c>
    </row>
    <row r="1461" spans="1:11">
      <c r="A1461">
        <v>48.741</v>
      </c>
      <c r="B1461">
        <v>-206.1</v>
      </c>
      <c r="C1461">
        <v>25.8</v>
      </c>
      <c r="E1461">
        <v>48.708</v>
      </c>
      <c r="F1461">
        <v>-206.2</v>
      </c>
      <c r="G1461">
        <v>26.7</v>
      </c>
      <c r="I1461">
        <f t="shared" si="69"/>
        <v>48.7</v>
      </c>
      <c r="J1461">
        <f t="shared" si="68"/>
        <v>-3.19999999999999</v>
      </c>
      <c r="K1461">
        <f t="shared" si="70"/>
        <v>0</v>
      </c>
    </row>
    <row r="1462" spans="1:11">
      <c r="A1462">
        <v>48.775</v>
      </c>
      <c r="B1462">
        <v>-205.8</v>
      </c>
      <c r="C1462">
        <v>25.6</v>
      </c>
      <c r="E1462">
        <v>48.741</v>
      </c>
      <c r="F1462">
        <v>-206.1</v>
      </c>
      <c r="G1462">
        <v>25.8</v>
      </c>
      <c r="I1462">
        <f t="shared" si="69"/>
        <v>48.7</v>
      </c>
      <c r="J1462">
        <f t="shared" si="68"/>
        <v>-3.09999999999999</v>
      </c>
      <c r="K1462">
        <f t="shared" si="70"/>
        <v>0</v>
      </c>
    </row>
    <row r="1463" spans="1:11">
      <c r="A1463">
        <v>48.808</v>
      </c>
      <c r="B1463">
        <v>-205.7</v>
      </c>
      <c r="C1463">
        <v>26.1</v>
      </c>
      <c r="E1463">
        <v>48.775</v>
      </c>
      <c r="F1463">
        <v>-205.8</v>
      </c>
      <c r="G1463">
        <v>25.6</v>
      </c>
      <c r="I1463">
        <f t="shared" si="69"/>
        <v>48.75</v>
      </c>
      <c r="J1463">
        <f t="shared" si="68"/>
        <v>-2.80000000000001</v>
      </c>
      <c r="K1463">
        <f t="shared" si="70"/>
        <v>0</v>
      </c>
    </row>
    <row r="1464" spans="1:11">
      <c r="A1464">
        <v>48.842</v>
      </c>
      <c r="B1464">
        <v>-205.4</v>
      </c>
      <c r="C1464">
        <v>25.5</v>
      </c>
      <c r="E1464">
        <v>48.808</v>
      </c>
      <c r="F1464">
        <v>-205.7</v>
      </c>
      <c r="G1464">
        <v>26.1</v>
      </c>
      <c r="I1464">
        <f t="shared" si="69"/>
        <v>48.8</v>
      </c>
      <c r="J1464">
        <f t="shared" si="68"/>
        <v>-2.69999999999999</v>
      </c>
      <c r="K1464">
        <f t="shared" si="70"/>
        <v>0</v>
      </c>
    </row>
    <row r="1465" spans="1:11">
      <c r="A1465">
        <v>48.875</v>
      </c>
      <c r="B1465">
        <v>-205.2</v>
      </c>
      <c r="C1465">
        <v>26.1</v>
      </c>
      <c r="E1465">
        <v>48.842</v>
      </c>
      <c r="F1465">
        <v>-205.4</v>
      </c>
      <c r="G1465">
        <v>25.5</v>
      </c>
      <c r="I1465">
        <f t="shared" si="69"/>
        <v>48.8</v>
      </c>
      <c r="J1465">
        <f t="shared" si="68"/>
        <v>-2.40000000000001</v>
      </c>
      <c r="K1465">
        <f t="shared" si="70"/>
        <v>0</v>
      </c>
    </row>
    <row r="1466" spans="1:11">
      <c r="A1466">
        <v>48.908</v>
      </c>
      <c r="B1466">
        <v>-204.5</v>
      </c>
      <c r="C1466">
        <v>26</v>
      </c>
      <c r="E1466">
        <v>48.875</v>
      </c>
      <c r="F1466">
        <v>-205.2</v>
      </c>
      <c r="G1466">
        <v>26.1</v>
      </c>
      <c r="I1466">
        <f t="shared" si="69"/>
        <v>48.85</v>
      </c>
      <c r="J1466">
        <f t="shared" si="68"/>
        <v>-2.19999999999999</v>
      </c>
      <c r="K1466">
        <f t="shared" si="70"/>
        <v>0</v>
      </c>
    </row>
    <row r="1467" spans="1:11">
      <c r="A1467">
        <v>48.942</v>
      </c>
      <c r="B1467">
        <v>-203.9</v>
      </c>
      <c r="C1467">
        <v>25.3</v>
      </c>
      <c r="E1467">
        <v>48.908</v>
      </c>
      <c r="F1467">
        <v>-204.5</v>
      </c>
      <c r="G1467">
        <v>26</v>
      </c>
      <c r="I1467">
        <f t="shared" si="69"/>
        <v>48.9</v>
      </c>
      <c r="J1467">
        <f t="shared" si="68"/>
        <v>-1.5</v>
      </c>
      <c r="K1467">
        <f t="shared" si="70"/>
        <v>0</v>
      </c>
    </row>
    <row r="1468" spans="1:11">
      <c r="A1468">
        <v>48.975</v>
      </c>
      <c r="B1468">
        <v>-202.8</v>
      </c>
      <c r="C1468">
        <v>25.8</v>
      </c>
      <c r="E1468">
        <v>48.942</v>
      </c>
      <c r="F1468">
        <v>-203.9</v>
      </c>
      <c r="G1468">
        <v>25.3</v>
      </c>
      <c r="I1468">
        <f t="shared" si="69"/>
        <v>48.9</v>
      </c>
      <c r="J1468">
        <f t="shared" si="68"/>
        <v>-0.900000000000006</v>
      </c>
      <c r="K1468">
        <f t="shared" si="70"/>
        <v>0</v>
      </c>
    </row>
    <row r="1469" spans="1:11">
      <c r="A1469">
        <v>49.009</v>
      </c>
      <c r="B1469">
        <v>-202</v>
      </c>
      <c r="C1469">
        <v>26.2</v>
      </c>
      <c r="E1469">
        <v>48.975</v>
      </c>
      <c r="F1469">
        <v>-202.8</v>
      </c>
      <c r="G1469">
        <v>25.8</v>
      </c>
      <c r="I1469">
        <f t="shared" si="69"/>
        <v>48.95</v>
      </c>
      <c r="J1469">
        <f t="shared" si="68"/>
        <v>0.199999999999989</v>
      </c>
      <c r="K1469">
        <f t="shared" si="70"/>
        <v>0</v>
      </c>
    </row>
    <row r="1470" spans="1:11">
      <c r="A1470">
        <v>49.042</v>
      </c>
      <c r="B1470">
        <v>-201.3</v>
      </c>
      <c r="C1470">
        <v>25.9</v>
      </c>
      <c r="E1470">
        <v>49.009</v>
      </c>
      <c r="F1470">
        <v>-202</v>
      </c>
      <c r="G1470">
        <v>26.2</v>
      </c>
      <c r="I1470">
        <f t="shared" si="69"/>
        <v>49</v>
      </c>
      <c r="J1470">
        <f t="shared" si="68"/>
        <v>1</v>
      </c>
      <c r="K1470">
        <f t="shared" si="70"/>
        <v>0</v>
      </c>
    </row>
    <row r="1471" spans="1:11">
      <c r="A1471">
        <v>49.076</v>
      </c>
      <c r="B1471">
        <v>-200.1</v>
      </c>
      <c r="C1471">
        <v>26</v>
      </c>
      <c r="E1471">
        <v>49.042</v>
      </c>
      <c r="F1471">
        <v>-201.3</v>
      </c>
      <c r="G1471">
        <v>25.9</v>
      </c>
      <c r="I1471">
        <f t="shared" si="69"/>
        <v>49</v>
      </c>
      <c r="J1471">
        <f t="shared" si="68"/>
        <v>1.69999999999999</v>
      </c>
      <c r="K1471">
        <f t="shared" si="70"/>
        <v>0</v>
      </c>
    </row>
    <row r="1472" spans="1:11">
      <c r="A1472">
        <v>49.109</v>
      </c>
      <c r="B1472">
        <v>-199.2</v>
      </c>
      <c r="C1472">
        <v>26.2</v>
      </c>
      <c r="E1472">
        <v>49.076</v>
      </c>
      <c r="F1472">
        <v>-200.1</v>
      </c>
      <c r="G1472">
        <v>26</v>
      </c>
      <c r="I1472">
        <f t="shared" si="69"/>
        <v>49.05</v>
      </c>
      <c r="J1472">
        <f t="shared" si="68"/>
        <v>2.90000000000001</v>
      </c>
      <c r="K1472">
        <f t="shared" si="70"/>
        <v>0</v>
      </c>
    </row>
    <row r="1473" spans="1:11">
      <c r="A1473">
        <v>49.142</v>
      </c>
      <c r="B1473">
        <v>-197.9</v>
      </c>
      <c r="C1473">
        <v>25.1</v>
      </c>
      <c r="E1473">
        <v>49.109</v>
      </c>
      <c r="F1473">
        <v>-199.2</v>
      </c>
      <c r="G1473">
        <v>26.2</v>
      </c>
      <c r="I1473">
        <f t="shared" si="69"/>
        <v>49.1</v>
      </c>
      <c r="J1473">
        <f t="shared" si="68"/>
        <v>3.80000000000001</v>
      </c>
      <c r="K1473">
        <f t="shared" si="70"/>
        <v>0</v>
      </c>
    </row>
    <row r="1474" spans="1:11">
      <c r="A1474">
        <v>49.176</v>
      </c>
      <c r="B1474">
        <v>-196.7</v>
      </c>
      <c r="C1474">
        <v>25.9</v>
      </c>
      <c r="E1474">
        <v>49.142</v>
      </c>
      <c r="F1474">
        <v>-197.9</v>
      </c>
      <c r="G1474">
        <v>25.1</v>
      </c>
      <c r="I1474">
        <f t="shared" si="69"/>
        <v>49.1</v>
      </c>
      <c r="J1474">
        <f t="shared" si="68"/>
        <v>5.09999999999999</v>
      </c>
      <c r="K1474">
        <f t="shared" si="70"/>
        <v>0</v>
      </c>
    </row>
    <row r="1475" spans="1:11">
      <c r="A1475">
        <v>49.209</v>
      </c>
      <c r="B1475">
        <v>-196</v>
      </c>
      <c r="C1475">
        <v>25.9</v>
      </c>
      <c r="E1475">
        <v>49.176</v>
      </c>
      <c r="F1475">
        <v>-196.7</v>
      </c>
      <c r="G1475">
        <v>25.9</v>
      </c>
      <c r="I1475">
        <f t="shared" si="69"/>
        <v>49.15</v>
      </c>
      <c r="J1475">
        <f t="shared" si="68"/>
        <v>6.30000000000001</v>
      </c>
      <c r="K1475">
        <f t="shared" si="70"/>
        <v>0</v>
      </c>
    </row>
    <row r="1476" spans="1:11">
      <c r="A1476">
        <v>49.243</v>
      </c>
      <c r="B1476">
        <v>-195</v>
      </c>
      <c r="C1476">
        <v>25.1</v>
      </c>
      <c r="E1476">
        <v>49.209</v>
      </c>
      <c r="F1476">
        <v>-196</v>
      </c>
      <c r="G1476">
        <v>25.9</v>
      </c>
      <c r="I1476">
        <f t="shared" si="69"/>
        <v>49.2</v>
      </c>
      <c r="J1476">
        <f t="shared" si="68"/>
        <v>7</v>
      </c>
      <c r="K1476">
        <f t="shared" si="70"/>
        <v>0</v>
      </c>
    </row>
    <row r="1477" spans="1:11">
      <c r="A1477">
        <v>49.276</v>
      </c>
      <c r="B1477">
        <v>-193.9</v>
      </c>
      <c r="C1477">
        <v>25.2</v>
      </c>
      <c r="E1477">
        <v>49.243</v>
      </c>
      <c r="F1477">
        <v>-195</v>
      </c>
      <c r="G1477">
        <v>25.1</v>
      </c>
      <c r="I1477">
        <f t="shared" si="69"/>
        <v>49.2</v>
      </c>
      <c r="J1477">
        <f t="shared" ref="J1477:J1540" si="71">F1477+203</f>
        <v>8</v>
      </c>
      <c r="K1477">
        <f t="shared" si="70"/>
        <v>0</v>
      </c>
    </row>
    <row r="1478" spans="1:11">
      <c r="A1478">
        <v>49.31</v>
      </c>
      <c r="B1478">
        <v>-193.2</v>
      </c>
      <c r="C1478">
        <v>26.1</v>
      </c>
      <c r="E1478">
        <v>49.276</v>
      </c>
      <c r="F1478">
        <v>-193.9</v>
      </c>
      <c r="G1478">
        <v>25.2</v>
      </c>
      <c r="I1478">
        <f t="shared" si="69"/>
        <v>49.25</v>
      </c>
      <c r="J1478">
        <f t="shared" si="71"/>
        <v>9.09999999999999</v>
      </c>
      <c r="K1478">
        <f t="shared" si="70"/>
        <v>0</v>
      </c>
    </row>
    <row r="1479" spans="1:11">
      <c r="A1479">
        <v>49.343</v>
      </c>
      <c r="B1479">
        <v>-192.8</v>
      </c>
      <c r="C1479">
        <v>25.6</v>
      </c>
      <c r="E1479">
        <v>49.31</v>
      </c>
      <c r="F1479">
        <v>-193.2</v>
      </c>
      <c r="G1479">
        <v>26.1</v>
      </c>
      <c r="I1479">
        <f t="shared" si="69"/>
        <v>49.3</v>
      </c>
      <c r="J1479">
        <f t="shared" si="71"/>
        <v>9.80000000000001</v>
      </c>
      <c r="K1479">
        <f t="shared" si="70"/>
        <v>0</v>
      </c>
    </row>
    <row r="1480" spans="1:11">
      <c r="A1480">
        <v>49.376</v>
      </c>
      <c r="B1480">
        <v>-192.6</v>
      </c>
      <c r="C1480">
        <v>26</v>
      </c>
      <c r="E1480">
        <v>49.343</v>
      </c>
      <c r="F1480">
        <v>-192.8</v>
      </c>
      <c r="G1480">
        <v>25.6</v>
      </c>
      <c r="I1480">
        <f t="shared" si="69"/>
        <v>49.3</v>
      </c>
      <c r="J1480">
        <f t="shared" si="71"/>
        <v>10.2</v>
      </c>
      <c r="K1480">
        <f t="shared" si="70"/>
        <v>0</v>
      </c>
    </row>
    <row r="1481" spans="1:11">
      <c r="A1481">
        <v>49.41</v>
      </c>
      <c r="B1481">
        <v>-192.4</v>
      </c>
      <c r="C1481">
        <v>26.7</v>
      </c>
      <c r="E1481">
        <v>49.376</v>
      </c>
      <c r="F1481">
        <v>-192.6</v>
      </c>
      <c r="G1481">
        <v>26</v>
      </c>
      <c r="I1481">
        <f t="shared" si="69"/>
        <v>49.35</v>
      </c>
      <c r="J1481">
        <f t="shared" si="71"/>
        <v>10.4</v>
      </c>
      <c r="K1481">
        <f t="shared" si="70"/>
        <v>0</v>
      </c>
    </row>
    <row r="1482" spans="1:11">
      <c r="A1482">
        <v>49.443</v>
      </c>
      <c r="B1482">
        <v>-192.4</v>
      </c>
      <c r="C1482">
        <v>26.3</v>
      </c>
      <c r="E1482">
        <v>49.41</v>
      </c>
      <c r="F1482">
        <v>-192.4</v>
      </c>
      <c r="G1482">
        <v>26.7</v>
      </c>
      <c r="I1482">
        <f t="shared" si="69"/>
        <v>49.4</v>
      </c>
      <c r="J1482">
        <f t="shared" si="71"/>
        <v>10.6</v>
      </c>
      <c r="K1482">
        <f t="shared" si="70"/>
        <v>0</v>
      </c>
    </row>
    <row r="1483" spans="1:11">
      <c r="A1483">
        <v>49.477</v>
      </c>
      <c r="B1483">
        <v>-192.5</v>
      </c>
      <c r="C1483">
        <v>25.6</v>
      </c>
      <c r="E1483">
        <v>49.443</v>
      </c>
      <c r="F1483">
        <v>-192.4</v>
      </c>
      <c r="G1483">
        <v>26.3</v>
      </c>
      <c r="I1483">
        <f t="shared" si="69"/>
        <v>49.4</v>
      </c>
      <c r="J1483">
        <f t="shared" si="71"/>
        <v>10.6</v>
      </c>
      <c r="K1483">
        <f t="shared" si="70"/>
        <v>0</v>
      </c>
    </row>
    <row r="1484" spans="1:11">
      <c r="A1484">
        <v>49.51</v>
      </c>
      <c r="B1484">
        <v>-192.6</v>
      </c>
      <c r="C1484">
        <v>25.5</v>
      </c>
      <c r="E1484">
        <v>49.477</v>
      </c>
      <c r="F1484">
        <v>-192.5</v>
      </c>
      <c r="G1484">
        <v>25.6</v>
      </c>
      <c r="I1484">
        <f t="shared" si="69"/>
        <v>49.45</v>
      </c>
      <c r="J1484">
        <f t="shared" si="71"/>
        <v>10.5</v>
      </c>
      <c r="K1484">
        <f t="shared" si="70"/>
        <v>0</v>
      </c>
    </row>
    <row r="1485" spans="1:11">
      <c r="A1485">
        <v>49.544</v>
      </c>
      <c r="B1485">
        <v>-192.8</v>
      </c>
      <c r="C1485">
        <v>25.6</v>
      </c>
      <c r="E1485">
        <v>49.51</v>
      </c>
      <c r="F1485">
        <v>-192.6</v>
      </c>
      <c r="G1485">
        <v>25.5</v>
      </c>
      <c r="I1485">
        <f t="shared" si="69"/>
        <v>49.5</v>
      </c>
      <c r="J1485">
        <f t="shared" si="71"/>
        <v>10.4</v>
      </c>
      <c r="K1485">
        <f t="shared" si="70"/>
        <v>0</v>
      </c>
    </row>
    <row r="1486" spans="1:11">
      <c r="A1486">
        <v>49.577</v>
      </c>
      <c r="B1486">
        <v>-192.9</v>
      </c>
      <c r="C1486">
        <v>26.1</v>
      </c>
      <c r="E1486">
        <v>49.544</v>
      </c>
      <c r="F1486">
        <v>-192.8</v>
      </c>
      <c r="G1486">
        <v>25.6</v>
      </c>
      <c r="I1486">
        <f t="shared" si="69"/>
        <v>49.5</v>
      </c>
      <c r="J1486">
        <f t="shared" si="71"/>
        <v>10.2</v>
      </c>
      <c r="K1486">
        <f t="shared" si="70"/>
        <v>0</v>
      </c>
    </row>
    <row r="1487" spans="1:11">
      <c r="A1487">
        <v>49.61</v>
      </c>
      <c r="B1487">
        <v>-193.2</v>
      </c>
      <c r="C1487">
        <v>26.1</v>
      </c>
      <c r="E1487">
        <v>49.577</v>
      </c>
      <c r="F1487">
        <v>-192.9</v>
      </c>
      <c r="G1487">
        <v>26.1</v>
      </c>
      <c r="I1487">
        <f t="shared" si="69"/>
        <v>49.55</v>
      </c>
      <c r="J1487">
        <f t="shared" si="71"/>
        <v>10.1</v>
      </c>
      <c r="K1487">
        <f t="shared" si="70"/>
        <v>0</v>
      </c>
    </row>
    <row r="1488" spans="1:11">
      <c r="A1488">
        <v>49.644</v>
      </c>
      <c r="B1488">
        <v>-193.6</v>
      </c>
      <c r="C1488">
        <v>26</v>
      </c>
      <c r="E1488">
        <v>49.61</v>
      </c>
      <c r="F1488">
        <v>-193.2</v>
      </c>
      <c r="G1488">
        <v>26.1</v>
      </c>
      <c r="I1488">
        <f t="shared" si="69"/>
        <v>49.6</v>
      </c>
      <c r="J1488">
        <f t="shared" si="71"/>
        <v>9.80000000000001</v>
      </c>
      <c r="K1488">
        <f t="shared" si="70"/>
        <v>0</v>
      </c>
    </row>
    <row r="1489" spans="1:11">
      <c r="A1489">
        <v>49.677</v>
      </c>
      <c r="B1489">
        <v>-194.7</v>
      </c>
      <c r="C1489">
        <v>25.9</v>
      </c>
      <c r="E1489">
        <v>49.644</v>
      </c>
      <c r="F1489">
        <v>-193.6</v>
      </c>
      <c r="G1489">
        <v>26</v>
      </c>
      <c r="I1489">
        <f t="shared" si="69"/>
        <v>49.6</v>
      </c>
      <c r="J1489">
        <f t="shared" si="71"/>
        <v>9.40000000000001</v>
      </c>
      <c r="K1489">
        <f t="shared" si="70"/>
        <v>0</v>
      </c>
    </row>
    <row r="1490" spans="1:11">
      <c r="A1490">
        <v>49.711</v>
      </c>
      <c r="B1490">
        <v>-195.8</v>
      </c>
      <c r="C1490">
        <v>25.8</v>
      </c>
      <c r="E1490">
        <v>49.677</v>
      </c>
      <c r="F1490">
        <v>-194.7</v>
      </c>
      <c r="G1490">
        <v>25.9</v>
      </c>
      <c r="I1490">
        <f t="shared" si="69"/>
        <v>49.65</v>
      </c>
      <c r="J1490">
        <f t="shared" si="71"/>
        <v>8.30000000000001</v>
      </c>
      <c r="K1490">
        <f t="shared" si="70"/>
        <v>0</v>
      </c>
    </row>
    <row r="1491" spans="1:11">
      <c r="A1491">
        <v>49.744</v>
      </c>
      <c r="B1491">
        <v>-196.9</v>
      </c>
      <c r="C1491">
        <v>25.3</v>
      </c>
      <c r="E1491">
        <v>49.711</v>
      </c>
      <c r="F1491">
        <v>-195.8</v>
      </c>
      <c r="G1491">
        <v>25.8</v>
      </c>
      <c r="I1491">
        <f t="shared" si="69"/>
        <v>49.7</v>
      </c>
      <c r="J1491">
        <f t="shared" si="71"/>
        <v>7.19999999999999</v>
      </c>
      <c r="K1491">
        <f t="shared" si="70"/>
        <v>0</v>
      </c>
    </row>
    <row r="1492" spans="1:11">
      <c r="A1492">
        <v>49.778</v>
      </c>
      <c r="B1492">
        <v>-198.2</v>
      </c>
      <c r="C1492">
        <v>25.9</v>
      </c>
      <c r="E1492">
        <v>49.744</v>
      </c>
      <c r="F1492">
        <v>-196.9</v>
      </c>
      <c r="G1492">
        <v>25.3</v>
      </c>
      <c r="I1492">
        <f t="shared" si="69"/>
        <v>49.7</v>
      </c>
      <c r="J1492">
        <f t="shared" si="71"/>
        <v>6.09999999999999</v>
      </c>
      <c r="K1492">
        <f t="shared" si="70"/>
        <v>0</v>
      </c>
    </row>
    <row r="1493" spans="1:11">
      <c r="A1493">
        <v>49.811</v>
      </c>
      <c r="B1493">
        <v>-199.1</v>
      </c>
      <c r="C1493">
        <v>25.7</v>
      </c>
      <c r="E1493">
        <v>49.778</v>
      </c>
      <c r="F1493">
        <v>-198.2</v>
      </c>
      <c r="G1493">
        <v>25.9</v>
      </c>
      <c r="I1493">
        <f t="shared" si="69"/>
        <v>49.75</v>
      </c>
      <c r="J1493">
        <f t="shared" si="71"/>
        <v>4.80000000000001</v>
      </c>
      <c r="K1493">
        <f t="shared" si="70"/>
        <v>0</v>
      </c>
    </row>
    <row r="1494" spans="1:11">
      <c r="A1494">
        <v>49.844</v>
      </c>
      <c r="B1494">
        <v>-199.9</v>
      </c>
      <c r="C1494">
        <v>25.8</v>
      </c>
      <c r="E1494">
        <v>49.811</v>
      </c>
      <c r="F1494">
        <v>-199.1</v>
      </c>
      <c r="G1494">
        <v>25.7</v>
      </c>
      <c r="I1494">
        <f t="shared" si="69"/>
        <v>49.8</v>
      </c>
      <c r="J1494">
        <f t="shared" si="71"/>
        <v>3.90000000000001</v>
      </c>
      <c r="K1494">
        <f t="shared" si="70"/>
        <v>0</v>
      </c>
    </row>
    <row r="1495" spans="1:11">
      <c r="A1495">
        <v>49.878</v>
      </c>
      <c r="B1495">
        <v>-201.1</v>
      </c>
      <c r="C1495">
        <v>25.8</v>
      </c>
      <c r="E1495">
        <v>49.844</v>
      </c>
      <c r="F1495">
        <v>-199.9</v>
      </c>
      <c r="G1495">
        <v>25.8</v>
      </c>
      <c r="I1495">
        <f t="shared" si="69"/>
        <v>49.8</v>
      </c>
      <c r="J1495">
        <f t="shared" si="71"/>
        <v>3.09999999999999</v>
      </c>
      <c r="K1495">
        <f t="shared" si="70"/>
        <v>0</v>
      </c>
    </row>
    <row r="1496" spans="1:11">
      <c r="A1496">
        <v>49.911</v>
      </c>
      <c r="B1496">
        <v>-201.8</v>
      </c>
      <c r="C1496">
        <v>25.6</v>
      </c>
      <c r="E1496">
        <v>49.878</v>
      </c>
      <c r="F1496">
        <v>-201.1</v>
      </c>
      <c r="G1496">
        <v>25.8</v>
      </c>
      <c r="I1496">
        <f t="shared" si="69"/>
        <v>49.85</v>
      </c>
      <c r="J1496">
        <f t="shared" si="71"/>
        <v>1.90000000000001</v>
      </c>
      <c r="K1496">
        <f t="shared" si="70"/>
        <v>0</v>
      </c>
    </row>
    <row r="1497" spans="1:11">
      <c r="A1497">
        <v>49.945</v>
      </c>
      <c r="B1497">
        <v>-202.4</v>
      </c>
      <c r="C1497">
        <v>26.2</v>
      </c>
      <c r="E1497">
        <v>49.911</v>
      </c>
      <c r="F1497">
        <v>-201.8</v>
      </c>
      <c r="G1497">
        <v>25.6</v>
      </c>
      <c r="I1497">
        <f t="shared" si="69"/>
        <v>49.9</v>
      </c>
      <c r="J1497">
        <f t="shared" si="71"/>
        <v>1.19999999999999</v>
      </c>
      <c r="K1497">
        <f t="shared" si="70"/>
        <v>0</v>
      </c>
    </row>
    <row r="1498" spans="1:11">
      <c r="A1498">
        <v>49.978</v>
      </c>
      <c r="B1498">
        <v>-203.3</v>
      </c>
      <c r="C1498">
        <v>26</v>
      </c>
      <c r="E1498">
        <v>49.945</v>
      </c>
      <c r="F1498">
        <v>-202.4</v>
      </c>
      <c r="G1498">
        <v>26.2</v>
      </c>
      <c r="I1498">
        <f t="shared" si="69"/>
        <v>49.9</v>
      </c>
      <c r="J1498">
        <f t="shared" si="71"/>
        <v>0.599999999999994</v>
      </c>
      <c r="K1498">
        <f t="shared" si="70"/>
        <v>0</v>
      </c>
    </row>
    <row r="1499" spans="1:11">
      <c r="A1499">
        <v>50.012</v>
      </c>
      <c r="B1499">
        <v>-204.2</v>
      </c>
      <c r="C1499">
        <v>25.6</v>
      </c>
      <c r="E1499">
        <v>49.978</v>
      </c>
      <c r="F1499">
        <v>-203.3</v>
      </c>
      <c r="G1499">
        <v>26</v>
      </c>
      <c r="I1499">
        <f t="shared" si="69"/>
        <v>49.95</v>
      </c>
      <c r="J1499">
        <f t="shared" si="71"/>
        <v>-0.300000000000011</v>
      </c>
      <c r="K1499">
        <f t="shared" si="70"/>
        <v>0</v>
      </c>
    </row>
    <row r="1500" spans="1:11">
      <c r="A1500">
        <v>50.045</v>
      </c>
      <c r="B1500">
        <v>-204.6</v>
      </c>
      <c r="C1500">
        <v>25.9</v>
      </c>
      <c r="E1500">
        <v>50.012</v>
      </c>
      <c r="F1500">
        <v>-204.2</v>
      </c>
      <c r="G1500">
        <v>25.6</v>
      </c>
      <c r="I1500">
        <f t="shared" si="69"/>
        <v>50</v>
      </c>
      <c r="J1500">
        <f t="shared" si="71"/>
        <v>-1.19999999999999</v>
      </c>
      <c r="K1500">
        <f t="shared" si="70"/>
        <v>0</v>
      </c>
    </row>
    <row r="1501" spans="1:11">
      <c r="A1501">
        <v>50.078</v>
      </c>
      <c r="B1501">
        <v>-205</v>
      </c>
      <c r="C1501">
        <v>25.8</v>
      </c>
      <c r="E1501">
        <v>50.045</v>
      </c>
      <c r="F1501">
        <v>-204.6</v>
      </c>
      <c r="G1501">
        <v>25.9</v>
      </c>
      <c r="I1501">
        <f t="shared" si="69"/>
        <v>50</v>
      </c>
      <c r="J1501">
        <f t="shared" si="71"/>
        <v>-1.59999999999999</v>
      </c>
      <c r="K1501">
        <f t="shared" si="70"/>
        <v>0</v>
      </c>
    </row>
    <row r="1502" spans="1:11">
      <c r="A1502">
        <v>50.112</v>
      </c>
      <c r="B1502">
        <v>-205.4</v>
      </c>
      <c r="C1502">
        <v>25.7</v>
      </c>
      <c r="E1502">
        <v>50.078</v>
      </c>
      <c r="F1502">
        <v>-205</v>
      </c>
      <c r="G1502">
        <v>25.8</v>
      </c>
      <c r="I1502">
        <f t="shared" si="69"/>
        <v>50.05</v>
      </c>
      <c r="J1502">
        <f t="shared" si="71"/>
        <v>-2</v>
      </c>
      <c r="K1502">
        <f t="shared" si="70"/>
        <v>0</v>
      </c>
    </row>
    <row r="1503" spans="1:11">
      <c r="A1503">
        <v>50.145</v>
      </c>
      <c r="B1503">
        <v>-205.8</v>
      </c>
      <c r="C1503">
        <v>25.8</v>
      </c>
      <c r="E1503">
        <v>50.112</v>
      </c>
      <c r="F1503">
        <v>-205.4</v>
      </c>
      <c r="G1503">
        <v>25.7</v>
      </c>
      <c r="I1503">
        <f t="shared" ref="I1503:I1566" si="72">FLOOR(E1503,0.05)</f>
        <v>50.1</v>
      </c>
      <c r="J1503">
        <f t="shared" si="71"/>
        <v>-2.40000000000001</v>
      </c>
      <c r="K1503">
        <f t="shared" ref="K1503:K1566" si="73">IF(G1503&lt;230,0,5)</f>
        <v>0</v>
      </c>
    </row>
    <row r="1504" spans="1:11">
      <c r="A1504">
        <v>50.179</v>
      </c>
      <c r="B1504">
        <v>-205.9</v>
      </c>
      <c r="C1504">
        <v>26</v>
      </c>
      <c r="E1504">
        <v>50.145</v>
      </c>
      <c r="F1504">
        <v>-205.8</v>
      </c>
      <c r="G1504">
        <v>25.8</v>
      </c>
      <c r="I1504">
        <f t="shared" si="72"/>
        <v>50.1</v>
      </c>
      <c r="J1504">
        <f t="shared" si="71"/>
        <v>-2.80000000000001</v>
      </c>
      <c r="K1504">
        <f t="shared" si="73"/>
        <v>0</v>
      </c>
    </row>
    <row r="1505" spans="1:11">
      <c r="A1505">
        <v>50.212</v>
      </c>
      <c r="B1505">
        <v>-205.8</v>
      </c>
      <c r="C1505">
        <v>26.2</v>
      </c>
      <c r="E1505">
        <v>50.179</v>
      </c>
      <c r="F1505">
        <v>-205.9</v>
      </c>
      <c r="G1505">
        <v>26</v>
      </c>
      <c r="I1505">
        <f t="shared" si="72"/>
        <v>50.15</v>
      </c>
      <c r="J1505">
        <f t="shared" si="71"/>
        <v>-2.90000000000001</v>
      </c>
      <c r="K1505">
        <f t="shared" si="73"/>
        <v>0</v>
      </c>
    </row>
    <row r="1506" spans="1:11">
      <c r="A1506">
        <v>50.246</v>
      </c>
      <c r="B1506">
        <v>-205.8</v>
      </c>
      <c r="C1506">
        <v>26.1</v>
      </c>
      <c r="E1506">
        <v>50.212</v>
      </c>
      <c r="F1506">
        <v>-205.8</v>
      </c>
      <c r="G1506">
        <v>26.2</v>
      </c>
      <c r="I1506">
        <f t="shared" si="72"/>
        <v>50.2</v>
      </c>
      <c r="J1506">
        <f t="shared" si="71"/>
        <v>-2.80000000000001</v>
      </c>
      <c r="K1506">
        <f t="shared" si="73"/>
        <v>0</v>
      </c>
    </row>
    <row r="1507" spans="1:11">
      <c r="A1507">
        <v>50.279</v>
      </c>
      <c r="B1507">
        <v>-205.6</v>
      </c>
      <c r="C1507">
        <v>25.3</v>
      </c>
      <c r="E1507">
        <v>50.246</v>
      </c>
      <c r="F1507">
        <v>-205.8</v>
      </c>
      <c r="G1507">
        <v>26.1</v>
      </c>
      <c r="I1507">
        <f t="shared" si="72"/>
        <v>50.2</v>
      </c>
      <c r="J1507">
        <f t="shared" si="71"/>
        <v>-2.80000000000001</v>
      </c>
      <c r="K1507">
        <f t="shared" si="73"/>
        <v>0</v>
      </c>
    </row>
    <row r="1508" spans="1:11">
      <c r="A1508">
        <v>50.312</v>
      </c>
      <c r="B1508">
        <v>-205.2</v>
      </c>
      <c r="C1508">
        <v>25.4</v>
      </c>
      <c r="E1508">
        <v>50.279</v>
      </c>
      <c r="F1508">
        <v>-205.6</v>
      </c>
      <c r="G1508">
        <v>25.3</v>
      </c>
      <c r="I1508">
        <f t="shared" si="72"/>
        <v>50.25</v>
      </c>
      <c r="J1508">
        <f t="shared" si="71"/>
        <v>-2.59999999999999</v>
      </c>
      <c r="K1508">
        <f t="shared" si="73"/>
        <v>0</v>
      </c>
    </row>
    <row r="1509" spans="1:11">
      <c r="A1509">
        <v>50.346</v>
      </c>
      <c r="B1509">
        <v>-204.7</v>
      </c>
      <c r="C1509">
        <v>26.1</v>
      </c>
      <c r="E1509">
        <v>50.312</v>
      </c>
      <c r="F1509">
        <v>-205.2</v>
      </c>
      <c r="G1509">
        <v>25.4</v>
      </c>
      <c r="I1509">
        <f t="shared" si="72"/>
        <v>50.3</v>
      </c>
      <c r="J1509">
        <f t="shared" si="71"/>
        <v>-2.19999999999999</v>
      </c>
      <c r="K1509">
        <f t="shared" si="73"/>
        <v>0</v>
      </c>
    </row>
    <row r="1510" spans="1:11">
      <c r="A1510">
        <v>50.379</v>
      </c>
      <c r="B1510">
        <v>-204.3</v>
      </c>
      <c r="C1510">
        <v>25.7</v>
      </c>
      <c r="E1510">
        <v>50.346</v>
      </c>
      <c r="F1510">
        <v>-204.7</v>
      </c>
      <c r="G1510">
        <v>26.1</v>
      </c>
      <c r="I1510">
        <f t="shared" si="72"/>
        <v>50.3</v>
      </c>
      <c r="J1510">
        <f t="shared" si="71"/>
        <v>-1.69999999999999</v>
      </c>
      <c r="K1510">
        <f t="shared" si="73"/>
        <v>0</v>
      </c>
    </row>
    <row r="1511" spans="1:11">
      <c r="A1511">
        <v>50.413</v>
      </c>
      <c r="B1511">
        <v>-203.4</v>
      </c>
      <c r="C1511">
        <v>25.8</v>
      </c>
      <c r="E1511">
        <v>50.379</v>
      </c>
      <c r="F1511">
        <v>-204.3</v>
      </c>
      <c r="G1511">
        <v>25.7</v>
      </c>
      <c r="I1511">
        <f t="shared" si="72"/>
        <v>50.35</v>
      </c>
      <c r="J1511">
        <f t="shared" si="71"/>
        <v>-1.30000000000001</v>
      </c>
      <c r="K1511">
        <f t="shared" si="73"/>
        <v>0</v>
      </c>
    </row>
    <row r="1512" spans="1:11">
      <c r="A1512">
        <v>50.446</v>
      </c>
      <c r="B1512">
        <v>-202.7</v>
      </c>
      <c r="C1512">
        <v>25.1</v>
      </c>
      <c r="E1512">
        <v>50.413</v>
      </c>
      <c r="F1512">
        <v>-203.4</v>
      </c>
      <c r="G1512">
        <v>25.8</v>
      </c>
      <c r="I1512">
        <f t="shared" si="72"/>
        <v>50.4</v>
      </c>
      <c r="J1512">
        <f t="shared" si="71"/>
        <v>-0.400000000000006</v>
      </c>
      <c r="K1512">
        <f t="shared" si="73"/>
        <v>0</v>
      </c>
    </row>
    <row r="1513" spans="1:11">
      <c r="A1513">
        <v>50.48</v>
      </c>
      <c r="B1513">
        <v>-201.9</v>
      </c>
      <c r="C1513">
        <v>25.7</v>
      </c>
      <c r="E1513">
        <v>50.446</v>
      </c>
      <c r="F1513">
        <v>-202.7</v>
      </c>
      <c r="G1513">
        <v>25.1</v>
      </c>
      <c r="I1513">
        <f t="shared" si="72"/>
        <v>50.4</v>
      </c>
      <c r="J1513">
        <f t="shared" si="71"/>
        <v>0.300000000000011</v>
      </c>
      <c r="K1513">
        <f t="shared" si="73"/>
        <v>0</v>
      </c>
    </row>
    <row r="1514" spans="1:11">
      <c r="A1514">
        <v>50.513</v>
      </c>
      <c r="B1514">
        <v>-201.1</v>
      </c>
      <c r="C1514">
        <v>26.2</v>
      </c>
      <c r="E1514">
        <v>50.48</v>
      </c>
      <c r="F1514">
        <v>-201.9</v>
      </c>
      <c r="G1514">
        <v>25.7</v>
      </c>
      <c r="I1514">
        <f t="shared" si="72"/>
        <v>50.45</v>
      </c>
      <c r="J1514">
        <f t="shared" si="71"/>
        <v>1.09999999999999</v>
      </c>
      <c r="K1514">
        <f t="shared" si="73"/>
        <v>0</v>
      </c>
    </row>
    <row r="1515" spans="1:11">
      <c r="A1515">
        <v>50.546</v>
      </c>
      <c r="B1515">
        <v>-200</v>
      </c>
      <c r="C1515">
        <v>25.6</v>
      </c>
      <c r="E1515">
        <v>50.513</v>
      </c>
      <c r="F1515">
        <v>-201.1</v>
      </c>
      <c r="G1515">
        <v>26.2</v>
      </c>
      <c r="I1515">
        <f t="shared" si="72"/>
        <v>50.5</v>
      </c>
      <c r="J1515">
        <f t="shared" si="71"/>
        <v>1.90000000000001</v>
      </c>
      <c r="K1515">
        <f t="shared" si="73"/>
        <v>0</v>
      </c>
    </row>
    <row r="1516" spans="1:11">
      <c r="A1516">
        <v>50.58</v>
      </c>
      <c r="B1516">
        <v>-199</v>
      </c>
      <c r="C1516">
        <v>26</v>
      </c>
      <c r="E1516">
        <v>50.546</v>
      </c>
      <c r="F1516">
        <v>-200</v>
      </c>
      <c r="G1516">
        <v>25.6</v>
      </c>
      <c r="I1516">
        <f t="shared" si="72"/>
        <v>50.5</v>
      </c>
      <c r="J1516">
        <f t="shared" si="71"/>
        <v>3</v>
      </c>
      <c r="K1516">
        <f t="shared" si="73"/>
        <v>0</v>
      </c>
    </row>
    <row r="1517" spans="1:11">
      <c r="A1517">
        <v>50.613</v>
      </c>
      <c r="B1517">
        <v>-198</v>
      </c>
      <c r="C1517">
        <v>25.8</v>
      </c>
      <c r="E1517">
        <v>50.58</v>
      </c>
      <c r="F1517">
        <v>-199</v>
      </c>
      <c r="G1517">
        <v>26</v>
      </c>
      <c r="I1517">
        <f t="shared" si="72"/>
        <v>50.55</v>
      </c>
      <c r="J1517">
        <f t="shared" si="71"/>
        <v>4</v>
      </c>
      <c r="K1517">
        <f t="shared" si="73"/>
        <v>0</v>
      </c>
    </row>
    <row r="1518" spans="1:11">
      <c r="A1518">
        <v>50.647</v>
      </c>
      <c r="B1518">
        <v>-196.8</v>
      </c>
      <c r="C1518">
        <v>26</v>
      </c>
      <c r="E1518">
        <v>50.613</v>
      </c>
      <c r="F1518">
        <v>-198</v>
      </c>
      <c r="G1518">
        <v>25.8</v>
      </c>
      <c r="I1518">
        <f t="shared" si="72"/>
        <v>50.6</v>
      </c>
      <c r="J1518">
        <f t="shared" si="71"/>
        <v>5</v>
      </c>
      <c r="K1518">
        <f t="shared" si="73"/>
        <v>0</v>
      </c>
    </row>
    <row r="1519" spans="1:11">
      <c r="A1519">
        <v>50.68</v>
      </c>
      <c r="B1519">
        <v>-196</v>
      </c>
      <c r="C1519">
        <v>25.8</v>
      </c>
      <c r="E1519">
        <v>50.647</v>
      </c>
      <c r="F1519">
        <v>-196.8</v>
      </c>
      <c r="G1519">
        <v>26</v>
      </c>
      <c r="I1519">
        <f t="shared" si="72"/>
        <v>50.6</v>
      </c>
      <c r="J1519">
        <f t="shared" si="71"/>
        <v>6.19999999999999</v>
      </c>
      <c r="K1519">
        <f t="shared" si="73"/>
        <v>0</v>
      </c>
    </row>
    <row r="1520" spans="1:11">
      <c r="A1520">
        <v>50.714</v>
      </c>
      <c r="B1520">
        <v>-195.3</v>
      </c>
      <c r="C1520">
        <v>25.6</v>
      </c>
      <c r="E1520">
        <v>50.68</v>
      </c>
      <c r="F1520">
        <v>-196</v>
      </c>
      <c r="G1520">
        <v>25.8</v>
      </c>
      <c r="I1520">
        <f t="shared" si="72"/>
        <v>50.65</v>
      </c>
      <c r="J1520">
        <f t="shared" si="71"/>
        <v>7</v>
      </c>
      <c r="K1520">
        <f t="shared" si="73"/>
        <v>0</v>
      </c>
    </row>
    <row r="1521" spans="1:11">
      <c r="A1521">
        <v>50.747</v>
      </c>
      <c r="B1521">
        <v>-194.7</v>
      </c>
      <c r="C1521">
        <v>26.1</v>
      </c>
      <c r="E1521">
        <v>50.714</v>
      </c>
      <c r="F1521">
        <v>-195.3</v>
      </c>
      <c r="G1521">
        <v>25.6</v>
      </c>
      <c r="I1521">
        <f t="shared" si="72"/>
        <v>50.7</v>
      </c>
      <c r="J1521">
        <f t="shared" si="71"/>
        <v>7.69999999999999</v>
      </c>
      <c r="K1521">
        <f t="shared" si="73"/>
        <v>0</v>
      </c>
    </row>
    <row r="1522" spans="1:11">
      <c r="A1522">
        <v>50.78</v>
      </c>
      <c r="B1522">
        <v>-193.9</v>
      </c>
      <c r="C1522">
        <v>25.5</v>
      </c>
      <c r="E1522">
        <v>50.747</v>
      </c>
      <c r="F1522">
        <v>-194.7</v>
      </c>
      <c r="G1522">
        <v>26.1</v>
      </c>
      <c r="I1522">
        <f t="shared" si="72"/>
        <v>50.7</v>
      </c>
      <c r="J1522">
        <f t="shared" si="71"/>
        <v>8.30000000000001</v>
      </c>
      <c r="K1522">
        <f t="shared" si="73"/>
        <v>0</v>
      </c>
    </row>
    <row r="1523" spans="1:11">
      <c r="A1523">
        <v>50.814</v>
      </c>
      <c r="B1523">
        <v>-193.6</v>
      </c>
      <c r="C1523">
        <v>25.8</v>
      </c>
      <c r="E1523">
        <v>50.78</v>
      </c>
      <c r="F1523">
        <v>-193.9</v>
      </c>
      <c r="G1523">
        <v>25.5</v>
      </c>
      <c r="I1523">
        <f t="shared" si="72"/>
        <v>50.75</v>
      </c>
      <c r="J1523">
        <f t="shared" si="71"/>
        <v>9.09999999999999</v>
      </c>
      <c r="K1523">
        <f t="shared" si="73"/>
        <v>0</v>
      </c>
    </row>
    <row r="1524" spans="1:11">
      <c r="A1524">
        <v>50.847</v>
      </c>
      <c r="B1524">
        <v>-193.3</v>
      </c>
      <c r="C1524">
        <v>26.9</v>
      </c>
      <c r="E1524">
        <v>50.814</v>
      </c>
      <c r="F1524">
        <v>-193.6</v>
      </c>
      <c r="G1524">
        <v>25.8</v>
      </c>
      <c r="I1524">
        <f t="shared" si="72"/>
        <v>50.8</v>
      </c>
      <c r="J1524">
        <f t="shared" si="71"/>
        <v>9.40000000000001</v>
      </c>
      <c r="K1524">
        <f t="shared" si="73"/>
        <v>0</v>
      </c>
    </row>
    <row r="1525" spans="1:11">
      <c r="A1525">
        <v>50.881</v>
      </c>
      <c r="B1525">
        <v>-193.4</v>
      </c>
      <c r="C1525">
        <v>25.5</v>
      </c>
      <c r="E1525">
        <v>50.847</v>
      </c>
      <c r="F1525">
        <v>-193.3</v>
      </c>
      <c r="G1525">
        <v>26.9</v>
      </c>
      <c r="I1525">
        <f t="shared" si="72"/>
        <v>50.8</v>
      </c>
      <c r="J1525">
        <f t="shared" si="71"/>
        <v>9.69999999999999</v>
      </c>
      <c r="K1525">
        <f t="shared" si="73"/>
        <v>0</v>
      </c>
    </row>
    <row r="1526" spans="1:11">
      <c r="A1526">
        <v>50.914</v>
      </c>
      <c r="B1526">
        <v>-193.5</v>
      </c>
      <c r="C1526">
        <v>25.8</v>
      </c>
      <c r="E1526">
        <v>50.881</v>
      </c>
      <c r="F1526">
        <v>-193.4</v>
      </c>
      <c r="G1526">
        <v>25.5</v>
      </c>
      <c r="I1526">
        <f t="shared" si="72"/>
        <v>50.85</v>
      </c>
      <c r="J1526">
        <f t="shared" si="71"/>
        <v>9.59999999999999</v>
      </c>
      <c r="K1526">
        <f t="shared" si="73"/>
        <v>0</v>
      </c>
    </row>
    <row r="1527" spans="1:11">
      <c r="A1527">
        <v>50.948</v>
      </c>
      <c r="B1527">
        <v>-193.5</v>
      </c>
      <c r="C1527">
        <v>26.1</v>
      </c>
      <c r="E1527">
        <v>50.914</v>
      </c>
      <c r="F1527">
        <v>-193.5</v>
      </c>
      <c r="G1527">
        <v>25.8</v>
      </c>
      <c r="I1527">
        <f t="shared" si="72"/>
        <v>50.9</v>
      </c>
      <c r="J1527">
        <f t="shared" si="71"/>
        <v>9.5</v>
      </c>
      <c r="K1527">
        <f t="shared" si="73"/>
        <v>0</v>
      </c>
    </row>
    <row r="1528" spans="1:11">
      <c r="A1528">
        <v>50.981</v>
      </c>
      <c r="B1528">
        <v>-193.7</v>
      </c>
      <c r="C1528">
        <v>25.5</v>
      </c>
      <c r="E1528">
        <v>50.948</v>
      </c>
      <c r="F1528">
        <v>-193.5</v>
      </c>
      <c r="G1528">
        <v>26.1</v>
      </c>
      <c r="I1528">
        <f t="shared" si="72"/>
        <v>50.9</v>
      </c>
      <c r="J1528">
        <f t="shared" si="71"/>
        <v>9.5</v>
      </c>
      <c r="K1528">
        <f t="shared" si="73"/>
        <v>0</v>
      </c>
    </row>
    <row r="1529" spans="1:11">
      <c r="A1529">
        <v>51.015</v>
      </c>
      <c r="B1529">
        <v>-193.8</v>
      </c>
      <c r="C1529">
        <v>25.9</v>
      </c>
      <c r="E1529">
        <v>50.981</v>
      </c>
      <c r="F1529">
        <v>-193.7</v>
      </c>
      <c r="G1529">
        <v>25.5</v>
      </c>
      <c r="I1529">
        <f t="shared" si="72"/>
        <v>50.95</v>
      </c>
      <c r="J1529">
        <f t="shared" si="71"/>
        <v>9.30000000000001</v>
      </c>
      <c r="K1529">
        <f t="shared" si="73"/>
        <v>0</v>
      </c>
    </row>
    <row r="1530" spans="1:11">
      <c r="A1530">
        <v>51.048</v>
      </c>
      <c r="B1530">
        <v>-194</v>
      </c>
      <c r="C1530">
        <v>26.2</v>
      </c>
      <c r="E1530">
        <v>51.015</v>
      </c>
      <c r="F1530">
        <v>-193.8</v>
      </c>
      <c r="G1530">
        <v>25.9</v>
      </c>
      <c r="I1530">
        <f t="shared" si="72"/>
        <v>51</v>
      </c>
      <c r="J1530">
        <f t="shared" si="71"/>
        <v>9.19999999999999</v>
      </c>
      <c r="K1530">
        <f t="shared" si="73"/>
        <v>0</v>
      </c>
    </row>
    <row r="1531" spans="1:11">
      <c r="A1531">
        <v>51.081</v>
      </c>
      <c r="B1531">
        <v>-194.2</v>
      </c>
      <c r="C1531">
        <v>25.8</v>
      </c>
      <c r="E1531">
        <v>51.048</v>
      </c>
      <c r="F1531">
        <v>-194</v>
      </c>
      <c r="G1531">
        <v>26.2</v>
      </c>
      <c r="I1531">
        <f t="shared" si="72"/>
        <v>51</v>
      </c>
      <c r="J1531">
        <f t="shared" si="71"/>
        <v>9</v>
      </c>
      <c r="K1531">
        <f t="shared" si="73"/>
        <v>0</v>
      </c>
    </row>
    <row r="1532" spans="1:11">
      <c r="A1532">
        <v>51.115</v>
      </c>
      <c r="B1532">
        <v>-194.7</v>
      </c>
      <c r="C1532">
        <v>25.9</v>
      </c>
      <c r="E1532">
        <v>51.081</v>
      </c>
      <c r="F1532">
        <v>-194.2</v>
      </c>
      <c r="G1532">
        <v>25.8</v>
      </c>
      <c r="I1532">
        <f t="shared" si="72"/>
        <v>51.05</v>
      </c>
      <c r="J1532">
        <f t="shared" si="71"/>
        <v>8.80000000000001</v>
      </c>
      <c r="K1532">
        <f t="shared" si="73"/>
        <v>0</v>
      </c>
    </row>
    <row r="1533" spans="1:11">
      <c r="A1533">
        <v>51.148</v>
      </c>
      <c r="B1533">
        <v>-195.5</v>
      </c>
      <c r="C1533">
        <v>25.8</v>
      </c>
      <c r="E1533">
        <v>51.115</v>
      </c>
      <c r="F1533">
        <v>-194.7</v>
      </c>
      <c r="G1533">
        <v>25.9</v>
      </c>
      <c r="I1533">
        <f t="shared" si="72"/>
        <v>51.1</v>
      </c>
      <c r="J1533">
        <f t="shared" si="71"/>
        <v>8.30000000000001</v>
      </c>
      <c r="K1533">
        <f t="shared" si="73"/>
        <v>0</v>
      </c>
    </row>
    <row r="1534" spans="1:11">
      <c r="A1534">
        <v>51.182</v>
      </c>
      <c r="B1534">
        <v>-196.5</v>
      </c>
      <c r="C1534">
        <v>25.9</v>
      </c>
      <c r="E1534">
        <v>51.148</v>
      </c>
      <c r="F1534">
        <v>-195.5</v>
      </c>
      <c r="G1534">
        <v>25.8</v>
      </c>
      <c r="I1534">
        <f t="shared" si="72"/>
        <v>51.1</v>
      </c>
      <c r="J1534">
        <f t="shared" si="71"/>
        <v>7.5</v>
      </c>
      <c r="K1534">
        <f t="shared" si="73"/>
        <v>0</v>
      </c>
    </row>
    <row r="1535" spans="1:11">
      <c r="A1535">
        <v>51.215</v>
      </c>
      <c r="B1535">
        <v>-197.9</v>
      </c>
      <c r="C1535">
        <v>25.9</v>
      </c>
      <c r="E1535">
        <v>51.182</v>
      </c>
      <c r="F1535">
        <v>-196.5</v>
      </c>
      <c r="G1535">
        <v>25.9</v>
      </c>
      <c r="I1535">
        <f t="shared" si="72"/>
        <v>51.15</v>
      </c>
      <c r="J1535">
        <f t="shared" si="71"/>
        <v>6.5</v>
      </c>
      <c r="K1535">
        <f t="shared" si="73"/>
        <v>0</v>
      </c>
    </row>
    <row r="1536" spans="1:11">
      <c r="A1536">
        <v>51.249</v>
      </c>
      <c r="B1536">
        <v>-199.1</v>
      </c>
      <c r="C1536">
        <v>26.3</v>
      </c>
      <c r="E1536">
        <v>51.215</v>
      </c>
      <c r="F1536">
        <v>-197.9</v>
      </c>
      <c r="G1536">
        <v>25.9</v>
      </c>
      <c r="I1536">
        <f t="shared" si="72"/>
        <v>51.2</v>
      </c>
      <c r="J1536">
        <f t="shared" si="71"/>
        <v>5.09999999999999</v>
      </c>
      <c r="K1536">
        <f t="shared" si="73"/>
        <v>0</v>
      </c>
    </row>
    <row r="1537" spans="1:11">
      <c r="A1537">
        <v>51.282</v>
      </c>
      <c r="B1537">
        <v>-200</v>
      </c>
      <c r="C1537">
        <v>25.7</v>
      </c>
      <c r="E1537">
        <v>51.249</v>
      </c>
      <c r="F1537">
        <v>-199.1</v>
      </c>
      <c r="G1537">
        <v>26.3</v>
      </c>
      <c r="I1537">
        <f t="shared" si="72"/>
        <v>51.2</v>
      </c>
      <c r="J1537">
        <f t="shared" si="71"/>
        <v>3.90000000000001</v>
      </c>
      <c r="K1537">
        <f t="shared" si="73"/>
        <v>0</v>
      </c>
    </row>
    <row r="1538" spans="1:11">
      <c r="A1538">
        <v>51.315</v>
      </c>
      <c r="B1538">
        <v>-200.8</v>
      </c>
      <c r="C1538">
        <v>25.9</v>
      </c>
      <c r="E1538">
        <v>51.282</v>
      </c>
      <c r="F1538">
        <v>-200</v>
      </c>
      <c r="G1538">
        <v>25.7</v>
      </c>
      <c r="I1538">
        <f t="shared" si="72"/>
        <v>51.25</v>
      </c>
      <c r="J1538">
        <f t="shared" si="71"/>
        <v>3</v>
      </c>
      <c r="K1538">
        <f t="shared" si="73"/>
        <v>0</v>
      </c>
    </row>
    <row r="1539" spans="1:11">
      <c r="A1539">
        <v>51.349</v>
      </c>
      <c r="B1539">
        <v>-201.7</v>
      </c>
      <c r="C1539">
        <v>25.4</v>
      </c>
      <c r="E1539">
        <v>51.315</v>
      </c>
      <c r="F1539">
        <v>-200.8</v>
      </c>
      <c r="G1539">
        <v>25.9</v>
      </c>
      <c r="I1539">
        <f t="shared" si="72"/>
        <v>51.3</v>
      </c>
      <c r="J1539">
        <f t="shared" si="71"/>
        <v>2.19999999999999</v>
      </c>
      <c r="K1539">
        <f t="shared" si="73"/>
        <v>0</v>
      </c>
    </row>
    <row r="1540" spans="1:11">
      <c r="A1540">
        <v>51.382</v>
      </c>
      <c r="B1540">
        <v>-202.4</v>
      </c>
      <c r="C1540">
        <v>26.2</v>
      </c>
      <c r="E1540">
        <v>51.349</v>
      </c>
      <c r="F1540">
        <v>-201.7</v>
      </c>
      <c r="G1540">
        <v>25.4</v>
      </c>
      <c r="I1540">
        <f t="shared" si="72"/>
        <v>51.3</v>
      </c>
      <c r="J1540">
        <f t="shared" si="71"/>
        <v>1.30000000000001</v>
      </c>
      <c r="K1540">
        <f t="shared" si="73"/>
        <v>0</v>
      </c>
    </row>
    <row r="1541" spans="1:11">
      <c r="A1541">
        <v>51.416</v>
      </c>
      <c r="B1541">
        <v>-203.1</v>
      </c>
      <c r="C1541">
        <v>25.6</v>
      </c>
      <c r="E1541">
        <v>51.382</v>
      </c>
      <c r="F1541">
        <v>-202.4</v>
      </c>
      <c r="G1541">
        <v>26.2</v>
      </c>
      <c r="I1541">
        <f t="shared" si="72"/>
        <v>51.35</v>
      </c>
      <c r="J1541">
        <f t="shared" ref="J1541:J1604" si="74">F1541+203</f>
        <v>0.599999999999994</v>
      </c>
      <c r="K1541">
        <f t="shared" si="73"/>
        <v>0</v>
      </c>
    </row>
    <row r="1542" spans="1:11">
      <c r="A1542">
        <v>51.449</v>
      </c>
      <c r="B1542">
        <v>-203.9</v>
      </c>
      <c r="C1542">
        <v>26.1</v>
      </c>
      <c r="E1542">
        <v>51.416</v>
      </c>
      <c r="F1542">
        <v>-203.1</v>
      </c>
      <c r="G1542">
        <v>25.6</v>
      </c>
      <c r="I1542">
        <f t="shared" si="72"/>
        <v>51.4</v>
      </c>
      <c r="J1542">
        <f t="shared" si="74"/>
        <v>-0.0999999999999943</v>
      </c>
      <c r="K1542">
        <f t="shared" si="73"/>
        <v>0</v>
      </c>
    </row>
    <row r="1543" spans="1:11">
      <c r="A1543">
        <v>51.483</v>
      </c>
      <c r="B1543">
        <v>-204.5</v>
      </c>
      <c r="C1543">
        <v>25.5</v>
      </c>
      <c r="E1543">
        <v>51.449</v>
      </c>
      <c r="F1543">
        <v>-203.9</v>
      </c>
      <c r="G1543">
        <v>26.1</v>
      </c>
      <c r="I1543">
        <f t="shared" si="72"/>
        <v>51.4</v>
      </c>
      <c r="J1543">
        <f t="shared" si="74"/>
        <v>-0.900000000000006</v>
      </c>
      <c r="K1543">
        <f t="shared" si="73"/>
        <v>0</v>
      </c>
    </row>
    <row r="1544" spans="1:11">
      <c r="A1544">
        <v>51.516</v>
      </c>
      <c r="B1544">
        <v>-204.9</v>
      </c>
      <c r="C1544">
        <v>26.4</v>
      </c>
      <c r="E1544">
        <v>51.483</v>
      </c>
      <c r="F1544">
        <v>-204.5</v>
      </c>
      <c r="G1544">
        <v>25.5</v>
      </c>
      <c r="I1544">
        <f t="shared" si="72"/>
        <v>51.45</v>
      </c>
      <c r="J1544">
        <f t="shared" si="74"/>
        <v>-1.5</v>
      </c>
      <c r="K1544">
        <f t="shared" si="73"/>
        <v>0</v>
      </c>
    </row>
    <row r="1545" spans="1:11">
      <c r="A1545">
        <v>51.549</v>
      </c>
      <c r="B1545">
        <v>-205.2</v>
      </c>
      <c r="C1545">
        <v>25.2</v>
      </c>
      <c r="E1545">
        <v>51.516</v>
      </c>
      <c r="F1545">
        <v>-204.9</v>
      </c>
      <c r="G1545">
        <v>26.4</v>
      </c>
      <c r="I1545">
        <f t="shared" si="72"/>
        <v>51.5</v>
      </c>
      <c r="J1545">
        <f t="shared" si="74"/>
        <v>-1.90000000000001</v>
      </c>
      <c r="K1545">
        <f t="shared" si="73"/>
        <v>0</v>
      </c>
    </row>
    <row r="1546" spans="1:11">
      <c r="A1546">
        <v>51.583</v>
      </c>
      <c r="B1546">
        <v>-205.4</v>
      </c>
      <c r="C1546">
        <v>25.4</v>
      </c>
      <c r="E1546">
        <v>51.549</v>
      </c>
      <c r="F1546">
        <v>-205.2</v>
      </c>
      <c r="G1546">
        <v>25.2</v>
      </c>
      <c r="I1546">
        <f t="shared" si="72"/>
        <v>51.5</v>
      </c>
      <c r="J1546">
        <f t="shared" si="74"/>
        <v>-2.19999999999999</v>
      </c>
      <c r="K1546">
        <f t="shared" si="73"/>
        <v>0</v>
      </c>
    </row>
    <row r="1547" spans="1:11">
      <c r="A1547">
        <v>51.616</v>
      </c>
      <c r="B1547">
        <v>-205.8</v>
      </c>
      <c r="C1547">
        <v>25.8</v>
      </c>
      <c r="E1547">
        <v>51.583</v>
      </c>
      <c r="F1547">
        <v>-205.4</v>
      </c>
      <c r="G1547">
        <v>25.4</v>
      </c>
      <c r="I1547">
        <f t="shared" si="72"/>
        <v>51.55</v>
      </c>
      <c r="J1547">
        <f t="shared" si="74"/>
        <v>-2.40000000000001</v>
      </c>
      <c r="K1547">
        <f t="shared" si="73"/>
        <v>0</v>
      </c>
    </row>
    <row r="1548" spans="1:11">
      <c r="A1548">
        <v>51.65</v>
      </c>
      <c r="B1548">
        <v>-205.8</v>
      </c>
      <c r="C1548">
        <v>25.9</v>
      </c>
      <c r="E1548">
        <v>51.616</v>
      </c>
      <c r="F1548">
        <v>-205.8</v>
      </c>
      <c r="G1548">
        <v>25.8</v>
      </c>
      <c r="I1548">
        <f t="shared" si="72"/>
        <v>51.6</v>
      </c>
      <c r="J1548">
        <f t="shared" si="74"/>
        <v>-2.80000000000001</v>
      </c>
      <c r="K1548">
        <f t="shared" si="73"/>
        <v>0</v>
      </c>
    </row>
    <row r="1549" spans="1:11">
      <c r="A1549">
        <v>51.683</v>
      </c>
      <c r="B1549">
        <v>-205.7</v>
      </c>
      <c r="C1549">
        <v>26.4</v>
      </c>
      <c r="E1549">
        <v>51.65</v>
      </c>
      <c r="F1549">
        <v>-205.8</v>
      </c>
      <c r="G1549">
        <v>25.9</v>
      </c>
      <c r="I1549">
        <f t="shared" si="72"/>
        <v>51.65</v>
      </c>
      <c r="J1549">
        <f t="shared" si="74"/>
        <v>-2.80000000000001</v>
      </c>
      <c r="K1549">
        <f t="shared" si="73"/>
        <v>0</v>
      </c>
    </row>
    <row r="1550" spans="1:11">
      <c r="A1550">
        <v>51.717</v>
      </c>
      <c r="B1550">
        <v>-205.6</v>
      </c>
      <c r="C1550">
        <v>25.8</v>
      </c>
      <c r="E1550">
        <v>51.683</v>
      </c>
      <c r="F1550">
        <v>-205.7</v>
      </c>
      <c r="G1550">
        <v>26.4</v>
      </c>
      <c r="I1550">
        <f t="shared" si="72"/>
        <v>51.65</v>
      </c>
      <c r="J1550">
        <f t="shared" si="74"/>
        <v>-2.69999999999999</v>
      </c>
      <c r="K1550">
        <f t="shared" si="73"/>
        <v>0</v>
      </c>
    </row>
    <row r="1551" spans="1:11">
      <c r="A1551">
        <v>51.75</v>
      </c>
      <c r="B1551">
        <v>-205.2</v>
      </c>
      <c r="C1551">
        <v>26</v>
      </c>
      <c r="E1551">
        <v>51.717</v>
      </c>
      <c r="F1551">
        <v>-205.6</v>
      </c>
      <c r="G1551">
        <v>25.8</v>
      </c>
      <c r="I1551">
        <f t="shared" si="72"/>
        <v>51.7</v>
      </c>
      <c r="J1551">
        <f t="shared" si="74"/>
        <v>-2.59999999999999</v>
      </c>
      <c r="K1551">
        <f t="shared" si="73"/>
        <v>0</v>
      </c>
    </row>
    <row r="1552" spans="1:11">
      <c r="A1552">
        <v>51.783</v>
      </c>
      <c r="B1552">
        <v>-204.8</v>
      </c>
      <c r="C1552">
        <v>25.4</v>
      </c>
      <c r="E1552">
        <v>51.75</v>
      </c>
      <c r="F1552">
        <v>-205.2</v>
      </c>
      <c r="G1552">
        <v>26</v>
      </c>
      <c r="I1552">
        <f t="shared" si="72"/>
        <v>51.75</v>
      </c>
      <c r="J1552">
        <f t="shared" si="74"/>
        <v>-2.19999999999999</v>
      </c>
      <c r="K1552">
        <f t="shared" si="73"/>
        <v>0</v>
      </c>
    </row>
    <row r="1553" spans="1:11">
      <c r="A1553">
        <v>51.817</v>
      </c>
      <c r="B1553">
        <v>-204.5</v>
      </c>
      <c r="C1553">
        <v>26.3</v>
      </c>
      <c r="E1553">
        <v>51.783</v>
      </c>
      <c r="F1553">
        <v>-204.8</v>
      </c>
      <c r="G1553">
        <v>25.4</v>
      </c>
      <c r="I1553">
        <f t="shared" si="72"/>
        <v>51.75</v>
      </c>
      <c r="J1553">
        <f t="shared" si="74"/>
        <v>-1.80000000000001</v>
      </c>
      <c r="K1553">
        <f t="shared" si="73"/>
        <v>0</v>
      </c>
    </row>
    <row r="1554" spans="1:11">
      <c r="A1554">
        <v>51.85</v>
      </c>
      <c r="B1554">
        <v>-204.3</v>
      </c>
      <c r="C1554">
        <v>25</v>
      </c>
      <c r="E1554">
        <v>51.817</v>
      </c>
      <c r="F1554">
        <v>-204.5</v>
      </c>
      <c r="G1554">
        <v>26.3</v>
      </c>
      <c r="I1554">
        <f t="shared" si="72"/>
        <v>51.8</v>
      </c>
      <c r="J1554">
        <f t="shared" si="74"/>
        <v>-1.5</v>
      </c>
      <c r="K1554">
        <f t="shared" si="73"/>
        <v>0</v>
      </c>
    </row>
    <row r="1555" spans="1:11">
      <c r="A1555">
        <v>51.884</v>
      </c>
      <c r="B1555">
        <v>-202.9</v>
      </c>
      <c r="C1555">
        <v>25.3</v>
      </c>
      <c r="E1555">
        <v>51.85</v>
      </c>
      <c r="F1555">
        <v>-204.3</v>
      </c>
      <c r="G1555">
        <v>25</v>
      </c>
      <c r="I1555">
        <f t="shared" si="72"/>
        <v>51.85</v>
      </c>
      <c r="J1555">
        <f t="shared" si="74"/>
        <v>-1.30000000000001</v>
      </c>
      <c r="K1555">
        <f t="shared" si="73"/>
        <v>0</v>
      </c>
    </row>
    <row r="1556" spans="1:11">
      <c r="A1556">
        <v>51.917</v>
      </c>
      <c r="B1556">
        <v>-202.3</v>
      </c>
      <c r="C1556">
        <v>25.9</v>
      </c>
      <c r="E1556">
        <v>51.884</v>
      </c>
      <c r="F1556">
        <v>-202.9</v>
      </c>
      <c r="G1556">
        <v>25.3</v>
      </c>
      <c r="I1556">
        <f t="shared" si="72"/>
        <v>51.85</v>
      </c>
      <c r="J1556">
        <f t="shared" si="74"/>
        <v>0.0999999999999943</v>
      </c>
      <c r="K1556">
        <f t="shared" si="73"/>
        <v>0</v>
      </c>
    </row>
    <row r="1557" spans="1:11">
      <c r="A1557">
        <v>51.951</v>
      </c>
      <c r="B1557">
        <v>-201.6</v>
      </c>
      <c r="C1557">
        <v>25.6</v>
      </c>
      <c r="E1557">
        <v>51.917</v>
      </c>
      <c r="F1557">
        <v>-202.3</v>
      </c>
      <c r="G1557">
        <v>25.9</v>
      </c>
      <c r="I1557">
        <f t="shared" si="72"/>
        <v>51.9</v>
      </c>
      <c r="J1557">
        <f t="shared" si="74"/>
        <v>0.699999999999989</v>
      </c>
      <c r="K1557">
        <f t="shared" si="73"/>
        <v>0</v>
      </c>
    </row>
    <row r="1558" spans="1:11">
      <c r="A1558">
        <v>51.984</v>
      </c>
      <c r="B1558">
        <v>-200.6</v>
      </c>
      <c r="C1558">
        <v>26.6</v>
      </c>
      <c r="E1558">
        <v>51.951</v>
      </c>
      <c r="F1558">
        <v>-201.6</v>
      </c>
      <c r="G1558">
        <v>25.6</v>
      </c>
      <c r="I1558">
        <f t="shared" si="72"/>
        <v>51.95</v>
      </c>
      <c r="J1558">
        <f t="shared" si="74"/>
        <v>1.40000000000001</v>
      </c>
      <c r="K1558">
        <f t="shared" si="73"/>
        <v>0</v>
      </c>
    </row>
    <row r="1559" spans="1:11">
      <c r="A1559">
        <v>52.017</v>
      </c>
      <c r="B1559">
        <v>-199.6</v>
      </c>
      <c r="C1559">
        <v>26.1</v>
      </c>
      <c r="E1559">
        <v>51.984</v>
      </c>
      <c r="F1559">
        <v>-200.6</v>
      </c>
      <c r="G1559">
        <v>26.6</v>
      </c>
      <c r="I1559">
        <f t="shared" si="72"/>
        <v>51.95</v>
      </c>
      <c r="J1559">
        <f t="shared" si="74"/>
        <v>2.40000000000001</v>
      </c>
      <c r="K1559">
        <f t="shared" si="73"/>
        <v>0</v>
      </c>
    </row>
    <row r="1560" spans="1:11">
      <c r="A1560">
        <v>52.051</v>
      </c>
      <c r="B1560">
        <v>-198.7</v>
      </c>
      <c r="C1560">
        <v>25.9</v>
      </c>
      <c r="E1560">
        <v>52.017</v>
      </c>
      <c r="F1560">
        <v>-199.6</v>
      </c>
      <c r="G1560">
        <v>26.1</v>
      </c>
      <c r="I1560">
        <f t="shared" si="72"/>
        <v>52</v>
      </c>
      <c r="J1560">
        <f t="shared" si="74"/>
        <v>3.40000000000001</v>
      </c>
      <c r="K1560">
        <f t="shared" si="73"/>
        <v>0</v>
      </c>
    </row>
    <row r="1561" spans="1:11">
      <c r="A1561">
        <v>52.084</v>
      </c>
      <c r="B1561">
        <v>-197.9</v>
      </c>
      <c r="C1561">
        <v>25.3</v>
      </c>
      <c r="E1561">
        <v>52.051</v>
      </c>
      <c r="F1561">
        <v>-198.7</v>
      </c>
      <c r="G1561">
        <v>25.9</v>
      </c>
      <c r="I1561">
        <f t="shared" si="72"/>
        <v>52.05</v>
      </c>
      <c r="J1561">
        <f t="shared" si="74"/>
        <v>4.30000000000001</v>
      </c>
      <c r="K1561">
        <f t="shared" si="73"/>
        <v>0</v>
      </c>
    </row>
    <row r="1562" spans="1:11">
      <c r="A1562">
        <v>52.118</v>
      </c>
      <c r="B1562">
        <v>-196.8</v>
      </c>
      <c r="C1562">
        <v>25.9</v>
      </c>
      <c r="E1562">
        <v>52.084</v>
      </c>
      <c r="F1562">
        <v>-197.9</v>
      </c>
      <c r="G1562">
        <v>25.3</v>
      </c>
      <c r="I1562">
        <f t="shared" si="72"/>
        <v>52.05</v>
      </c>
      <c r="J1562">
        <f t="shared" si="74"/>
        <v>5.09999999999999</v>
      </c>
      <c r="K1562">
        <f t="shared" si="73"/>
        <v>0</v>
      </c>
    </row>
    <row r="1563" spans="1:11">
      <c r="A1563">
        <v>52.151</v>
      </c>
      <c r="B1563">
        <v>-196</v>
      </c>
      <c r="C1563">
        <v>25.4</v>
      </c>
      <c r="E1563">
        <v>52.118</v>
      </c>
      <c r="F1563">
        <v>-196.8</v>
      </c>
      <c r="G1563">
        <v>25.9</v>
      </c>
      <c r="I1563">
        <f t="shared" si="72"/>
        <v>52.1</v>
      </c>
      <c r="J1563">
        <f t="shared" si="74"/>
        <v>6.19999999999999</v>
      </c>
      <c r="K1563">
        <f t="shared" si="73"/>
        <v>0</v>
      </c>
    </row>
    <row r="1564" spans="1:11">
      <c r="A1564">
        <v>52.185</v>
      </c>
      <c r="B1564">
        <v>-195.1</v>
      </c>
      <c r="C1564">
        <v>25.5</v>
      </c>
      <c r="E1564">
        <v>52.151</v>
      </c>
      <c r="F1564">
        <v>-196</v>
      </c>
      <c r="G1564">
        <v>25.4</v>
      </c>
      <c r="I1564">
        <f t="shared" si="72"/>
        <v>52.15</v>
      </c>
      <c r="J1564">
        <f t="shared" si="74"/>
        <v>7</v>
      </c>
      <c r="K1564">
        <f t="shared" si="73"/>
        <v>0</v>
      </c>
    </row>
    <row r="1565" spans="1:11">
      <c r="A1565">
        <v>52.218</v>
      </c>
      <c r="B1565">
        <v>-194.4</v>
      </c>
      <c r="C1565">
        <v>26</v>
      </c>
      <c r="E1565">
        <v>52.185</v>
      </c>
      <c r="F1565">
        <v>-195.1</v>
      </c>
      <c r="G1565">
        <v>25.5</v>
      </c>
      <c r="I1565">
        <f t="shared" si="72"/>
        <v>52.15</v>
      </c>
      <c r="J1565">
        <f t="shared" si="74"/>
        <v>7.90000000000001</v>
      </c>
      <c r="K1565">
        <f t="shared" si="73"/>
        <v>0</v>
      </c>
    </row>
    <row r="1566" spans="1:11">
      <c r="A1566">
        <v>52.251</v>
      </c>
      <c r="B1566">
        <v>-194</v>
      </c>
      <c r="C1566">
        <v>25.7</v>
      </c>
      <c r="E1566">
        <v>52.218</v>
      </c>
      <c r="F1566">
        <v>-194.4</v>
      </c>
      <c r="G1566">
        <v>26</v>
      </c>
      <c r="I1566">
        <f t="shared" si="72"/>
        <v>52.2</v>
      </c>
      <c r="J1566">
        <f t="shared" si="74"/>
        <v>8.59999999999999</v>
      </c>
      <c r="K1566">
        <f t="shared" si="73"/>
        <v>0</v>
      </c>
    </row>
    <row r="1567" spans="1:11">
      <c r="A1567">
        <v>52.285</v>
      </c>
      <c r="B1567">
        <v>-193.6</v>
      </c>
      <c r="C1567">
        <v>25.1</v>
      </c>
      <c r="E1567">
        <v>52.251</v>
      </c>
      <c r="F1567">
        <v>-194</v>
      </c>
      <c r="G1567">
        <v>25.7</v>
      </c>
      <c r="I1567">
        <f t="shared" ref="I1567:I1630" si="75">FLOOR(E1567,0.05)</f>
        <v>52.25</v>
      </c>
      <c r="J1567">
        <f t="shared" si="74"/>
        <v>9</v>
      </c>
      <c r="K1567">
        <f t="shared" ref="K1567:K1630" si="76">IF(G1567&lt;230,0,5)</f>
        <v>0</v>
      </c>
    </row>
    <row r="1568" spans="1:11">
      <c r="A1568">
        <v>52.318</v>
      </c>
      <c r="B1568">
        <v>-193.5</v>
      </c>
      <c r="C1568">
        <v>26.1</v>
      </c>
      <c r="E1568">
        <v>52.285</v>
      </c>
      <c r="F1568">
        <v>-193.6</v>
      </c>
      <c r="G1568">
        <v>25.1</v>
      </c>
      <c r="I1568">
        <f t="shared" si="75"/>
        <v>52.25</v>
      </c>
      <c r="J1568">
        <f t="shared" si="74"/>
        <v>9.40000000000001</v>
      </c>
      <c r="K1568">
        <f t="shared" si="76"/>
        <v>0</v>
      </c>
    </row>
    <row r="1569" spans="1:11">
      <c r="A1569">
        <v>52.352</v>
      </c>
      <c r="B1569">
        <v>-193.4</v>
      </c>
      <c r="C1569">
        <v>25.9</v>
      </c>
      <c r="E1569">
        <v>52.318</v>
      </c>
      <c r="F1569">
        <v>-193.5</v>
      </c>
      <c r="G1569">
        <v>26.1</v>
      </c>
      <c r="I1569">
        <f t="shared" si="75"/>
        <v>52.3</v>
      </c>
      <c r="J1569">
        <f t="shared" si="74"/>
        <v>9.5</v>
      </c>
      <c r="K1569">
        <f t="shared" si="76"/>
        <v>0</v>
      </c>
    </row>
    <row r="1570" spans="1:11">
      <c r="A1570">
        <v>52.385</v>
      </c>
      <c r="B1570">
        <v>-193.4</v>
      </c>
      <c r="C1570">
        <v>26.1</v>
      </c>
      <c r="E1570">
        <v>52.352</v>
      </c>
      <c r="F1570">
        <v>-193.4</v>
      </c>
      <c r="G1570">
        <v>25.9</v>
      </c>
      <c r="I1570">
        <f t="shared" si="75"/>
        <v>52.35</v>
      </c>
      <c r="J1570">
        <f t="shared" si="74"/>
        <v>9.59999999999999</v>
      </c>
      <c r="K1570">
        <f t="shared" si="76"/>
        <v>0</v>
      </c>
    </row>
    <row r="1571" spans="1:11">
      <c r="A1571">
        <v>52.419</v>
      </c>
      <c r="B1571">
        <v>-193.6</v>
      </c>
      <c r="C1571">
        <v>25.5</v>
      </c>
      <c r="E1571">
        <v>52.385</v>
      </c>
      <c r="F1571">
        <v>-193.4</v>
      </c>
      <c r="G1571">
        <v>26.1</v>
      </c>
      <c r="I1571">
        <f t="shared" si="75"/>
        <v>52.35</v>
      </c>
      <c r="J1571">
        <f t="shared" si="74"/>
        <v>9.59999999999999</v>
      </c>
      <c r="K1571">
        <f t="shared" si="76"/>
        <v>0</v>
      </c>
    </row>
    <row r="1572" spans="1:11">
      <c r="A1572">
        <v>52.452</v>
      </c>
      <c r="B1572">
        <v>-193.6</v>
      </c>
      <c r="C1572">
        <v>25.9</v>
      </c>
      <c r="E1572">
        <v>52.419</v>
      </c>
      <c r="F1572">
        <v>-193.6</v>
      </c>
      <c r="G1572">
        <v>25.5</v>
      </c>
      <c r="I1572">
        <f t="shared" si="75"/>
        <v>52.4</v>
      </c>
      <c r="J1572">
        <f t="shared" si="74"/>
        <v>9.40000000000001</v>
      </c>
      <c r="K1572">
        <f t="shared" si="76"/>
        <v>0</v>
      </c>
    </row>
    <row r="1573" spans="1:11">
      <c r="A1573">
        <v>52.485</v>
      </c>
      <c r="B1573">
        <v>-193.9</v>
      </c>
      <c r="C1573">
        <v>25.9</v>
      </c>
      <c r="E1573">
        <v>52.452</v>
      </c>
      <c r="F1573">
        <v>-193.6</v>
      </c>
      <c r="G1573">
        <v>25.9</v>
      </c>
      <c r="I1573">
        <f t="shared" si="75"/>
        <v>52.45</v>
      </c>
      <c r="J1573">
        <f t="shared" si="74"/>
        <v>9.40000000000001</v>
      </c>
      <c r="K1573">
        <f t="shared" si="76"/>
        <v>0</v>
      </c>
    </row>
    <row r="1574" spans="1:11">
      <c r="A1574">
        <v>52.519</v>
      </c>
      <c r="B1574">
        <v>-194.2</v>
      </c>
      <c r="C1574">
        <v>26.4</v>
      </c>
      <c r="E1574">
        <v>52.485</v>
      </c>
      <c r="F1574">
        <v>-193.9</v>
      </c>
      <c r="G1574">
        <v>25.9</v>
      </c>
      <c r="I1574">
        <f t="shared" si="75"/>
        <v>52.45</v>
      </c>
      <c r="J1574">
        <f t="shared" si="74"/>
        <v>9.09999999999999</v>
      </c>
      <c r="K1574">
        <f t="shared" si="76"/>
        <v>0</v>
      </c>
    </row>
    <row r="1575" spans="1:11">
      <c r="A1575">
        <v>52.552</v>
      </c>
      <c r="B1575">
        <v>-194.5</v>
      </c>
      <c r="C1575">
        <v>26.5</v>
      </c>
      <c r="E1575">
        <v>52.519</v>
      </c>
      <c r="F1575">
        <v>-194.2</v>
      </c>
      <c r="G1575">
        <v>26.4</v>
      </c>
      <c r="I1575">
        <f t="shared" si="75"/>
        <v>52.5</v>
      </c>
      <c r="J1575">
        <f t="shared" si="74"/>
        <v>8.80000000000001</v>
      </c>
      <c r="K1575">
        <f t="shared" si="76"/>
        <v>0</v>
      </c>
    </row>
    <row r="1576" spans="1:11">
      <c r="A1576">
        <v>52.586</v>
      </c>
      <c r="B1576">
        <v>-195.1</v>
      </c>
      <c r="C1576">
        <v>25.8</v>
      </c>
      <c r="E1576">
        <v>52.552</v>
      </c>
      <c r="F1576">
        <v>-194.5</v>
      </c>
      <c r="G1576">
        <v>26.5</v>
      </c>
      <c r="I1576">
        <f t="shared" si="75"/>
        <v>52.55</v>
      </c>
      <c r="J1576">
        <f t="shared" si="74"/>
        <v>8.5</v>
      </c>
      <c r="K1576">
        <f t="shared" si="76"/>
        <v>0</v>
      </c>
    </row>
    <row r="1577" spans="1:11">
      <c r="A1577">
        <v>52.619</v>
      </c>
      <c r="B1577">
        <v>-195.8</v>
      </c>
      <c r="C1577">
        <v>26</v>
      </c>
      <c r="E1577">
        <v>52.586</v>
      </c>
      <c r="F1577">
        <v>-195.1</v>
      </c>
      <c r="G1577">
        <v>25.8</v>
      </c>
      <c r="I1577">
        <f t="shared" si="75"/>
        <v>52.55</v>
      </c>
      <c r="J1577">
        <f t="shared" si="74"/>
        <v>7.90000000000001</v>
      </c>
      <c r="K1577">
        <f t="shared" si="76"/>
        <v>0</v>
      </c>
    </row>
    <row r="1578" spans="1:11">
      <c r="A1578">
        <v>52.653</v>
      </c>
      <c r="B1578">
        <v>-197.1</v>
      </c>
      <c r="C1578">
        <v>25.9</v>
      </c>
      <c r="E1578">
        <v>52.619</v>
      </c>
      <c r="F1578">
        <v>-195.8</v>
      </c>
      <c r="G1578">
        <v>26</v>
      </c>
      <c r="I1578">
        <f t="shared" si="75"/>
        <v>52.6</v>
      </c>
      <c r="J1578">
        <f t="shared" si="74"/>
        <v>7.19999999999999</v>
      </c>
      <c r="K1578">
        <f t="shared" si="76"/>
        <v>0</v>
      </c>
    </row>
    <row r="1579" spans="1:11">
      <c r="A1579">
        <v>52.686</v>
      </c>
      <c r="B1579">
        <v>-198.2</v>
      </c>
      <c r="C1579">
        <v>25.7</v>
      </c>
      <c r="E1579">
        <v>52.653</v>
      </c>
      <c r="F1579">
        <v>-197.1</v>
      </c>
      <c r="G1579">
        <v>25.9</v>
      </c>
      <c r="I1579">
        <f t="shared" si="75"/>
        <v>52.65</v>
      </c>
      <c r="J1579">
        <f t="shared" si="74"/>
        <v>5.90000000000001</v>
      </c>
      <c r="K1579">
        <f t="shared" si="76"/>
        <v>0</v>
      </c>
    </row>
    <row r="1580" spans="1:11">
      <c r="A1580">
        <v>52.719</v>
      </c>
      <c r="B1580">
        <v>-199</v>
      </c>
      <c r="C1580">
        <v>25.9</v>
      </c>
      <c r="E1580">
        <v>52.686</v>
      </c>
      <c r="F1580">
        <v>-198.2</v>
      </c>
      <c r="G1580">
        <v>25.7</v>
      </c>
      <c r="I1580">
        <f t="shared" si="75"/>
        <v>52.65</v>
      </c>
      <c r="J1580">
        <f t="shared" si="74"/>
        <v>4.80000000000001</v>
      </c>
      <c r="K1580">
        <f t="shared" si="76"/>
        <v>0</v>
      </c>
    </row>
    <row r="1581" spans="1:11">
      <c r="A1581">
        <v>52.753</v>
      </c>
      <c r="B1581">
        <v>-199.8</v>
      </c>
      <c r="C1581">
        <v>25.6</v>
      </c>
      <c r="E1581">
        <v>52.719</v>
      </c>
      <c r="F1581">
        <v>-199</v>
      </c>
      <c r="G1581">
        <v>25.9</v>
      </c>
      <c r="I1581">
        <f t="shared" si="75"/>
        <v>52.7</v>
      </c>
      <c r="J1581">
        <f t="shared" si="74"/>
        <v>4</v>
      </c>
      <c r="K1581">
        <f t="shared" si="76"/>
        <v>0</v>
      </c>
    </row>
    <row r="1582" spans="1:11">
      <c r="A1582">
        <v>52.786</v>
      </c>
      <c r="B1582">
        <v>-200.8</v>
      </c>
      <c r="C1582">
        <v>25.9</v>
      </c>
      <c r="E1582">
        <v>52.753</v>
      </c>
      <c r="F1582">
        <v>-199.8</v>
      </c>
      <c r="G1582">
        <v>25.6</v>
      </c>
      <c r="I1582">
        <f t="shared" si="75"/>
        <v>52.75</v>
      </c>
      <c r="J1582">
        <f t="shared" si="74"/>
        <v>3.19999999999999</v>
      </c>
      <c r="K1582">
        <f t="shared" si="76"/>
        <v>0</v>
      </c>
    </row>
    <row r="1583" spans="1:11">
      <c r="A1583">
        <v>52.82</v>
      </c>
      <c r="B1583">
        <v>-201.6</v>
      </c>
      <c r="C1583">
        <v>25.9</v>
      </c>
      <c r="E1583">
        <v>52.786</v>
      </c>
      <c r="F1583">
        <v>-200.8</v>
      </c>
      <c r="G1583">
        <v>25.9</v>
      </c>
      <c r="I1583">
        <f t="shared" si="75"/>
        <v>52.75</v>
      </c>
      <c r="J1583">
        <f t="shared" si="74"/>
        <v>2.19999999999999</v>
      </c>
      <c r="K1583">
        <f t="shared" si="76"/>
        <v>0</v>
      </c>
    </row>
    <row r="1584" spans="1:11">
      <c r="A1584">
        <v>52.853</v>
      </c>
      <c r="B1584">
        <v>-202.1</v>
      </c>
      <c r="C1584">
        <v>25.8</v>
      </c>
      <c r="E1584">
        <v>52.82</v>
      </c>
      <c r="F1584">
        <v>-201.6</v>
      </c>
      <c r="G1584">
        <v>25.9</v>
      </c>
      <c r="I1584">
        <f t="shared" si="75"/>
        <v>52.8</v>
      </c>
      <c r="J1584">
        <f t="shared" si="74"/>
        <v>1.40000000000001</v>
      </c>
      <c r="K1584">
        <f t="shared" si="76"/>
        <v>0</v>
      </c>
    </row>
    <row r="1585" spans="1:11">
      <c r="A1585">
        <v>52.887</v>
      </c>
      <c r="B1585">
        <v>-203</v>
      </c>
      <c r="C1585">
        <v>26.5</v>
      </c>
      <c r="E1585">
        <v>52.853</v>
      </c>
      <c r="F1585">
        <v>-202.1</v>
      </c>
      <c r="G1585">
        <v>25.8</v>
      </c>
      <c r="I1585">
        <f t="shared" si="75"/>
        <v>52.85</v>
      </c>
      <c r="J1585">
        <f t="shared" si="74"/>
        <v>0.900000000000006</v>
      </c>
      <c r="K1585">
        <f t="shared" si="76"/>
        <v>0</v>
      </c>
    </row>
    <row r="1586" spans="1:11">
      <c r="A1586">
        <v>52.92</v>
      </c>
      <c r="B1586">
        <v>-203.5</v>
      </c>
      <c r="C1586">
        <v>26.2</v>
      </c>
      <c r="E1586">
        <v>52.887</v>
      </c>
      <c r="F1586">
        <v>-203</v>
      </c>
      <c r="G1586">
        <v>26.5</v>
      </c>
      <c r="I1586">
        <f t="shared" si="75"/>
        <v>52.85</v>
      </c>
      <c r="J1586">
        <f t="shared" si="74"/>
        <v>0</v>
      </c>
      <c r="K1586">
        <f t="shared" si="76"/>
        <v>0</v>
      </c>
    </row>
    <row r="1587" spans="1:11">
      <c r="A1587">
        <v>52.953</v>
      </c>
      <c r="B1587">
        <v>-204.1</v>
      </c>
      <c r="C1587">
        <v>25.9</v>
      </c>
      <c r="E1587">
        <v>52.92</v>
      </c>
      <c r="F1587">
        <v>-203.5</v>
      </c>
      <c r="G1587">
        <v>26.2</v>
      </c>
      <c r="I1587">
        <f t="shared" si="75"/>
        <v>52.9</v>
      </c>
      <c r="J1587">
        <f t="shared" si="74"/>
        <v>-0.5</v>
      </c>
      <c r="K1587">
        <f t="shared" si="76"/>
        <v>0</v>
      </c>
    </row>
    <row r="1588" spans="1:11">
      <c r="A1588">
        <v>52.987</v>
      </c>
      <c r="B1588">
        <v>-204.4</v>
      </c>
      <c r="C1588">
        <v>25.7</v>
      </c>
      <c r="E1588">
        <v>52.953</v>
      </c>
      <c r="F1588">
        <v>-204.1</v>
      </c>
      <c r="G1588">
        <v>25.9</v>
      </c>
      <c r="I1588">
        <f t="shared" si="75"/>
        <v>52.95</v>
      </c>
      <c r="J1588">
        <f t="shared" si="74"/>
        <v>-1.09999999999999</v>
      </c>
      <c r="K1588">
        <f t="shared" si="76"/>
        <v>0</v>
      </c>
    </row>
    <row r="1589" spans="1:11">
      <c r="A1589">
        <v>53.02</v>
      </c>
      <c r="B1589">
        <v>-204.7</v>
      </c>
      <c r="C1589">
        <v>26.7</v>
      </c>
      <c r="E1589">
        <v>52.987</v>
      </c>
      <c r="F1589">
        <v>-204.4</v>
      </c>
      <c r="G1589">
        <v>25.7</v>
      </c>
      <c r="I1589">
        <f t="shared" si="75"/>
        <v>52.95</v>
      </c>
      <c r="J1589">
        <f t="shared" si="74"/>
        <v>-1.40000000000001</v>
      </c>
      <c r="K1589">
        <f t="shared" si="76"/>
        <v>0</v>
      </c>
    </row>
    <row r="1590" spans="1:11">
      <c r="A1590">
        <v>53.054</v>
      </c>
      <c r="B1590">
        <v>-205</v>
      </c>
      <c r="C1590">
        <v>25.1</v>
      </c>
      <c r="E1590">
        <v>53.02</v>
      </c>
      <c r="F1590">
        <v>-204.7</v>
      </c>
      <c r="G1590">
        <v>26.7</v>
      </c>
      <c r="I1590">
        <f t="shared" si="75"/>
        <v>53</v>
      </c>
      <c r="J1590">
        <f t="shared" si="74"/>
        <v>-1.69999999999999</v>
      </c>
      <c r="K1590">
        <f t="shared" si="76"/>
        <v>0</v>
      </c>
    </row>
    <row r="1591" spans="1:11">
      <c r="A1591">
        <v>53.087</v>
      </c>
      <c r="B1591">
        <v>-205</v>
      </c>
      <c r="C1591">
        <v>26.2</v>
      </c>
      <c r="E1591">
        <v>53.054</v>
      </c>
      <c r="F1591">
        <v>-205</v>
      </c>
      <c r="G1591">
        <v>25.1</v>
      </c>
      <c r="I1591">
        <f t="shared" si="75"/>
        <v>53.05</v>
      </c>
      <c r="J1591">
        <f t="shared" si="74"/>
        <v>-2</v>
      </c>
      <c r="K1591">
        <f t="shared" si="76"/>
        <v>0</v>
      </c>
    </row>
    <row r="1592" spans="1:11">
      <c r="A1592">
        <v>53.121</v>
      </c>
      <c r="B1592">
        <v>-205</v>
      </c>
      <c r="C1592">
        <v>25.5</v>
      </c>
      <c r="E1592">
        <v>53.087</v>
      </c>
      <c r="F1592">
        <v>-205</v>
      </c>
      <c r="G1592">
        <v>26.2</v>
      </c>
      <c r="I1592">
        <f t="shared" si="75"/>
        <v>53.05</v>
      </c>
      <c r="J1592">
        <f t="shared" si="74"/>
        <v>-2</v>
      </c>
      <c r="K1592">
        <f t="shared" si="76"/>
        <v>0</v>
      </c>
    </row>
    <row r="1593" spans="1:11">
      <c r="A1593">
        <v>53.154</v>
      </c>
      <c r="B1593">
        <v>-204.8</v>
      </c>
      <c r="C1593">
        <v>25.8</v>
      </c>
      <c r="E1593">
        <v>53.121</v>
      </c>
      <c r="F1593">
        <v>-205</v>
      </c>
      <c r="G1593">
        <v>25.5</v>
      </c>
      <c r="I1593">
        <f t="shared" si="75"/>
        <v>53.1</v>
      </c>
      <c r="J1593">
        <f t="shared" si="74"/>
        <v>-2</v>
      </c>
      <c r="K1593">
        <f t="shared" si="76"/>
        <v>0</v>
      </c>
    </row>
    <row r="1594" spans="1:11">
      <c r="A1594">
        <v>53.187</v>
      </c>
      <c r="B1594">
        <v>-204.7</v>
      </c>
      <c r="C1594">
        <v>25.7</v>
      </c>
      <c r="E1594">
        <v>53.154</v>
      </c>
      <c r="F1594">
        <v>-204.8</v>
      </c>
      <c r="G1594">
        <v>25.8</v>
      </c>
      <c r="I1594">
        <f t="shared" si="75"/>
        <v>53.15</v>
      </c>
      <c r="J1594">
        <f t="shared" si="74"/>
        <v>-1.80000000000001</v>
      </c>
      <c r="K1594">
        <f t="shared" si="76"/>
        <v>0</v>
      </c>
    </row>
    <row r="1595" spans="1:11">
      <c r="A1595">
        <v>53.221</v>
      </c>
      <c r="B1595">
        <v>-204.6</v>
      </c>
      <c r="C1595">
        <v>26</v>
      </c>
      <c r="E1595">
        <v>53.187</v>
      </c>
      <c r="F1595">
        <v>-204.7</v>
      </c>
      <c r="G1595">
        <v>25.7</v>
      </c>
      <c r="I1595">
        <f t="shared" si="75"/>
        <v>53.15</v>
      </c>
      <c r="J1595">
        <f t="shared" si="74"/>
        <v>-1.69999999999999</v>
      </c>
      <c r="K1595">
        <f t="shared" si="76"/>
        <v>0</v>
      </c>
    </row>
    <row r="1596" spans="1:11">
      <c r="A1596">
        <v>53.254</v>
      </c>
      <c r="B1596">
        <v>-204.5</v>
      </c>
      <c r="C1596">
        <v>26.8</v>
      </c>
      <c r="E1596">
        <v>53.221</v>
      </c>
      <c r="F1596">
        <v>-204.6</v>
      </c>
      <c r="G1596">
        <v>26</v>
      </c>
      <c r="I1596">
        <f t="shared" si="75"/>
        <v>53.2</v>
      </c>
      <c r="J1596">
        <f t="shared" si="74"/>
        <v>-1.59999999999999</v>
      </c>
      <c r="K1596">
        <f t="shared" si="76"/>
        <v>0</v>
      </c>
    </row>
    <row r="1597" spans="1:11">
      <c r="A1597">
        <v>53.288</v>
      </c>
      <c r="B1597">
        <v>-204.2</v>
      </c>
      <c r="C1597">
        <v>26.1</v>
      </c>
      <c r="E1597">
        <v>53.254</v>
      </c>
      <c r="F1597">
        <v>-204.5</v>
      </c>
      <c r="G1597">
        <v>26.8</v>
      </c>
      <c r="I1597">
        <f t="shared" si="75"/>
        <v>53.25</v>
      </c>
      <c r="J1597">
        <f t="shared" si="74"/>
        <v>-1.5</v>
      </c>
      <c r="K1597">
        <f t="shared" si="76"/>
        <v>0</v>
      </c>
    </row>
    <row r="1598" spans="1:11">
      <c r="A1598">
        <v>53.321</v>
      </c>
      <c r="B1598">
        <v>-203</v>
      </c>
      <c r="C1598">
        <v>25.5</v>
      </c>
      <c r="E1598">
        <v>53.288</v>
      </c>
      <c r="F1598">
        <v>-204.2</v>
      </c>
      <c r="G1598">
        <v>26.1</v>
      </c>
      <c r="I1598">
        <f t="shared" si="75"/>
        <v>53.25</v>
      </c>
      <c r="J1598">
        <f t="shared" si="74"/>
        <v>-1.19999999999999</v>
      </c>
      <c r="K1598">
        <f t="shared" si="76"/>
        <v>0</v>
      </c>
    </row>
    <row r="1599" spans="1:11">
      <c r="A1599">
        <v>53.355</v>
      </c>
      <c r="B1599">
        <v>-202.3</v>
      </c>
      <c r="C1599">
        <v>25.7</v>
      </c>
      <c r="E1599">
        <v>53.321</v>
      </c>
      <c r="F1599">
        <v>-203</v>
      </c>
      <c r="G1599">
        <v>25.5</v>
      </c>
      <c r="I1599">
        <f t="shared" si="75"/>
        <v>53.3</v>
      </c>
      <c r="J1599">
        <f t="shared" si="74"/>
        <v>0</v>
      </c>
      <c r="K1599">
        <f t="shared" si="76"/>
        <v>0</v>
      </c>
    </row>
    <row r="1600" spans="1:11">
      <c r="A1600">
        <v>53.388</v>
      </c>
      <c r="B1600">
        <v>-201.8</v>
      </c>
      <c r="C1600">
        <v>26</v>
      </c>
      <c r="E1600">
        <v>53.355</v>
      </c>
      <c r="F1600">
        <v>-202.3</v>
      </c>
      <c r="G1600">
        <v>25.7</v>
      </c>
      <c r="I1600">
        <f t="shared" si="75"/>
        <v>53.35</v>
      </c>
      <c r="J1600">
        <f t="shared" si="74"/>
        <v>0.699999999999989</v>
      </c>
      <c r="K1600">
        <f t="shared" si="76"/>
        <v>0</v>
      </c>
    </row>
    <row r="1601" spans="1:11">
      <c r="A1601">
        <v>53.421</v>
      </c>
      <c r="B1601">
        <v>-200.9</v>
      </c>
      <c r="C1601">
        <v>25.8</v>
      </c>
      <c r="E1601">
        <v>53.388</v>
      </c>
      <c r="F1601">
        <v>-201.8</v>
      </c>
      <c r="G1601">
        <v>26</v>
      </c>
      <c r="I1601">
        <f t="shared" si="75"/>
        <v>53.35</v>
      </c>
      <c r="J1601">
        <f t="shared" si="74"/>
        <v>1.19999999999999</v>
      </c>
      <c r="K1601">
        <f t="shared" si="76"/>
        <v>0</v>
      </c>
    </row>
    <row r="1602" spans="1:11">
      <c r="A1602">
        <v>53.455</v>
      </c>
      <c r="B1602">
        <v>-200</v>
      </c>
      <c r="C1602">
        <v>26</v>
      </c>
      <c r="E1602">
        <v>53.421</v>
      </c>
      <c r="F1602">
        <v>-200.9</v>
      </c>
      <c r="G1602">
        <v>25.8</v>
      </c>
      <c r="I1602">
        <f t="shared" si="75"/>
        <v>53.4</v>
      </c>
      <c r="J1602">
        <f t="shared" si="74"/>
        <v>2.09999999999999</v>
      </c>
      <c r="K1602">
        <f t="shared" si="76"/>
        <v>0</v>
      </c>
    </row>
    <row r="1603" spans="1:11">
      <c r="A1603">
        <v>53.488</v>
      </c>
      <c r="B1603">
        <v>-199.1</v>
      </c>
      <c r="C1603">
        <v>25.9</v>
      </c>
      <c r="E1603">
        <v>53.455</v>
      </c>
      <c r="F1603">
        <v>-200</v>
      </c>
      <c r="G1603">
        <v>26</v>
      </c>
      <c r="I1603">
        <f t="shared" si="75"/>
        <v>53.45</v>
      </c>
      <c r="J1603">
        <f t="shared" si="74"/>
        <v>3</v>
      </c>
      <c r="K1603">
        <f t="shared" si="76"/>
        <v>0</v>
      </c>
    </row>
    <row r="1604" spans="1:11">
      <c r="A1604">
        <v>53.522</v>
      </c>
      <c r="B1604">
        <v>-198.2</v>
      </c>
      <c r="C1604">
        <v>25.7</v>
      </c>
      <c r="E1604">
        <v>53.488</v>
      </c>
      <c r="F1604">
        <v>-199.1</v>
      </c>
      <c r="G1604">
        <v>25.9</v>
      </c>
      <c r="I1604">
        <f t="shared" si="75"/>
        <v>53.45</v>
      </c>
      <c r="J1604">
        <f t="shared" si="74"/>
        <v>3.90000000000001</v>
      </c>
      <c r="K1604">
        <f t="shared" si="76"/>
        <v>0</v>
      </c>
    </row>
    <row r="1605" spans="1:11">
      <c r="A1605">
        <v>53.555</v>
      </c>
      <c r="B1605">
        <v>-197</v>
      </c>
      <c r="C1605">
        <v>26.5</v>
      </c>
      <c r="E1605">
        <v>53.522</v>
      </c>
      <c r="F1605">
        <v>-198.2</v>
      </c>
      <c r="G1605">
        <v>25.7</v>
      </c>
      <c r="I1605">
        <f t="shared" si="75"/>
        <v>53.5</v>
      </c>
      <c r="J1605">
        <f t="shared" ref="J1605:J1668" si="77">F1605+203</f>
        <v>4.80000000000001</v>
      </c>
      <c r="K1605">
        <f t="shared" si="76"/>
        <v>0</v>
      </c>
    </row>
    <row r="1606" spans="1:11">
      <c r="A1606">
        <v>53.589</v>
      </c>
      <c r="B1606">
        <v>-196.3</v>
      </c>
      <c r="C1606">
        <v>26.3</v>
      </c>
      <c r="E1606">
        <v>53.555</v>
      </c>
      <c r="F1606">
        <v>-197</v>
      </c>
      <c r="G1606">
        <v>26.5</v>
      </c>
      <c r="I1606">
        <f t="shared" si="75"/>
        <v>53.55</v>
      </c>
      <c r="J1606">
        <f t="shared" si="77"/>
        <v>6</v>
      </c>
      <c r="K1606">
        <f t="shared" si="76"/>
        <v>0</v>
      </c>
    </row>
    <row r="1607" spans="1:11">
      <c r="A1607">
        <v>53.622</v>
      </c>
      <c r="B1607">
        <v>-195.7</v>
      </c>
      <c r="C1607">
        <v>26.3</v>
      </c>
      <c r="E1607">
        <v>53.589</v>
      </c>
      <c r="F1607">
        <v>-196.3</v>
      </c>
      <c r="G1607">
        <v>26.3</v>
      </c>
      <c r="I1607">
        <f t="shared" si="75"/>
        <v>53.55</v>
      </c>
      <c r="J1607">
        <f t="shared" si="77"/>
        <v>6.69999999999999</v>
      </c>
      <c r="K1607">
        <f t="shared" si="76"/>
        <v>0</v>
      </c>
    </row>
    <row r="1608" spans="1:11">
      <c r="A1608">
        <v>53.655</v>
      </c>
      <c r="B1608">
        <v>-195.2</v>
      </c>
      <c r="C1608">
        <v>26.1</v>
      </c>
      <c r="E1608">
        <v>53.622</v>
      </c>
      <c r="F1608">
        <v>-195.7</v>
      </c>
      <c r="G1608">
        <v>26.3</v>
      </c>
      <c r="I1608">
        <f t="shared" si="75"/>
        <v>53.6</v>
      </c>
      <c r="J1608">
        <f t="shared" si="77"/>
        <v>7.30000000000001</v>
      </c>
      <c r="K1608">
        <f t="shared" si="76"/>
        <v>0</v>
      </c>
    </row>
    <row r="1609" spans="1:11">
      <c r="A1609">
        <v>53.689</v>
      </c>
      <c r="B1609">
        <v>-194.5</v>
      </c>
      <c r="C1609">
        <v>25.9</v>
      </c>
      <c r="E1609">
        <v>53.655</v>
      </c>
      <c r="F1609">
        <v>-195.2</v>
      </c>
      <c r="G1609">
        <v>26.1</v>
      </c>
      <c r="I1609">
        <f t="shared" si="75"/>
        <v>53.65</v>
      </c>
      <c r="J1609">
        <f t="shared" si="77"/>
        <v>7.80000000000001</v>
      </c>
      <c r="K1609">
        <f t="shared" si="76"/>
        <v>0</v>
      </c>
    </row>
    <row r="1610" spans="1:11">
      <c r="A1610">
        <v>53.722</v>
      </c>
      <c r="B1610">
        <v>-194.2</v>
      </c>
      <c r="C1610">
        <v>26.3</v>
      </c>
      <c r="E1610">
        <v>53.689</v>
      </c>
      <c r="F1610">
        <v>-194.5</v>
      </c>
      <c r="G1610">
        <v>25.9</v>
      </c>
      <c r="I1610">
        <f t="shared" si="75"/>
        <v>53.65</v>
      </c>
      <c r="J1610">
        <f t="shared" si="77"/>
        <v>8.5</v>
      </c>
      <c r="K1610">
        <f t="shared" si="76"/>
        <v>0</v>
      </c>
    </row>
    <row r="1611" spans="1:11">
      <c r="A1611">
        <v>53.756</v>
      </c>
      <c r="B1611">
        <v>-193.6</v>
      </c>
      <c r="C1611">
        <v>26</v>
      </c>
      <c r="E1611">
        <v>53.722</v>
      </c>
      <c r="F1611">
        <v>-194.2</v>
      </c>
      <c r="G1611">
        <v>26.3</v>
      </c>
      <c r="I1611">
        <f t="shared" si="75"/>
        <v>53.7</v>
      </c>
      <c r="J1611">
        <f t="shared" si="77"/>
        <v>8.80000000000001</v>
      </c>
      <c r="K1611">
        <f t="shared" si="76"/>
        <v>0</v>
      </c>
    </row>
    <row r="1612" spans="1:11">
      <c r="A1612">
        <v>53.789</v>
      </c>
      <c r="B1612">
        <v>-193.5</v>
      </c>
      <c r="C1612">
        <v>26.6</v>
      </c>
      <c r="E1612">
        <v>53.756</v>
      </c>
      <c r="F1612">
        <v>-193.6</v>
      </c>
      <c r="G1612">
        <v>26</v>
      </c>
      <c r="I1612">
        <f t="shared" si="75"/>
        <v>53.75</v>
      </c>
      <c r="J1612">
        <f t="shared" si="77"/>
        <v>9.40000000000001</v>
      </c>
      <c r="K1612">
        <f t="shared" si="76"/>
        <v>0</v>
      </c>
    </row>
    <row r="1613" spans="1:11">
      <c r="A1613">
        <v>53.823</v>
      </c>
      <c r="B1613">
        <v>-193.6</v>
      </c>
      <c r="C1613">
        <v>25.7</v>
      </c>
      <c r="E1613">
        <v>53.789</v>
      </c>
      <c r="F1613">
        <v>-193.5</v>
      </c>
      <c r="G1613">
        <v>26.6</v>
      </c>
      <c r="I1613">
        <f t="shared" si="75"/>
        <v>53.75</v>
      </c>
      <c r="J1613">
        <f t="shared" si="77"/>
        <v>9.5</v>
      </c>
      <c r="K1613">
        <f t="shared" si="76"/>
        <v>0</v>
      </c>
    </row>
    <row r="1614" spans="1:11">
      <c r="A1614">
        <v>53.856</v>
      </c>
      <c r="B1614">
        <v>-193.5</v>
      </c>
      <c r="C1614">
        <v>26</v>
      </c>
      <c r="E1614">
        <v>53.823</v>
      </c>
      <c r="F1614">
        <v>-193.6</v>
      </c>
      <c r="G1614">
        <v>25.7</v>
      </c>
      <c r="I1614">
        <f t="shared" si="75"/>
        <v>53.8</v>
      </c>
      <c r="J1614">
        <f t="shared" si="77"/>
        <v>9.40000000000001</v>
      </c>
      <c r="K1614">
        <f t="shared" si="76"/>
        <v>0</v>
      </c>
    </row>
    <row r="1615" spans="1:11">
      <c r="A1615">
        <v>53.889</v>
      </c>
      <c r="B1615">
        <v>-193.8</v>
      </c>
      <c r="C1615">
        <v>25.8</v>
      </c>
      <c r="E1615">
        <v>53.856</v>
      </c>
      <c r="F1615">
        <v>-193.5</v>
      </c>
      <c r="G1615">
        <v>26</v>
      </c>
      <c r="I1615">
        <f t="shared" si="75"/>
        <v>53.85</v>
      </c>
      <c r="J1615">
        <f t="shared" si="77"/>
        <v>9.5</v>
      </c>
      <c r="K1615">
        <f t="shared" si="76"/>
        <v>0</v>
      </c>
    </row>
    <row r="1616" spans="1:11">
      <c r="A1616">
        <v>53.923</v>
      </c>
      <c r="B1616">
        <v>-193.8</v>
      </c>
      <c r="C1616">
        <v>25.5</v>
      </c>
      <c r="E1616">
        <v>53.889</v>
      </c>
      <c r="F1616">
        <v>-193.8</v>
      </c>
      <c r="G1616">
        <v>25.8</v>
      </c>
      <c r="I1616">
        <f t="shared" si="75"/>
        <v>53.85</v>
      </c>
      <c r="J1616">
        <f t="shared" si="77"/>
        <v>9.19999999999999</v>
      </c>
      <c r="K1616">
        <f t="shared" si="76"/>
        <v>0</v>
      </c>
    </row>
    <row r="1617" spans="1:11">
      <c r="A1617">
        <v>53.956</v>
      </c>
      <c r="B1617">
        <v>-194.1</v>
      </c>
      <c r="C1617">
        <v>25.7</v>
      </c>
      <c r="E1617">
        <v>53.923</v>
      </c>
      <c r="F1617">
        <v>-193.8</v>
      </c>
      <c r="G1617">
        <v>25.5</v>
      </c>
      <c r="I1617">
        <f t="shared" si="75"/>
        <v>53.9</v>
      </c>
      <c r="J1617">
        <f t="shared" si="77"/>
        <v>9.19999999999999</v>
      </c>
      <c r="K1617">
        <f t="shared" si="76"/>
        <v>0</v>
      </c>
    </row>
    <row r="1618" spans="1:11">
      <c r="A1618">
        <v>53.99</v>
      </c>
      <c r="B1618">
        <v>-194.3</v>
      </c>
      <c r="C1618">
        <v>26</v>
      </c>
      <c r="E1618">
        <v>53.956</v>
      </c>
      <c r="F1618">
        <v>-194.1</v>
      </c>
      <c r="G1618">
        <v>25.7</v>
      </c>
      <c r="I1618">
        <f t="shared" si="75"/>
        <v>53.95</v>
      </c>
      <c r="J1618">
        <f t="shared" si="77"/>
        <v>8.90000000000001</v>
      </c>
      <c r="K1618">
        <f t="shared" si="76"/>
        <v>0</v>
      </c>
    </row>
    <row r="1619" spans="1:11">
      <c r="A1619">
        <v>54.023</v>
      </c>
      <c r="B1619">
        <v>-194.8</v>
      </c>
      <c r="C1619">
        <v>26.2</v>
      </c>
      <c r="E1619">
        <v>53.99</v>
      </c>
      <c r="F1619">
        <v>-194.3</v>
      </c>
      <c r="G1619">
        <v>26</v>
      </c>
      <c r="I1619">
        <f t="shared" si="75"/>
        <v>53.95</v>
      </c>
      <c r="J1619">
        <f t="shared" si="77"/>
        <v>8.69999999999999</v>
      </c>
      <c r="K1619">
        <f t="shared" si="76"/>
        <v>0</v>
      </c>
    </row>
    <row r="1620" spans="1:11">
      <c r="A1620">
        <v>54.057</v>
      </c>
      <c r="B1620">
        <v>-195.6</v>
      </c>
      <c r="C1620">
        <v>26.3</v>
      </c>
      <c r="E1620">
        <v>54.023</v>
      </c>
      <c r="F1620">
        <v>-194.8</v>
      </c>
      <c r="G1620">
        <v>26.2</v>
      </c>
      <c r="I1620">
        <f t="shared" si="75"/>
        <v>54</v>
      </c>
      <c r="J1620">
        <f t="shared" si="77"/>
        <v>8.19999999999999</v>
      </c>
      <c r="K1620">
        <f t="shared" si="76"/>
        <v>0</v>
      </c>
    </row>
    <row r="1621" spans="1:11">
      <c r="A1621">
        <v>54.09</v>
      </c>
      <c r="B1621">
        <v>-196.5</v>
      </c>
      <c r="C1621">
        <v>26</v>
      </c>
      <c r="E1621">
        <v>54.057</v>
      </c>
      <c r="F1621">
        <v>-195.6</v>
      </c>
      <c r="G1621">
        <v>26.3</v>
      </c>
      <c r="I1621">
        <f t="shared" si="75"/>
        <v>54.05</v>
      </c>
      <c r="J1621">
        <f t="shared" si="77"/>
        <v>7.40000000000001</v>
      </c>
      <c r="K1621">
        <f t="shared" si="76"/>
        <v>0</v>
      </c>
    </row>
    <row r="1622" spans="1:11">
      <c r="A1622">
        <v>54.124</v>
      </c>
      <c r="B1622">
        <v>-197.6</v>
      </c>
      <c r="C1622">
        <v>25.8</v>
      </c>
      <c r="E1622">
        <v>54.09</v>
      </c>
      <c r="F1622">
        <v>-196.5</v>
      </c>
      <c r="G1622">
        <v>26</v>
      </c>
      <c r="I1622">
        <f t="shared" si="75"/>
        <v>54.05</v>
      </c>
      <c r="J1622">
        <f t="shared" si="77"/>
        <v>6.5</v>
      </c>
      <c r="K1622">
        <f t="shared" si="76"/>
        <v>0</v>
      </c>
    </row>
    <row r="1623" spans="1:11">
      <c r="A1623">
        <v>54.157</v>
      </c>
      <c r="B1623">
        <v>-198.6</v>
      </c>
      <c r="C1623">
        <v>25.2</v>
      </c>
      <c r="E1623">
        <v>54.124</v>
      </c>
      <c r="F1623">
        <v>-197.6</v>
      </c>
      <c r="G1623">
        <v>25.8</v>
      </c>
      <c r="I1623">
        <f t="shared" si="75"/>
        <v>54.1</v>
      </c>
      <c r="J1623">
        <f t="shared" si="77"/>
        <v>5.40000000000001</v>
      </c>
      <c r="K1623">
        <f t="shared" si="76"/>
        <v>0</v>
      </c>
    </row>
    <row r="1624" spans="1:11">
      <c r="A1624">
        <v>54.19</v>
      </c>
      <c r="B1624">
        <v>-199.4</v>
      </c>
      <c r="C1624">
        <v>25.9</v>
      </c>
      <c r="E1624">
        <v>54.157</v>
      </c>
      <c r="F1624">
        <v>-198.6</v>
      </c>
      <c r="G1624">
        <v>25.2</v>
      </c>
      <c r="I1624">
        <f t="shared" si="75"/>
        <v>54.15</v>
      </c>
      <c r="J1624">
        <f t="shared" si="77"/>
        <v>4.40000000000001</v>
      </c>
      <c r="K1624">
        <f t="shared" si="76"/>
        <v>0</v>
      </c>
    </row>
    <row r="1625" spans="1:11">
      <c r="A1625">
        <v>54.224</v>
      </c>
      <c r="B1625">
        <v>-200.2</v>
      </c>
      <c r="C1625">
        <v>25.4</v>
      </c>
      <c r="E1625">
        <v>54.19</v>
      </c>
      <c r="F1625">
        <v>-199.4</v>
      </c>
      <c r="G1625">
        <v>25.9</v>
      </c>
      <c r="I1625">
        <f t="shared" si="75"/>
        <v>54.15</v>
      </c>
      <c r="J1625">
        <f t="shared" si="77"/>
        <v>3.59999999999999</v>
      </c>
      <c r="K1625">
        <f t="shared" si="76"/>
        <v>0</v>
      </c>
    </row>
    <row r="1626" spans="1:11">
      <c r="A1626">
        <v>54.257</v>
      </c>
      <c r="B1626">
        <v>-200.9</v>
      </c>
      <c r="C1626">
        <v>25.8</v>
      </c>
      <c r="E1626">
        <v>54.224</v>
      </c>
      <c r="F1626">
        <v>-200.2</v>
      </c>
      <c r="G1626">
        <v>25.4</v>
      </c>
      <c r="I1626">
        <f t="shared" si="75"/>
        <v>54.2</v>
      </c>
      <c r="J1626">
        <f t="shared" si="77"/>
        <v>2.80000000000001</v>
      </c>
      <c r="K1626">
        <f t="shared" si="76"/>
        <v>0</v>
      </c>
    </row>
    <row r="1627" spans="1:11">
      <c r="A1627">
        <v>54.291</v>
      </c>
      <c r="B1627">
        <v>-201.7</v>
      </c>
      <c r="C1627">
        <v>25.4</v>
      </c>
      <c r="E1627">
        <v>54.257</v>
      </c>
      <c r="F1627">
        <v>-200.9</v>
      </c>
      <c r="G1627">
        <v>25.8</v>
      </c>
      <c r="I1627">
        <f t="shared" si="75"/>
        <v>54.25</v>
      </c>
      <c r="J1627">
        <f t="shared" si="77"/>
        <v>2.09999999999999</v>
      </c>
      <c r="K1627">
        <f t="shared" si="76"/>
        <v>0</v>
      </c>
    </row>
    <row r="1628" spans="1:11">
      <c r="A1628">
        <v>54.324</v>
      </c>
      <c r="B1628">
        <v>-202.2</v>
      </c>
      <c r="C1628">
        <v>26.1</v>
      </c>
      <c r="E1628">
        <v>54.291</v>
      </c>
      <c r="F1628">
        <v>-201.7</v>
      </c>
      <c r="G1628">
        <v>25.4</v>
      </c>
      <c r="I1628">
        <f t="shared" si="75"/>
        <v>54.25</v>
      </c>
      <c r="J1628">
        <f t="shared" si="77"/>
        <v>1.30000000000001</v>
      </c>
      <c r="K1628">
        <f t="shared" si="76"/>
        <v>0</v>
      </c>
    </row>
    <row r="1629" spans="1:11">
      <c r="A1629">
        <v>54.358</v>
      </c>
      <c r="B1629">
        <v>-202.7</v>
      </c>
      <c r="C1629">
        <v>25.6</v>
      </c>
      <c r="E1629">
        <v>54.324</v>
      </c>
      <c r="F1629">
        <v>-202.2</v>
      </c>
      <c r="G1629">
        <v>26.1</v>
      </c>
      <c r="I1629">
        <f t="shared" si="75"/>
        <v>54.3</v>
      </c>
      <c r="J1629">
        <f t="shared" si="77"/>
        <v>0.800000000000011</v>
      </c>
      <c r="K1629">
        <f t="shared" si="76"/>
        <v>0</v>
      </c>
    </row>
    <row r="1630" spans="1:11">
      <c r="A1630">
        <v>54.391</v>
      </c>
      <c r="B1630">
        <v>-203.5</v>
      </c>
      <c r="C1630">
        <v>25.4</v>
      </c>
      <c r="E1630">
        <v>54.358</v>
      </c>
      <c r="F1630">
        <v>-202.7</v>
      </c>
      <c r="G1630">
        <v>25.6</v>
      </c>
      <c r="I1630">
        <f t="shared" si="75"/>
        <v>54.35</v>
      </c>
      <c r="J1630">
        <f t="shared" si="77"/>
        <v>0.300000000000011</v>
      </c>
      <c r="K1630">
        <f t="shared" si="76"/>
        <v>0</v>
      </c>
    </row>
    <row r="1631" spans="1:11">
      <c r="A1631">
        <v>54.424</v>
      </c>
      <c r="B1631">
        <v>-204.2</v>
      </c>
      <c r="C1631">
        <v>25.2</v>
      </c>
      <c r="E1631">
        <v>54.391</v>
      </c>
      <c r="F1631">
        <v>-203.5</v>
      </c>
      <c r="G1631">
        <v>25.4</v>
      </c>
      <c r="I1631">
        <f t="shared" ref="I1631:I1694" si="78">FLOOR(E1631,0.05)</f>
        <v>54.35</v>
      </c>
      <c r="J1631">
        <f t="shared" si="77"/>
        <v>-0.5</v>
      </c>
      <c r="K1631">
        <f t="shared" ref="K1631:K1694" si="79">IF(G1631&lt;230,0,5)</f>
        <v>0</v>
      </c>
    </row>
    <row r="1632" spans="1:11">
      <c r="A1632">
        <v>54.458</v>
      </c>
      <c r="B1632">
        <v>-204.3</v>
      </c>
      <c r="C1632">
        <v>26.1</v>
      </c>
      <c r="E1632">
        <v>54.424</v>
      </c>
      <c r="F1632">
        <v>-204.2</v>
      </c>
      <c r="G1632">
        <v>25.2</v>
      </c>
      <c r="I1632">
        <f t="shared" si="78"/>
        <v>54.4</v>
      </c>
      <c r="J1632">
        <f t="shared" si="77"/>
        <v>-1.19999999999999</v>
      </c>
      <c r="K1632">
        <f t="shared" si="79"/>
        <v>0</v>
      </c>
    </row>
    <row r="1633" spans="1:11">
      <c r="A1633">
        <v>54.491</v>
      </c>
      <c r="B1633">
        <v>-204.6</v>
      </c>
      <c r="C1633">
        <v>26</v>
      </c>
      <c r="E1633">
        <v>54.458</v>
      </c>
      <c r="F1633">
        <v>-204.3</v>
      </c>
      <c r="G1633">
        <v>26.1</v>
      </c>
      <c r="I1633">
        <f t="shared" si="78"/>
        <v>54.45</v>
      </c>
      <c r="J1633">
        <f t="shared" si="77"/>
        <v>-1.30000000000001</v>
      </c>
      <c r="K1633">
        <f t="shared" si="79"/>
        <v>0</v>
      </c>
    </row>
    <row r="1634" spans="1:11">
      <c r="A1634">
        <v>54.525</v>
      </c>
      <c r="B1634">
        <v>-204.8</v>
      </c>
      <c r="C1634">
        <v>26</v>
      </c>
      <c r="E1634">
        <v>54.491</v>
      </c>
      <c r="F1634">
        <v>-204.6</v>
      </c>
      <c r="G1634">
        <v>26</v>
      </c>
      <c r="I1634">
        <f t="shared" si="78"/>
        <v>54.45</v>
      </c>
      <c r="J1634">
        <f t="shared" si="77"/>
        <v>-1.59999999999999</v>
      </c>
      <c r="K1634">
        <f t="shared" si="79"/>
        <v>0</v>
      </c>
    </row>
    <row r="1635" spans="1:11">
      <c r="A1635">
        <v>54.558</v>
      </c>
      <c r="B1635">
        <v>-204.9</v>
      </c>
      <c r="C1635">
        <v>25.8</v>
      </c>
      <c r="E1635">
        <v>54.525</v>
      </c>
      <c r="F1635">
        <v>-204.8</v>
      </c>
      <c r="G1635">
        <v>26</v>
      </c>
      <c r="I1635">
        <f t="shared" si="78"/>
        <v>54.5</v>
      </c>
      <c r="J1635">
        <f t="shared" si="77"/>
        <v>-1.80000000000001</v>
      </c>
      <c r="K1635">
        <f t="shared" si="79"/>
        <v>0</v>
      </c>
    </row>
    <row r="1636" spans="1:11">
      <c r="A1636">
        <v>54.592</v>
      </c>
      <c r="B1636">
        <v>-204.7</v>
      </c>
      <c r="C1636">
        <v>25.6</v>
      </c>
      <c r="E1636">
        <v>54.558</v>
      </c>
      <c r="F1636">
        <v>-204.9</v>
      </c>
      <c r="G1636">
        <v>25.8</v>
      </c>
      <c r="I1636">
        <f t="shared" si="78"/>
        <v>54.55</v>
      </c>
      <c r="J1636">
        <f t="shared" si="77"/>
        <v>-1.90000000000001</v>
      </c>
      <c r="K1636">
        <f t="shared" si="79"/>
        <v>0</v>
      </c>
    </row>
    <row r="1637" spans="1:11">
      <c r="A1637">
        <v>54.625</v>
      </c>
      <c r="B1637">
        <v>-204.7</v>
      </c>
      <c r="C1637">
        <v>25.7</v>
      </c>
      <c r="E1637">
        <v>54.592</v>
      </c>
      <c r="F1637">
        <v>-204.7</v>
      </c>
      <c r="G1637">
        <v>25.6</v>
      </c>
      <c r="I1637">
        <f t="shared" si="78"/>
        <v>54.55</v>
      </c>
      <c r="J1637">
        <f t="shared" si="77"/>
        <v>-1.69999999999999</v>
      </c>
      <c r="K1637">
        <f t="shared" si="79"/>
        <v>0</v>
      </c>
    </row>
    <row r="1638" spans="1:11">
      <c r="A1638">
        <v>54.658</v>
      </c>
      <c r="B1638">
        <v>-204.6</v>
      </c>
      <c r="C1638">
        <v>25.9</v>
      </c>
      <c r="E1638">
        <v>54.625</v>
      </c>
      <c r="F1638">
        <v>-204.7</v>
      </c>
      <c r="G1638">
        <v>25.7</v>
      </c>
      <c r="I1638">
        <f t="shared" si="78"/>
        <v>54.6</v>
      </c>
      <c r="J1638">
        <f t="shared" si="77"/>
        <v>-1.69999999999999</v>
      </c>
      <c r="K1638">
        <f t="shared" si="79"/>
        <v>0</v>
      </c>
    </row>
    <row r="1639" spans="1:11">
      <c r="A1639">
        <v>54.692</v>
      </c>
      <c r="B1639">
        <v>-204.6</v>
      </c>
      <c r="C1639">
        <v>25.5</v>
      </c>
      <c r="E1639">
        <v>54.658</v>
      </c>
      <c r="F1639">
        <v>-204.6</v>
      </c>
      <c r="G1639">
        <v>25.9</v>
      </c>
      <c r="I1639">
        <f t="shared" si="78"/>
        <v>54.65</v>
      </c>
      <c r="J1639">
        <f t="shared" si="77"/>
        <v>-1.59999999999999</v>
      </c>
      <c r="K1639">
        <f t="shared" si="79"/>
        <v>0</v>
      </c>
    </row>
    <row r="1640" spans="1:11">
      <c r="A1640">
        <v>54.725</v>
      </c>
      <c r="B1640">
        <v>-204.3</v>
      </c>
      <c r="C1640">
        <v>26.5</v>
      </c>
      <c r="E1640">
        <v>54.692</v>
      </c>
      <c r="F1640">
        <v>-204.6</v>
      </c>
      <c r="G1640">
        <v>25.5</v>
      </c>
      <c r="I1640">
        <f t="shared" si="78"/>
        <v>54.65</v>
      </c>
      <c r="J1640">
        <f t="shared" si="77"/>
        <v>-1.59999999999999</v>
      </c>
      <c r="K1640">
        <f t="shared" si="79"/>
        <v>0</v>
      </c>
    </row>
    <row r="1641" spans="1:11">
      <c r="A1641">
        <v>54.759</v>
      </c>
      <c r="B1641">
        <v>-203.8</v>
      </c>
      <c r="C1641">
        <v>25.6</v>
      </c>
      <c r="E1641">
        <v>54.725</v>
      </c>
      <c r="F1641">
        <v>-204.3</v>
      </c>
      <c r="G1641">
        <v>26.5</v>
      </c>
      <c r="I1641">
        <f t="shared" si="78"/>
        <v>54.7</v>
      </c>
      <c r="J1641">
        <f t="shared" si="77"/>
        <v>-1.30000000000001</v>
      </c>
      <c r="K1641">
        <f t="shared" si="79"/>
        <v>0</v>
      </c>
    </row>
    <row r="1642" spans="1:11">
      <c r="A1642">
        <v>54.792</v>
      </c>
      <c r="B1642">
        <v>-202.8</v>
      </c>
      <c r="C1642">
        <v>25.3</v>
      </c>
      <c r="E1642">
        <v>54.759</v>
      </c>
      <c r="F1642">
        <v>-203.8</v>
      </c>
      <c r="G1642">
        <v>25.6</v>
      </c>
      <c r="I1642">
        <f t="shared" si="78"/>
        <v>54.75</v>
      </c>
      <c r="J1642">
        <f t="shared" si="77"/>
        <v>-0.800000000000011</v>
      </c>
      <c r="K1642">
        <f t="shared" si="79"/>
        <v>0</v>
      </c>
    </row>
    <row r="1643" spans="1:11">
      <c r="A1643">
        <v>54.826</v>
      </c>
      <c r="B1643">
        <v>-202.3</v>
      </c>
      <c r="C1643">
        <v>26</v>
      </c>
      <c r="E1643">
        <v>54.792</v>
      </c>
      <c r="F1643">
        <v>-202.8</v>
      </c>
      <c r="G1643">
        <v>25.3</v>
      </c>
      <c r="I1643">
        <f t="shared" si="78"/>
        <v>54.75</v>
      </c>
      <c r="J1643">
        <f t="shared" si="77"/>
        <v>0.199999999999989</v>
      </c>
      <c r="K1643">
        <f t="shared" si="79"/>
        <v>0</v>
      </c>
    </row>
    <row r="1644" spans="1:11">
      <c r="A1644">
        <v>54.859</v>
      </c>
      <c r="B1644">
        <v>-201.5</v>
      </c>
      <c r="C1644">
        <v>25.9</v>
      </c>
      <c r="E1644">
        <v>54.826</v>
      </c>
      <c r="F1644">
        <v>-202.3</v>
      </c>
      <c r="G1644">
        <v>26</v>
      </c>
      <c r="I1644">
        <f t="shared" si="78"/>
        <v>54.8</v>
      </c>
      <c r="J1644">
        <f t="shared" si="77"/>
        <v>0.699999999999989</v>
      </c>
      <c r="K1644">
        <f t="shared" si="79"/>
        <v>0</v>
      </c>
    </row>
    <row r="1645" spans="1:11">
      <c r="A1645">
        <v>54.892</v>
      </c>
      <c r="B1645">
        <v>-200.8</v>
      </c>
      <c r="C1645">
        <v>25.3</v>
      </c>
      <c r="E1645">
        <v>54.859</v>
      </c>
      <c r="F1645">
        <v>-201.5</v>
      </c>
      <c r="G1645">
        <v>25.9</v>
      </c>
      <c r="I1645">
        <f t="shared" si="78"/>
        <v>54.85</v>
      </c>
      <c r="J1645">
        <f t="shared" si="77"/>
        <v>1.5</v>
      </c>
      <c r="K1645">
        <f t="shared" si="79"/>
        <v>0</v>
      </c>
    </row>
    <row r="1646" spans="1:11">
      <c r="A1646">
        <v>54.926</v>
      </c>
      <c r="B1646">
        <v>-200.1</v>
      </c>
      <c r="C1646">
        <v>26.1</v>
      </c>
      <c r="E1646">
        <v>54.892</v>
      </c>
      <c r="F1646">
        <v>-200.8</v>
      </c>
      <c r="G1646">
        <v>25.3</v>
      </c>
      <c r="I1646">
        <f t="shared" si="78"/>
        <v>54.85</v>
      </c>
      <c r="J1646">
        <f t="shared" si="77"/>
        <v>2.19999999999999</v>
      </c>
      <c r="K1646">
        <f t="shared" si="79"/>
        <v>0</v>
      </c>
    </row>
    <row r="1647" spans="1:11">
      <c r="A1647">
        <v>54.959</v>
      </c>
      <c r="B1647">
        <v>-199.3</v>
      </c>
      <c r="C1647">
        <v>25.7</v>
      </c>
      <c r="E1647">
        <v>54.926</v>
      </c>
      <c r="F1647">
        <v>-200.1</v>
      </c>
      <c r="G1647">
        <v>26.1</v>
      </c>
      <c r="I1647">
        <f t="shared" si="78"/>
        <v>54.9</v>
      </c>
      <c r="J1647">
        <f t="shared" si="77"/>
        <v>2.90000000000001</v>
      </c>
      <c r="K1647">
        <f t="shared" si="79"/>
        <v>0</v>
      </c>
    </row>
    <row r="1648" spans="1:11">
      <c r="A1648">
        <v>54.993</v>
      </c>
      <c r="B1648">
        <v>-198.6</v>
      </c>
      <c r="C1648">
        <v>26</v>
      </c>
      <c r="E1648">
        <v>54.959</v>
      </c>
      <c r="F1648">
        <v>-199.3</v>
      </c>
      <c r="G1648">
        <v>25.7</v>
      </c>
      <c r="I1648">
        <f t="shared" si="78"/>
        <v>54.95</v>
      </c>
      <c r="J1648">
        <f t="shared" si="77"/>
        <v>3.69999999999999</v>
      </c>
      <c r="K1648">
        <f t="shared" si="79"/>
        <v>0</v>
      </c>
    </row>
    <row r="1649" spans="1:11">
      <c r="A1649">
        <v>55.026</v>
      </c>
      <c r="B1649">
        <v>-197.6</v>
      </c>
      <c r="C1649">
        <v>26.4</v>
      </c>
      <c r="E1649">
        <v>54.993</v>
      </c>
      <c r="F1649">
        <v>-198.6</v>
      </c>
      <c r="G1649">
        <v>26</v>
      </c>
      <c r="I1649">
        <f t="shared" si="78"/>
        <v>54.95</v>
      </c>
      <c r="J1649">
        <f t="shared" si="77"/>
        <v>4.40000000000001</v>
      </c>
      <c r="K1649">
        <f t="shared" si="79"/>
        <v>0</v>
      </c>
    </row>
    <row r="1650" spans="1:11">
      <c r="A1650">
        <v>55.06</v>
      </c>
      <c r="B1650">
        <v>-196.8</v>
      </c>
      <c r="C1650">
        <v>26.1</v>
      </c>
      <c r="E1650">
        <v>55.026</v>
      </c>
      <c r="F1650">
        <v>-197.6</v>
      </c>
      <c r="G1650">
        <v>26.4</v>
      </c>
      <c r="I1650">
        <f t="shared" si="78"/>
        <v>55</v>
      </c>
      <c r="J1650">
        <f t="shared" si="77"/>
        <v>5.40000000000001</v>
      </c>
      <c r="K1650">
        <f t="shared" si="79"/>
        <v>0</v>
      </c>
    </row>
    <row r="1651" spans="1:11">
      <c r="A1651">
        <v>55.093</v>
      </c>
      <c r="B1651">
        <v>-196.3</v>
      </c>
      <c r="C1651">
        <v>26.1</v>
      </c>
      <c r="E1651">
        <v>55.06</v>
      </c>
      <c r="F1651">
        <v>-196.8</v>
      </c>
      <c r="G1651">
        <v>26.1</v>
      </c>
      <c r="I1651">
        <f t="shared" si="78"/>
        <v>55.05</v>
      </c>
      <c r="J1651">
        <f t="shared" si="77"/>
        <v>6.19999999999999</v>
      </c>
      <c r="K1651">
        <f t="shared" si="79"/>
        <v>0</v>
      </c>
    </row>
    <row r="1652" spans="1:11">
      <c r="A1652">
        <v>55.126</v>
      </c>
      <c r="B1652">
        <v>-195.7</v>
      </c>
      <c r="C1652">
        <v>26.1</v>
      </c>
      <c r="E1652">
        <v>55.093</v>
      </c>
      <c r="F1652">
        <v>-196.3</v>
      </c>
      <c r="G1652">
        <v>26.1</v>
      </c>
      <c r="I1652">
        <f t="shared" si="78"/>
        <v>55.05</v>
      </c>
      <c r="J1652">
        <f t="shared" si="77"/>
        <v>6.69999999999999</v>
      </c>
      <c r="K1652">
        <f t="shared" si="79"/>
        <v>0</v>
      </c>
    </row>
    <row r="1653" spans="1:11">
      <c r="A1653">
        <v>55.16</v>
      </c>
      <c r="B1653">
        <v>-195.1</v>
      </c>
      <c r="C1653">
        <v>25.4</v>
      </c>
      <c r="E1653">
        <v>55.126</v>
      </c>
      <c r="F1653">
        <v>-195.7</v>
      </c>
      <c r="G1653">
        <v>26.1</v>
      </c>
      <c r="I1653">
        <f t="shared" si="78"/>
        <v>55.1</v>
      </c>
      <c r="J1653">
        <f t="shared" si="77"/>
        <v>7.30000000000001</v>
      </c>
      <c r="K1653">
        <f t="shared" si="79"/>
        <v>0</v>
      </c>
    </row>
    <row r="1654" spans="1:11">
      <c r="A1654">
        <v>55.193</v>
      </c>
      <c r="B1654">
        <v>-194.9</v>
      </c>
      <c r="C1654">
        <v>25.8</v>
      </c>
      <c r="E1654">
        <v>55.16</v>
      </c>
      <c r="F1654">
        <v>-195.1</v>
      </c>
      <c r="G1654">
        <v>25.4</v>
      </c>
      <c r="I1654">
        <f t="shared" si="78"/>
        <v>55.15</v>
      </c>
      <c r="J1654">
        <f t="shared" si="77"/>
        <v>7.90000000000001</v>
      </c>
      <c r="K1654">
        <f t="shared" si="79"/>
        <v>0</v>
      </c>
    </row>
    <row r="1655" spans="1:11">
      <c r="A1655">
        <v>55.227</v>
      </c>
      <c r="B1655">
        <v>-194.5</v>
      </c>
      <c r="C1655">
        <v>26</v>
      </c>
      <c r="E1655">
        <v>55.193</v>
      </c>
      <c r="F1655">
        <v>-194.9</v>
      </c>
      <c r="G1655">
        <v>25.8</v>
      </c>
      <c r="I1655">
        <f t="shared" si="78"/>
        <v>55.15</v>
      </c>
      <c r="J1655">
        <f t="shared" si="77"/>
        <v>8.09999999999999</v>
      </c>
      <c r="K1655">
        <f t="shared" si="79"/>
        <v>0</v>
      </c>
    </row>
    <row r="1656" spans="1:11">
      <c r="A1656">
        <v>55.26</v>
      </c>
      <c r="B1656">
        <v>-194.6</v>
      </c>
      <c r="C1656">
        <v>25.5</v>
      </c>
      <c r="E1656">
        <v>55.227</v>
      </c>
      <c r="F1656">
        <v>-194.5</v>
      </c>
      <c r="G1656">
        <v>26</v>
      </c>
      <c r="I1656">
        <f t="shared" si="78"/>
        <v>55.2</v>
      </c>
      <c r="J1656">
        <f t="shared" si="77"/>
        <v>8.5</v>
      </c>
      <c r="K1656">
        <f t="shared" si="79"/>
        <v>0</v>
      </c>
    </row>
    <row r="1657" spans="1:11">
      <c r="A1657">
        <v>55.294</v>
      </c>
      <c r="B1657">
        <v>-194.5</v>
      </c>
      <c r="C1657">
        <v>25.6</v>
      </c>
      <c r="E1657">
        <v>55.26</v>
      </c>
      <c r="F1657">
        <v>-194.6</v>
      </c>
      <c r="G1657">
        <v>25.5</v>
      </c>
      <c r="I1657">
        <f t="shared" si="78"/>
        <v>55.25</v>
      </c>
      <c r="J1657">
        <f t="shared" si="77"/>
        <v>8.40000000000001</v>
      </c>
      <c r="K1657">
        <f t="shared" si="79"/>
        <v>0</v>
      </c>
    </row>
    <row r="1658" spans="1:11">
      <c r="A1658">
        <v>55.327</v>
      </c>
      <c r="B1658">
        <v>-194.6</v>
      </c>
      <c r="C1658">
        <v>25.9</v>
      </c>
      <c r="E1658">
        <v>55.294</v>
      </c>
      <c r="F1658">
        <v>-194.5</v>
      </c>
      <c r="G1658">
        <v>25.6</v>
      </c>
      <c r="I1658">
        <f t="shared" si="78"/>
        <v>55.25</v>
      </c>
      <c r="J1658">
        <f t="shared" si="77"/>
        <v>8.5</v>
      </c>
      <c r="K1658">
        <f t="shared" si="79"/>
        <v>0</v>
      </c>
    </row>
    <row r="1659" spans="1:11">
      <c r="A1659">
        <v>55.36</v>
      </c>
      <c r="B1659">
        <v>-194.8</v>
      </c>
      <c r="C1659">
        <v>25.9</v>
      </c>
      <c r="E1659">
        <v>55.327</v>
      </c>
      <c r="F1659">
        <v>-194.6</v>
      </c>
      <c r="G1659">
        <v>25.9</v>
      </c>
      <c r="I1659">
        <f t="shared" si="78"/>
        <v>55.3</v>
      </c>
      <c r="J1659">
        <f t="shared" si="77"/>
        <v>8.40000000000001</v>
      </c>
      <c r="K1659">
        <f t="shared" si="79"/>
        <v>0</v>
      </c>
    </row>
    <row r="1660" spans="1:11">
      <c r="A1660">
        <v>55.394</v>
      </c>
      <c r="B1660">
        <v>-194.9</v>
      </c>
      <c r="C1660">
        <v>26</v>
      </c>
      <c r="E1660">
        <v>55.36</v>
      </c>
      <c r="F1660">
        <v>-194.8</v>
      </c>
      <c r="G1660">
        <v>25.9</v>
      </c>
      <c r="I1660">
        <f t="shared" si="78"/>
        <v>55.35</v>
      </c>
      <c r="J1660">
        <f t="shared" si="77"/>
        <v>8.19999999999999</v>
      </c>
      <c r="K1660">
        <f t="shared" si="79"/>
        <v>0</v>
      </c>
    </row>
    <row r="1661" spans="1:11">
      <c r="A1661">
        <v>55.427</v>
      </c>
      <c r="B1661">
        <v>-195.2</v>
      </c>
      <c r="C1661">
        <v>25.1</v>
      </c>
      <c r="E1661">
        <v>55.394</v>
      </c>
      <c r="F1661">
        <v>-194.9</v>
      </c>
      <c r="G1661">
        <v>26</v>
      </c>
      <c r="I1661">
        <f t="shared" si="78"/>
        <v>55.35</v>
      </c>
      <c r="J1661">
        <f t="shared" si="77"/>
        <v>8.09999999999999</v>
      </c>
      <c r="K1661">
        <f t="shared" si="79"/>
        <v>0</v>
      </c>
    </row>
    <row r="1662" spans="1:11">
      <c r="A1662">
        <v>55.461</v>
      </c>
      <c r="B1662">
        <v>-195.6</v>
      </c>
      <c r="C1662">
        <v>25.7</v>
      </c>
      <c r="E1662">
        <v>55.427</v>
      </c>
      <c r="F1662">
        <v>-195.2</v>
      </c>
      <c r="G1662">
        <v>25.1</v>
      </c>
      <c r="I1662">
        <f t="shared" si="78"/>
        <v>55.4</v>
      </c>
      <c r="J1662">
        <f t="shared" si="77"/>
        <v>7.80000000000001</v>
      </c>
      <c r="K1662">
        <f t="shared" si="79"/>
        <v>0</v>
      </c>
    </row>
    <row r="1663" spans="1:11">
      <c r="A1663">
        <v>55.494</v>
      </c>
      <c r="B1663">
        <v>-196.1</v>
      </c>
      <c r="C1663">
        <v>25.9</v>
      </c>
      <c r="E1663">
        <v>55.461</v>
      </c>
      <c r="F1663">
        <v>-195.6</v>
      </c>
      <c r="G1663">
        <v>25.7</v>
      </c>
      <c r="I1663">
        <f t="shared" si="78"/>
        <v>55.45</v>
      </c>
      <c r="J1663">
        <f t="shared" si="77"/>
        <v>7.40000000000001</v>
      </c>
      <c r="K1663">
        <f t="shared" si="79"/>
        <v>0</v>
      </c>
    </row>
    <row r="1664" spans="1:11">
      <c r="A1664">
        <v>55.528</v>
      </c>
      <c r="B1664">
        <v>-197</v>
      </c>
      <c r="C1664">
        <v>26.2</v>
      </c>
      <c r="E1664">
        <v>55.494</v>
      </c>
      <c r="F1664">
        <v>-196.1</v>
      </c>
      <c r="G1664">
        <v>25.9</v>
      </c>
      <c r="I1664">
        <f t="shared" si="78"/>
        <v>55.45</v>
      </c>
      <c r="J1664">
        <f t="shared" si="77"/>
        <v>6.90000000000001</v>
      </c>
      <c r="K1664">
        <f t="shared" si="79"/>
        <v>0</v>
      </c>
    </row>
    <row r="1665" spans="1:11">
      <c r="A1665">
        <v>55.561</v>
      </c>
      <c r="B1665">
        <v>-197.7</v>
      </c>
      <c r="C1665">
        <v>25.7</v>
      </c>
      <c r="E1665">
        <v>55.528</v>
      </c>
      <c r="F1665">
        <v>-197</v>
      </c>
      <c r="G1665">
        <v>26.2</v>
      </c>
      <c r="I1665">
        <f t="shared" si="78"/>
        <v>55.5</v>
      </c>
      <c r="J1665">
        <f t="shared" si="77"/>
        <v>6</v>
      </c>
      <c r="K1665">
        <f t="shared" si="79"/>
        <v>0</v>
      </c>
    </row>
    <row r="1666" spans="1:11">
      <c r="A1666">
        <v>55.594</v>
      </c>
      <c r="B1666">
        <v>-198.6</v>
      </c>
      <c r="C1666">
        <v>26.4</v>
      </c>
      <c r="E1666">
        <v>55.561</v>
      </c>
      <c r="F1666">
        <v>-197.7</v>
      </c>
      <c r="G1666">
        <v>25.7</v>
      </c>
      <c r="I1666">
        <f t="shared" si="78"/>
        <v>55.55</v>
      </c>
      <c r="J1666">
        <f t="shared" si="77"/>
        <v>5.30000000000001</v>
      </c>
      <c r="K1666">
        <f t="shared" si="79"/>
        <v>0</v>
      </c>
    </row>
    <row r="1667" spans="1:11">
      <c r="A1667">
        <v>55.628</v>
      </c>
      <c r="B1667">
        <v>-199.5</v>
      </c>
      <c r="C1667">
        <v>26.3</v>
      </c>
      <c r="E1667">
        <v>55.594</v>
      </c>
      <c r="F1667">
        <v>-198.6</v>
      </c>
      <c r="G1667">
        <v>26.4</v>
      </c>
      <c r="I1667">
        <f t="shared" si="78"/>
        <v>55.55</v>
      </c>
      <c r="J1667">
        <f t="shared" si="77"/>
        <v>4.40000000000001</v>
      </c>
      <c r="K1667">
        <f t="shared" si="79"/>
        <v>0</v>
      </c>
    </row>
    <row r="1668" spans="1:11">
      <c r="A1668">
        <v>55.661</v>
      </c>
      <c r="B1668">
        <v>-200.3</v>
      </c>
      <c r="C1668">
        <v>26.2</v>
      </c>
      <c r="E1668">
        <v>55.628</v>
      </c>
      <c r="F1668">
        <v>-199.5</v>
      </c>
      <c r="G1668">
        <v>26.3</v>
      </c>
      <c r="I1668">
        <f t="shared" si="78"/>
        <v>55.6</v>
      </c>
      <c r="J1668">
        <f t="shared" si="77"/>
        <v>3.5</v>
      </c>
      <c r="K1668">
        <f t="shared" si="79"/>
        <v>0</v>
      </c>
    </row>
    <row r="1669" spans="1:11">
      <c r="A1669">
        <v>55.695</v>
      </c>
      <c r="B1669">
        <v>-201.2</v>
      </c>
      <c r="C1669">
        <v>25.4</v>
      </c>
      <c r="E1669">
        <v>55.661</v>
      </c>
      <c r="F1669">
        <v>-200.3</v>
      </c>
      <c r="G1669">
        <v>26.2</v>
      </c>
      <c r="I1669">
        <f t="shared" si="78"/>
        <v>55.65</v>
      </c>
      <c r="J1669">
        <f t="shared" ref="J1669:J1732" si="80">F1669+203</f>
        <v>2.69999999999999</v>
      </c>
      <c r="K1669">
        <f t="shared" si="79"/>
        <v>0</v>
      </c>
    </row>
    <row r="1670" spans="1:11">
      <c r="A1670">
        <v>55.728</v>
      </c>
      <c r="B1670">
        <v>-201.9</v>
      </c>
      <c r="C1670">
        <v>25.4</v>
      </c>
      <c r="E1670">
        <v>55.695</v>
      </c>
      <c r="F1670">
        <v>-201.2</v>
      </c>
      <c r="G1670">
        <v>25.4</v>
      </c>
      <c r="I1670">
        <f t="shared" si="78"/>
        <v>55.65</v>
      </c>
      <c r="J1670">
        <f t="shared" si="80"/>
        <v>1.80000000000001</v>
      </c>
      <c r="K1670">
        <f t="shared" si="79"/>
        <v>0</v>
      </c>
    </row>
    <row r="1671" spans="1:11">
      <c r="A1671">
        <v>55.762</v>
      </c>
      <c r="B1671">
        <v>-202.3</v>
      </c>
      <c r="C1671">
        <v>25</v>
      </c>
      <c r="E1671">
        <v>55.728</v>
      </c>
      <c r="F1671">
        <v>-201.9</v>
      </c>
      <c r="G1671">
        <v>25.4</v>
      </c>
      <c r="I1671">
        <f t="shared" si="78"/>
        <v>55.7</v>
      </c>
      <c r="J1671">
        <f t="shared" si="80"/>
        <v>1.09999999999999</v>
      </c>
      <c r="K1671">
        <f t="shared" si="79"/>
        <v>0</v>
      </c>
    </row>
    <row r="1672" spans="1:11">
      <c r="A1672">
        <v>55.795</v>
      </c>
      <c r="B1672">
        <v>-203</v>
      </c>
      <c r="C1672">
        <v>25.6</v>
      </c>
      <c r="E1672">
        <v>55.762</v>
      </c>
      <c r="F1672">
        <v>-202.3</v>
      </c>
      <c r="G1672">
        <v>25</v>
      </c>
      <c r="I1672">
        <f t="shared" si="78"/>
        <v>55.75</v>
      </c>
      <c r="J1672">
        <f t="shared" si="80"/>
        <v>0.699999999999989</v>
      </c>
      <c r="K1672">
        <f t="shared" si="79"/>
        <v>0</v>
      </c>
    </row>
    <row r="1673" spans="1:11">
      <c r="A1673">
        <v>55.828</v>
      </c>
      <c r="B1673">
        <v>-203.5</v>
      </c>
      <c r="C1673">
        <v>25.4</v>
      </c>
      <c r="E1673">
        <v>55.795</v>
      </c>
      <c r="F1673">
        <v>-203</v>
      </c>
      <c r="G1673">
        <v>25.6</v>
      </c>
      <c r="I1673">
        <f t="shared" si="78"/>
        <v>55.75</v>
      </c>
      <c r="J1673">
        <f t="shared" si="80"/>
        <v>0</v>
      </c>
      <c r="K1673">
        <f t="shared" si="79"/>
        <v>0</v>
      </c>
    </row>
    <row r="1674" spans="1:11">
      <c r="A1674">
        <v>55.862</v>
      </c>
      <c r="B1674">
        <v>-204.1</v>
      </c>
      <c r="C1674">
        <v>25.8</v>
      </c>
      <c r="E1674">
        <v>55.828</v>
      </c>
      <c r="F1674">
        <v>-203.5</v>
      </c>
      <c r="G1674">
        <v>25.4</v>
      </c>
      <c r="I1674">
        <f t="shared" si="78"/>
        <v>55.8</v>
      </c>
      <c r="J1674">
        <f t="shared" si="80"/>
        <v>-0.5</v>
      </c>
      <c r="K1674">
        <f t="shared" si="79"/>
        <v>0</v>
      </c>
    </row>
    <row r="1675" spans="1:11">
      <c r="A1675">
        <v>55.895</v>
      </c>
      <c r="B1675">
        <v>-204.3</v>
      </c>
      <c r="C1675">
        <v>25.8</v>
      </c>
      <c r="E1675">
        <v>55.862</v>
      </c>
      <c r="F1675">
        <v>-204.1</v>
      </c>
      <c r="G1675">
        <v>25.8</v>
      </c>
      <c r="I1675">
        <f t="shared" si="78"/>
        <v>55.85</v>
      </c>
      <c r="J1675">
        <f t="shared" si="80"/>
        <v>-1.09999999999999</v>
      </c>
      <c r="K1675">
        <f t="shared" si="79"/>
        <v>0</v>
      </c>
    </row>
    <row r="1676" spans="1:11">
      <c r="A1676">
        <v>55.929</v>
      </c>
      <c r="B1676">
        <v>-204.7</v>
      </c>
      <c r="C1676">
        <v>25.9</v>
      </c>
      <c r="E1676">
        <v>55.895</v>
      </c>
      <c r="F1676">
        <v>-204.3</v>
      </c>
      <c r="G1676">
        <v>25.8</v>
      </c>
      <c r="I1676">
        <f t="shared" si="78"/>
        <v>55.85</v>
      </c>
      <c r="J1676">
        <f t="shared" si="80"/>
        <v>-1.30000000000001</v>
      </c>
      <c r="K1676">
        <f t="shared" si="79"/>
        <v>0</v>
      </c>
    </row>
    <row r="1677" spans="1:11">
      <c r="A1677">
        <v>55.962</v>
      </c>
      <c r="B1677">
        <v>-204.8</v>
      </c>
      <c r="C1677">
        <v>26.5</v>
      </c>
      <c r="E1677">
        <v>55.929</v>
      </c>
      <c r="F1677">
        <v>-204.7</v>
      </c>
      <c r="G1677">
        <v>25.9</v>
      </c>
      <c r="I1677">
        <f t="shared" si="78"/>
        <v>55.9</v>
      </c>
      <c r="J1677">
        <f t="shared" si="80"/>
        <v>-1.69999999999999</v>
      </c>
      <c r="K1677">
        <f t="shared" si="79"/>
        <v>0</v>
      </c>
    </row>
    <row r="1678" spans="1:11">
      <c r="A1678">
        <v>55.996</v>
      </c>
      <c r="B1678">
        <v>-204.9</v>
      </c>
      <c r="C1678">
        <v>26.2</v>
      </c>
      <c r="E1678">
        <v>55.962</v>
      </c>
      <c r="F1678">
        <v>-204.8</v>
      </c>
      <c r="G1678">
        <v>26.5</v>
      </c>
      <c r="I1678">
        <f t="shared" si="78"/>
        <v>55.95</v>
      </c>
      <c r="J1678">
        <f t="shared" si="80"/>
        <v>-1.80000000000001</v>
      </c>
      <c r="K1678">
        <f t="shared" si="79"/>
        <v>0</v>
      </c>
    </row>
    <row r="1679" spans="1:11">
      <c r="A1679">
        <v>56.029</v>
      </c>
      <c r="B1679">
        <v>-204.8</v>
      </c>
      <c r="C1679">
        <v>26.1</v>
      </c>
      <c r="E1679">
        <v>55.996</v>
      </c>
      <c r="F1679">
        <v>-204.9</v>
      </c>
      <c r="G1679">
        <v>26.2</v>
      </c>
      <c r="I1679">
        <f t="shared" si="78"/>
        <v>55.95</v>
      </c>
      <c r="J1679">
        <f t="shared" si="80"/>
        <v>-1.90000000000001</v>
      </c>
      <c r="K1679">
        <f t="shared" si="79"/>
        <v>0</v>
      </c>
    </row>
    <row r="1680" spans="1:11">
      <c r="A1680">
        <v>56.062</v>
      </c>
      <c r="B1680">
        <v>-204.8</v>
      </c>
      <c r="C1680">
        <v>25.7</v>
      </c>
      <c r="E1680">
        <v>56.029</v>
      </c>
      <c r="F1680">
        <v>-204.8</v>
      </c>
      <c r="G1680">
        <v>26.1</v>
      </c>
      <c r="I1680">
        <f t="shared" si="78"/>
        <v>56</v>
      </c>
      <c r="J1680">
        <f t="shared" si="80"/>
        <v>-1.80000000000001</v>
      </c>
      <c r="K1680">
        <f t="shared" si="79"/>
        <v>0</v>
      </c>
    </row>
    <row r="1681" spans="1:11">
      <c r="A1681">
        <v>56.096</v>
      </c>
      <c r="B1681">
        <v>-204.7</v>
      </c>
      <c r="C1681">
        <v>25.4</v>
      </c>
      <c r="E1681">
        <v>56.062</v>
      </c>
      <c r="F1681">
        <v>-204.8</v>
      </c>
      <c r="G1681">
        <v>25.7</v>
      </c>
      <c r="I1681">
        <f t="shared" si="78"/>
        <v>56.05</v>
      </c>
      <c r="J1681">
        <f t="shared" si="80"/>
        <v>-1.80000000000001</v>
      </c>
      <c r="K1681">
        <f t="shared" si="79"/>
        <v>0</v>
      </c>
    </row>
    <row r="1682" spans="1:11">
      <c r="A1682">
        <v>56.129</v>
      </c>
      <c r="B1682">
        <v>-204.5</v>
      </c>
      <c r="C1682">
        <v>25</v>
      </c>
      <c r="E1682">
        <v>56.096</v>
      </c>
      <c r="F1682">
        <v>-204.7</v>
      </c>
      <c r="G1682">
        <v>25.4</v>
      </c>
      <c r="I1682">
        <f t="shared" si="78"/>
        <v>56.05</v>
      </c>
      <c r="J1682">
        <f t="shared" si="80"/>
        <v>-1.69999999999999</v>
      </c>
      <c r="K1682">
        <f t="shared" si="79"/>
        <v>0</v>
      </c>
    </row>
    <row r="1683" spans="1:11">
      <c r="A1683">
        <v>56.163</v>
      </c>
      <c r="B1683">
        <v>-204.5</v>
      </c>
      <c r="C1683">
        <v>25.6</v>
      </c>
      <c r="E1683">
        <v>56.129</v>
      </c>
      <c r="F1683">
        <v>-204.5</v>
      </c>
      <c r="G1683">
        <v>25</v>
      </c>
      <c r="I1683">
        <f t="shared" si="78"/>
        <v>56.1</v>
      </c>
      <c r="J1683">
        <f t="shared" si="80"/>
        <v>-1.5</v>
      </c>
      <c r="K1683">
        <f t="shared" si="79"/>
        <v>0</v>
      </c>
    </row>
    <row r="1684" spans="1:11">
      <c r="A1684">
        <v>56.196</v>
      </c>
      <c r="B1684">
        <v>-204</v>
      </c>
      <c r="C1684">
        <v>25.2</v>
      </c>
      <c r="E1684">
        <v>56.163</v>
      </c>
      <c r="F1684">
        <v>-204.5</v>
      </c>
      <c r="G1684">
        <v>25.6</v>
      </c>
      <c r="I1684">
        <f t="shared" si="78"/>
        <v>56.15</v>
      </c>
      <c r="J1684">
        <f t="shared" si="80"/>
        <v>-1.5</v>
      </c>
      <c r="K1684">
        <f t="shared" si="79"/>
        <v>0</v>
      </c>
    </row>
    <row r="1685" spans="1:11">
      <c r="A1685">
        <v>56.23</v>
      </c>
      <c r="B1685">
        <v>-203</v>
      </c>
      <c r="C1685">
        <v>25.7</v>
      </c>
      <c r="E1685">
        <v>56.196</v>
      </c>
      <c r="F1685">
        <v>-204</v>
      </c>
      <c r="G1685">
        <v>25.2</v>
      </c>
      <c r="I1685">
        <f t="shared" si="78"/>
        <v>56.15</v>
      </c>
      <c r="J1685">
        <f t="shared" si="80"/>
        <v>-1</v>
      </c>
      <c r="K1685">
        <f t="shared" si="79"/>
        <v>0</v>
      </c>
    </row>
    <row r="1686" spans="1:11">
      <c r="A1686">
        <v>56.263</v>
      </c>
      <c r="B1686">
        <v>-202.4</v>
      </c>
      <c r="C1686">
        <v>26.1</v>
      </c>
      <c r="E1686">
        <v>56.23</v>
      </c>
      <c r="F1686">
        <v>-203</v>
      </c>
      <c r="G1686">
        <v>25.7</v>
      </c>
      <c r="I1686">
        <f t="shared" si="78"/>
        <v>56.2</v>
      </c>
      <c r="J1686">
        <f t="shared" si="80"/>
        <v>0</v>
      </c>
      <c r="K1686">
        <f t="shared" si="79"/>
        <v>0</v>
      </c>
    </row>
    <row r="1687" spans="1:11">
      <c r="A1687">
        <v>56.296</v>
      </c>
      <c r="B1687">
        <v>-202.1</v>
      </c>
      <c r="C1687">
        <v>25.5</v>
      </c>
      <c r="E1687">
        <v>56.263</v>
      </c>
      <c r="F1687">
        <v>-202.4</v>
      </c>
      <c r="G1687">
        <v>26.1</v>
      </c>
      <c r="I1687">
        <f t="shared" si="78"/>
        <v>56.25</v>
      </c>
      <c r="J1687">
        <f t="shared" si="80"/>
        <v>0.599999999999994</v>
      </c>
      <c r="K1687">
        <f t="shared" si="79"/>
        <v>0</v>
      </c>
    </row>
    <row r="1688" spans="1:11">
      <c r="A1688">
        <v>56.33</v>
      </c>
      <c r="B1688">
        <v>-201</v>
      </c>
      <c r="C1688">
        <v>25.7</v>
      </c>
      <c r="E1688">
        <v>56.296</v>
      </c>
      <c r="F1688">
        <v>-202.1</v>
      </c>
      <c r="G1688">
        <v>25.5</v>
      </c>
      <c r="I1688">
        <f t="shared" si="78"/>
        <v>56.25</v>
      </c>
      <c r="J1688">
        <f t="shared" si="80"/>
        <v>0.900000000000006</v>
      </c>
      <c r="K1688">
        <f t="shared" si="79"/>
        <v>0</v>
      </c>
    </row>
    <row r="1689" spans="1:11">
      <c r="A1689">
        <v>56.363</v>
      </c>
      <c r="B1689">
        <v>-200.4</v>
      </c>
      <c r="C1689">
        <v>26.4</v>
      </c>
      <c r="E1689">
        <v>56.33</v>
      </c>
      <c r="F1689">
        <v>-201</v>
      </c>
      <c r="G1689">
        <v>25.7</v>
      </c>
      <c r="I1689">
        <f t="shared" si="78"/>
        <v>56.3</v>
      </c>
      <c r="J1689">
        <f t="shared" si="80"/>
        <v>2</v>
      </c>
      <c r="K1689">
        <f t="shared" si="79"/>
        <v>0</v>
      </c>
    </row>
    <row r="1690" spans="1:11">
      <c r="A1690">
        <v>56.397</v>
      </c>
      <c r="B1690">
        <v>-199.8</v>
      </c>
      <c r="C1690">
        <v>26.1</v>
      </c>
      <c r="E1690">
        <v>56.363</v>
      </c>
      <c r="F1690">
        <v>-200.4</v>
      </c>
      <c r="G1690">
        <v>26.4</v>
      </c>
      <c r="I1690">
        <f t="shared" si="78"/>
        <v>56.35</v>
      </c>
      <c r="J1690">
        <f t="shared" si="80"/>
        <v>2.59999999999999</v>
      </c>
      <c r="K1690">
        <f t="shared" si="79"/>
        <v>0</v>
      </c>
    </row>
    <row r="1691" spans="1:11">
      <c r="A1691">
        <v>56.43</v>
      </c>
      <c r="B1691">
        <v>-199</v>
      </c>
      <c r="C1691">
        <v>25.2</v>
      </c>
      <c r="E1691">
        <v>56.397</v>
      </c>
      <c r="F1691">
        <v>-199.8</v>
      </c>
      <c r="G1691">
        <v>26.1</v>
      </c>
      <c r="I1691">
        <f t="shared" si="78"/>
        <v>56.35</v>
      </c>
      <c r="J1691">
        <f t="shared" si="80"/>
        <v>3.19999999999999</v>
      </c>
      <c r="K1691">
        <f t="shared" si="79"/>
        <v>0</v>
      </c>
    </row>
    <row r="1692" spans="1:11">
      <c r="A1692">
        <v>56.464</v>
      </c>
      <c r="B1692">
        <v>-198</v>
      </c>
      <c r="C1692">
        <v>25.6</v>
      </c>
      <c r="E1692">
        <v>56.43</v>
      </c>
      <c r="F1692">
        <v>-199</v>
      </c>
      <c r="G1692">
        <v>25.2</v>
      </c>
      <c r="I1692">
        <f t="shared" si="78"/>
        <v>56.4</v>
      </c>
      <c r="J1692">
        <f t="shared" si="80"/>
        <v>4</v>
      </c>
      <c r="K1692">
        <f t="shared" si="79"/>
        <v>0</v>
      </c>
    </row>
    <row r="1693" spans="1:11">
      <c r="A1693">
        <v>56.497</v>
      </c>
      <c r="B1693">
        <v>-197.1</v>
      </c>
      <c r="C1693">
        <v>25.9</v>
      </c>
      <c r="E1693">
        <v>56.464</v>
      </c>
      <c r="F1693">
        <v>-198</v>
      </c>
      <c r="G1693">
        <v>25.6</v>
      </c>
      <c r="I1693">
        <f t="shared" si="78"/>
        <v>56.45</v>
      </c>
      <c r="J1693">
        <f t="shared" si="80"/>
        <v>5</v>
      </c>
      <c r="K1693">
        <f t="shared" si="79"/>
        <v>0</v>
      </c>
    </row>
    <row r="1694" spans="1:11">
      <c r="A1694">
        <v>56.53</v>
      </c>
      <c r="B1694">
        <v>-196.3</v>
      </c>
      <c r="C1694">
        <v>25.8</v>
      </c>
      <c r="E1694">
        <v>56.497</v>
      </c>
      <c r="F1694">
        <v>-197.1</v>
      </c>
      <c r="G1694">
        <v>25.9</v>
      </c>
      <c r="I1694">
        <f t="shared" si="78"/>
        <v>56.45</v>
      </c>
      <c r="J1694">
        <f t="shared" si="80"/>
        <v>5.90000000000001</v>
      </c>
      <c r="K1694">
        <f t="shared" si="79"/>
        <v>0</v>
      </c>
    </row>
    <row r="1695" spans="1:11">
      <c r="A1695">
        <v>56.564</v>
      </c>
      <c r="B1695">
        <v>-195.8</v>
      </c>
      <c r="C1695">
        <v>25.9</v>
      </c>
      <c r="E1695">
        <v>56.53</v>
      </c>
      <c r="F1695">
        <v>-196.3</v>
      </c>
      <c r="G1695">
        <v>25.8</v>
      </c>
      <c r="I1695">
        <f t="shared" ref="I1695:I1758" si="81">FLOOR(E1695,0.05)</f>
        <v>56.5</v>
      </c>
      <c r="J1695">
        <f t="shared" si="80"/>
        <v>6.69999999999999</v>
      </c>
      <c r="K1695">
        <f t="shared" ref="K1695:K1758" si="82">IF(G1695&lt;230,0,5)</f>
        <v>0</v>
      </c>
    </row>
    <row r="1696" spans="1:11">
      <c r="A1696">
        <v>56.597</v>
      </c>
      <c r="B1696">
        <v>-195.4</v>
      </c>
      <c r="C1696">
        <v>26.1</v>
      </c>
      <c r="E1696">
        <v>56.564</v>
      </c>
      <c r="F1696">
        <v>-195.8</v>
      </c>
      <c r="G1696">
        <v>25.9</v>
      </c>
      <c r="I1696">
        <f t="shared" si="81"/>
        <v>56.55</v>
      </c>
      <c r="J1696">
        <f t="shared" si="80"/>
        <v>7.19999999999999</v>
      </c>
      <c r="K1696">
        <f t="shared" si="82"/>
        <v>0</v>
      </c>
    </row>
    <row r="1697" spans="1:11">
      <c r="A1697">
        <v>56.631</v>
      </c>
      <c r="B1697">
        <v>-195.1</v>
      </c>
      <c r="C1697">
        <v>26.4</v>
      </c>
      <c r="E1697">
        <v>56.597</v>
      </c>
      <c r="F1697">
        <v>-195.4</v>
      </c>
      <c r="G1697">
        <v>26.1</v>
      </c>
      <c r="I1697">
        <f t="shared" si="81"/>
        <v>56.55</v>
      </c>
      <c r="J1697">
        <f t="shared" si="80"/>
        <v>7.59999999999999</v>
      </c>
      <c r="K1697">
        <f t="shared" si="82"/>
        <v>0</v>
      </c>
    </row>
    <row r="1698" spans="1:11">
      <c r="A1698">
        <v>56.664</v>
      </c>
      <c r="B1698">
        <v>-194.8</v>
      </c>
      <c r="C1698">
        <v>25.6</v>
      </c>
      <c r="E1698">
        <v>56.631</v>
      </c>
      <c r="F1698">
        <v>-195.1</v>
      </c>
      <c r="G1698">
        <v>26.4</v>
      </c>
      <c r="I1698">
        <f t="shared" si="81"/>
        <v>56.6</v>
      </c>
      <c r="J1698">
        <f t="shared" si="80"/>
        <v>7.90000000000001</v>
      </c>
      <c r="K1698">
        <f t="shared" si="82"/>
        <v>0</v>
      </c>
    </row>
    <row r="1699" spans="1:11">
      <c r="A1699">
        <v>56.698</v>
      </c>
      <c r="B1699">
        <v>-194.5</v>
      </c>
      <c r="C1699">
        <v>25.9</v>
      </c>
      <c r="E1699">
        <v>56.664</v>
      </c>
      <c r="F1699">
        <v>-194.8</v>
      </c>
      <c r="G1699">
        <v>25.6</v>
      </c>
      <c r="I1699">
        <f t="shared" si="81"/>
        <v>56.65</v>
      </c>
      <c r="J1699">
        <f t="shared" si="80"/>
        <v>8.19999999999999</v>
      </c>
      <c r="K1699">
        <f t="shared" si="82"/>
        <v>0</v>
      </c>
    </row>
    <row r="1700" spans="1:11">
      <c r="A1700">
        <v>56.731</v>
      </c>
      <c r="B1700">
        <v>-194.6</v>
      </c>
      <c r="C1700">
        <v>26</v>
      </c>
      <c r="E1700">
        <v>56.698</v>
      </c>
      <c r="F1700">
        <v>-194.5</v>
      </c>
      <c r="G1700">
        <v>25.9</v>
      </c>
      <c r="I1700">
        <f t="shared" si="81"/>
        <v>56.65</v>
      </c>
      <c r="J1700">
        <f t="shared" si="80"/>
        <v>8.5</v>
      </c>
      <c r="K1700">
        <f t="shared" si="82"/>
        <v>0</v>
      </c>
    </row>
    <row r="1701" spans="1:11">
      <c r="A1701">
        <v>56.764</v>
      </c>
      <c r="B1701">
        <v>-194.7</v>
      </c>
      <c r="C1701">
        <v>25.4</v>
      </c>
      <c r="E1701">
        <v>56.731</v>
      </c>
      <c r="F1701">
        <v>-194.6</v>
      </c>
      <c r="G1701">
        <v>26</v>
      </c>
      <c r="I1701">
        <f t="shared" si="81"/>
        <v>56.7</v>
      </c>
      <c r="J1701">
        <f t="shared" si="80"/>
        <v>8.40000000000001</v>
      </c>
      <c r="K1701">
        <f t="shared" si="82"/>
        <v>0</v>
      </c>
    </row>
    <row r="1702" spans="1:11">
      <c r="A1702">
        <v>56.798</v>
      </c>
      <c r="B1702">
        <v>-194.9</v>
      </c>
      <c r="C1702">
        <v>26</v>
      </c>
      <c r="E1702">
        <v>56.764</v>
      </c>
      <c r="F1702">
        <v>-194.7</v>
      </c>
      <c r="G1702">
        <v>25.4</v>
      </c>
      <c r="I1702">
        <f t="shared" si="81"/>
        <v>56.75</v>
      </c>
      <c r="J1702">
        <f t="shared" si="80"/>
        <v>8.30000000000001</v>
      </c>
      <c r="K1702">
        <f t="shared" si="82"/>
        <v>0</v>
      </c>
    </row>
    <row r="1703" spans="1:11">
      <c r="A1703">
        <v>56.831</v>
      </c>
      <c r="B1703">
        <v>-194.8</v>
      </c>
      <c r="C1703">
        <v>25.6</v>
      </c>
      <c r="E1703">
        <v>56.798</v>
      </c>
      <c r="F1703">
        <v>-194.9</v>
      </c>
      <c r="G1703">
        <v>26</v>
      </c>
      <c r="I1703">
        <f t="shared" si="81"/>
        <v>56.75</v>
      </c>
      <c r="J1703">
        <f t="shared" si="80"/>
        <v>8.09999999999999</v>
      </c>
      <c r="K1703">
        <f t="shared" si="82"/>
        <v>0</v>
      </c>
    </row>
    <row r="1704" spans="1:11">
      <c r="A1704">
        <v>56.865</v>
      </c>
      <c r="B1704">
        <v>-195.1</v>
      </c>
      <c r="C1704">
        <v>26</v>
      </c>
      <c r="E1704">
        <v>56.831</v>
      </c>
      <c r="F1704">
        <v>-194.8</v>
      </c>
      <c r="G1704">
        <v>25.6</v>
      </c>
      <c r="I1704">
        <f t="shared" si="81"/>
        <v>56.8</v>
      </c>
      <c r="J1704">
        <f t="shared" si="80"/>
        <v>8.19999999999999</v>
      </c>
      <c r="K1704">
        <f t="shared" si="82"/>
        <v>0</v>
      </c>
    </row>
    <row r="1705" spans="1:11">
      <c r="A1705">
        <v>56.898</v>
      </c>
      <c r="B1705">
        <v>-195.4</v>
      </c>
      <c r="C1705">
        <v>25.6</v>
      </c>
      <c r="E1705">
        <v>56.865</v>
      </c>
      <c r="F1705">
        <v>-195.1</v>
      </c>
      <c r="G1705">
        <v>26</v>
      </c>
      <c r="I1705">
        <f t="shared" si="81"/>
        <v>56.85</v>
      </c>
      <c r="J1705">
        <f t="shared" si="80"/>
        <v>7.90000000000001</v>
      </c>
      <c r="K1705">
        <f t="shared" si="82"/>
        <v>0</v>
      </c>
    </row>
    <row r="1706" spans="1:11">
      <c r="A1706">
        <v>56.932</v>
      </c>
      <c r="B1706">
        <v>-196.1</v>
      </c>
      <c r="C1706">
        <v>25.8</v>
      </c>
      <c r="E1706">
        <v>56.898</v>
      </c>
      <c r="F1706">
        <v>-195.4</v>
      </c>
      <c r="G1706">
        <v>25.6</v>
      </c>
      <c r="I1706">
        <f t="shared" si="81"/>
        <v>56.85</v>
      </c>
      <c r="J1706">
        <f t="shared" si="80"/>
        <v>7.59999999999999</v>
      </c>
      <c r="K1706">
        <f t="shared" si="82"/>
        <v>0</v>
      </c>
    </row>
    <row r="1707" spans="1:11">
      <c r="A1707">
        <v>56.965</v>
      </c>
      <c r="B1707">
        <v>-196.7</v>
      </c>
      <c r="C1707">
        <v>25.8</v>
      </c>
      <c r="E1707">
        <v>56.932</v>
      </c>
      <c r="F1707">
        <v>-196.1</v>
      </c>
      <c r="G1707">
        <v>25.8</v>
      </c>
      <c r="I1707">
        <f t="shared" si="81"/>
        <v>56.9</v>
      </c>
      <c r="J1707">
        <f t="shared" si="80"/>
        <v>6.90000000000001</v>
      </c>
      <c r="K1707">
        <f t="shared" si="82"/>
        <v>0</v>
      </c>
    </row>
    <row r="1708" spans="1:11">
      <c r="A1708">
        <v>56.999</v>
      </c>
      <c r="B1708">
        <v>-197.6</v>
      </c>
      <c r="C1708">
        <v>26.5</v>
      </c>
      <c r="E1708">
        <v>56.965</v>
      </c>
      <c r="F1708">
        <v>-196.7</v>
      </c>
      <c r="G1708">
        <v>25.8</v>
      </c>
      <c r="I1708">
        <f t="shared" si="81"/>
        <v>56.95</v>
      </c>
      <c r="J1708">
        <f t="shared" si="80"/>
        <v>6.30000000000001</v>
      </c>
      <c r="K1708">
        <f t="shared" si="82"/>
        <v>0</v>
      </c>
    </row>
    <row r="1709" spans="1:11">
      <c r="A1709">
        <v>57.032</v>
      </c>
      <c r="B1709">
        <v>-198.4</v>
      </c>
      <c r="C1709">
        <v>26.2</v>
      </c>
      <c r="E1709">
        <v>56.999</v>
      </c>
      <c r="F1709">
        <v>-197.6</v>
      </c>
      <c r="G1709">
        <v>26.5</v>
      </c>
      <c r="I1709">
        <f t="shared" si="81"/>
        <v>56.95</v>
      </c>
      <c r="J1709">
        <f t="shared" si="80"/>
        <v>5.40000000000001</v>
      </c>
      <c r="K1709">
        <f t="shared" si="82"/>
        <v>0</v>
      </c>
    </row>
    <row r="1710" spans="1:11">
      <c r="A1710">
        <v>57.065</v>
      </c>
      <c r="B1710">
        <v>-199.3</v>
      </c>
      <c r="C1710">
        <v>25.8</v>
      </c>
      <c r="E1710">
        <v>57.032</v>
      </c>
      <c r="F1710">
        <v>-198.4</v>
      </c>
      <c r="G1710">
        <v>26.2</v>
      </c>
      <c r="I1710">
        <f t="shared" si="81"/>
        <v>57</v>
      </c>
      <c r="J1710">
        <f t="shared" si="80"/>
        <v>4.59999999999999</v>
      </c>
      <c r="K1710">
        <f t="shared" si="82"/>
        <v>0</v>
      </c>
    </row>
    <row r="1711" spans="1:11">
      <c r="A1711">
        <v>57.099</v>
      </c>
      <c r="B1711">
        <v>-200.1</v>
      </c>
      <c r="C1711">
        <v>26</v>
      </c>
      <c r="E1711">
        <v>57.065</v>
      </c>
      <c r="F1711">
        <v>-199.3</v>
      </c>
      <c r="G1711">
        <v>25.8</v>
      </c>
      <c r="I1711">
        <f t="shared" si="81"/>
        <v>57.05</v>
      </c>
      <c r="J1711">
        <f t="shared" si="80"/>
        <v>3.69999999999999</v>
      </c>
      <c r="K1711">
        <f t="shared" si="82"/>
        <v>0</v>
      </c>
    </row>
    <row r="1712" spans="1:11">
      <c r="A1712">
        <v>57.132</v>
      </c>
      <c r="B1712">
        <v>-200.6</v>
      </c>
      <c r="C1712">
        <v>26.9</v>
      </c>
      <c r="E1712">
        <v>57.099</v>
      </c>
      <c r="F1712">
        <v>-200.1</v>
      </c>
      <c r="G1712">
        <v>26</v>
      </c>
      <c r="I1712">
        <f t="shared" si="81"/>
        <v>57.05</v>
      </c>
      <c r="J1712">
        <f t="shared" si="80"/>
        <v>2.90000000000001</v>
      </c>
      <c r="K1712">
        <f t="shared" si="82"/>
        <v>0</v>
      </c>
    </row>
    <row r="1713" spans="1:11">
      <c r="A1713">
        <v>57.166</v>
      </c>
      <c r="B1713">
        <v>-201.5</v>
      </c>
      <c r="C1713">
        <v>25.4</v>
      </c>
      <c r="E1713">
        <v>57.132</v>
      </c>
      <c r="F1713">
        <v>-200.6</v>
      </c>
      <c r="G1713">
        <v>26.9</v>
      </c>
      <c r="I1713">
        <f t="shared" si="81"/>
        <v>57.1</v>
      </c>
      <c r="J1713">
        <f t="shared" si="80"/>
        <v>2.40000000000001</v>
      </c>
      <c r="K1713">
        <f t="shared" si="82"/>
        <v>0</v>
      </c>
    </row>
    <row r="1714" spans="1:11">
      <c r="A1714">
        <v>57.199</v>
      </c>
      <c r="B1714">
        <v>-202.1</v>
      </c>
      <c r="C1714">
        <v>26.2</v>
      </c>
      <c r="E1714">
        <v>57.166</v>
      </c>
      <c r="F1714">
        <v>-201.5</v>
      </c>
      <c r="G1714">
        <v>25.4</v>
      </c>
      <c r="I1714">
        <f t="shared" si="81"/>
        <v>57.15</v>
      </c>
      <c r="J1714">
        <f t="shared" si="80"/>
        <v>1.5</v>
      </c>
      <c r="K1714">
        <f t="shared" si="82"/>
        <v>0</v>
      </c>
    </row>
    <row r="1715" spans="1:11">
      <c r="A1715">
        <v>57.233</v>
      </c>
      <c r="B1715">
        <v>-202.6</v>
      </c>
      <c r="C1715">
        <v>26</v>
      </c>
      <c r="E1715">
        <v>57.199</v>
      </c>
      <c r="F1715">
        <v>-202.1</v>
      </c>
      <c r="G1715">
        <v>26.2</v>
      </c>
      <c r="I1715">
        <f t="shared" si="81"/>
        <v>57.15</v>
      </c>
      <c r="J1715">
        <f t="shared" si="80"/>
        <v>0.900000000000006</v>
      </c>
      <c r="K1715">
        <f t="shared" si="82"/>
        <v>0</v>
      </c>
    </row>
    <row r="1716" spans="1:11">
      <c r="A1716">
        <v>57.266</v>
      </c>
      <c r="B1716">
        <v>-203.1</v>
      </c>
      <c r="C1716">
        <v>25.7</v>
      </c>
      <c r="E1716">
        <v>57.233</v>
      </c>
      <c r="F1716">
        <v>-202.6</v>
      </c>
      <c r="G1716">
        <v>26</v>
      </c>
      <c r="I1716">
        <f t="shared" si="81"/>
        <v>57.2</v>
      </c>
      <c r="J1716">
        <f t="shared" si="80"/>
        <v>0.400000000000006</v>
      </c>
      <c r="K1716">
        <f t="shared" si="82"/>
        <v>0</v>
      </c>
    </row>
    <row r="1717" spans="1:11">
      <c r="A1717">
        <v>57.299</v>
      </c>
      <c r="B1717">
        <v>-203.5</v>
      </c>
      <c r="C1717">
        <v>25.8</v>
      </c>
      <c r="E1717">
        <v>57.266</v>
      </c>
      <c r="F1717">
        <v>-203.1</v>
      </c>
      <c r="G1717">
        <v>25.7</v>
      </c>
      <c r="I1717">
        <f t="shared" si="81"/>
        <v>57.25</v>
      </c>
      <c r="J1717">
        <f t="shared" si="80"/>
        <v>-0.0999999999999943</v>
      </c>
      <c r="K1717">
        <f t="shared" si="82"/>
        <v>0</v>
      </c>
    </row>
    <row r="1718" spans="1:11">
      <c r="A1718">
        <v>57.333</v>
      </c>
      <c r="B1718">
        <v>-204.1</v>
      </c>
      <c r="C1718">
        <v>26.1</v>
      </c>
      <c r="E1718">
        <v>57.299</v>
      </c>
      <c r="F1718">
        <v>-203.5</v>
      </c>
      <c r="G1718">
        <v>25.8</v>
      </c>
      <c r="I1718">
        <f t="shared" si="81"/>
        <v>57.25</v>
      </c>
      <c r="J1718">
        <f t="shared" si="80"/>
        <v>-0.5</v>
      </c>
      <c r="K1718">
        <f t="shared" si="82"/>
        <v>0</v>
      </c>
    </row>
    <row r="1719" spans="1:11">
      <c r="A1719">
        <v>57.366</v>
      </c>
      <c r="B1719">
        <v>-204.2</v>
      </c>
      <c r="C1719">
        <v>26.3</v>
      </c>
      <c r="E1719">
        <v>57.333</v>
      </c>
      <c r="F1719">
        <v>-204.1</v>
      </c>
      <c r="G1719">
        <v>26.1</v>
      </c>
      <c r="I1719">
        <f t="shared" si="81"/>
        <v>57.3</v>
      </c>
      <c r="J1719">
        <f t="shared" si="80"/>
        <v>-1.09999999999999</v>
      </c>
      <c r="K1719">
        <f t="shared" si="82"/>
        <v>0</v>
      </c>
    </row>
    <row r="1720" spans="1:11">
      <c r="A1720">
        <v>57.4</v>
      </c>
      <c r="B1720">
        <v>-204.2</v>
      </c>
      <c r="C1720">
        <v>25.9</v>
      </c>
      <c r="E1720">
        <v>57.366</v>
      </c>
      <c r="F1720">
        <v>-204.2</v>
      </c>
      <c r="G1720">
        <v>26.3</v>
      </c>
      <c r="I1720">
        <f t="shared" si="81"/>
        <v>57.35</v>
      </c>
      <c r="J1720">
        <f t="shared" si="80"/>
        <v>-1.19999999999999</v>
      </c>
      <c r="K1720">
        <f t="shared" si="82"/>
        <v>0</v>
      </c>
    </row>
    <row r="1721" spans="1:11">
      <c r="A1721">
        <v>57.433</v>
      </c>
      <c r="B1721">
        <v>-204.1</v>
      </c>
      <c r="C1721">
        <v>26.4</v>
      </c>
      <c r="E1721">
        <v>57.4</v>
      </c>
      <c r="F1721">
        <v>-204.2</v>
      </c>
      <c r="G1721">
        <v>25.9</v>
      </c>
      <c r="I1721">
        <f t="shared" si="81"/>
        <v>57.4</v>
      </c>
      <c r="J1721">
        <f t="shared" si="80"/>
        <v>-1.19999999999999</v>
      </c>
      <c r="K1721">
        <f t="shared" si="82"/>
        <v>0</v>
      </c>
    </row>
    <row r="1722" spans="1:11">
      <c r="A1722">
        <v>57.467</v>
      </c>
      <c r="B1722">
        <v>-204.1</v>
      </c>
      <c r="C1722">
        <v>26</v>
      </c>
      <c r="E1722">
        <v>57.433</v>
      </c>
      <c r="F1722">
        <v>-204.1</v>
      </c>
      <c r="G1722">
        <v>26.4</v>
      </c>
      <c r="I1722">
        <f t="shared" si="81"/>
        <v>57.4</v>
      </c>
      <c r="J1722">
        <f t="shared" si="80"/>
        <v>-1.09999999999999</v>
      </c>
      <c r="K1722">
        <f t="shared" si="82"/>
        <v>0</v>
      </c>
    </row>
    <row r="1723" spans="1:11">
      <c r="A1723">
        <v>57.5</v>
      </c>
      <c r="B1723">
        <v>-204</v>
      </c>
      <c r="C1723">
        <v>25.6</v>
      </c>
      <c r="E1723">
        <v>57.467</v>
      </c>
      <c r="F1723">
        <v>-204.1</v>
      </c>
      <c r="G1723">
        <v>26</v>
      </c>
      <c r="I1723">
        <f t="shared" si="81"/>
        <v>57.45</v>
      </c>
      <c r="J1723">
        <f t="shared" si="80"/>
        <v>-1.09999999999999</v>
      </c>
      <c r="K1723">
        <f t="shared" si="82"/>
        <v>0</v>
      </c>
    </row>
    <row r="1724" spans="1:11">
      <c r="A1724">
        <v>57.533</v>
      </c>
      <c r="B1724">
        <v>-203.9</v>
      </c>
      <c r="C1724">
        <v>25.2</v>
      </c>
      <c r="E1724">
        <v>57.5</v>
      </c>
      <c r="F1724">
        <v>-204</v>
      </c>
      <c r="G1724">
        <v>25.6</v>
      </c>
      <c r="I1724">
        <f t="shared" si="81"/>
        <v>57.5</v>
      </c>
      <c r="J1724">
        <f t="shared" si="80"/>
        <v>-1</v>
      </c>
      <c r="K1724">
        <f t="shared" si="82"/>
        <v>0</v>
      </c>
    </row>
    <row r="1725" spans="1:11">
      <c r="A1725">
        <v>57.567</v>
      </c>
      <c r="B1725">
        <v>-203.8</v>
      </c>
      <c r="C1725">
        <v>26.4</v>
      </c>
      <c r="E1725">
        <v>57.533</v>
      </c>
      <c r="F1725">
        <v>-203.9</v>
      </c>
      <c r="G1725">
        <v>25.2</v>
      </c>
      <c r="I1725">
        <f t="shared" si="81"/>
        <v>57.5</v>
      </c>
      <c r="J1725">
        <f t="shared" si="80"/>
        <v>-0.900000000000006</v>
      </c>
      <c r="K1725">
        <f t="shared" si="82"/>
        <v>0</v>
      </c>
    </row>
    <row r="1726" spans="1:11">
      <c r="A1726">
        <v>57.6</v>
      </c>
      <c r="B1726">
        <v>-203.6</v>
      </c>
      <c r="C1726">
        <v>25.6</v>
      </c>
      <c r="E1726">
        <v>57.567</v>
      </c>
      <c r="F1726">
        <v>-203.8</v>
      </c>
      <c r="G1726">
        <v>26.4</v>
      </c>
      <c r="I1726">
        <f t="shared" si="81"/>
        <v>57.55</v>
      </c>
      <c r="J1726">
        <f t="shared" si="80"/>
        <v>-0.800000000000011</v>
      </c>
      <c r="K1726">
        <f t="shared" si="82"/>
        <v>0</v>
      </c>
    </row>
    <row r="1727" spans="1:11">
      <c r="A1727">
        <v>57.634</v>
      </c>
      <c r="B1727">
        <v>-203.3</v>
      </c>
      <c r="C1727">
        <v>26.2</v>
      </c>
      <c r="E1727">
        <v>57.6</v>
      </c>
      <c r="F1727">
        <v>-203.6</v>
      </c>
      <c r="G1727">
        <v>25.6</v>
      </c>
      <c r="I1727">
        <f t="shared" si="81"/>
        <v>57.6</v>
      </c>
      <c r="J1727">
        <f t="shared" si="80"/>
        <v>-0.599999999999994</v>
      </c>
      <c r="K1727">
        <f t="shared" si="82"/>
        <v>0</v>
      </c>
    </row>
    <row r="1728" spans="1:11">
      <c r="A1728">
        <v>57.667</v>
      </c>
      <c r="B1728">
        <v>-202.8</v>
      </c>
      <c r="C1728">
        <v>25.9</v>
      </c>
      <c r="E1728">
        <v>57.634</v>
      </c>
      <c r="F1728">
        <v>-203.3</v>
      </c>
      <c r="G1728">
        <v>26.2</v>
      </c>
      <c r="I1728">
        <f t="shared" si="81"/>
        <v>57.6</v>
      </c>
      <c r="J1728">
        <f t="shared" si="80"/>
        <v>-0.300000000000011</v>
      </c>
      <c r="K1728">
        <f t="shared" si="82"/>
        <v>0</v>
      </c>
    </row>
    <row r="1729" spans="1:11">
      <c r="A1729">
        <v>57.701</v>
      </c>
      <c r="B1729">
        <v>-202.2</v>
      </c>
      <c r="C1729">
        <v>25.5</v>
      </c>
      <c r="E1729">
        <v>57.667</v>
      </c>
      <c r="F1729">
        <v>-202.8</v>
      </c>
      <c r="G1729">
        <v>25.9</v>
      </c>
      <c r="I1729">
        <f t="shared" si="81"/>
        <v>57.65</v>
      </c>
      <c r="J1729">
        <f t="shared" si="80"/>
        <v>0.199999999999989</v>
      </c>
      <c r="K1729">
        <f t="shared" si="82"/>
        <v>0</v>
      </c>
    </row>
    <row r="1730" spans="1:11">
      <c r="A1730">
        <v>57.734</v>
      </c>
      <c r="B1730">
        <v>-201.5</v>
      </c>
      <c r="C1730">
        <v>26</v>
      </c>
      <c r="E1730">
        <v>57.701</v>
      </c>
      <c r="F1730">
        <v>-202.2</v>
      </c>
      <c r="G1730">
        <v>25.5</v>
      </c>
      <c r="I1730">
        <f t="shared" si="81"/>
        <v>57.7</v>
      </c>
      <c r="J1730">
        <f t="shared" si="80"/>
        <v>0.800000000000011</v>
      </c>
      <c r="K1730">
        <f t="shared" si="82"/>
        <v>0</v>
      </c>
    </row>
    <row r="1731" spans="1:11">
      <c r="A1731">
        <v>57.767</v>
      </c>
      <c r="B1731">
        <v>-200.9</v>
      </c>
      <c r="C1731">
        <v>26</v>
      </c>
      <c r="E1731">
        <v>57.734</v>
      </c>
      <c r="F1731">
        <v>-201.5</v>
      </c>
      <c r="G1731">
        <v>26</v>
      </c>
      <c r="I1731">
        <f t="shared" si="81"/>
        <v>57.7</v>
      </c>
      <c r="J1731">
        <f t="shared" si="80"/>
        <v>1.5</v>
      </c>
      <c r="K1731">
        <f t="shared" si="82"/>
        <v>0</v>
      </c>
    </row>
    <row r="1732" spans="1:11">
      <c r="A1732">
        <v>57.801</v>
      </c>
      <c r="B1732">
        <v>-200.1</v>
      </c>
      <c r="C1732">
        <v>25.6</v>
      </c>
      <c r="E1732">
        <v>57.767</v>
      </c>
      <c r="F1732">
        <v>-200.9</v>
      </c>
      <c r="G1732">
        <v>26</v>
      </c>
      <c r="I1732">
        <f t="shared" si="81"/>
        <v>57.75</v>
      </c>
      <c r="J1732">
        <f t="shared" si="80"/>
        <v>2.09999999999999</v>
      </c>
      <c r="K1732">
        <f t="shared" si="82"/>
        <v>0</v>
      </c>
    </row>
    <row r="1733" spans="1:11">
      <c r="A1733">
        <v>57.834</v>
      </c>
      <c r="B1733">
        <v>-199.6</v>
      </c>
      <c r="C1733">
        <v>26.4</v>
      </c>
      <c r="E1733">
        <v>57.801</v>
      </c>
      <c r="F1733">
        <v>-200.1</v>
      </c>
      <c r="G1733">
        <v>25.6</v>
      </c>
      <c r="I1733">
        <f t="shared" si="81"/>
        <v>57.8</v>
      </c>
      <c r="J1733">
        <f t="shared" ref="J1733:J1796" si="83">F1733+203</f>
        <v>2.90000000000001</v>
      </c>
      <c r="K1733">
        <f t="shared" si="82"/>
        <v>0</v>
      </c>
    </row>
    <row r="1734" spans="1:11">
      <c r="A1734">
        <v>57.868</v>
      </c>
      <c r="B1734">
        <v>-198.9</v>
      </c>
      <c r="C1734">
        <v>26.2</v>
      </c>
      <c r="E1734">
        <v>57.834</v>
      </c>
      <c r="F1734">
        <v>-199.6</v>
      </c>
      <c r="G1734">
        <v>26.4</v>
      </c>
      <c r="I1734">
        <f t="shared" si="81"/>
        <v>57.8</v>
      </c>
      <c r="J1734">
        <f t="shared" si="83"/>
        <v>3.40000000000001</v>
      </c>
      <c r="K1734">
        <f t="shared" si="82"/>
        <v>0</v>
      </c>
    </row>
    <row r="1735" spans="1:11">
      <c r="A1735">
        <v>57.901</v>
      </c>
      <c r="B1735">
        <v>-198.1</v>
      </c>
      <c r="C1735">
        <v>25.7</v>
      </c>
      <c r="E1735">
        <v>57.868</v>
      </c>
      <c r="F1735">
        <v>-198.9</v>
      </c>
      <c r="G1735">
        <v>26.2</v>
      </c>
      <c r="I1735">
        <f t="shared" si="81"/>
        <v>57.85</v>
      </c>
      <c r="J1735">
        <f t="shared" si="83"/>
        <v>4.09999999999999</v>
      </c>
      <c r="K1735">
        <f t="shared" si="82"/>
        <v>0</v>
      </c>
    </row>
    <row r="1736" spans="1:11">
      <c r="A1736">
        <v>57.935</v>
      </c>
      <c r="B1736">
        <v>-197.4</v>
      </c>
      <c r="C1736">
        <v>26.1</v>
      </c>
      <c r="E1736">
        <v>57.901</v>
      </c>
      <c r="F1736">
        <v>-198.1</v>
      </c>
      <c r="G1736">
        <v>25.7</v>
      </c>
      <c r="I1736">
        <f t="shared" si="81"/>
        <v>57.9</v>
      </c>
      <c r="J1736">
        <f t="shared" si="83"/>
        <v>4.90000000000001</v>
      </c>
      <c r="K1736">
        <f t="shared" si="82"/>
        <v>0</v>
      </c>
    </row>
    <row r="1737" spans="1:11">
      <c r="A1737">
        <v>57.968</v>
      </c>
      <c r="B1737">
        <v>-196.6</v>
      </c>
      <c r="C1737">
        <v>26</v>
      </c>
      <c r="E1737">
        <v>57.935</v>
      </c>
      <c r="F1737">
        <v>-197.4</v>
      </c>
      <c r="G1737">
        <v>26.1</v>
      </c>
      <c r="I1737">
        <f t="shared" si="81"/>
        <v>57.9</v>
      </c>
      <c r="J1737">
        <f t="shared" si="83"/>
        <v>5.59999999999999</v>
      </c>
      <c r="K1737">
        <f t="shared" si="82"/>
        <v>0</v>
      </c>
    </row>
    <row r="1738" spans="1:11">
      <c r="A1738">
        <v>58.001</v>
      </c>
      <c r="B1738">
        <v>-196.3</v>
      </c>
      <c r="C1738">
        <v>25.3</v>
      </c>
      <c r="E1738">
        <v>57.968</v>
      </c>
      <c r="F1738">
        <v>-196.6</v>
      </c>
      <c r="G1738">
        <v>26</v>
      </c>
      <c r="I1738">
        <f t="shared" si="81"/>
        <v>57.95</v>
      </c>
      <c r="J1738">
        <f t="shared" si="83"/>
        <v>6.40000000000001</v>
      </c>
      <c r="K1738">
        <f t="shared" si="82"/>
        <v>0</v>
      </c>
    </row>
    <row r="1739" spans="1:11">
      <c r="A1739">
        <v>58.035</v>
      </c>
      <c r="B1739">
        <v>-196</v>
      </c>
      <c r="C1739">
        <v>26.1</v>
      </c>
      <c r="E1739">
        <v>58.001</v>
      </c>
      <c r="F1739">
        <v>-196.3</v>
      </c>
      <c r="G1739">
        <v>25.3</v>
      </c>
      <c r="I1739">
        <f t="shared" si="81"/>
        <v>58</v>
      </c>
      <c r="J1739">
        <f t="shared" si="83"/>
        <v>6.69999999999999</v>
      </c>
      <c r="K1739">
        <f t="shared" si="82"/>
        <v>0</v>
      </c>
    </row>
    <row r="1740" spans="1:11">
      <c r="A1740">
        <v>58.068</v>
      </c>
      <c r="B1740">
        <v>-195.4</v>
      </c>
      <c r="C1740">
        <v>26.2</v>
      </c>
      <c r="E1740">
        <v>58.035</v>
      </c>
      <c r="F1740">
        <v>-196</v>
      </c>
      <c r="G1740">
        <v>26.1</v>
      </c>
      <c r="I1740">
        <f t="shared" si="81"/>
        <v>58</v>
      </c>
      <c r="J1740">
        <f t="shared" si="83"/>
        <v>7</v>
      </c>
      <c r="K1740">
        <f t="shared" si="82"/>
        <v>0</v>
      </c>
    </row>
    <row r="1741" spans="1:11">
      <c r="A1741">
        <v>58.102</v>
      </c>
      <c r="B1741">
        <v>-195.4</v>
      </c>
      <c r="C1741">
        <v>26.5</v>
      </c>
      <c r="E1741">
        <v>58.068</v>
      </c>
      <c r="F1741">
        <v>-195.4</v>
      </c>
      <c r="G1741">
        <v>26.2</v>
      </c>
      <c r="I1741">
        <f t="shared" si="81"/>
        <v>58.05</v>
      </c>
      <c r="J1741">
        <f t="shared" si="83"/>
        <v>7.59999999999999</v>
      </c>
      <c r="K1741">
        <f t="shared" si="82"/>
        <v>0</v>
      </c>
    </row>
    <row r="1742" spans="1:11">
      <c r="A1742">
        <v>58.135</v>
      </c>
      <c r="B1742">
        <v>-195.3</v>
      </c>
      <c r="C1742">
        <v>25.7</v>
      </c>
      <c r="E1742">
        <v>58.102</v>
      </c>
      <c r="F1742">
        <v>-195.4</v>
      </c>
      <c r="G1742">
        <v>26.5</v>
      </c>
      <c r="I1742">
        <f t="shared" si="81"/>
        <v>58.1</v>
      </c>
      <c r="J1742">
        <f t="shared" si="83"/>
        <v>7.59999999999999</v>
      </c>
      <c r="K1742">
        <f t="shared" si="82"/>
        <v>0</v>
      </c>
    </row>
    <row r="1743" spans="1:11">
      <c r="A1743">
        <v>58.169</v>
      </c>
      <c r="B1743">
        <v>-195.3</v>
      </c>
      <c r="C1743">
        <v>25.7</v>
      </c>
      <c r="E1743">
        <v>58.135</v>
      </c>
      <c r="F1743">
        <v>-195.3</v>
      </c>
      <c r="G1743">
        <v>25.7</v>
      </c>
      <c r="I1743">
        <f t="shared" si="81"/>
        <v>58.1</v>
      </c>
      <c r="J1743">
        <f t="shared" si="83"/>
        <v>7.69999999999999</v>
      </c>
      <c r="K1743">
        <f t="shared" si="82"/>
        <v>0</v>
      </c>
    </row>
    <row r="1744" spans="1:11">
      <c r="A1744">
        <v>58.202</v>
      </c>
      <c r="B1744">
        <v>-195.5</v>
      </c>
      <c r="C1744">
        <v>25.4</v>
      </c>
      <c r="E1744">
        <v>58.169</v>
      </c>
      <c r="F1744">
        <v>-195.3</v>
      </c>
      <c r="G1744">
        <v>25.7</v>
      </c>
      <c r="I1744">
        <f t="shared" si="81"/>
        <v>58.15</v>
      </c>
      <c r="J1744">
        <f t="shared" si="83"/>
        <v>7.69999999999999</v>
      </c>
      <c r="K1744">
        <f t="shared" si="82"/>
        <v>0</v>
      </c>
    </row>
    <row r="1745" spans="1:11">
      <c r="A1745">
        <v>58.235</v>
      </c>
      <c r="B1745">
        <v>-195.4</v>
      </c>
      <c r="C1745">
        <v>25.8</v>
      </c>
      <c r="E1745">
        <v>58.202</v>
      </c>
      <c r="F1745">
        <v>-195.5</v>
      </c>
      <c r="G1745">
        <v>25.4</v>
      </c>
      <c r="I1745">
        <f t="shared" si="81"/>
        <v>58.2</v>
      </c>
      <c r="J1745">
        <f t="shared" si="83"/>
        <v>7.5</v>
      </c>
      <c r="K1745">
        <f t="shared" si="82"/>
        <v>0</v>
      </c>
    </row>
    <row r="1746" spans="1:11">
      <c r="A1746">
        <v>58.269</v>
      </c>
      <c r="B1746">
        <v>-195.7</v>
      </c>
      <c r="C1746">
        <v>25.8</v>
      </c>
      <c r="E1746">
        <v>58.235</v>
      </c>
      <c r="F1746">
        <v>-195.4</v>
      </c>
      <c r="G1746">
        <v>25.8</v>
      </c>
      <c r="I1746">
        <f t="shared" si="81"/>
        <v>58.2</v>
      </c>
      <c r="J1746">
        <f t="shared" si="83"/>
        <v>7.59999999999999</v>
      </c>
      <c r="K1746">
        <f t="shared" si="82"/>
        <v>0</v>
      </c>
    </row>
    <row r="1747" spans="1:11">
      <c r="A1747">
        <v>58.302</v>
      </c>
      <c r="B1747">
        <v>-195.8</v>
      </c>
      <c r="C1747">
        <v>25.9</v>
      </c>
      <c r="E1747">
        <v>58.269</v>
      </c>
      <c r="F1747">
        <v>-195.7</v>
      </c>
      <c r="G1747">
        <v>25.8</v>
      </c>
      <c r="I1747">
        <f t="shared" si="81"/>
        <v>58.25</v>
      </c>
      <c r="J1747">
        <f t="shared" si="83"/>
        <v>7.30000000000001</v>
      </c>
      <c r="K1747">
        <f t="shared" si="82"/>
        <v>0</v>
      </c>
    </row>
    <row r="1748" spans="1:11">
      <c r="A1748">
        <v>58.336</v>
      </c>
      <c r="B1748">
        <v>-196</v>
      </c>
      <c r="C1748">
        <v>26.2</v>
      </c>
      <c r="E1748">
        <v>58.302</v>
      </c>
      <c r="F1748">
        <v>-195.8</v>
      </c>
      <c r="G1748">
        <v>25.9</v>
      </c>
      <c r="I1748">
        <f t="shared" si="81"/>
        <v>58.3</v>
      </c>
      <c r="J1748">
        <f t="shared" si="83"/>
        <v>7.19999999999999</v>
      </c>
      <c r="K1748">
        <f t="shared" si="82"/>
        <v>0</v>
      </c>
    </row>
    <row r="1749" spans="1:11">
      <c r="A1749">
        <v>58.369</v>
      </c>
      <c r="B1749">
        <v>-196.1</v>
      </c>
      <c r="C1749">
        <v>25.6</v>
      </c>
      <c r="E1749">
        <v>58.336</v>
      </c>
      <c r="F1749">
        <v>-196</v>
      </c>
      <c r="G1749">
        <v>26.2</v>
      </c>
      <c r="I1749">
        <f t="shared" si="81"/>
        <v>58.3</v>
      </c>
      <c r="J1749">
        <f t="shared" si="83"/>
        <v>7</v>
      </c>
      <c r="K1749">
        <f t="shared" si="82"/>
        <v>0</v>
      </c>
    </row>
    <row r="1750" spans="1:11">
      <c r="A1750">
        <v>58.403</v>
      </c>
      <c r="B1750">
        <v>-196.4</v>
      </c>
      <c r="C1750">
        <v>26.6</v>
      </c>
      <c r="E1750">
        <v>58.369</v>
      </c>
      <c r="F1750">
        <v>-196.1</v>
      </c>
      <c r="G1750">
        <v>25.6</v>
      </c>
      <c r="I1750">
        <f t="shared" si="81"/>
        <v>58.35</v>
      </c>
      <c r="J1750">
        <f t="shared" si="83"/>
        <v>6.90000000000001</v>
      </c>
      <c r="K1750">
        <f t="shared" si="82"/>
        <v>0</v>
      </c>
    </row>
    <row r="1751" spans="1:11">
      <c r="A1751">
        <v>58.436</v>
      </c>
      <c r="B1751">
        <v>-197.3</v>
      </c>
      <c r="C1751">
        <v>25.8</v>
      </c>
      <c r="E1751">
        <v>58.403</v>
      </c>
      <c r="F1751">
        <v>-196.4</v>
      </c>
      <c r="G1751">
        <v>26.6</v>
      </c>
      <c r="I1751">
        <f t="shared" si="81"/>
        <v>58.4</v>
      </c>
      <c r="J1751">
        <f t="shared" si="83"/>
        <v>6.59999999999999</v>
      </c>
      <c r="K1751">
        <f t="shared" si="82"/>
        <v>0</v>
      </c>
    </row>
    <row r="1752" spans="1:11">
      <c r="A1752">
        <v>58.469</v>
      </c>
      <c r="B1752">
        <v>-198.2</v>
      </c>
      <c r="C1752">
        <v>25.9</v>
      </c>
      <c r="E1752">
        <v>58.436</v>
      </c>
      <c r="F1752">
        <v>-197.3</v>
      </c>
      <c r="G1752">
        <v>25.8</v>
      </c>
      <c r="I1752">
        <f t="shared" si="81"/>
        <v>58.4</v>
      </c>
      <c r="J1752">
        <f t="shared" si="83"/>
        <v>5.69999999999999</v>
      </c>
      <c r="K1752">
        <f t="shared" si="82"/>
        <v>0</v>
      </c>
    </row>
    <row r="1753" spans="1:11">
      <c r="A1753">
        <v>58.503</v>
      </c>
      <c r="B1753">
        <v>-198.9</v>
      </c>
      <c r="C1753">
        <v>25.8</v>
      </c>
      <c r="E1753">
        <v>58.469</v>
      </c>
      <c r="F1753">
        <v>-198.2</v>
      </c>
      <c r="G1753">
        <v>25.9</v>
      </c>
      <c r="I1753">
        <f t="shared" si="81"/>
        <v>58.45</v>
      </c>
      <c r="J1753">
        <f t="shared" si="83"/>
        <v>4.80000000000001</v>
      </c>
      <c r="K1753">
        <f t="shared" si="82"/>
        <v>0</v>
      </c>
    </row>
    <row r="1754" spans="1:11">
      <c r="A1754">
        <v>58.536</v>
      </c>
      <c r="B1754">
        <v>-199.6</v>
      </c>
      <c r="C1754">
        <v>25</v>
      </c>
      <c r="E1754">
        <v>58.503</v>
      </c>
      <c r="F1754">
        <v>-198.9</v>
      </c>
      <c r="G1754">
        <v>25.8</v>
      </c>
      <c r="I1754">
        <f t="shared" si="81"/>
        <v>58.5</v>
      </c>
      <c r="J1754">
        <f t="shared" si="83"/>
        <v>4.09999999999999</v>
      </c>
      <c r="K1754">
        <f t="shared" si="82"/>
        <v>0</v>
      </c>
    </row>
    <row r="1755" spans="1:11">
      <c r="A1755">
        <v>58.57</v>
      </c>
      <c r="B1755">
        <v>-200.3</v>
      </c>
      <c r="C1755">
        <v>26.3</v>
      </c>
      <c r="E1755">
        <v>58.536</v>
      </c>
      <c r="F1755">
        <v>-199.6</v>
      </c>
      <c r="G1755">
        <v>25</v>
      </c>
      <c r="I1755">
        <f t="shared" si="81"/>
        <v>58.5</v>
      </c>
      <c r="J1755">
        <f t="shared" si="83"/>
        <v>3.40000000000001</v>
      </c>
      <c r="K1755">
        <f t="shared" si="82"/>
        <v>0</v>
      </c>
    </row>
    <row r="1756" spans="1:11">
      <c r="A1756">
        <v>58.603</v>
      </c>
      <c r="B1756">
        <v>-201.2</v>
      </c>
      <c r="C1756">
        <v>26.3</v>
      </c>
      <c r="E1756">
        <v>58.57</v>
      </c>
      <c r="F1756">
        <v>-200.3</v>
      </c>
      <c r="G1756">
        <v>26.3</v>
      </c>
      <c r="I1756">
        <f t="shared" si="81"/>
        <v>58.55</v>
      </c>
      <c r="J1756">
        <f t="shared" si="83"/>
        <v>2.69999999999999</v>
      </c>
      <c r="K1756">
        <f t="shared" si="82"/>
        <v>0</v>
      </c>
    </row>
    <row r="1757" spans="1:11">
      <c r="A1757">
        <v>58.637</v>
      </c>
      <c r="B1757">
        <v>-201.8</v>
      </c>
      <c r="C1757">
        <v>26.3</v>
      </c>
      <c r="E1757">
        <v>58.603</v>
      </c>
      <c r="F1757">
        <v>-201.2</v>
      </c>
      <c r="G1757">
        <v>26.3</v>
      </c>
      <c r="I1757">
        <f t="shared" si="81"/>
        <v>58.6</v>
      </c>
      <c r="J1757">
        <f t="shared" si="83"/>
        <v>1.80000000000001</v>
      </c>
      <c r="K1757">
        <f t="shared" si="82"/>
        <v>0</v>
      </c>
    </row>
    <row r="1758" spans="1:11">
      <c r="A1758">
        <v>58.67</v>
      </c>
      <c r="B1758">
        <v>-202.3</v>
      </c>
      <c r="C1758">
        <v>25.4</v>
      </c>
      <c r="E1758">
        <v>58.637</v>
      </c>
      <c r="F1758">
        <v>-201.8</v>
      </c>
      <c r="G1758">
        <v>26.3</v>
      </c>
      <c r="I1758">
        <f t="shared" si="81"/>
        <v>58.6</v>
      </c>
      <c r="J1758">
        <f t="shared" si="83"/>
        <v>1.19999999999999</v>
      </c>
      <c r="K1758">
        <f t="shared" si="82"/>
        <v>0</v>
      </c>
    </row>
    <row r="1759" spans="1:11">
      <c r="A1759">
        <v>58.703</v>
      </c>
      <c r="B1759">
        <v>-203</v>
      </c>
      <c r="C1759">
        <v>25.7</v>
      </c>
      <c r="E1759">
        <v>58.67</v>
      </c>
      <c r="F1759">
        <v>-202.3</v>
      </c>
      <c r="G1759">
        <v>25.4</v>
      </c>
      <c r="I1759">
        <f t="shared" ref="I1759:I1822" si="84">FLOOR(E1759,0.05)</f>
        <v>58.65</v>
      </c>
      <c r="J1759">
        <f t="shared" si="83"/>
        <v>0.699999999999989</v>
      </c>
      <c r="K1759">
        <f t="shared" ref="K1759:K1822" si="85">IF(G1759&lt;230,0,5)</f>
        <v>0</v>
      </c>
    </row>
    <row r="1760" spans="1:11">
      <c r="A1760">
        <v>58.737</v>
      </c>
      <c r="B1760">
        <v>-203.3</v>
      </c>
      <c r="C1760">
        <v>25.4</v>
      </c>
      <c r="E1760">
        <v>58.703</v>
      </c>
      <c r="F1760">
        <v>-203</v>
      </c>
      <c r="G1760">
        <v>25.7</v>
      </c>
      <c r="I1760">
        <f t="shared" si="84"/>
        <v>58.7</v>
      </c>
      <c r="J1760">
        <f t="shared" si="83"/>
        <v>0</v>
      </c>
      <c r="K1760">
        <f t="shared" si="85"/>
        <v>0</v>
      </c>
    </row>
    <row r="1761" spans="1:11">
      <c r="A1761">
        <v>58.77</v>
      </c>
      <c r="B1761">
        <v>-204</v>
      </c>
      <c r="C1761">
        <v>25.6</v>
      </c>
      <c r="E1761">
        <v>58.737</v>
      </c>
      <c r="F1761">
        <v>-203.3</v>
      </c>
      <c r="G1761">
        <v>25.4</v>
      </c>
      <c r="I1761">
        <f t="shared" si="84"/>
        <v>58.7</v>
      </c>
      <c r="J1761">
        <f t="shared" si="83"/>
        <v>-0.300000000000011</v>
      </c>
      <c r="K1761">
        <f t="shared" si="85"/>
        <v>0</v>
      </c>
    </row>
    <row r="1762" spans="1:11">
      <c r="A1762">
        <v>58.804</v>
      </c>
      <c r="B1762">
        <v>-204.2</v>
      </c>
      <c r="C1762">
        <v>25.3</v>
      </c>
      <c r="E1762">
        <v>58.77</v>
      </c>
      <c r="F1762">
        <v>-204</v>
      </c>
      <c r="G1762">
        <v>25.6</v>
      </c>
      <c r="I1762">
        <f t="shared" si="84"/>
        <v>58.75</v>
      </c>
      <c r="J1762">
        <f t="shared" si="83"/>
        <v>-1</v>
      </c>
      <c r="K1762">
        <f t="shared" si="85"/>
        <v>0</v>
      </c>
    </row>
    <row r="1763" spans="1:11">
      <c r="A1763">
        <v>58.837</v>
      </c>
      <c r="B1763">
        <v>-204.3</v>
      </c>
      <c r="C1763">
        <v>25.6</v>
      </c>
      <c r="E1763">
        <v>58.804</v>
      </c>
      <c r="F1763">
        <v>-204.2</v>
      </c>
      <c r="G1763">
        <v>25.3</v>
      </c>
      <c r="I1763">
        <f t="shared" si="84"/>
        <v>58.8</v>
      </c>
      <c r="J1763">
        <f t="shared" si="83"/>
        <v>-1.19999999999999</v>
      </c>
      <c r="K1763">
        <f t="shared" si="85"/>
        <v>0</v>
      </c>
    </row>
    <row r="1764" spans="1:11">
      <c r="A1764">
        <v>58.871</v>
      </c>
      <c r="B1764">
        <v>-204.7</v>
      </c>
      <c r="C1764">
        <v>25.7</v>
      </c>
      <c r="E1764">
        <v>58.837</v>
      </c>
      <c r="F1764">
        <v>-204.3</v>
      </c>
      <c r="G1764">
        <v>25.6</v>
      </c>
      <c r="I1764">
        <f t="shared" si="84"/>
        <v>58.8</v>
      </c>
      <c r="J1764">
        <f t="shared" si="83"/>
        <v>-1.30000000000001</v>
      </c>
      <c r="K1764">
        <f t="shared" si="85"/>
        <v>0</v>
      </c>
    </row>
    <row r="1765" spans="1:11">
      <c r="A1765">
        <v>58.904</v>
      </c>
      <c r="B1765">
        <v>-204.8</v>
      </c>
      <c r="C1765">
        <v>25.5</v>
      </c>
      <c r="E1765">
        <v>58.871</v>
      </c>
      <c r="F1765">
        <v>-204.7</v>
      </c>
      <c r="G1765">
        <v>25.7</v>
      </c>
      <c r="I1765">
        <f t="shared" si="84"/>
        <v>58.85</v>
      </c>
      <c r="J1765">
        <f t="shared" si="83"/>
        <v>-1.69999999999999</v>
      </c>
      <c r="K1765">
        <f t="shared" si="85"/>
        <v>0</v>
      </c>
    </row>
    <row r="1766" spans="1:11">
      <c r="A1766">
        <v>58.937</v>
      </c>
      <c r="B1766">
        <v>-204.7</v>
      </c>
      <c r="C1766">
        <v>25.6</v>
      </c>
      <c r="E1766">
        <v>58.904</v>
      </c>
      <c r="F1766">
        <v>-204.8</v>
      </c>
      <c r="G1766">
        <v>25.5</v>
      </c>
      <c r="I1766">
        <f t="shared" si="84"/>
        <v>58.9</v>
      </c>
      <c r="J1766">
        <f t="shared" si="83"/>
        <v>-1.80000000000001</v>
      </c>
      <c r="K1766">
        <f t="shared" si="85"/>
        <v>0</v>
      </c>
    </row>
    <row r="1767" spans="1:11">
      <c r="A1767">
        <v>58.971</v>
      </c>
      <c r="B1767">
        <v>-204.6</v>
      </c>
      <c r="C1767">
        <v>25.8</v>
      </c>
      <c r="E1767">
        <v>58.937</v>
      </c>
      <c r="F1767">
        <v>-204.7</v>
      </c>
      <c r="G1767">
        <v>25.6</v>
      </c>
      <c r="I1767">
        <f t="shared" si="84"/>
        <v>58.9</v>
      </c>
      <c r="J1767">
        <f t="shared" si="83"/>
        <v>-1.69999999999999</v>
      </c>
      <c r="K1767">
        <f t="shared" si="85"/>
        <v>0</v>
      </c>
    </row>
    <row r="1768" spans="1:11">
      <c r="A1768">
        <v>59.004</v>
      </c>
      <c r="B1768">
        <v>-204.6</v>
      </c>
      <c r="C1768">
        <v>26.1</v>
      </c>
      <c r="E1768">
        <v>58.971</v>
      </c>
      <c r="F1768">
        <v>-204.6</v>
      </c>
      <c r="G1768">
        <v>25.8</v>
      </c>
      <c r="I1768">
        <f t="shared" si="84"/>
        <v>58.95</v>
      </c>
      <c r="J1768">
        <f t="shared" si="83"/>
        <v>-1.59999999999999</v>
      </c>
      <c r="K1768">
        <f t="shared" si="85"/>
        <v>0</v>
      </c>
    </row>
    <row r="1769" spans="1:11">
      <c r="A1769">
        <v>59.038</v>
      </c>
      <c r="B1769">
        <v>-204.3</v>
      </c>
      <c r="C1769">
        <v>25.9</v>
      </c>
      <c r="E1769">
        <v>59.004</v>
      </c>
      <c r="F1769">
        <v>-204.6</v>
      </c>
      <c r="G1769">
        <v>26.1</v>
      </c>
      <c r="I1769">
        <f t="shared" si="84"/>
        <v>59</v>
      </c>
      <c r="J1769">
        <f t="shared" si="83"/>
        <v>-1.59999999999999</v>
      </c>
      <c r="K1769">
        <f t="shared" si="85"/>
        <v>0</v>
      </c>
    </row>
    <row r="1770" spans="1:11">
      <c r="A1770">
        <v>59.071</v>
      </c>
      <c r="B1770">
        <v>-204.2</v>
      </c>
      <c r="C1770">
        <v>26.4</v>
      </c>
      <c r="E1770">
        <v>59.038</v>
      </c>
      <c r="F1770">
        <v>-204.3</v>
      </c>
      <c r="G1770">
        <v>25.9</v>
      </c>
      <c r="I1770">
        <f t="shared" si="84"/>
        <v>59</v>
      </c>
      <c r="J1770">
        <f t="shared" si="83"/>
        <v>-1.30000000000001</v>
      </c>
      <c r="K1770">
        <f t="shared" si="85"/>
        <v>0</v>
      </c>
    </row>
    <row r="1771" spans="1:11">
      <c r="A1771">
        <v>59.105</v>
      </c>
      <c r="B1771">
        <v>-203.6</v>
      </c>
      <c r="C1771">
        <v>25.9</v>
      </c>
      <c r="E1771">
        <v>59.071</v>
      </c>
      <c r="F1771">
        <v>-204.2</v>
      </c>
      <c r="G1771">
        <v>26.4</v>
      </c>
      <c r="I1771">
        <f t="shared" si="84"/>
        <v>59.05</v>
      </c>
      <c r="J1771">
        <f t="shared" si="83"/>
        <v>-1.19999999999999</v>
      </c>
      <c r="K1771">
        <f t="shared" si="85"/>
        <v>0</v>
      </c>
    </row>
    <row r="1772" spans="1:11">
      <c r="A1772">
        <v>59.138</v>
      </c>
      <c r="B1772">
        <v>-203.1</v>
      </c>
      <c r="C1772">
        <v>25.6</v>
      </c>
      <c r="E1772">
        <v>59.105</v>
      </c>
      <c r="F1772">
        <v>-203.6</v>
      </c>
      <c r="G1772">
        <v>25.9</v>
      </c>
      <c r="I1772">
        <f t="shared" si="84"/>
        <v>59.1</v>
      </c>
      <c r="J1772">
        <f t="shared" si="83"/>
        <v>-0.599999999999994</v>
      </c>
      <c r="K1772">
        <f t="shared" si="85"/>
        <v>0</v>
      </c>
    </row>
    <row r="1773" spans="1:11">
      <c r="A1773">
        <v>59.171</v>
      </c>
      <c r="B1773">
        <v>-202.3</v>
      </c>
      <c r="C1773">
        <v>25.3</v>
      </c>
      <c r="E1773">
        <v>59.138</v>
      </c>
      <c r="F1773">
        <v>-203.1</v>
      </c>
      <c r="G1773">
        <v>25.6</v>
      </c>
      <c r="I1773">
        <f t="shared" si="84"/>
        <v>59.1</v>
      </c>
      <c r="J1773">
        <f t="shared" si="83"/>
        <v>-0.0999999999999943</v>
      </c>
      <c r="K1773">
        <f t="shared" si="85"/>
        <v>0</v>
      </c>
    </row>
    <row r="1774" spans="1:11">
      <c r="A1774">
        <v>59.205</v>
      </c>
      <c r="B1774">
        <v>-202</v>
      </c>
      <c r="C1774">
        <v>26.2</v>
      </c>
      <c r="E1774">
        <v>59.171</v>
      </c>
      <c r="F1774">
        <v>-202.3</v>
      </c>
      <c r="G1774">
        <v>25.3</v>
      </c>
      <c r="I1774">
        <f t="shared" si="84"/>
        <v>59.15</v>
      </c>
      <c r="J1774">
        <f t="shared" si="83"/>
        <v>0.699999999999989</v>
      </c>
      <c r="K1774">
        <f t="shared" si="85"/>
        <v>0</v>
      </c>
    </row>
    <row r="1775" spans="1:11">
      <c r="A1775">
        <v>59.238</v>
      </c>
      <c r="B1775">
        <v>-201.2</v>
      </c>
      <c r="C1775">
        <v>26.4</v>
      </c>
      <c r="E1775">
        <v>59.205</v>
      </c>
      <c r="F1775">
        <v>-202</v>
      </c>
      <c r="G1775">
        <v>26.2</v>
      </c>
      <c r="I1775">
        <f t="shared" si="84"/>
        <v>59.2</v>
      </c>
      <c r="J1775">
        <f t="shared" si="83"/>
        <v>1</v>
      </c>
      <c r="K1775">
        <f t="shared" si="85"/>
        <v>0</v>
      </c>
    </row>
    <row r="1776" spans="1:11">
      <c r="A1776">
        <v>59.272</v>
      </c>
      <c r="B1776">
        <v>-200.4</v>
      </c>
      <c r="C1776">
        <v>25.4</v>
      </c>
      <c r="E1776">
        <v>59.238</v>
      </c>
      <c r="F1776">
        <v>-201.2</v>
      </c>
      <c r="G1776">
        <v>26.4</v>
      </c>
      <c r="I1776">
        <f t="shared" si="84"/>
        <v>59.2</v>
      </c>
      <c r="J1776">
        <f t="shared" si="83"/>
        <v>1.80000000000001</v>
      </c>
      <c r="K1776">
        <f t="shared" si="85"/>
        <v>0</v>
      </c>
    </row>
    <row r="1777" spans="1:11">
      <c r="A1777">
        <v>59.305</v>
      </c>
      <c r="B1777">
        <v>-200</v>
      </c>
      <c r="C1777">
        <v>26.3</v>
      </c>
      <c r="E1777">
        <v>59.272</v>
      </c>
      <c r="F1777">
        <v>-200.4</v>
      </c>
      <c r="G1777">
        <v>25.4</v>
      </c>
      <c r="I1777">
        <f t="shared" si="84"/>
        <v>59.25</v>
      </c>
      <c r="J1777">
        <f t="shared" si="83"/>
        <v>2.59999999999999</v>
      </c>
      <c r="K1777">
        <f t="shared" si="85"/>
        <v>0</v>
      </c>
    </row>
    <row r="1778" spans="1:11">
      <c r="A1778">
        <v>59.339</v>
      </c>
      <c r="B1778">
        <v>-199.1</v>
      </c>
      <c r="C1778">
        <v>25.5</v>
      </c>
      <c r="E1778">
        <v>59.305</v>
      </c>
      <c r="F1778">
        <v>-200</v>
      </c>
      <c r="G1778">
        <v>26.3</v>
      </c>
      <c r="I1778">
        <f t="shared" si="84"/>
        <v>59.3</v>
      </c>
      <c r="J1778">
        <f t="shared" si="83"/>
        <v>3</v>
      </c>
      <c r="K1778">
        <f t="shared" si="85"/>
        <v>0</v>
      </c>
    </row>
    <row r="1779" spans="1:11">
      <c r="A1779">
        <v>59.372</v>
      </c>
      <c r="B1779">
        <v>-198.2</v>
      </c>
      <c r="C1779">
        <v>26.2</v>
      </c>
      <c r="E1779">
        <v>59.339</v>
      </c>
      <c r="F1779">
        <v>-199.1</v>
      </c>
      <c r="G1779">
        <v>25.5</v>
      </c>
      <c r="I1779">
        <f t="shared" si="84"/>
        <v>59.3</v>
      </c>
      <c r="J1779">
        <f t="shared" si="83"/>
        <v>3.90000000000001</v>
      </c>
      <c r="K1779">
        <f t="shared" si="85"/>
        <v>0</v>
      </c>
    </row>
    <row r="1780" spans="1:11">
      <c r="A1780">
        <v>59.405</v>
      </c>
      <c r="B1780">
        <v>-197.4</v>
      </c>
      <c r="C1780">
        <v>26.1</v>
      </c>
      <c r="E1780">
        <v>59.372</v>
      </c>
      <c r="F1780">
        <v>-198.2</v>
      </c>
      <c r="G1780">
        <v>26.2</v>
      </c>
      <c r="I1780">
        <f t="shared" si="84"/>
        <v>59.35</v>
      </c>
      <c r="J1780">
        <f t="shared" si="83"/>
        <v>4.80000000000001</v>
      </c>
      <c r="K1780">
        <f t="shared" si="85"/>
        <v>0</v>
      </c>
    </row>
    <row r="1781" spans="1:11">
      <c r="A1781">
        <v>59.439</v>
      </c>
      <c r="B1781">
        <v>-197</v>
      </c>
      <c r="C1781">
        <v>26</v>
      </c>
      <c r="E1781">
        <v>59.405</v>
      </c>
      <c r="F1781">
        <v>-197.4</v>
      </c>
      <c r="G1781">
        <v>26.1</v>
      </c>
      <c r="I1781">
        <f t="shared" si="84"/>
        <v>59.4</v>
      </c>
      <c r="J1781">
        <f t="shared" si="83"/>
        <v>5.59999999999999</v>
      </c>
      <c r="K1781">
        <f t="shared" si="85"/>
        <v>0</v>
      </c>
    </row>
    <row r="1782" spans="1:11">
      <c r="A1782">
        <v>59.472</v>
      </c>
      <c r="B1782">
        <v>-196.5</v>
      </c>
      <c r="C1782">
        <v>25.8</v>
      </c>
      <c r="E1782">
        <v>59.439</v>
      </c>
      <c r="F1782">
        <v>-197</v>
      </c>
      <c r="G1782">
        <v>26</v>
      </c>
      <c r="I1782">
        <f t="shared" si="84"/>
        <v>59.4</v>
      </c>
      <c r="J1782">
        <f t="shared" si="83"/>
        <v>6</v>
      </c>
      <c r="K1782">
        <f t="shared" si="85"/>
        <v>0</v>
      </c>
    </row>
    <row r="1783" spans="1:11">
      <c r="A1783">
        <v>59.506</v>
      </c>
      <c r="B1783">
        <v>-196.3</v>
      </c>
      <c r="C1783">
        <v>25.3</v>
      </c>
      <c r="E1783">
        <v>59.472</v>
      </c>
      <c r="F1783">
        <v>-196.5</v>
      </c>
      <c r="G1783">
        <v>25.8</v>
      </c>
      <c r="I1783">
        <f t="shared" si="84"/>
        <v>59.45</v>
      </c>
      <c r="J1783">
        <f t="shared" si="83"/>
        <v>6.5</v>
      </c>
      <c r="K1783">
        <f t="shared" si="85"/>
        <v>0</v>
      </c>
    </row>
    <row r="1784" spans="1:11">
      <c r="A1784">
        <v>59.539</v>
      </c>
      <c r="B1784">
        <v>-196.1</v>
      </c>
      <c r="C1784">
        <v>25.9</v>
      </c>
      <c r="E1784">
        <v>59.506</v>
      </c>
      <c r="F1784">
        <v>-196.3</v>
      </c>
      <c r="G1784">
        <v>25.3</v>
      </c>
      <c r="I1784">
        <f t="shared" si="84"/>
        <v>59.5</v>
      </c>
      <c r="J1784">
        <f t="shared" si="83"/>
        <v>6.69999999999999</v>
      </c>
      <c r="K1784">
        <f t="shared" si="85"/>
        <v>0</v>
      </c>
    </row>
    <row r="1785" spans="1:11">
      <c r="A1785">
        <v>59.573</v>
      </c>
      <c r="B1785">
        <v>-195.6</v>
      </c>
      <c r="C1785">
        <v>25.7</v>
      </c>
      <c r="E1785">
        <v>59.539</v>
      </c>
      <c r="F1785">
        <v>-196.1</v>
      </c>
      <c r="G1785">
        <v>25.9</v>
      </c>
      <c r="I1785">
        <f t="shared" si="84"/>
        <v>59.5</v>
      </c>
      <c r="J1785">
        <f t="shared" si="83"/>
        <v>6.90000000000001</v>
      </c>
      <c r="K1785">
        <f t="shared" si="85"/>
        <v>0</v>
      </c>
    </row>
    <row r="1786" spans="1:11">
      <c r="A1786">
        <v>59.606</v>
      </c>
      <c r="B1786">
        <v>-195.3</v>
      </c>
      <c r="C1786">
        <v>26</v>
      </c>
      <c r="E1786">
        <v>59.573</v>
      </c>
      <c r="F1786">
        <v>-195.6</v>
      </c>
      <c r="G1786">
        <v>25.7</v>
      </c>
      <c r="I1786">
        <f t="shared" si="84"/>
        <v>59.55</v>
      </c>
      <c r="J1786">
        <f t="shared" si="83"/>
        <v>7.40000000000001</v>
      </c>
      <c r="K1786">
        <f t="shared" si="85"/>
        <v>0</v>
      </c>
    </row>
    <row r="1787" spans="1:11">
      <c r="A1787">
        <v>59.639</v>
      </c>
      <c r="B1787">
        <v>-195.5</v>
      </c>
      <c r="C1787">
        <v>25.8</v>
      </c>
      <c r="E1787">
        <v>59.606</v>
      </c>
      <c r="F1787">
        <v>-195.3</v>
      </c>
      <c r="G1787">
        <v>26</v>
      </c>
      <c r="I1787">
        <f t="shared" si="84"/>
        <v>59.6</v>
      </c>
      <c r="J1787">
        <f t="shared" si="83"/>
        <v>7.69999999999999</v>
      </c>
      <c r="K1787">
        <f t="shared" si="85"/>
        <v>0</v>
      </c>
    </row>
    <row r="1788" spans="1:11">
      <c r="A1788">
        <v>59.673</v>
      </c>
      <c r="B1788">
        <v>-195.6</v>
      </c>
      <c r="C1788">
        <v>26</v>
      </c>
      <c r="E1788">
        <v>59.639</v>
      </c>
      <c r="F1788">
        <v>-195.5</v>
      </c>
      <c r="G1788">
        <v>25.8</v>
      </c>
      <c r="I1788">
        <f t="shared" si="84"/>
        <v>59.6</v>
      </c>
      <c r="J1788">
        <f t="shared" si="83"/>
        <v>7.5</v>
      </c>
      <c r="K1788">
        <f t="shared" si="85"/>
        <v>0</v>
      </c>
    </row>
    <row r="1789" spans="1:11">
      <c r="A1789">
        <v>59.706</v>
      </c>
      <c r="B1789">
        <v>-195.7</v>
      </c>
      <c r="C1789">
        <v>26.2</v>
      </c>
      <c r="E1789">
        <v>59.673</v>
      </c>
      <c r="F1789">
        <v>-195.6</v>
      </c>
      <c r="G1789">
        <v>26</v>
      </c>
      <c r="I1789">
        <f t="shared" si="84"/>
        <v>59.65</v>
      </c>
      <c r="J1789">
        <f t="shared" si="83"/>
        <v>7.40000000000001</v>
      </c>
      <c r="K1789">
        <f t="shared" si="85"/>
        <v>0</v>
      </c>
    </row>
    <row r="1790" spans="1:11">
      <c r="A1790">
        <v>59.74</v>
      </c>
      <c r="B1790">
        <v>-195.7</v>
      </c>
      <c r="C1790">
        <v>25.5</v>
      </c>
      <c r="E1790">
        <v>59.706</v>
      </c>
      <c r="F1790">
        <v>-195.7</v>
      </c>
      <c r="G1790">
        <v>26.2</v>
      </c>
      <c r="I1790">
        <f t="shared" si="84"/>
        <v>59.7</v>
      </c>
      <c r="J1790">
        <f t="shared" si="83"/>
        <v>7.30000000000001</v>
      </c>
      <c r="K1790">
        <f t="shared" si="85"/>
        <v>0</v>
      </c>
    </row>
    <row r="1791" spans="1:11">
      <c r="A1791">
        <v>59.773</v>
      </c>
      <c r="B1791">
        <v>-195.9</v>
      </c>
      <c r="C1791">
        <v>25.7</v>
      </c>
      <c r="E1791">
        <v>59.74</v>
      </c>
      <c r="F1791">
        <v>-195.7</v>
      </c>
      <c r="G1791">
        <v>25.5</v>
      </c>
      <c r="I1791">
        <f t="shared" si="84"/>
        <v>59.7</v>
      </c>
      <c r="J1791">
        <f t="shared" si="83"/>
        <v>7.30000000000001</v>
      </c>
      <c r="K1791">
        <f t="shared" si="85"/>
        <v>0</v>
      </c>
    </row>
    <row r="1792" spans="1:11">
      <c r="A1792">
        <v>59.807</v>
      </c>
      <c r="B1792">
        <v>-196.2</v>
      </c>
      <c r="C1792">
        <v>25.5</v>
      </c>
      <c r="E1792">
        <v>59.773</v>
      </c>
      <c r="F1792">
        <v>-195.9</v>
      </c>
      <c r="G1792">
        <v>25.7</v>
      </c>
      <c r="I1792">
        <f t="shared" si="84"/>
        <v>59.75</v>
      </c>
      <c r="J1792">
        <f t="shared" si="83"/>
        <v>7.09999999999999</v>
      </c>
      <c r="K1792">
        <f t="shared" si="85"/>
        <v>0</v>
      </c>
    </row>
    <row r="1793" spans="1:11">
      <c r="A1793">
        <v>59.84</v>
      </c>
      <c r="B1793">
        <v>-196.2</v>
      </c>
      <c r="C1793">
        <v>25.5</v>
      </c>
      <c r="E1793">
        <v>59.807</v>
      </c>
      <c r="F1793">
        <v>-196.2</v>
      </c>
      <c r="G1793">
        <v>25.5</v>
      </c>
      <c r="I1793">
        <f t="shared" si="84"/>
        <v>59.8</v>
      </c>
      <c r="J1793">
        <f t="shared" si="83"/>
        <v>6.80000000000001</v>
      </c>
      <c r="K1793">
        <f t="shared" si="85"/>
        <v>0</v>
      </c>
    </row>
    <row r="1794" spans="1:11">
      <c r="A1794">
        <v>59.874</v>
      </c>
      <c r="B1794">
        <v>-196.7</v>
      </c>
      <c r="C1794">
        <v>26.3</v>
      </c>
      <c r="E1794">
        <v>59.84</v>
      </c>
      <c r="F1794">
        <v>-196.2</v>
      </c>
      <c r="G1794">
        <v>25.5</v>
      </c>
      <c r="I1794">
        <f t="shared" si="84"/>
        <v>59.8</v>
      </c>
      <c r="J1794">
        <f t="shared" si="83"/>
        <v>6.80000000000001</v>
      </c>
      <c r="K1794">
        <f t="shared" si="85"/>
        <v>0</v>
      </c>
    </row>
    <row r="1795" spans="1:11">
      <c r="A1795">
        <v>59.907</v>
      </c>
      <c r="B1795">
        <v>-197.2</v>
      </c>
      <c r="C1795">
        <v>25.3</v>
      </c>
      <c r="E1795">
        <v>59.874</v>
      </c>
      <c r="F1795">
        <v>-196.7</v>
      </c>
      <c r="G1795">
        <v>26.3</v>
      </c>
      <c r="I1795">
        <f t="shared" si="84"/>
        <v>59.85</v>
      </c>
      <c r="J1795">
        <f t="shared" si="83"/>
        <v>6.30000000000001</v>
      </c>
      <c r="K1795">
        <f t="shared" si="85"/>
        <v>0</v>
      </c>
    </row>
    <row r="1796" spans="1:11">
      <c r="A1796">
        <v>59.94</v>
      </c>
      <c r="B1796">
        <v>-198.1</v>
      </c>
      <c r="C1796">
        <v>25.9</v>
      </c>
      <c r="E1796">
        <v>59.907</v>
      </c>
      <c r="F1796">
        <v>-197.2</v>
      </c>
      <c r="G1796">
        <v>25.3</v>
      </c>
      <c r="I1796">
        <f t="shared" si="84"/>
        <v>59.9</v>
      </c>
      <c r="J1796">
        <f t="shared" si="83"/>
        <v>5.80000000000001</v>
      </c>
      <c r="K1796">
        <f t="shared" si="85"/>
        <v>0</v>
      </c>
    </row>
    <row r="1797" spans="1:11">
      <c r="A1797">
        <v>59.974</v>
      </c>
      <c r="B1797">
        <v>-198.9</v>
      </c>
      <c r="C1797">
        <v>26</v>
      </c>
      <c r="E1797">
        <v>59.94</v>
      </c>
      <c r="F1797">
        <v>-198.1</v>
      </c>
      <c r="G1797">
        <v>25.9</v>
      </c>
      <c r="I1797">
        <f t="shared" si="84"/>
        <v>59.9</v>
      </c>
      <c r="J1797">
        <f t="shared" ref="J1797:J1860" si="86">F1797+203</f>
        <v>4.90000000000001</v>
      </c>
      <c r="K1797">
        <f t="shared" si="85"/>
        <v>0</v>
      </c>
    </row>
    <row r="1798" spans="1:11">
      <c r="A1798">
        <v>60.007</v>
      </c>
      <c r="B1798">
        <v>-199.5</v>
      </c>
      <c r="C1798">
        <v>26.8</v>
      </c>
      <c r="E1798">
        <v>59.974</v>
      </c>
      <c r="F1798">
        <v>-198.9</v>
      </c>
      <c r="G1798">
        <v>26</v>
      </c>
      <c r="I1798">
        <f t="shared" si="84"/>
        <v>59.95</v>
      </c>
      <c r="J1798">
        <f t="shared" si="86"/>
        <v>4.09999999999999</v>
      </c>
      <c r="K1798">
        <f t="shared" si="85"/>
        <v>0</v>
      </c>
    </row>
    <row r="1799" spans="1:11">
      <c r="A1799">
        <v>60.041</v>
      </c>
      <c r="B1799">
        <v>-200.3</v>
      </c>
      <c r="C1799">
        <v>26.1</v>
      </c>
      <c r="E1799">
        <v>60.007</v>
      </c>
      <c r="F1799">
        <v>-199.5</v>
      </c>
      <c r="G1799">
        <v>26.8</v>
      </c>
      <c r="I1799">
        <f t="shared" si="84"/>
        <v>60</v>
      </c>
      <c r="J1799">
        <f t="shared" si="86"/>
        <v>3.5</v>
      </c>
      <c r="K1799">
        <f t="shared" si="85"/>
        <v>0</v>
      </c>
    </row>
    <row r="1800" spans="1:11">
      <c r="A1800">
        <v>60.074</v>
      </c>
      <c r="B1800">
        <v>-201.1</v>
      </c>
      <c r="C1800">
        <v>25.7</v>
      </c>
      <c r="E1800">
        <v>60.041</v>
      </c>
      <c r="F1800">
        <v>-200.3</v>
      </c>
      <c r="G1800">
        <v>26.1</v>
      </c>
      <c r="I1800">
        <f t="shared" si="84"/>
        <v>60</v>
      </c>
      <c r="J1800">
        <f t="shared" si="86"/>
        <v>2.69999999999999</v>
      </c>
      <c r="K1800">
        <f t="shared" si="85"/>
        <v>0</v>
      </c>
    </row>
    <row r="1801" spans="1:11">
      <c r="A1801">
        <v>60.108</v>
      </c>
      <c r="B1801">
        <v>-201.5</v>
      </c>
      <c r="C1801">
        <v>26.1</v>
      </c>
      <c r="E1801">
        <v>60.074</v>
      </c>
      <c r="F1801">
        <v>-201.1</v>
      </c>
      <c r="G1801">
        <v>25.7</v>
      </c>
      <c r="I1801">
        <f t="shared" si="84"/>
        <v>60.05</v>
      </c>
      <c r="J1801">
        <f t="shared" si="86"/>
        <v>1.90000000000001</v>
      </c>
      <c r="K1801">
        <f t="shared" si="85"/>
        <v>0</v>
      </c>
    </row>
    <row r="1802" spans="1:11">
      <c r="A1802">
        <v>60.141</v>
      </c>
      <c r="B1802">
        <v>-202</v>
      </c>
      <c r="C1802">
        <v>26</v>
      </c>
      <c r="E1802">
        <v>60.108</v>
      </c>
      <c r="F1802">
        <v>-201.5</v>
      </c>
      <c r="G1802">
        <v>26.1</v>
      </c>
      <c r="I1802">
        <f t="shared" si="84"/>
        <v>60.1</v>
      </c>
      <c r="J1802">
        <f t="shared" si="86"/>
        <v>1.5</v>
      </c>
      <c r="K1802">
        <f t="shared" si="85"/>
        <v>0</v>
      </c>
    </row>
    <row r="1803" spans="1:11">
      <c r="A1803">
        <v>60.174</v>
      </c>
      <c r="B1803">
        <v>-202.5</v>
      </c>
      <c r="C1803">
        <v>25.4</v>
      </c>
      <c r="E1803">
        <v>60.141</v>
      </c>
      <c r="F1803">
        <v>-202</v>
      </c>
      <c r="G1803">
        <v>26</v>
      </c>
      <c r="I1803">
        <f t="shared" si="84"/>
        <v>60.1</v>
      </c>
      <c r="J1803">
        <f t="shared" si="86"/>
        <v>1</v>
      </c>
      <c r="K1803">
        <f t="shared" si="85"/>
        <v>0</v>
      </c>
    </row>
    <row r="1804" spans="1:11">
      <c r="A1804">
        <v>60.208</v>
      </c>
      <c r="B1804">
        <v>-203</v>
      </c>
      <c r="C1804">
        <v>25.1</v>
      </c>
      <c r="E1804">
        <v>60.174</v>
      </c>
      <c r="F1804">
        <v>-202.5</v>
      </c>
      <c r="G1804">
        <v>25.4</v>
      </c>
      <c r="I1804">
        <f t="shared" si="84"/>
        <v>60.15</v>
      </c>
      <c r="J1804">
        <f t="shared" si="86"/>
        <v>0.5</v>
      </c>
      <c r="K1804">
        <f t="shared" si="85"/>
        <v>0</v>
      </c>
    </row>
    <row r="1805" spans="1:11">
      <c r="A1805">
        <v>60.241</v>
      </c>
      <c r="B1805">
        <v>-203.5</v>
      </c>
      <c r="C1805">
        <v>25.5</v>
      </c>
      <c r="E1805">
        <v>60.208</v>
      </c>
      <c r="F1805">
        <v>-203</v>
      </c>
      <c r="G1805">
        <v>25.1</v>
      </c>
      <c r="I1805">
        <f t="shared" si="84"/>
        <v>60.2</v>
      </c>
      <c r="J1805">
        <f t="shared" si="86"/>
        <v>0</v>
      </c>
      <c r="K1805">
        <f t="shared" si="85"/>
        <v>0</v>
      </c>
    </row>
    <row r="1806" spans="1:11">
      <c r="A1806">
        <v>60.275</v>
      </c>
      <c r="B1806">
        <v>-203.8</v>
      </c>
      <c r="C1806">
        <v>25.7</v>
      </c>
      <c r="E1806">
        <v>60.241</v>
      </c>
      <c r="F1806">
        <v>-203.5</v>
      </c>
      <c r="G1806">
        <v>25.5</v>
      </c>
      <c r="I1806">
        <f t="shared" si="84"/>
        <v>60.2</v>
      </c>
      <c r="J1806">
        <f t="shared" si="86"/>
        <v>-0.5</v>
      </c>
      <c r="K1806">
        <f t="shared" si="85"/>
        <v>0</v>
      </c>
    </row>
    <row r="1807" spans="1:11">
      <c r="A1807">
        <v>60.308</v>
      </c>
      <c r="B1807">
        <v>-204</v>
      </c>
      <c r="C1807">
        <v>25.7</v>
      </c>
      <c r="E1807">
        <v>60.275</v>
      </c>
      <c r="F1807">
        <v>-203.8</v>
      </c>
      <c r="G1807">
        <v>25.7</v>
      </c>
      <c r="I1807">
        <f t="shared" si="84"/>
        <v>60.25</v>
      </c>
      <c r="J1807">
        <f t="shared" si="86"/>
        <v>-0.800000000000011</v>
      </c>
      <c r="K1807">
        <f t="shared" si="85"/>
        <v>0</v>
      </c>
    </row>
    <row r="1808" spans="1:11">
      <c r="A1808">
        <v>60.342</v>
      </c>
      <c r="B1808">
        <v>-204.1</v>
      </c>
      <c r="C1808">
        <v>25.7</v>
      </c>
      <c r="E1808">
        <v>60.308</v>
      </c>
      <c r="F1808">
        <v>-204</v>
      </c>
      <c r="G1808">
        <v>25.7</v>
      </c>
      <c r="I1808">
        <f t="shared" si="84"/>
        <v>60.3</v>
      </c>
      <c r="J1808">
        <f t="shared" si="86"/>
        <v>-1</v>
      </c>
      <c r="K1808">
        <f t="shared" si="85"/>
        <v>0</v>
      </c>
    </row>
    <row r="1809" spans="1:11">
      <c r="A1809">
        <v>60.375</v>
      </c>
      <c r="B1809">
        <v>-204.1</v>
      </c>
      <c r="C1809">
        <v>26.1</v>
      </c>
      <c r="E1809">
        <v>60.342</v>
      </c>
      <c r="F1809">
        <v>-204.1</v>
      </c>
      <c r="G1809">
        <v>25.7</v>
      </c>
      <c r="I1809">
        <f t="shared" si="84"/>
        <v>60.3</v>
      </c>
      <c r="J1809">
        <f t="shared" si="86"/>
        <v>-1.09999999999999</v>
      </c>
      <c r="K1809">
        <f t="shared" si="85"/>
        <v>0</v>
      </c>
    </row>
    <row r="1810" spans="1:11">
      <c r="A1810">
        <v>60.408</v>
      </c>
      <c r="B1810">
        <v>-204</v>
      </c>
      <c r="C1810">
        <v>26.4</v>
      </c>
      <c r="E1810">
        <v>60.375</v>
      </c>
      <c r="F1810">
        <v>-204.1</v>
      </c>
      <c r="G1810">
        <v>26.1</v>
      </c>
      <c r="I1810">
        <f t="shared" si="84"/>
        <v>60.35</v>
      </c>
      <c r="J1810">
        <f t="shared" si="86"/>
        <v>-1.09999999999999</v>
      </c>
      <c r="K1810">
        <f t="shared" si="85"/>
        <v>0</v>
      </c>
    </row>
    <row r="1811" spans="1:11">
      <c r="A1811">
        <v>60.442</v>
      </c>
      <c r="B1811">
        <v>-203.9</v>
      </c>
      <c r="C1811">
        <v>25.7</v>
      </c>
      <c r="E1811">
        <v>60.408</v>
      </c>
      <c r="F1811">
        <v>-204</v>
      </c>
      <c r="G1811">
        <v>26.4</v>
      </c>
      <c r="I1811">
        <f t="shared" si="84"/>
        <v>60.4</v>
      </c>
      <c r="J1811">
        <f t="shared" si="86"/>
        <v>-1</v>
      </c>
      <c r="K1811">
        <f t="shared" si="85"/>
        <v>0</v>
      </c>
    </row>
    <row r="1812" spans="1:11">
      <c r="A1812">
        <v>60.475</v>
      </c>
      <c r="B1812">
        <v>-203.6</v>
      </c>
      <c r="C1812">
        <v>25.6</v>
      </c>
      <c r="E1812">
        <v>60.442</v>
      </c>
      <c r="F1812">
        <v>-203.9</v>
      </c>
      <c r="G1812">
        <v>25.7</v>
      </c>
      <c r="I1812">
        <f t="shared" si="84"/>
        <v>60.4</v>
      </c>
      <c r="J1812">
        <f t="shared" si="86"/>
        <v>-0.900000000000006</v>
      </c>
      <c r="K1812">
        <f t="shared" si="85"/>
        <v>0</v>
      </c>
    </row>
    <row r="1813" spans="1:11">
      <c r="A1813">
        <v>60.509</v>
      </c>
      <c r="B1813">
        <v>-203.5</v>
      </c>
      <c r="C1813">
        <v>25.8</v>
      </c>
      <c r="E1813">
        <v>60.475</v>
      </c>
      <c r="F1813">
        <v>-203.6</v>
      </c>
      <c r="G1813">
        <v>25.6</v>
      </c>
      <c r="I1813">
        <f t="shared" si="84"/>
        <v>60.45</v>
      </c>
      <c r="J1813">
        <f t="shared" si="86"/>
        <v>-0.599999999999994</v>
      </c>
      <c r="K1813">
        <f t="shared" si="85"/>
        <v>0</v>
      </c>
    </row>
    <row r="1814" spans="1:11">
      <c r="A1814">
        <v>60.542</v>
      </c>
      <c r="B1814">
        <v>-203.3</v>
      </c>
      <c r="C1814">
        <v>26.2</v>
      </c>
      <c r="E1814">
        <v>60.509</v>
      </c>
      <c r="F1814">
        <v>-203.5</v>
      </c>
      <c r="G1814">
        <v>25.8</v>
      </c>
      <c r="I1814">
        <f t="shared" si="84"/>
        <v>60.5</v>
      </c>
      <c r="J1814">
        <f t="shared" si="86"/>
        <v>-0.5</v>
      </c>
      <c r="K1814">
        <f t="shared" si="85"/>
        <v>0</v>
      </c>
    </row>
    <row r="1815" spans="1:11">
      <c r="A1815">
        <v>60.576</v>
      </c>
      <c r="B1815">
        <v>-202.9</v>
      </c>
      <c r="C1815">
        <v>26</v>
      </c>
      <c r="E1815">
        <v>60.542</v>
      </c>
      <c r="F1815">
        <v>-203.3</v>
      </c>
      <c r="G1815">
        <v>26.2</v>
      </c>
      <c r="I1815">
        <f t="shared" si="84"/>
        <v>60.5</v>
      </c>
      <c r="J1815">
        <f t="shared" si="86"/>
        <v>-0.300000000000011</v>
      </c>
      <c r="K1815">
        <f t="shared" si="85"/>
        <v>0</v>
      </c>
    </row>
    <row r="1816" spans="1:11">
      <c r="A1816">
        <v>60.609</v>
      </c>
      <c r="B1816">
        <v>-202.3</v>
      </c>
      <c r="C1816">
        <v>25.9</v>
      </c>
      <c r="E1816">
        <v>60.576</v>
      </c>
      <c r="F1816">
        <v>-202.9</v>
      </c>
      <c r="G1816">
        <v>26</v>
      </c>
      <c r="I1816">
        <f t="shared" si="84"/>
        <v>60.55</v>
      </c>
      <c r="J1816">
        <f t="shared" si="86"/>
        <v>0.0999999999999943</v>
      </c>
      <c r="K1816">
        <f t="shared" si="85"/>
        <v>0</v>
      </c>
    </row>
    <row r="1817" spans="1:11">
      <c r="A1817">
        <v>60.642</v>
      </c>
      <c r="B1817">
        <v>-202.2</v>
      </c>
      <c r="C1817">
        <v>26</v>
      </c>
      <c r="E1817">
        <v>60.609</v>
      </c>
      <c r="F1817">
        <v>-202.3</v>
      </c>
      <c r="G1817">
        <v>25.9</v>
      </c>
      <c r="I1817">
        <f t="shared" si="84"/>
        <v>60.6</v>
      </c>
      <c r="J1817">
        <f t="shared" si="86"/>
        <v>0.699999999999989</v>
      </c>
      <c r="K1817">
        <f t="shared" si="85"/>
        <v>0</v>
      </c>
    </row>
    <row r="1818" spans="1:11">
      <c r="A1818">
        <v>60.676</v>
      </c>
      <c r="B1818">
        <v>-201.5</v>
      </c>
      <c r="C1818">
        <v>25.5</v>
      </c>
      <c r="E1818">
        <v>60.642</v>
      </c>
      <c r="F1818">
        <v>-202.2</v>
      </c>
      <c r="G1818">
        <v>26</v>
      </c>
      <c r="I1818">
        <f t="shared" si="84"/>
        <v>60.6</v>
      </c>
      <c r="J1818">
        <f t="shared" si="86"/>
        <v>0.800000000000011</v>
      </c>
      <c r="K1818">
        <f t="shared" si="85"/>
        <v>0</v>
      </c>
    </row>
    <row r="1819" spans="1:11">
      <c r="A1819">
        <v>60.709</v>
      </c>
      <c r="B1819">
        <v>-201</v>
      </c>
      <c r="C1819">
        <v>25.6</v>
      </c>
      <c r="E1819">
        <v>60.676</v>
      </c>
      <c r="F1819">
        <v>-201.5</v>
      </c>
      <c r="G1819">
        <v>25.5</v>
      </c>
      <c r="I1819">
        <f t="shared" si="84"/>
        <v>60.65</v>
      </c>
      <c r="J1819">
        <f t="shared" si="86"/>
        <v>1.5</v>
      </c>
      <c r="K1819">
        <f t="shared" si="85"/>
        <v>0</v>
      </c>
    </row>
    <row r="1820" spans="1:11">
      <c r="A1820">
        <v>60.743</v>
      </c>
      <c r="B1820">
        <v>-200.2</v>
      </c>
      <c r="C1820">
        <v>26</v>
      </c>
      <c r="E1820">
        <v>60.709</v>
      </c>
      <c r="F1820">
        <v>-201</v>
      </c>
      <c r="G1820">
        <v>25.6</v>
      </c>
      <c r="I1820">
        <f t="shared" si="84"/>
        <v>60.7</v>
      </c>
      <c r="J1820">
        <f t="shared" si="86"/>
        <v>2</v>
      </c>
      <c r="K1820">
        <f t="shared" si="85"/>
        <v>0</v>
      </c>
    </row>
    <row r="1821" spans="1:11">
      <c r="A1821">
        <v>60.776</v>
      </c>
      <c r="B1821">
        <v>-199.3</v>
      </c>
      <c r="C1821">
        <v>25.9</v>
      </c>
      <c r="E1821">
        <v>60.743</v>
      </c>
      <c r="F1821">
        <v>-200.2</v>
      </c>
      <c r="G1821">
        <v>26</v>
      </c>
      <c r="I1821">
        <f t="shared" si="84"/>
        <v>60.7</v>
      </c>
      <c r="J1821">
        <f t="shared" si="86"/>
        <v>2.80000000000001</v>
      </c>
      <c r="K1821">
        <f t="shared" si="85"/>
        <v>0</v>
      </c>
    </row>
    <row r="1822" spans="1:11">
      <c r="A1822">
        <v>60.81</v>
      </c>
      <c r="B1822">
        <v>-198.9</v>
      </c>
      <c r="C1822">
        <v>25.2</v>
      </c>
      <c r="E1822">
        <v>60.776</v>
      </c>
      <c r="F1822">
        <v>-199.3</v>
      </c>
      <c r="G1822">
        <v>25.9</v>
      </c>
      <c r="I1822">
        <f t="shared" si="84"/>
        <v>60.75</v>
      </c>
      <c r="J1822">
        <f t="shared" si="86"/>
        <v>3.69999999999999</v>
      </c>
      <c r="K1822">
        <f t="shared" si="85"/>
        <v>0</v>
      </c>
    </row>
    <row r="1823" spans="1:11">
      <c r="A1823">
        <v>60.843</v>
      </c>
      <c r="B1823">
        <v>-198</v>
      </c>
      <c r="C1823">
        <v>26.2</v>
      </c>
      <c r="E1823">
        <v>60.81</v>
      </c>
      <c r="F1823">
        <v>-198.9</v>
      </c>
      <c r="G1823">
        <v>25.2</v>
      </c>
      <c r="I1823">
        <f t="shared" ref="I1823:I1886" si="87">FLOOR(E1823,0.05)</f>
        <v>60.8</v>
      </c>
      <c r="J1823">
        <f t="shared" si="86"/>
        <v>4.09999999999999</v>
      </c>
      <c r="K1823">
        <f t="shared" ref="K1823:K1886" si="88">IF(G1823&lt;230,0,5)</f>
        <v>0</v>
      </c>
    </row>
    <row r="1824" spans="1:11">
      <c r="A1824">
        <v>60.876</v>
      </c>
      <c r="B1824">
        <v>-197.3</v>
      </c>
      <c r="C1824">
        <v>25.7</v>
      </c>
      <c r="E1824">
        <v>60.843</v>
      </c>
      <c r="F1824">
        <v>-198</v>
      </c>
      <c r="G1824">
        <v>26.2</v>
      </c>
      <c r="I1824">
        <f t="shared" si="87"/>
        <v>60.8</v>
      </c>
      <c r="J1824">
        <f t="shared" si="86"/>
        <v>5</v>
      </c>
      <c r="K1824">
        <f t="shared" si="88"/>
        <v>0</v>
      </c>
    </row>
    <row r="1825" spans="1:11">
      <c r="A1825">
        <v>60.91</v>
      </c>
      <c r="B1825">
        <v>-197</v>
      </c>
      <c r="C1825">
        <v>26.4</v>
      </c>
      <c r="E1825">
        <v>60.876</v>
      </c>
      <c r="F1825">
        <v>-197.3</v>
      </c>
      <c r="G1825">
        <v>25.7</v>
      </c>
      <c r="I1825">
        <f t="shared" si="87"/>
        <v>60.85</v>
      </c>
      <c r="J1825">
        <f t="shared" si="86"/>
        <v>5.69999999999999</v>
      </c>
      <c r="K1825">
        <f t="shared" si="88"/>
        <v>0</v>
      </c>
    </row>
    <row r="1826" spans="1:11">
      <c r="A1826">
        <v>60.943</v>
      </c>
      <c r="B1826">
        <v>-196.7</v>
      </c>
      <c r="C1826">
        <v>26.6</v>
      </c>
      <c r="E1826">
        <v>60.91</v>
      </c>
      <c r="F1826">
        <v>-197</v>
      </c>
      <c r="G1826">
        <v>26.4</v>
      </c>
      <c r="I1826">
        <f t="shared" si="87"/>
        <v>60.9</v>
      </c>
      <c r="J1826">
        <f t="shared" si="86"/>
        <v>6</v>
      </c>
      <c r="K1826">
        <f t="shared" si="88"/>
        <v>0</v>
      </c>
    </row>
    <row r="1827" spans="1:11">
      <c r="A1827">
        <v>60.977</v>
      </c>
      <c r="B1827">
        <v>-196.6</v>
      </c>
      <c r="C1827">
        <v>26</v>
      </c>
      <c r="E1827">
        <v>60.943</v>
      </c>
      <c r="F1827">
        <v>-196.7</v>
      </c>
      <c r="G1827">
        <v>26.6</v>
      </c>
      <c r="I1827">
        <f t="shared" si="87"/>
        <v>60.9</v>
      </c>
      <c r="J1827">
        <f t="shared" si="86"/>
        <v>6.30000000000001</v>
      </c>
      <c r="K1827">
        <f t="shared" si="88"/>
        <v>0</v>
      </c>
    </row>
    <row r="1828" spans="1:11">
      <c r="A1828">
        <v>61.01</v>
      </c>
      <c r="B1828">
        <v>-196.4</v>
      </c>
      <c r="C1828">
        <v>25.7</v>
      </c>
      <c r="E1828">
        <v>60.977</v>
      </c>
      <c r="F1828">
        <v>-196.6</v>
      </c>
      <c r="G1828">
        <v>26</v>
      </c>
      <c r="I1828">
        <f t="shared" si="87"/>
        <v>60.95</v>
      </c>
      <c r="J1828">
        <f t="shared" si="86"/>
        <v>6.40000000000001</v>
      </c>
      <c r="K1828">
        <f t="shared" si="88"/>
        <v>0</v>
      </c>
    </row>
    <row r="1829" spans="1:11">
      <c r="A1829">
        <v>61.044</v>
      </c>
      <c r="B1829">
        <v>-196.4</v>
      </c>
      <c r="C1829">
        <v>25.5</v>
      </c>
      <c r="E1829">
        <v>61.01</v>
      </c>
      <c r="F1829">
        <v>-196.4</v>
      </c>
      <c r="G1829">
        <v>25.7</v>
      </c>
      <c r="I1829">
        <f t="shared" si="87"/>
        <v>61</v>
      </c>
      <c r="J1829">
        <f t="shared" si="86"/>
        <v>6.59999999999999</v>
      </c>
      <c r="K1829">
        <f t="shared" si="88"/>
        <v>0</v>
      </c>
    </row>
    <row r="1830" spans="1:11">
      <c r="A1830">
        <v>61.077</v>
      </c>
      <c r="B1830">
        <v>-196.3</v>
      </c>
      <c r="C1830">
        <v>25.6</v>
      </c>
      <c r="E1830">
        <v>61.044</v>
      </c>
      <c r="F1830">
        <v>-196.4</v>
      </c>
      <c r="G1830">
        <v>25.5</v>
      </c>
      <c r="I1830">
        <f t="shared" si="87"/>
        <v>61</v>
      </c>
      <c r="J1830">
        <f t="shared" si="86"/>
        <v>6.59999999999999</v>
      </c>
      <c r="K1830">
        <f t="shared" si="88"/>
        <v>0</v>
      </c>
    </row>
    <row r="1831" spans="1:11">
      <c r="A1831">
        <v>61.11</v>
      </c>
      <c r="B1831">
        <v>-196.5</v>
      </c>
      <c r="C1831">
        <v>25.9</v>
      </c>
      <c r="E1831">
        <v>61.077</v>
      </c>
      <c r="F1831">
        <v>-196.3</v>
      </c>
      <c r="G1831">
        <v>25.6</v>
      </c>
      <c r="I1831">
        <f t="shared" si="87"/>
        <v>61.05</v>
      </c>
      <c r="J1831">
        <f t="shared" si="86"/>
        <v>6.69999999999999</v>
      </c>
      <c r="K1831">
        <f t="shared" si="88"/>
        <v>0</v>
      </c>
    </row>
    <row r="1832" spans="1:11">
      <c r="A1832">
        <v>61.144</v>
      </c>
      <c r="B1832">
        <v>-196.5</v>
      </c>
      <c r="C1832">
        <v>25.8</v>
      </c>
      <c r="E1832">
        <v>61.11</v>
      </c>
      <c r="F1832">
        <v>-196.5</v>
      </c>
      <c r="G1832">
        <v>25.9</v>
      </c>
      <c r="I1832">
        <f t="shared" si="87"/>
        <v>61.1</v>
      </c>
      <c r="J1832">
        <f t="shared" si="86"/>
        <v>6.5</v>
      </c>
      <c r="K1832">
        <f t="shared" si="88"/>
        <v>0</v>
      </c>
    </row>
    <row r="1833" spans="1:11">
      <c r="A1833">
        <v>61.177</v>
      </c>
      <c r="B1833">
        <v>-196.7</v>
      </c>
      <c r="C1833">
        <v>26.1</v>
      </c>
      <c r="E1833">
        <v>61.144</v>
      </c>
      <c r="F1833">
        <v>-196.5</v>
      </c>
      <c r="G1833">
        <v>25.8</v>
      </c>
      <c r="I1833">
        <f t="shared" si="87"/>
        <v>61.1</v>
      </c>
      <c r="J1833">
        <f t="shared" si="86"/>
        <v>6.5</v>
      </c>
      <c r="K1833">
        <f t="shared" si="88"/>
        <v>0</v>
      </c>
    </row>
    <row r="1834" spans="1:11">
      <c r="A1834">
        <v>61.211</v>
      </c>
      <c r="B1834">
        <v>-196.7</v>
      </c>
      <c r="C1834">
        <v>27.2</v>
      </c>
      <c r="E1834">
        <v>61.177</v>
      </c>
      <c r="F1834">
        <v>-196.7</v>
      </c>
      <c r="G1834">
        <v>26.1</v>
      </c>
      <c r="I1834">
        <f t="shared" si="87"/>
        <v>61.15</v>
      </c>
      <c r="J1834">
        <f t="shared" si="86"/>
        <v>6.30000000000001</v>
      </c>
      <c r="K1834">
        <f t="shared" si="88"/>
        <v>0</v>
      </c>
    </row>
    <row r="1835" spans="1:11">
      <c r="A1835">
        <v>61.244</v>
      </c>
      <c r="B1835">
        <v>-196.8</v>
      </c>
      <c r="C1835">
        <v>25.9</v>
      </c>
      <c r="E1835">
        <v>61.211</v>
      </c>
      <c r="F1835">
        <v>-196.7</v>
      </c>
      <c r="G1835">
        <v>27.2</v>
      </c>
      <c r="I1835">
        <f t="shared" si="87"/>
        <v>61.2</v>
      </c>
      <c r="J1835">
        <f t="shared" si="86"/>
        <v>6.30000000000001</v>
      </c>
      <c r="K1835">
        <f t="shared" si="88"/>
        <v>0</v>
      </c>
    </row>
    <row r="1836" spans="1:11">
      <c r="A1836">
        <v>61.278</v>
      </c>
      <c r="B1836">
        <v>-196.9</v>
      </c>
      <c r="C1836">
        <v>25.6</v>
      </c>
      <c r="E1836">
        <v>61.244</v>
      </c>
      <c r="F1836">
        <v>-196.8</v>
      </c>
      <c r="G1836">
        <v>25.9</v>
      </c>
      <c r="I1836">
        <f t="shared" si="87"/>
        <v>61.2</v>
      </c>
      <c r="J1836">
        <f t="shared" si="86"/>
        <v>6.19999999999999</v>
      </c>
      <c r="K1836">
        <f t="shared" si="88"/>
        <v>0</v>
      </c>
    </row>
    <row r="1837" spans="1:11">
      <c r="A1837">
        <v>61.311</v>
      </c>
      <c r="B1837">
        <v>-197.1</v>
      </c>
      <c r="C1837">
        <v>25.3</v>
      </c>
      <c r="E1837">
        <v>61.278</v>
      </c>
      <c r="F1837">
        <v>-196.9</v>
      </c>
      <c r="G1837">
        <v>25.6</v>
      </c>
      <c r="I1837">
        <f t="shared" si="87"/>
        <v>61.25</v>
      </c>
      <c r="J1837">
        <f t="shared" si="86"/>
        <v>6.09999999999999</v>
      </c>
      <c r="K1837">
        <f t="shared" si="88"/>
        <v>0</v>
      </c>
    </row>
    <row r="1838" spans="1:11">
      <c r="A1838">
        <v>61.344</v>
      </c>
      <c r="B1838">
        <v>-197.6</v>
      </c>
      <c r="C1838">
        <v>26.2</v>
      </c>
      <c r="E1838">
        <v>61.311</v>
      </c>
      <c r="F1838">
        <v>-197.1</v>
      </c>
      <c r="G1838">
        <v>25.3</v>
      </c>
      <c r="I1838">
        <f t="shared" si="87"/>
        <v>61.3</v>
      </c>
      <c r="J1838">
        <f t="shared" si="86"/>
        <v>5.90000000000001</v>
      </c>
      <c r="K1838">
        <f t="shared" si="88"/>
        <v>0</v>
      </c>
    </row>
    <row r="1839" spans="1:11">
      <c r="A1839">
        <v>61.378</v>
      </c>
      <c r="B1839">
        <v>-198.2</v>
      </c>
      <c r="C1839">
        <v>26</v>
      </c>
      <c r="E1839">
        <v>61.344</v>
      </c>
      <c r="F1839">
        <v>-197.6</v>
      </c>
      <c r="G1839">
        <v>26.2</v>
      </c>
      <c r="I1839">
        <f t="shared" si="87"/>
        <v>61.3</v>
      </c>
      <c r="J1839">
        <f t="shared" si="86"/>
        <v>5.40000000000001</v>
      </c>
      <c r="K1839">
        <f t="shared" si="88"/>
        <v>0</v>
      </c>
    </row>
    <row r="1840" spans="1:11">
      <c r="A1840">
        <v>61.411</v>
      </c>
      <c r="B1840">
        <v>-198.9</v>
      </c>
      <c r="C1840">
        <v>25.1</v>
      </c>
      <c r="E1840">
        <v>61.378</v>
      </c>
      <c r="F1840">
        <v>-198.2</v>
      </c>
      <c r="G1840">
        <v>26</v>
      </c>
      <c r="I1840">
        <f t="shared" si="87"/>
        <v>61.35</v>
      </c>
      <c r="J1840">
        <f t="shared" si="86"/>
        <v>4.80000000000001</v>
      </c>
      <c r="K1840">
        <f t="shared" si="88"/>
        <v>0</v>
      </c>
    </row>
    <row r="1841" spans="1:11">
      <c r="A1841">
        <v>61.445</v>
      </c>
      <c r="B1841">
        <v>-199.6</v>
      </c>
      <c r="C1841">
        <v>25.3</v>
      </c>
      <c r="E1841">
        <v>61.411</v>
      </c>
      <c r="F1841">
        <v>-198.9</v>
      </c>
      <c r="G1841">
        <v>25.1</v>
      </c>
      <c r="I1841">
        <f t="shared" si="87"/>
        <v>61.4</v>
      </c>
      <c r="J1841">
        <f t="shared" si="86"/>
        <v>4.09999999999999</v>
      </c>
      <c r="K1841">
        <f t="shared" si="88"/>
        <v>0</v>
      </c>
    </row>
    <row r="1842" spans="1:11">
      <c r="A1842">
        <v>61.478</v>
      </c>
      <c r="B1842">
        <v>-200.4</v>
      </c>
      <c r="C1842">
        <v>25</v>
      </c>
      <c r="E1842">
        <v>61.445</v>
      </c>
      <c r="F1842">
        <v>-199.6</v>
      </c>
      <c r="G1842">
        <v>25.3</v>
      </c>
      <c r="I1842">
        <f t="shared" si="87"/>
        <v>61.4</v>
      </c>
      <c r="J1842">
        <f t="shared" si="86"/>
        <v>3.40000000000001</v>
      </c>
      <c r="K1842">
        <f t="shared" si="88"/>
        <v>0</v>
      </c>
    </row>
    <row r="1843" spans="1:11">
      <c r="A1843">
        <v>61.512</v>
      </c>
      <c r="B1843">
        <v>-201.1</v>
      </c>
      <c r="C1843">
        <v>25.7</v>
      </c>
      <c r="E1843">
        <v>61.478</v>
      </c>
      <c r="F1843">
        <v>-200.4</v>
      </c>
      <c r="G1843">
        <v>25</v>
      </c>
      <c r="I1843">
        <f t="shared" si="87"/>
        <v>61.45</v>
      </c>
      <c r="J1843">
        <f t="shared" si="86"/>
        <v>2.59999999999999</v>
      </c>
      <c r="K1843">
        <f t="shared" si="88"/>
        <v>0</v>
      </c>
    </row>
    <row r="1844" spans="1:11">
      <c r="A1844">
        <v>61.545</v>
      </c>
      <c r="B1844">
        <v>-201.4</v>
      </c>
      <c r="C1844">
        <v>25.7</v>
      </c>
      <c r="E1844">
        <v>61.512</v>
      </c>
      <c r="F1844">
        <v>-201.1</v>
      </c>
      <c r="G1844">
        <v>25.7</v>
      </c>
      <c r="I1844">
        <f t="shared" si="87"/>
        <v>61.5</v>
      </c>
      <c r="J1844">
        <f t="shared" si="86"/>
        <v>1.90000000000001</v>
      </c>
      <c r="K1844">
        <f t="shared" si="88"/>
        <v>0</v>
      </c>
    </row>
    <row r="1845" spans="1:11">
      <c r="A1845">
        <v>61.578</v>
      </c>
      <c r="B1845">
        <v>-202</v>
      </c>
      <c r="C1845">
        <v>26.6</v>
      </c>
      <c r="E1845">
        <v>61.545</v>
      </c>
      <c r="F1845">
        <v>-201.4</v>
      </c>
      <c r="G1845">
        <v>25.7</v>
      </c>
      <c r="I1845">
        <f t="shared" si="87"/>
        <v>61.5</v>
      </c>
      <c r="J1845">
        <f t="shared" si="86"/>
        <v>1.59999999999999</v>
      </c>
      <c r="K1845">
        <f t="shared" si="88"/>
        <v>0</v>
      </c>
    </row>
    <row r="1846" spans="1:11">
      <c r="A1846">
        <v>61.612</v>
      </c>
      <c r="B1846">
        <v>-202.5</v>
      </c>
      <c r="C1846">
        <v>26</v>
      </c>
      <c r="E1846">
        <v>61.578</v>
      </c>
      <c r="F1846">
        <v>-202</v>
      </c>
      <c r="G1846">
        <v>26.6</v>
      </c>
      <c r="I1846">
        <f t="shared" si="87"/>
        <v>61.55</v>
      </c>
      <c r="J1846">
        <f t="shared" si="86"/>
        <v>1</v>
      </c>
      <c r="K1846">
        <f t="shared" si="88"/>
        <v>0</v>
      </c>
    </row>
    <row r="1847" spans="1:11">
      <c r="A1847">
        <v>61.645</v>
      </c>
      <c r="B1847">
        <v>-202.8</v>
      </c>
      <c r="C1847">
        <v>26</v>
      </c>
      <c r="E1847">
        <v>61.612</v>
      </c>
      <c r="F1847">
        <v>-202.5</v>
      </c>
      <c r="G1847">
        <v>26</v>
      </c>
      <c r="I1847">
        <f t="shared" si="87"/>
        <v>61.6</v>
      </c>
      <c r="J1847">
        <f t="shared" si="86"/>
        <v>0.5</v>
      </c>
      <c r="K1847">
        <f t="shared" si="88"/>
        <v>0</v>
      </c>
    </row>
    <row r="1848" spans="1:11">
      <c r="A1848">
        <v>61.679</v>
      </c>
      <c r="B1848">
        <v>-203.1</v>
      </c>
      <c r="C1848">
        <v>26.2</v>
      </c>
      <c r="E1848">
        <v>61.645</v>
      </c>
      <c r="F1848">
        <v>-202.8</v>
      </c>
      <c r="G1848">
        <v>26</v>
      </c>
      <c r="I1848">
        <f t="shared" si="87"/>
        <v>61.6</v>
      </c>
      <c r="J1848">
        <f t="shared" si="86"/>
        <v>0.199999999999989</v>
      </c>
      <c r="K1848">
        <f t="shared" si="88"/>
        <v>0</v>
      </c>
    </row>
    <row r="1849" spans="1:11">
      <c r="A1849">
        <v>61.712</v>
      </c>
      <c r="B1849">
        <v>-203.4</v>
      </c>
      <c r="C1849">
        <v>25.6</v>
      </c>
      <c r="E1849">
        <v>61.679</v>
      </c>
      <c r="F1849">
        <v>-203.1</v>
      </c>
      <c r="G1849">
        <v>26.2</v>
      </c>
      <c r="I1849">
        <f t="shared" si="87"/>
        <v>61.65</v>
      </c>
      <c r="J1849">
        <f t="shared" si="86"/>
        <v>-0.0999999999999943</v>
      </c>
      <c r="K1849">
        <f t="shared" si="88"/>
        <v>0</v>
      </c>
    </row>
    <row r="1850" spans="1:11">
      <c r="A1850">
        <v>61.746</v>
      </c>
      <c r="B1850">
        <v>-203.7</v>
      </c>
      <c r="C1850">
        <v>26.4</v>
      </c>
      <c r="E1850">
        <v>61.712</v>
      </c>
      <c r="F1850">
        <v>-203.4</v>
      </c>
      <c r="G1850">
        <v>25.6</v>
      </c>
      <c r="I1850">
        <f t="shared" si="87"/>
        <v>61.7</v>
      </c>
      <c r="J1850">
        <f t="shared" si="86"/>
        <v>-0.400000000000006</v>
      </c>
      <c r="K1850">
        <f t="shared" si="88"/>
        <v>0</v>
      </c>
    </row>
    <row r="1851" spans="1:11">
      <c r="A1851">
        <v>61.779</v>
      </c>
      <c r="B1851">
        <v>-203.9</v>
      </c>
      <c r="C1851">
        <v>25.7</v>
      </c>
      <c r="E1851">
        <v>61.746</v>
      </c>
      <c r="F1851">
        <v>-203.7</v>
      </c>
      <c r="G1851">
        <v>26.4</v>
      </c>
      <c r="I1851">
        <f t="shared" si="87"/>
        <v>61.7</v>
      </c>
      <c r="J1851">
        <f t="shared" si="86"/>
        <v>-0.699999999999989</v>
      </c>
      <c r="K1851">
        <f t="shared" si="88"/>
        <v>0</v>
      </c>
    </row>
    <row r="1852" spans="1:11">
      <c r="A1852">
        <v>61.812</v>
      </c>
      <c r="B1852">
        <v>-203.9</v>
      </c>
      <c r="C1852">
        <v>25.7</v>
      </c>
      <c r="E1852">
        <v>61.779</v>
      </c>
      <c r="F1852">
        <v>-203.9</v>
      </c>
      <c r="G1852">
        <v>25.7</v>
      </c>
      <c r="I1852">
        <f t="shared" si="87"/>
        <v>61.75</v>
      </c>
      <c r="J1852">
        <f t="shared" si="86"/>
        <v>-0.900000000000006</v>
      </c>
      <c r="K1852">
        <f t="shared" si="88"/>
        <v>0</v>
      </c>
    </row>
    <row r="1853" spans="1:11">
      <c r="A1853">
        <v>61.846</v>
      </c>
      <c r="B1853">
        <v>-203.8</v>
      </c>
      <c r="C1853">
        <v>26</v>
      </c>
      <c r="E1853">
        <v>61.812</v>
      </c>
      <c r="F1853">
        <v>-203.9</v>
      </c>
      <c r="G1853">
        <v>25.7</v>
      </c>
      <c r="I1853">
        <f t="shared" si="87"/>
        <v>61.8</v>
      </c>
      <c r="J1853">
        <f t="shared" si="86"/>
        <v>-0.900000000000006</v>
      </c>
      <c r="K1853">
        <f t="shared" si="88"/>
        <v>0</v>
      </c>
    </row>
    <row r="1854" spans="1:11">
      <c r="A1854">
        <v>61.879</v>
      </c>
      <c r="B1854">
        <v>-203.7</v>
      </c>
      <c r="C1854">
        <v>25.9</v>
      </c>
      <c r="E1854">
        <v>61.846</v>
      </c>
      <c r="F1854">
        <v>-203.8</v>
      </c>
      <c r="G1854">
        <v>26</v>
      </c>
      <c r="I1854">
        <f t="shared" si="87"/>
        <v>61.8</v>
      </c>
      <c r="J1854">
        <f t="shared" si="86"/>
        <v>-0.800000000000011</v>
      </c>
      <c r="K1854">
        <f t="shared" si="88"/>
        <v>0</v>
      </c>
    </row>
    <row r="1855" spans="1:11">
      <c r="A1855">
        <v>61.913</v>
      </c>
      <c r="B1855">
        <v>-203.6</v>
      </c>
      <c r="C1855">
        <v>25.2</v>
      </c>
      <c r="E1855">
        <v>61.879</v>
      </c>
      <c r="F1855">
        <v>-203.7</v>
      </c>
      <c r="G1855">
        <v>25.9</v>
      </c>
      <c r="I1855">
        <f t="shared" si="87"/>
        <v>61.85</v>
      </c>
      <c r="J1855">
        <f t="shared" si="86"/>
        <v>-0.699999999999989</v>
      </c>
      <c r="K1855">
        <f t="shared" si="88"/>
        <v>0</v>
      </c>
    </row>
    <row r="1856" spans="1:11">
      <c r="A1856">
        <v>61.946</v>
      </c>
      <c r="B1856">
        <v>-203.4</v>
      </c>
      <c r="C1856">
        <v>25.3</v>
      </c>
      <c r="E1856">
        <v>61.913</v>
      </c>
      <c r="F1856">
        <v>-203.6</v>
      </c>
      <c r="G1856">
        <v>25.2</v>
      </c>
      <c r="I1856">
        <f t="shared" si="87"/>
        <v>61.9</v>
      </c>
      <c r="J1856">
        <f t="shared" si="86"/>
        <v>-0.599999999999994</v>
      </c>
      <c r="K1856">
        <f t="shared" si="88"/>
        <v>0</v>
      </c>
    </row>
    <row r="1857" spans="1:11">
      <c r="A1857">
        <v>61.98</v>
      </c>
      <c r="B1857">
        <v>-203.2</v>
      </c>
      <c r="C1857">
        <v>25.6</v>
      </c>
      <c r="E1857">
        <v>61.946</v>
      </c>
      <c r="F1857">
        <v>-203.4</v>
      </c>
      <c r="G1857">
        <v>25.3</v>
      </c>
      <c r="I1857">
        <f t="shared" si="87"/>
        <v>61.9</v>
      </c>
      <c r="J1857">
        <f t="shared" si="86"/>
        <v>-0.400000000000006</v>
      </c>
      <c r="K1857">
        <f t="shared" si="88"/>
        <v>0</v>
      </c>
    </row>
    <row r="1858" spans="1:11">
      <c r="A1858">
        <v>62.013</v>
      </c>
      <c r="B1858">
        <v>-202.7</v>
      </c>
      <c r="C1858">
        <v>26.1</v>
      </c>
      <c r="E1858">
        <v>61.98</v>
      </c>
      <c r="F1858">
        <v>-203.2</v>
      </c>
      <c r="G1858">
        <v>25.6</v>
      </c>
      <c r="I1858">
        <f t="shared" si="87"/>
        <v>61.95</v>
      </c>
      <c r="J1858">
        <f t="shared" si="86"/>
        <v>-0.199999999999989</v>
      </c>
      <c r="K1858">
        <f t="shared" si="88"/>
        <v>0</v>
      </c>
    </row>
    <row r="1859" spans="1:11">
      <c r="A1859">
        <v>62.046</v>
      </c>
      <c r="B1859">
        <v>-202.4</v>
      </c>
      <c r="C1859">
        <v>25.7</v>
      </c>
      <c r="E1859">
        <v>62.013</v>
      </c>
      <c r="F1859">
        <v>-202.7</v>
      </c>
      <c r="G1859">
        <v>26.1</v>
      </c>
      <c r="I1859">
        <f t="shared" si="87"/>
        <v>62</v>
      </c>
      <c r="J1859">
        <f t="shared" si="86"/>
        <v>0.300000000000011</v>
      </c>
      <c r="K1859">
        <f t="shared" si="88"/>
        <v>0</v>
      </c>
    </row>
    <row r="1860" spans="1:11">
      <c r="A1860">
        <v>62.08</v>
      </c>
      <c r="B1860">
        <v>-202.2</v>
      </c>
      <c r="C1860">
        <v>25.4</v>
      </c>
      <c r="E1860">
        <v>62.046</v>
      </c>
      <c r="F1860">
        <v>-202.4</v>
      </c>
      <c r="G1860">
        <v>25.7</v>
      </c>
      <c r="I1860">
        <f t="shared" si="87"/>
        <v>62</v>
      </c>
      <c r="J1860">
        <f t="shared" si="86"/>
        <v>0.599999999999994</v>
      </c>
      <c r="K1860">
        <f t="shared" si="88"/>
        <v>0</v>
      </c>
    </row>
    <row r="1861" spans="1:11">
      <c r="A1861">
        <v>62.113</v>
      </c>
      <c r="B1861">
        <v>-201.6</v>
      </c>
      <c r="C1861">
        <v>25.7</v>
      </c>
      <c r="E1861">
        <v>62.08</v>
      </c>
      <c r="F1861">
        <v>-202.2</v>
      </c>
      <c r="G1861">
        <v>25.4</v>
      </c>
      <c r="I1861">
        <f t="shared" si="87"/>
        <v>62.05</v>
      </c>
      <c r="J1861">
        <f t="shared" ref="J1861:J1924" si="89">F1861+203</f>
        <v>0.800000000000011</v>
      </c>
      <c r="K1861">
        <f t="shared" si="88"/>
        <v>0</v>
      </c>
    </row>
    <row r="1862" spans="1:11">
      <c r="A1862">
        <v>62.147</v>
      </c>
      <c r="B1862">
        <v>-201.1</v>
      </c>
      <c r="C1862">
        <v>26.7</v>
      </c>
      <c r="E1862">
        <v>62.113</v>
      </c>
      <c r="F1862">
        <v>-201.6</v>
      </c>
      <c r="G1862">
        <v>25.7</v>
      </c>
      <c r="I1862">
        <f t="shared" si="87"/>
        <v>62.1</v>
      </c>
      <c r="J1862">
        <f t="shared" si="89"/>
        <v>1.40000000000001</v>
      </c>
      <c r="K1862">
        <f t="shared" si="88"/>
        <v>0</v>
      </c>
    </row>
    <row r="1863" spans="1:11">
      <c r="A1863">
        <v>62.18</v>
      </c>
      <c r="B1863">
        <v>-200.4</v>
      </c>
      <c r="C1863">
        <v>26</v>
      </c>
      <c r="E1863">
        <v>62.147</v>
      </c>
      <c r="F1863">
        <v>-201.1</v>
      </c>
      <c r="G1863">
        <v>26.7</v>
      </c>
      <c r="I1863">
        <f t="shared" si="87"/>
        <v>62.1</v>
      </c>
      <c r="J1863">
        <f t="shared" si="89"/>
        <v>1.90000000000001</v>
      </c>
      <c r="K1863">
        <f t="shared" si="88"/>
        <v>0</v>
      </c>
    </row>
    <row r="1864" spans="1:11">
      <c r="A1864">
        <v>62.214</v>
      </c>
      <c r="B1864">
        <v>-199.7</v>
      </c>
      <c r="C1864">
        <v>25.9</v>
      </c>
      <c r="E1864">
        <v>62.18</v>
      </c>
      <c r="F1864">
        <v>-200.4</v>
      </c>
      <c r="G1864">
        <v>26</v>
      </c>
      <c r="I1864">
        <f t="shared" si="87"/>
        <v>62.15</v>
      </c>
      <c r="J1864">
        <f t="shared" si="89"/>
        <v>2.59999999999999</v>
      </c>
      <c r="K1864">
        <f t="shared" si="88"/>
        <v>0</v>
      </c>
    </row>
    <row r="1865" spans="1:11">
      <c r="A1865">
        <v>62.247</v>
      </c>
      <c r="B1865">
        <v>-198.9</v>
      </c>
      <c r="C1865">
        <v>25.8</v>
      </c>
      <c r="E1865">
        <v>62.214</v>
      </c>
      <c r="F1865">
        <v>-199.7</v>
      </c>
      <c r="G1865">
        <v>25.9</v>
      </c>
      <c r="I1865">
        <f t="shared" si="87"/>
        <v>62.2</v>
      </c>
      <c r="J1865">
        <f t="shared" si="89"/>
        <v>3.30000000000001</v>
      </c>
      <c r="K1865">
        <f t="shared" si="88"/>
        <v>0</v>
      </c>
    </row>
    <row r="1866" spans="1:11">
      <c r="A1866">
        <v>62.28</v>
      </c>
      <c r="B1866">
        <v>-198.2</v>
      </c>
      <c r="C1866">
        <v>26.2</v>
      </c>
      <c r="E1866">
        <v>62.247</v>
      </c>
      <c r="F1866">
        <v>-198.9</v>
      </c>
      <c r="G1866">
        <v>25.8</v>
      </c>
      <c r="I1866">
        <f t="shared" si="87"/>
        <v>62.2</v>
      </c>
      <c r="J1866">
        <f t="shared" si="89"/>
        <v>4.09999999999999</v>
      </c>
      <c r="K1866">
        <f t="shared" si="88"/>
        <v>0</v>
      </c>
    </row>
    <row r="1867" spans="1:11">
      <c r="A1867">
        <v>62.314</v>
      </c>
      <c r="B1867">
        <v>-197.6</v>
      </c>
      <c r="C1867">
        <v>26.3</v>
      </c>
      <c r="E1867">
        <v>62.28</v>
      </c>
      <c r="F1867">
        <v>-198.2</v>
      </c>
      <c r="G1867">
        <v>26.2</v>
      </c>
      <c r="I1867">
        <f t="shared" si="87"/>
        <v>62.25</v>
      </c>
      <c r="J1867">
        <f t="shared" si="89"/>
        <v>4.80000000000001</v>
      </c>
      <c r="K1867">
        <f t="shared" si="88"/>
        <v>0</v>
      </c>
    </row>
    <row r="1868" spans="1:11">
      <c r="A1868">
        <v>62.347</v>
      </c>
      <c r="B1868">
        <v>-197.4</v>
      </c>
      <c r="C1868">
        <v>26</v>
      </c>
      <c r="E1868">
        <v>62.314</v>
      </c>
      <c r="F1868">
        <v>-197.6</v>
      </c>
      <c r="G1868">
        <v>26.3</v>
      </c>
      <c r="I1868">
        <f t="shared" si="87"/>
        <v>62.3</v>
      </c>
      <c r="J1868">
        <f t="shared" si="89"/>
        <v>5.40000000000001</v>
      </c>
      <c r="K1868">
        <f t="shared" si="88"/>
        <v>0</v>
      </c>
    </row>
    <row r="1869" spans="1:11">
      <c r="A1869">
        <v>62.381</v>
      </c>
      <c r="B1869">
        <v>-197.2</v>
      </c>
      <c r="C1869">
        <v>26.4</v>
      </c>
      <c r="E1869">
        <v>62.347</v>
      </c>
      <c r="F1869">
        <v>-197.4</v>
      </c>
      <c r="G1869">
        <v>26</v>
      </c>
      <c r="I1869">
        <f t="shared" si="87"/>
        <v>62.3</v>
      </c>
      <c r="J1869">
        <f t="shared" si="89"/>
        <v>5.59999999999999</v>
      </c>
      <c r="K1869">
        <f t="shared" si="88"/>
        <v>0</v>
      </c>
    </row>
    <row r="1870" spans="1:11">
      <c r="A1870">
        <v>62.414</v>
      </c>
      <c r="B1870">
        <v>-196.8</v>
      </c>
      <c r="C1870">
        <v>26.4</v>
      </c>
      <c r="E1870">
        <v>62.381</v>
      </c>
      <c r="F1870">
        <v>-197.2</v>
      </c>
      <c r="G1870">
        <v>26.4</v>
      </c>
      <c r="I1870">
        <f t="shared" si="87"/>
        <v>62.35</v>
      </c>
      <c r="J1870">
        <f t="shared" si="89"/>
        <v>5.80000000000001</v>
      </c>
      <c r="K1870">
        <f t="shared" si="88"/>
        <v>0</v>
      </c>
    </row>
    <row r="1871" spans="1:11">
      <c r="A1871">
        <v>62.448</v>
      </c>
      <c r="B1871">
        <v>-196.7</v>
      </c>
      <c r="C1871">
        <v>26.6</v>
      </c>
      <c r="E1871">
        <v>62.414</v>
      </c>
      <c r="F1871">
        <v>-196.8</v>
      </c>
      <c r="G1871">
        <v>26.4</v>
      </c>
      <c r="I1871">
        <f t="shared" si="87"/>
        <v>62.4</v>
      </c>
      <c r="J1871">
        <f t="shared" si="89"/>
        <v>6.19999999999999</v>
      </c>
      <c r="K1871">
        <f t="shared" si="88"/>
        <v>0</v>
      </c>
    </row>
    <row r="1872" spans="1:11">
      <c r="A1872">
        <v>62.481</v>
      </c>
      <c r="B1872">
        <v>-196.5</v>
      </c>
      <c r="C1872">
        <v>25.7</v>
      </c>
      <c r="E1872">
        <v>62.448</v>
      </c>
      <c r="F1872">
        <v>-196.7</v>
      </c>
      <c r="G1872">
        <v>26.6</v>
      </c>
      <c r="I1872">
        <f t="shared" si="87"/>
        <v>62.4</v>
      </c>
      <c r="J1872">
        <f t="shared" si="89"/>
        <v>6.30000000000001</v>
      </c>
      <c r="K1872">
        <f t="shared" si="88"/>
        <v>0</v>
      </c>
    </row>
    <row r="1873" spans="1:11">
      <c r="A1873">
        <v>62.514</v>
      </c>
      <c r="B1873">
        <v>-196.6</v>
      </c>
      <c r="C1873">
        <v>25.8</v>
      </c>
      <c r="E1873">
        <v>62.481</v>
      </c>
      <c r="F1873">
        <v>-196.5</v>
      </c>
      <c r="G1873">
        <v>25.7</v>
      </c>
      <c r="I1873">
        <f t="shared" si="87"/>
        <v>62.45</v>
      </c>
      <c r="J1873">
        <f t="shared" si="89"/>
        <v>6.5</v>
      </c>
      <c r="K1873">
        <f t="shared" si="88"/>
        <v>0</v>
      </c>
    </row>
    <row r="1874" spans="1:11">
      <c r="A1874">
        <v>62.548</v>
      </c>
      <c r="B1874">
        <v>-196.5</v>
      </c>
      <c r="C1874">
        <v>25.6</v>
      </c>
      <c r="E1874">
        <v>62.514</v>
      </c>
      <c r="F1874">
        <v>-196.6</v>
      </c>
      <c r="G1874">
        <v>25.8</v>
      </c>
      <c r="I1874">
        <f t="shared" si="87"/>
        <v>62.5</v>
      </c>
      <c r="J1874">
        <f t="shared" si="89"/>
        <v>6.40000000000001</v>
      </c>
      <c r="K1874">
        <f t="shared" si="88"/>
        <v>0</v>
      </c>
    </row>
    <row r="1875" spans="1:11">
      <c r="A1875">
        <v>62.581</v>
      </c>
      <c r="B1875">
        <v>-196.5</v>
      </c>
      <c r="C1875">
        <v>26.2</v>
      </c>
      <c r="E1875">
        <v>62.548</v>
      </c>
      <c r="F1875">
        <v>-196.5</v>
      </c>
      <c r="G1875">
        <v>25.6</v>
      </c>
      <c r="I1875">
        <f t="shared" si="87"/>
        <v>62.5</v>
      </c>
      <c r="J1875">
        <f t="shared" si="89"/>
        <v>6.5</v>
      </c>
      <c r="K1875">
        <f t="shared" si="88"/>
        <v>0</v>
      </c>
    </row>
    <row r="1876" spans="1:11">
      <c r="A1876">
        <v>62.615</v>
      </c>
      <c r="B1876">
        <v>-196.7</v>
      </c>
      <c r="C1876">
        <v>25.8</v>
      </c>
      <c r="E1876">
        <v>62.581</v>
      </c>
      <c r="F1876">
        <v>-196.5</v>
      </c>
      <c r="G1876">
        <v>26.2</v>
      </c>
      <c r="I1876">
        <f t="shared" si="87"/>
        <v>62.55</v>
      </c>
      <c r="J1876">
        <f t="shared" si="89"/>
        <v>6.5</v>
      </c>
      <c r="K1876">
        <f t="shared" si="88"/>
        <v>0</v>
      </c>
    </row>
    <row r="1877" spans="1:11">
      <c r="A1877">
        <v>62.648</v>
      </c>
      <c r="B1877">
        <v>-196.7</v>
      </c>
      <c r="C1877">
        <v>25.9</v>
      </c>
      <c r="E1877">
        <v>62.615</v>
      </c>
      <c r="F1877">
        <v>-196.7</v>
      </c>
      <c r="G1877">
        <v>25.8</v>
      </c>
      <c r="I1877">
        <f t="shared" si="87"/>
        <v>62.6</v>
      </c>
      <c r="J1877">
        <f t="shared" si="89"/>
        <v>6.30000000000001</v>
      </c>
      <c r="K1877">
        <f t="shared" si="88"/>
        <v>0</v>
      </c>
    </row>
    <row r="1878" spans="1:11">
      <c r="A1878">
        <v>62.682</v>
      </c>
      <c r="B1878">
        <v>-196.9</v>
      </c>
      <c r="C1878">
        <v>25.8</v>
      </c>
      <c r="E1878">
        <v>62.648</v>
      </c>
      <c r="F1878">
        <v>-196.7</v>
      </c>
      <c r="G1878">
        <v>25.9</v>
      </c>
      <c r="I1878">
        <f t="shared" si="87"/>
        <v>62.6</v>
      </c>
      <c r="J1878">
        <f t="shared" si="89"/>
        <v>6.30000000000001</v>
      </c>
      <c r="K1878">
        <f t="shared" si="88"/>
        <v>0</v>
      </c>
    </row>
    <row r="1879" spans="1:11">
      <c r="A1879">
        <v>62.715</v>
      </c>
      <c r="B1879">
        <v>-197</v>
      </c>
      <c r="C1879">
        <v>25.8</v>
      </c>
      <c r="E1879">
        <v>62.682</v>
      </c>
      <c r="F1879">
        <v>-196.9</v>
      </c>
      <c r="G1879">
        <v>25.8</v>
      </c>
      <c r="I1879">
        <f t="shared" si="87"/>
        <v>62.65</v>
      </c>
      <c r="J1879">
        <f t="shared" si="89"/>
        <v>6.09999999999999</v>
      </c>
      <c r="K1879">
        <f t="shared" si="88"/>
        <v>0</v>
      </c>
    </row>
    <row r="1880" spans="1:11">
      <c r="A1880">
        <v>62.749</v>
      </c>
      <c r="B1880">
        <v>-197</v>
      </c>
      <c r="C1880">
        <v>25.9</v>
      </c>
      <c r="E1880">
        <v>62.715</v>
      </c>
      <c r="F1880">
        <v>-197</v>
      </c>
      <c r="G1880">
        <v>25.8</v>
      </c>
      <c r="I1880">
        <f t="shared" si="87"/>
        <v>62.7</v>
      </c>
      <c r="J1880">
        <f t="shared" si="89"/>
        <v>6</v>
      </c>
      <c r="K1880">
        <f t="shared" si="88"/>
        <v>0</v>
      </c>
    </row>
    <row r="1881" spans="1:11">
      <c r="A1881">
        <v>62.782</v>
      </c>
      <c r="B1881">
        <v>-197.4</v>
      </c>
      <c r="C1881">
        <v>25.8</v>
      </c>
      <c r="E1881">
        <v>62.749</v>
      </c>
      <c r="F1881">
        <v>-197</v>
      </c>
      <c r="G1881">
        <v>25.9</v>
      </c>
      <c r="I1881">
        <f t="shared" si="87"/>
        <v>62.7</v>
      </c>
      <c r="J1881">
        <f t="shared" si="89"/>
        <v>6</v>
      </c>
      <c r="K1881">
        <f t="shared" si="88"/>
        <v>0</v>
      </c>
    </row>
    <row r="1882" spans="1:11">
      <c r="A1882">
        <v>62.815</v>
      </c>
      <c r="B1882">
        <v>-198.1</v>
      </c>
      <c r="C1882">
        <v>25.8</v>
      </c>
      <c r="E1882">
        <v>62.782</v>
      </c>
      <c r="F1882">
        <v>-197.4</v>
      </c>
      <c r="G1882">
        <v>25.8</v>
      </c>
      <c r="I1882">
        <f t="shared" si="87"/>
        <v>62.75</v>
      </c>
      <c r="J1882">
        <f t="shared" si="89"/>
        <v>5.59999999999999</v>
      </c>
      <c r="K1882">
        <f t="shared" si="88"/>
        <v>0</v>
      </c>
    </row>
    <row r="1883" spans="1:11">
      <c r="A1883">
        <v>62.849</v>
      </c>
      <c r="B1883">
        <v>-198.5</v>
      </c>
      <c r="C1883">
        <v>25.4</v>
      </c>
      <c r="E1883">
        <v>62.815</v>
      </c>
      <c r="F1883">
        <v>-198.1</v>
      </c>
      <c r="G1883">
        <v>25.8</v>
      </c>
      <c r="I1883">
        <f t="shared" si="87"/>
        <v>62.8</v>
      </c>
      <c r="J1883">
        <f t="shared" si="89"/>
        <v>4.90000000000001</v>
      </c>
      <c r="K1883">
        <f t="shared" si="88"/>
        <v>0</v>
      </c>
    </row>
    <row r="1884" spans="1:11">
      <c r="A1884">
        <v>62.882</v>
      </c>
      <c r="B1884">
        <v>-199.1</v>
      </c>
      <c r="C1884">
        <v>25.9</v>
      </c>
      <c r="E1884">
        <v>62.849</v>
      </c>
      <c r="F1884">
        <v>-198.5</v>
      </c>
      <c r="G1884">
        <v>25.4</v>
      </c>
      <c r="I1884">
        <f t="shared" si="87"/>
        <v>62.8</v>
      </c>
      <c r="J1884">
        <f t="shared" si="89"/>
        <v>4.5</v>
      </c>
      <c r="K1884">
        <f t="shared" si="88"/>
        <v>0</v>
      </c>
    </row>
    <row r="1885" spans="1:11">
      <c r="A1885">
        <v>62.916</v>
      </c>
      <c r="B1885">
        <v>-199.8</v>
      </c>
      <c r="C1885">
        <v>25.6</v>
      </c>
      <c r="E1885">
        <v>62.882</v>
      </c>
      <c r="F1885">
        <v>-199.1</v>
      </c>
      <c r="G1885">
        <v>25.9</v>
      </c>
      <c r="I1885">
        <f t="shared" si="87"/>
        <v>62.85</v>
      </c>
      <c r="J1885">
        <f t="shared" si="89"/>
        <v>3.90000000000001</v>
      </c>
      <c r="K1885">
        <f t="shared" si="88"/>
        <v>0</v>
      </c>
    </row>
    <row r="1886" spans="1:11">
      <c r="A1886">
        <v>62.949</v>
      </c>
      <c r="B1886">
        <v>-200.5</v>
      </c>
      <c r="C1886">
        <v>26.1</v>
      </c>
      <c r="E1886">
        <v>62.916</v>
      </c>
      <c r="F1886">
        <v>-199.8</v>
      </c>
      <c r="G1886">
        <v>25.6</v>
      </c>
      <c r="I1886">
        <f t="shared" si="87"/>
        <v>62.9</v>
      </c>
      <c r="J1886">
        <f t="shared" si="89"/>
        <v>3.19999999999999</v>
      </c>
      <c r="K1886">
        <f t="shared" si="88"/>
        <v>0</v>
      </c>
    </row>
    <row r="1887" spans="1:11">
      <c r="A1887">
        <v>62.983</v>
      </c>
      <c r="B1887">
        <v>-201.2</v>
      </c>
      <c r="C1887">
        <v>25.7</v>
      </c>
      <c r="E1887">
        <v>62.949</v>
      </c>
      <c r="F1887">
        <v>-200.5</v>
      </c>
      <c r="G1887">
        <v>26.1</v>
      </c>
      <c r="I1887">
        <f t="shared" ref="I1887:I1950" si="90">FLOOR(E1887,0.05)</f>
        <v>62.9</v>
      </c>
      <c r="J1887">
        <f t="shared" si="89"/>
        <v>2.5</v>
      </c>
      <c r="K1887">
        <f t="shared" ref="K1887:K1950" si="91">IF(G1887&lt;230,0,5)</f>
        <v>0</v>
      </c>
    </row>
    <row r="1888" spans="1:11">
      <c r="A1888">
        <v>63.016</v>
      </c>
      <c r="B1888">
        <v>-201.6</v>
      </c>
      <c r="C1888">
        <v>26</v>
      </c>
      <c r="E1888">
        <v>62.983</v>
      </c>
      <c r="F1888">
        <v>-201.2</v>
      </c>
      <c r="G1888">
        <v>25.7</v>
      </c>
      <c r="I1888">
        <f t="shared" si="90"/>
        <v>62.95</v>
      </c>
      <c r="J1888">
        <f t="shared" si="89"/>
        <v>1.80000000000001</v>
      </c>
      <c r="K1888">
        <f t="shared" si="91"/>
        <v>0</v>
      </c>
    </row>
    <row r="1889" spans="1:11">
      <c r="A1889">
        <v>63.049</v>
      </c>
      <c r="B1889">
        <v>-202.1</v>
      </c>
      <c r="C1889">
        <v>25.8</v>
      </c>
      <c r="E1889">
        <v>63.016</v>
      </c>
      <c r="F1889">
        <v>-201.6</v>
      </c>
      <c r="G1889">
        <v>26</v>
      </c>
      <c r="I1889">
        <f t="shared" si="90"/>
        <v>63</v>
      </c>
      <c r="J1889">
        <f t="shared" si="89"/>
        <v>1.40000000000001</v>
      </c>
      <c r="K1889">
        <f t="shared" si="91"/>
        <v>0</v>
      </c>
    </row>
    <row r="1890" spans="1:11">
      <c r="A1890">
        <v>63.083</v>
      </c>
      <c r="B1890">
        <v>-202.5</v>
      </c>
      <c r="C1890">
        <v>26.3</v>
      </c>
      <c r="E1890">
        <v>63.049</v>
      </c>
      <c r="F1890">
        <v>-202.1</v>
      </c>
      <c r="G1890">
        <v>25.8</v>
      </c>
      <c r="I1890">
        <f t="shared" si="90"/>
        <v>63</v>
      </c>
      <c r="J1890">
        <f t="shared" si="89"/>
        <v>0.900000000000006</v>
      </c>
      <c r="K1890">
        <f t="shared" si="91"/>
        <v>0</v>
      </c>
    </row>
    <row r="1891" spans="1:11">
      <c r="A1891">
        <v>63.116</v>
      </c>
      <c r="B1891">
        <v>-202.9</v>
      </c>
      <c r="C1891">
        <v>25.2</v>
      </c>
      <c r="E1891">
        <v>63.083</v>
      </c>
      <c r="F1891">
        <v>-202.5</v>
      </c>
      <c r="G1891">
        <v>26.3</v>
      </c>
      <c r="I1891">
        <f t="shared" si="90"/>
        <v>63.05</v>
      </c>
      <c r="J1891">
        <f t="shared" si="89"/>
        <v>0.5</v>
      </c>
      <c r="K1891">
        <f t="shared" si="91"/>
        <v>0</v>
      </c>
    </row>
    <row r="1892" spans="1:11">
      <c r="A1892">
        <v>63.15</v>
      </c>
      <c r="B1892">
        <v>-203.2</v>
      </c>
      <c r="C1892">
        <v>25.8</v>
      </c>
      <c r="E1892">
        <v>63.116</v>
      </c>
      <c r="F1892">
        <v>-202.9</v>
      </c>
      <c r="G1892">
        <v>25.2</v>
      </c>
      <c r="I1892">
        <f t="shared" si="90"/>
        <v>63.1</v>
      </c>
      <c r="J1892">
        <f t="shared" si="89"/>
        <v>0.0999999999999943</v>
      </c>
      <c r="K1892">
        <f t="shared" si="91"/>
        <v>0</v>
      </c>
    </row>
    <row r="1893" spans="1:11">
      <c r="A1893">
        <v>63.183</v>
      </c>
      <c r="B1893">
        <v>-203.5</v>
      </c>
      <c r="C1893">
        <v>25.7</v>
      </c>
      <c r="E1893">
        <v>63.15</v>
      </c>
      <c r="F1893">
        <v>-203.2</v>
      </c>
      <c r="G1893">
        <v>25.8</v>
      </c>
      <c r="I1893">
        <f t="shared" si="90"/>
        <v>63.15</v>
      </c>
      <c r="J1893">
        <f t="shared" si="89"/>
        <v>-0.199999999999989</v>
      </c>
      <c r="K1893">
        <f t="shared" si="91"/>
        <v>0</v>
      </c>
    </row>
    <row r="1894" spans="1:11">
      <c r="A1894">
        <v>63.217</v>
      </c>
      <c r="B1894">
        <v>-203.6</v>
      </c>
      <c r="C1894">
        <v>25.7</v>
      </c>
      <c r="E1894">
        <v>63.183</v>
      </c>
      <c r="F1894">
        <v>-203.5</v>
      </c>
      <c r="G1894">
        <v>25.7</v>
      </c>
      <c r="I1894">
        <f t="shared" si="90"/>
        <v>63.15</v>
      </c>
      <c r="J1894">
        <f t="shared" si="89"/>
        <v>-0.5</v>
      </c>
      <c r="K1894">
        <f t="shared" si="91"/>
        <v>0</v>
      </c>
    </row>
    <row r="1895" spans="1:11">
      <c r="A1895">
        <v>63.25</v>
      </c>
      <c r="B1895">
        <v>-203.7</v>
      </c>
      <c r="C1895">
        <v>25.8</v>
      </c>
      <c r="E1895">
        <v>63.217</v>
      </c>
      <c r="F1895">
        <v>-203.6</v>
      </c>
      <c r="G1895">
        <v>25.7</v>
      </c>
      <c r="I1895">
        <f t="shared" si="90"/>
        <v>63.2</v>
      </c>
      <c r="J1895">
        <f t="shared" si="89"/>
        <v>-0.599999999999994</v>
      </c>
      <c r="K1895">
        <f t="shared" si="91"/>
        <v>0</v>
      </c>
    </row>
    <row r="1896" spans="1:11">
      <c r="A1896">
        <v>63.283</v>
      </c>
      <c r="B1896">
        <v>-203.8</v>
      </c>
      <c r="C1896">
        <v>25.5</v>
      </c>
      <c r="E1896">
        <v>63.25</v>
      </c>
      <c r="F1896">
        <v>-203.7</v>
      </c>
      <c r="G1896">
        <v>25.8</v>
      </c>
      <c r="I1896">
        <f t="shared" si="90"/>
        <v>63.25</v>
      </c>
      <c r="J1896">
        <f t="shared" si="89"/>
        <v>-0.699999999999989</v>
      </c>
      <c r="K1896">
        <f t="shared" si="91"/>
        <v>0</v>
      </c>
    </row>
    <row r="1897" spans="1:11">
      <c r="A1897">
        <v>63.317</v>
      </c>
      <c r="B1897">
        <v>-203.7</v>
      </c>
      <c r="C1897">
        <v>25.1</v>
      </c>
      <c r="E1897">
        <v>63.283</v>
      </c>
      <c r="F1897">
        <v>-203.8</v>
      </c>
      <c r="G1897">
        <v>25.5</v>
      </c>
      <c r="I1897">
        <f t="shared" si="90"/>
        <v>63.25</v>
      </c>
      <c r="J1897">
        <f t="shared" si="89"/>
        <v>-0.800000000000011</v>
      </c>
      <c r="K1897">
        <f t="shared" si="91"/>
        <v>0</v>
      </c>
    </row>
    <row r="1898" spans="1:11">
      <c r="A1898">
        <v>63.35</v>
      </c>
      <c r="B1898">
        <v>-203.6</v>
      </c>
      <c r="C1898">
        <v>25.7</v>
      </c>
      <c r="E1898">
        <v>63.317</v>
      </c>
      <c r="F1898">
        <v>-203.7</v>
      </c>
      <c r="G1898">
        <v>25.1</v>
      </c>
      <c r="I1898">
        <f t="shared" si="90"/>
        <v>63.3</v>
      </c>
      <c r="J1898">
        <f t="shared" si="89"/>
        <v>-0.699999999999989</v>
      </c>
      <c r="K1898">
        <f t="shared" si="91"/>
        <v>0</v>
      </c>
    </row>
    <row r="1899" spans="1:11">
      <c r="A1899">
        <v>63.384</v>
      </c>
      <c r="B1899">
        <v>-203.6</v>
      </c>
      <c r="C1899">
        <v>25.7</v>
      </c>
      <c r="E1899">
        <v>63.35</v>
      </c>
      <c r="F1899">
        <v>-203.6</v>
      </c>
      <c r="G1899">
        <v>25.7</v>
      </c>
      <c r="I1899">
        <f t="shared" si="90"/>
        <v>63.35</v>
      </c>
      <c r="J1899">
        <f t="shared" si="89"/>
        <v>-0.599999999999994</v>
      </c>
      <c r="K1899">
        <f t="shared" si="91"/>
        <v>0</v>
      </c>
    </row>
    <row r="1900" spans="1:11">
      <c r="A1900">
        <v>63.417</v>
      </c>
      <c r="B1900">
        <v>-203.3</v>
      </c>
      <c r="C1900">
        <v>26.2</v>
      </c>
      <c r="E1900">
        <v>63.384</v>
      </c>
      <c r="F1900">
        <v>-203.6</v>
      </c>
      <c r="G1900">
        <v>25.7</v>
      </c>
      <c r="I1900">
        <f t="shared" si="90"/>
        <v>63.35</v>
      </c>
      <c r="J1900">
        <f t="shared" si="89"/>
        <v>-0.599999999999994</v>
      </c>
      <c r="K1900">
        <f t="shared" si="91"/>
        <v>0</v>
      </c>
    </row>
    <row r="1901" spans="1:11">
      <c r="A1901">
        <v>63.451</v>
      </c>
      <c r="B1901">
        <v>-203.1</v>
      </c>
      <c r="C1901">
        <v>25.4</v>
      </c>
      <c r="E1901">
        <v>63.417</v>
      </c>
      <c r="F1901">
        <v>-203.3</v>
      </c>
      <c r="G1901">
        <v>26.2</v>
      </c>
      <c r="I1901">
        <f t="shared" si="90"/>
        <v>63.4</v>
      </c>
      <c r="J1901">
        <f t="shared" si="89"/>
        <v>-0.300000000000011</v>
      </c>
      <c r="K1901">
        <f t="shared" si="91"/>
        <v>0</v>
      </c>
    </row>
    <row r="1902" spans="1:11">
      <c r="A1902">
        <v>63.484</v>
      </c>
      <c r="B1902">
        <v>-202.5</v>
      </c>
      <c r="C1902">
        <v>25.7</v>
      </c>
      <c r="E1902">
        <v>63.451</v>
      </c>
      <c r="F1902">
        <v>-203.1</v>
      </c>
      <c r="G1902">
        <v>25.4</v>
      </c>
      <c r="I1902">
        <f t="shared" si="90"/>
        <v>63.45</v>
      </c>
      <c r="J1902">
        <f t="shared" si="89"/>
        <v>-0.0999999999999943</v>
      </c>
      <c r="K1902">
        <f t="shared" si="91"/>
        <v>0</v>
      </c>
    </row>
    <row r="1903" spans="1:11">
      <c r="A1903">
        <v>63.517</v>
      </c>
      <c r="B1903">
        <v>-202.3</v>
      </c>
      <c r="C1903">
        <v>25.5</v>
      </c>
      <c r="E1903">
        <v>63.484</v>
      </c>
      <c r="F1903">
        <v>-202.5</v>
      </c>
      <c r="G1903">
        <v>25.7</v>
      </c>
      <c r="I1903">
        <f t="shared" si="90"/>
        <v>63.45</v>
      </c>
      <c r="J1903">
        <f t="shared" si="89"/>
        <v>0.5</v>
      </c>
      <c r="K1903">
        <f t="shared" si="91"/>
        <v>0</v>
      </c>
    </row>
    <row r="1904" spans="1:11">
      <c r="A1904">
        <v>63.551</v>
      </c>
      <c r="B1904">
        <v>-202</v>
      </c>
      <c r="C1904">
        <v>25.3</v>
      </c>
      <c r="E1904">
        <v>63.517</v>
      </c>
      <c r="F1904">
        <v>-202.3</v>
      </c>
      <c r="G1904">
        <v>25.5</v>
      </c>
      <c r="I1904">
        <f t="shared" si="90"/>
        <v>63.5</v>
      </c>
      <c r="J1904">
        <f t="shared" si="89"/>
        <v>0.699999999999989</v>
      </c>
      <c r="K1904">
        <f t="shared" si="91"/>
        <v>0</v>
      </c>
    </row>
    <row r="1905" spans="1:11">
      <c r="A1905">
        <v>63.584</v>
      </c>
      <c r="B1905">
        <v>-201.4</v>
      </c>
      <c r="C1905">
        <v>25.6</v>
      </c>
      <c r="E1905">
        <v>63.551</v>
      </c>
      <c r="F1905">
        <v>-202</v>
      </c>
      <c r="G1905">
        <v>25.3</v>
      </c>
      <c r="I1905">
        <f t="shared" si="90"/>
        <v>63.55</v>
      </c>
      <c r="J1905">
        <f t="shared" si="89"/>
        <v>1</v>
      </c>
      <c r="K1905">
        <f t="shared" si="91"/>
        <v>0</v>
      </c>
    </row>
    <row r="1906" spans="1:11">
      <c r="A1906">
        <v>63.618</v>
      </c>
      <c r="B1906">
        <v>-200.9</v>
      </c>
      <c r="C1906">
        <v>26.1</v>
      </c>
      <c r="E1906">
        <v>63.584</v>
      </c>
      <c r="F1906">
        <v>-201.4</v>
      </c>
      <c r="G1906">
        <v>25.6</v>
      </c>
      <c r="I1906">
        <f t="shared" si="90"/>
        <v>63.55</v>
      </c>
      <c r="J1906">
        <f t="shared" si="89"/>
        <v>1.59999999999999</v>
      </c>
      <c r="K1906">
        <f t="shared" si="91"/>
        <v>0</v>
      </c>
    </row>
    <row r="1907" spans="1:11">
      <c r="A1907">
        <v>63.651</v>
      </c>
      <c r="B1907">
        <v>-200.4</v>
      </c>
      <c r="C1907">
        <v>26.2</v>
      </c>
      <c r="E1907">
        <v>63.618</v>
      </c>
      <c r="F1907">
        <v>-200.9</v>
      </c>
      <c r="G1907">
        <v>26.1</v>
      </c>
      <c r="I1907">
        <f t="shared" si="90"/>
        <v>63.6</v>
      </c>
      <c r="J1907">
        <f t="shared" si="89"/>
        <v>2.09999999999999</v>
      </c>
      <c r="K1907">
        <f t="shared" si="91"/>
        <v>0</v>
      </c>
    </row>
    <row r="1908" spans="1:11">
      <c r="A1908">
        <v>63.685</v>
      </c>
      <c r="B1908">
        <v>-199.7</v>
      </c>
      <c r="C1908">
        <v>25.7</v>
      </c>
      <c r="E1908">
        <v>63.651</v>
      </c>
      <c r="F1908">
        <v>-200.4</v>
      </c>
      <c r="G1908">
        <v>26.2</v>
      </c>
      <c r="I1908">
        <f t="shared" si="90"/>
        <v>63.65</v>
      </c>
      <c r="J1908">
        <f t="shared" si="89"/>
        <v>2.59999999999999</v>
      </c>
      <c r="K1908">
        <f t="shared" si="91"/>
        <v>0</v>
      </c>
    </row>
    <row r="1909" spans="1:11">
      <c r="A1909">
        <v>63.718</v>
      </c>
      <c r="B1909">
        <v>-198.9</v>
      </c>
      <c r="C1909">
        <v>26.4</v>
      </c>
      <c r="E1909">
        <v>63.685</v>
      </c>
      <c r="F1909">
        <v>-199.7</v>
      </c>
      <c r="G1909">
        <v>25.7</v>
      </c>
      <c r="I1909">
        <f t="shared" si="90"/>
        <v>63.65</v>
      </c>
      <c r="J1909">
        <f t="shared" si="89"/>
        <v>3.30000000000001</v>
      </c>
      <c r="K1909">
        <f t="shared" si="91"/>
        <v>0</v>
      </c>
    </row>
    <row r="1910" spans="1:11">
      <c r="A1910">
        <v>63.751</v>
      </c>
      <c r="B1910">
        <v>-198.4</v>
      </c>
      <c r="C1910">
        <v>26.3</v>
      </c>
      <c r="E1910">
        <v>63.718</v>
      </c>
      <c r="F1910">
        <v>-198.9</v>
      </c>
      <c r="G1910">
        <v>26.4</v>
      </c>
      <c r="I1910">
        <f t="shared" si="90"/>
        <v>63.7</v>
      </c>
      <c r="J1910">
        <f t="shared" si="89"/>
        <v>4.09999999999999</v>
      </c>
      <c r="K1910">
        <f t="shared" si="91"/>
        <v>0</v>
      </c>
    </row>
    <row r="1911" spans="1:11">
      <c r="A1911">
        <v>63.785</v>
      </c>
      <c r="B1911">
        <v>-198</v>
      </c>
      <c r="C1911">
        <v>26.3</v>
      </c>
      <c r="E1911">
        <v>63.751</v>
      </c>
      <c r="F1911">
        <v>-198.4</v>
      </c>
      <c r="G1911">
        <v>26.3</v>
      </c>
      <c r="I1911">
        <f t="shared" si="90"/>
        <v>63.75</v>
      </c>
      <c r="J1911">
        <f t="shared" si="89"/>
        <v>4.59999999999999</v>
      </c>
      <c r="K1911">
        <f t="shared" si="91"/>
        <v>0</v>
      </c>
    </row>
    <row r="1912" spans="1:11">
      <c r="A1912">
        <v>63.818</v>
      </c>
      <c r="B1912">
        <v>-197.4</v>
      </c>
      <c r="C1912">
        <v>25.8</v>
      </c>
      <c r="E1912">
        <v>63.785</v>
      </c>
      <c r="F1912">
        <v>-198</v>
      </c>
      <c r="G1912">
        <v>26.3</v>
      </c>
      <c r="I1912">
        <f t="shared" si="90"/>
        <v>63.75</v>
      </c>
      <c r="J1912">
        <f t="shared" si="89"/>
        <v>5</v>
      </c>
      <c r="K1912">
        <f t="shared" si="91"/>
        <v>0</v>
      </c>
    </row>
    <row r="1913" spans="1:11">
      <c r="A1913">
        <v>63.852</v>
      </c>
      <c r="B1913">
        <v>-197.3</v>
      </c>
      <c r="C1913">
        <v>25.6</v>
      </c>
      <c r="E1913">
        <v>63.818</v>
      </c>
      <c r="F1913">
        <v>-197.4</v>
      </c>
      <c r="G1913">
        <v>25.8</v>
      </c>
      <c r="I1913">
        <f t="shared" si="90"/>
        <v>63.8</v>
      </c>
      <c r="J1913">
        <f t="shared" si="89"/>
        <v>5.59999999999999</v>
      </c>
      <c r="K1913">
        <f t="shared" si="91"/>
        <v>0</v>
      </c>
    </row>
    <row r="1914" spans="1:11">
      <c r="A1914">
        <v>63.885</v>
      </c>
      <c r="B1914">
        <v>-197.2</v>
      </c>
      <c r="C1914">
        <v>26.5</v>
      </c>
      <c r="E1914">
        <v>63.852</v>
      </c>
      <c r="F1914">
        <v>-197.3</v>
      </c>
      <c r="G1914">
        <v>25.6</v>
      </c>
      <c r="I1914">
        <f t="shared" si="90"/>
        <v>63.85</v>
      </c>
      <c r="J1914">
        <f t="shared" si="89"/>
        <v>5.69999999999999</v>
      </c>
      <c r="K1914">
        <f t="shared" si="91"/>
        <v>0</v>
      </c>
    </row>
    <row r="1915" spans="1:11">
      <c r="A1915">
        <v>63.919</v>
      </c>
      <c r="B1915">
        <v>-196.9</v>
      </c>
      <c r="C1915">
        <v>26.7</v>
      </c>
      <c r="E1915">
        <v>63.885</v>
      </c>
      <c r="F1915">
        <v>-197.2</v>
      </c>
      <c r="G1915">
        <v>26.5</v>
      </c>
      <c r="I1915">
        <f t="shared" si="90"/>
        <v>63.85</v>
      </c>
      <c r="J1915">
        <f t="shared" si="89"/>
        <v>5.80000000000001</v>
      </c>
      <c r="K1915">
        <f t="shared" si="91"/>
        <v>0</v>
      </c>
    </row>
    <row r="1916" spans="1:11">
      <c r="A1916">
        <v>63.952</v>
      </c>
      <c r="B1916">
        <v>-196.8</v>
      </c>
      <c r="C1916">
        <v>25.6</v>
      </c>
      <c r="E1916">
        <v>63.919</v>
      </c>
      <c r="F1916">
        <v>-196.9</v>
      </c>
      <c r="G1916">
        <v>26.7</v>
      </c>
      <c r="I1916">
        <f t="shared" si="90"/>
        <v>63.9</v>
      </c>
      <c r="J1916">
        <f t="shared" si="89"/>
        <v>6.09999999999999</v>
      </c>
      <c r="K1916">
        <f t="shared" si="91"/>
        <v>0</v>
      </c>
    </row>
    <row r="1917" spans="1:11">
      <c r="A1917">
        <v>63.985</v>
      </c>
      <c r="B1917">
        <v>-196.6</v>
      </c>
      <c r="C1917">
        <v>26.1</v>
      </c>
      <c r="E1917">
        <v>63.952</v>
      </c>
      <c r="F1917">
        <v>-196.8</v>
      </c>
      <c r="G1917">
        <v>25.6</v>
      </c>
      <c r="I1917">
        <f t="shared" si="90"/>
        <v>63.95</v>
      </c>
      <c r="J1917">
        <f t="shared" si="89"/>
        <v>6.19999999999999</v>
      </c>
      <c r="K1917">
        <f t="shared" si="91"/>
        <v>0</v>
      </c>
    </row>
    <row r="1918" spans="1:11">
      <c r="A1918">
        <v>64.019</v>
      </c>
      <c r="B1918">
        <v>-196.6</v>
      </c>
      <c r="C1918">
        <v>26.5</v>
      </c>
      <c r="E1918">
        <v>63.985</v>
      </c>
      <c r="F1918">
        <v>-196.6</v>
      </c>
      <c r="G1918">
        <v>26.1</v>
      </c>
      <c r="I1918">
        <f t="shared" si="90"/>
        <v>63.95</v>
      </c>
      <c r="J1918">
        <f t="shared" si="89"/>
        <v>6.40000000000001</v>
      </c>
      <c r="K1918">
        <f t="shared" si="91"/>
        <v>0</v>
      </c>
    </row>
    <row r="1919" spans="1:11">
      <c r="A1919">
        <v>64.052</v>
      </c>
      <c r="B1919">
        <v>-196.7</v>
      </c>
      <c r="C1919">
        <v>25.8</v>
      </c>
      <c r="E1919">
        <v>64.019</v>
      </c>
      <c r="F1919">
        <v>-196.6</v>
      </c>
      <c r="G1919">
        <v>26.5</v>
      </c>
      <c r="I1919">
        <f t="shared" si="90"/>
        <v>64</v>
      </c>
      <c r="J1919">
        <f t="shared" si="89"/>
        <v>6.40000000000001</v>
      </c>
      <c r="K1919">
        <f t="shared" si="91"/>
        <v>0</v>
      </c>
    </row>
    <row r="1920" spans="1:11">
      <c r="A1920">
        <v>64.086</v>
      </c>
      <c r="B1920">
        <v>-196.8</v>
      </c>
      <c r="C1920">
        <v>25.7</v>
      </c>
      <c r="E1920">
        <v>64.052</v>
      </c>
      <c r="F1920">
        <v>-196.7</v>
      </c>
      <c r="G1920">
        <v>25.8</v>
      </c>
      <c r="I1920">
        <f t="shared" si="90"/>
        <v>64.05</v>
      </c>
      <c r="J1920">
        <f t="shared" si="89"/>
        <v>6.30000000000001</v>
      </c>
      <c r="K1920">
        <f t="shared" si="91"/>
        <v>0</v>
      </c>
    </row>
    <row r="1921" spans="1:11">
      <c r="A1921">
        <v>64.119</v>
      </c>
      <c r="B1921">
        <v>-196.8</v>
      </c>
      <c r="C1921">
        <v>25.6</v>
      </c>
      <c r="E1921">
        <v>64.086</v>
      </c>
      <c r="F1921">
        <v>-196.8</v>
      </c>
      <c r="G1921">
        <v>25.7</v>
      </c>
      <c r="I1921">
        <f t="shared" si="90"/>
        <v>64.05</v>
      </c>
      <c r="J1921">
        <f t="shared" si="89"/>
        <v>6.19999999999999</v>
      </c>
      <c r="K1921">
        <f t="shared" si="91"/>
        <v>0</v>
      </c>
    </row>
    <row r="1922" spans="1:11">
      <c r="A1922">
        <v>64.153</v>
      </c>
      <c r="B1922">
        <v>-197.1</v>
      </c>
      <c r="C1922">
        <v>26</v>
      </c>
      <c r="E1922">
        <v>64.119</v>
      </c>
      <c r="F1922">
        <v>-196.8</v>
      </c>
      <c r="G1922">
        <v>25.6</v>
      </c>
      <c r="I1922">
        <f t="shared" si="90"/>
        <v>64.1</v>
      </c>
      <c r="J1922">
        <f t="shared" si="89"/>
        <v>6.19999999999999</v>
      </c>
      <c r="K1922">
        <f t="shared" si="91"/>
        <v>0</v>
      </c>
    </row>
    <row r="1923" spans="1:11">
      <c r="A1923">
        <v>64.186</v>
      </c>
      <c r="B1923">
        <v>-197.3</v>
      </c>
      <c r="C1923">
        <v>25.6</v>
      </c>
      <c r="E1923">
        <v>64.153</v>
      </c>
      <c r="F1923">
        <v>-197.1</v>
      </c>
      <c r="G1923">
        <v>26</v>
      </c>
      <c r="I1923">
        <f t="shared" si="90"/>
        <v>64.15</v>
      </c>
      <c r="J1923">
        <f t="shared" si="89"/>
        <v>5.90000000000001</v>
      </c>
      <c r="K1923">
        <f t="shared" si="91"/>
        <v>0</v>
      </c>
    </row>
    <row r="1924" spans="1:11">
      <c r="A1924">
        <v>64.219</v>
      </c>
      <c r="B1924">
        <v>-197.8</v>
      </c>
      <c r="C1924">
        <v>25.7</v>
      </c>
      <c r="E1924">
        <v>64.186</v>
      </c>
      <c r="F1924">
        <v>-197.3</v>
      </c>
      <c r="G1924">
        <v>25.6</v>
      </c>
      <c r="I1924">
        <f t="shared" si="90"/>
        <v>64.15</v>
      </c>
      <c r="J1924">
        <f t="shared" si="89"/>
        <v>5.69999999999999</v>
      </c>
      <c r="K1924">
        <f t="shared" si="91"/>
        <v>0</v>
      </c>
    </row>
    <row r="1925" spans="1:11">
      <c r="A1925">
        <v>64.253</v>
      </c>
      <c r="B1925">
        <v>-198.2</v>
      </c>
      <c r="C1925">
        <v>25.9</v>
      </c>
      <c r="E1925">
        <v>64.219</v>
      </c>
      <c r="F1925">
        <v>-197.8</v>
      </c>
      <c r="G1925">
        <v>25.7</v>
      </c>
      <c r="I1925">
        <f t="shared" si="90"/>
        <v>64.2</v>
      </c>
      <c r="J1925">
        <f t="shared" ref="J1925:J1988" si="92">F1925+203</f>
        <v>5.19999999999999</v>
      </c>
      <c r="K1925">
        <f t="shared" si="91"/>
        <v>0</v>
      </c>
    </row>
    <row r="1926" spans="1:11">
      <c r="A1926">
        <v>64.286</v>
      </c>
      <c r="B1926">
        <v>-198.6</v>
      </c>
      <c r="C1926">
        <v>25.3</v>
      </c>
      <c r="E1926">
        <v>64.253</v>
      </c>
      <c r="F1926">
        <v>-198.2</v>
      </c>
      <c r="G1926">
        <v>25.9</v>
      </c>
      <c r="I1926">
        <f t="shared" si="90"/>
        <v>64.25</v>
      </c>
      <c r="J1926">
        <f t="shared" si="92"/>
        <v>4.80000000000001</v>
      </c>
      <c r="K1926">
        <f t="shared" si="91"/>
        <v>0</v>
      </c>
    </row>
    <row r="1927" spans="1:11">
      <c r="A1927">
        <v>64.32</v>
      </c>
      <c r="B1927">
        <v>-199.1</v>
      </c>
      <c r="C1927">
        <v>25.7</v>
      </c>
      <c r="E1927">
        <v>64.286</v>
      </c>
      <c r="F1927">
        <v>-198.6</v>
      </c>
      <c r="G1927">
        <v>25.3</v>
      </c>
      <c r="I1927">
        <f t="shared" si="90"/>
        <v>64.25</v>
      </c>
      <c r="J1927">
        <f t="shared" si="92"/>
        <v>4.40000000000001</v>
      </c>
      <c r="K1927">
        <f t="shared" si="91"/>
        <v>0</v>
      </c>
    </row>
    <row r="1928" spans="1:11">
      <c r="A1928">
        <v>64.353</v>
      </c>
      <c r="B1928">
        <v>-199.6</v>
      </c>
      <c r="C1928">
        <v>26.2</v>
      </c>
      <c r="E1928">
        <v>64.32</v>
      </c>
      <c r="F1928">
        <v>-199.1</v>
      </c>
      <c r="G1928">
        <v>25.7</v>
      </c>
      <c r="I1928">
        <f t="shared" si="90"/>
        <v>64.3</v>
      </c>
      <c r="J1928">
        <f t="shared" si="92"/>
        <v>3.90000000000001</v>
      </c>
      <c r="K1928">
        <f t="shared" si="91"/>
        <v>0</v>
      </c>
    </row>
    <row r="1929" spans="1:11">
      <c r="A1929">
        <v>64.387</v>
      </c>
      <c r="B1929">
        <v>-200.3</v>
      </c>
      <c r="C1929">
        <v>25.7</v>
      </c>
      <c r="E1929">
        <v>64.353</v>
      </c>
      <c r="F1929">
        <v>-199.6</v>
      </c>
      <c r="G1929">
        <v>26.2</v>
      </c>
      <c r="I1929">
        <f t="shared" si="90"/>
        <v>64.35</v>
      </c>
      <c r="J1929">
        <f t="shared" si="92"/>
        <v>3.40000000000001</v>
      </c>
      <c r="K1929">
        <f t="shared" si="91"/>
        <v>0</v>
      </c>
    </row>
    <row r="1930" spans="1:11">
      <c r="A1930">
        <v>64.42</v>
      </c>
      <c r="B1930">
        <v>-201</v>
      </c>
      <c r="C1930">
        <v>26</v>
      </c>
      <c r="E1930">
        <v>64.387</v>
      </c>
      <c r="F1930">
        <v>-200.3</v>
      </c>
      <c r="G1930">
        <v>25.7</v>
      </c>
      <c r="I1930">
        <f t="shared" si="90"/>
        <v>64.35</v>
      </c>
      <c r="J1930">
        <f t="shared" si="92"/>
        <v>2.69999999999999</v>
      </c>
      <c r="K1930">
        <f t="shared" si="91"/>
        <v>0</v>
      </c>
    </row>
    <row r="1931" spans="1:11">
      <c r="A1931">
        <v>64.453</v>
      </c>
      <c r="B1931">
        <v>-201.5</v>
      </c>
      <c r="C1931">
        <v>25.2</v>
      </c>
      <c r="E1931">
        <v>64.42</v>
      </c>
      <c r="F1931">
        <v>-201</v>
      </c>
      <c r="G1931">
        <v>26</v>
      </c>
      <c r="I1931">
        <f t="shared" si="90"/>
        <v>64.4</v>
      </c>
      <c r="J1931">
        <f t="shared" si="92"/>
        <v>2</v>
      </c>
      <c r="K1931">
        <f t="shared" si="91"/>
        <v>0</v>
      </c>
    </row>
    <row r="1932" spans="1:11">
      <c r="A1932">
        <v>64.487</v>
      </c>
      <c r="B1932">
        <v>-202.1</v>
      </c>
      <c r="C1932">
        <v>25.9</v>
      </c>
      <c r="E1932">
        <v>64.453</v>
      </c>
      <c r="F1932">
        <v>-201.5</v>
      </c>
      <c r="G1932">
        <v>25.2</v>
      </c>
      <c r="I1932">
        <f t="shared" si="90"/>
        <v>64.45</v>
      </c>
      <c r="J1932">
        <f t="shared" si="92"/>
        <v>1.5</v>
      </c>
      <c r="K1932">
        <f t="shared" si="91"/>
        <v>0</v>
      </c>
    </row>
    <row r="1933" spans="1:11">
      <c r="A1933">
        <v>64.52</v>
      </c>
      <c r="B1933">
        <v>-202.3</v>
      </c>
      <c r="C1933">
        <v>25.9</v>
      </c>
      <c r="E1933">
        <v>64.487</v>
      </c>
      <c r="F1933">
        <v>-202.1</v>
      </c>
      <c r="G1933">
        <v>25.9</v>
      </c>
      <c r="I1933">
        <f t="shared" si="90"/>
        <v>64.45</v>
      </c>
      <c r="J1933">
        <f t="shared" si="92"/>
        <v>0.900000000000006</v>
      </c>
      <c r="K1933">
        <f t="shared" si="91"/>
        <v>0</v>
      </c>
    </row>
    <row r="1934" spans="1:11">
      <c r="A1934">
        <v>64.554</v>
      </c>
      <c r="B1934">
        <v>-202.8</v>
      </c>
      <c r="C1934">
        <v>25.3</v>
      </c>
      <c r="E1934">
        <v>64.52</v>
      </c>
      <c r="F1934">
        <v>-202.3</v>
      </c>
      <c r="G1934">
        <v>25.9</v>
      </c>
      <c r="I1934">
        <f t="shared" si="90"/>
        <v>64.5</v>
      </c>
      <c r="J1934">
        <f t="shared" si="92"/>
        <v>0.699999999999989</v>
      </c>
      <c r="K1934">
        <f t="shared" si="91"/>
        <v>0</v>
      </c>
    </row>
    <row r="1935" spans="1:11">
      <c r="A1935">
        <v>64.587</v>
      </c>
      <c r="B1935">
        <v>-203.1</v>
      </c>
      <c r="C1935">
        <v>26.1</v>
      </c>
      <c r="E1935">
        <v>64.554</v>
      </c>
      <c r="F1935">
        <v>-202.8</v>
      </c>
      <c r="G1935">
        <v>25.3</v>
      </c>
      <c r="I1935">
        <f t="shared" si="90"/>
        <v>64.55</v>
      </c>
      <c r="J1935">
        <f t="shared" si="92"/>
        <v>0.199999999999989</v>
      </c>
      <c r="K1935">
        <f t="shared" si="91"/>
        <v>0</v>
      </c>
    </row>
    <row r="1936" spans="1:11">
      <c r="A1936">
        <v>64.621</v>
      </c>
      <c r="B1936">
        <v>-203.2</v>
      </c>
      <c r="C1936">
        <v>26.1</v>
      </c>
      <c r="E1936">
        <v>64.587</v>
      </c>
      <c r="F1936">
        <v>-203.1</v>
      </c>
      <c r="G1936">
        <v>26.1</v>
      </c>
      <c r="I1936">
        <f t="shared" si="90"/>
        <v>64.55</v>
      </c>
      <c r="J1936">
        <f t="shared" si="92"/>
        <v>-0.0999999999999943</v>
      </c>
      <c r="K1936">
        <f t="shared" si="91"/>
        <v>0</v>
      </c>
    </row>
    <row r="1937" spans="1:11">
      <c r="A1937">
        <v>64.654</v>
      </c>
      <c r="B1937">
        <v>-203.2</v>
      </c>
      <c r="C1937">
        <v>25.7</v>
      </c>
      <c r="E1937">
        <v>64.621</v>
      </c>
      <c r="F1937">
        <v>-203.2</v>
      </c>
      <c r="G1937">
        <v>26.1</v>
      </c>
      <c r="I1937">
        <f t="shared" si="90"/>
        <v>64.6</v>
      </c>
      <c r="J1937">
        <f t="shared" si="92"/>
        <v>-0.199999999999989</v>
      </c>
      <c r="K1937">
        <f t="shared" si="91"/>
        <v>0</v>
      </c>
    </row>
    <row r="1938" spans="1:11">
      <c r="A1938">
        <v>64.687</v>
      </c>
      <c r="B1938">
        <v>-203.1</v>
      </c>
      <c r="C1938">
        <v>25.2</v>
      </c>
      <c r="E1938">
        <v>64.654</v>
      </c>
      <c r="F1938">
        <v>-203.2</v>
      </c>
      <c r="G1938">
        <v>25.7</v>
      </c>
      <c r="I1938">
        <f t="shared" si="90"/>
        <v>64.65</v>
      </c>
      <c r="J1938">
        <f t="shared" si="92"/>
        <v>-0.199999999999989</v>
      </c>
      <c r="K1938">
        <f t="shared" si="91"/>
        <v>0</v>
      </c>
    </row>
    <row r="1939" spans="1:11">
      <c r="A1939">
        <v>64.721</v>
      </c>
      <c r="B1939">
        <v>-203.1</v>
      </c>
      <c r="C1939">
        <v>26.5</v>
      </c>
      <c r="E1939">
        <v>64.687</v>
      </c>
      <c r="F1939">
        <v>-203.1</v>
      </c>
      <c r="G1939">
        <v>25.2</v>
      </c>
      <c r="I1939">
        <f t="shared" si="90"/>
        <v>64.65</v>
      </c>
      <c r="J1939">
        <f t="shared" si="92"/>
        <v>-0.0999999999999943</v>
      </c>
      <c r="K1939">
        <f t="shared" si="91"/>
        <v>0</v>
      </c>
    </row>
    <row r="1940" spans="1:11">
      <c r="A1940">
        <v>64.754</v>
      </c>
      <c r="B1940">
        <v>-203.1</v>
      </c>
      <c r="C1940">
        <v>26</v>
      </c>
      <c r="E1940">
        <v>64.721</v>
      </c>
      <c r="F1940">
        <v>-203.1</v>
      </c>
      <c r="G1940">
        <v>26.5</v>
      </c>
      <c r="I1940">
        <f t="shared" si="90"/>
        <v>64.7</v>
      </c>
      <c r="J1940">
        <f t="shared" si="92"/>
        <v>-0.0999999999999943</v>
      </c>
      <c r="K1940">
        <f t="shared" si="91"/>
        <v>0</v>
      </c>
    </row>
    <row r="1941" spans="1:11">
      <c r="A1941">
        <v>64.788</v>
      </c>
      <c r="B1941">
        <v>-202.9</v>
      </c>
      <c r="C1941">
        <v>25.6</v>
      </c>
      <c r="E1941">
        <v>64.754</v>
      </c>
      <c r="F1941">
        <v>-203.1</v>
      </c>
      <c r="G1941">
        <v>26</v>
      </c>
      <c r="I1941">
        <f t="shared" si="90"/>
        <v>64.75</v>
      </c>
      <c r="J1941">
        <f t="shared" si="92"/>
        <v>-0.0999999999999943</v>
      </c>
      <c r="K1941">
        <f t="shared" si="91"/>
        <v>0</v>
      </c>
    </row>
    <row r="1942" spans="1:11">
      <c r="A1942">
        <v>64.821</v>
      </c>
      <c r="B1942">
        <v>-202.8</v>
      </c>
      <c r="C1942">
        <v>25.9</v>
      </c>
      <c r="E1942">
        <v>64.788</v>
      </c>
      <c r="F1942">
        <v>-202.9</v>
      </c>
      <c r="G1942">
        <v>25.6</v>
      </c>
      <c r="I1942">
        <f t="shared" si="90"/>
        <v>64.75</v>
      </c>
      <c r="J1942">
        <f t="shared" si="92"/>
        <v>0.0999999999999943</v>
      </c>
      <c r="K1942">
        <f t="shared" si="91"/>
        <v>0</v>
      </c>
    </row>
    <row r="1943" spans="1:11">
      <c r="A1943">
        <v>64.855</v>
      </c>
      <c r="B1943">
        <v>-202.7</v>
      </c>
      <c r="C1943">
        <v>25.5</v>
      </c>
      <c r="E1943">
        <v>64.821</v>
      </c>
      <c r="F1943">
        <v>-202.8</v>
      </c>
      <c r="G1943">
        <v>25.9</v>
      </c>
      <c r="I1943">
        <f t="shared" si="90"/>
        <v>64.8</v>
      </c>
      <c r="J1943">
        <f t="shared" si="92"/>
        <v>0.199999999999989</v>
      </c>
      <c r="K1943">
        <f t="shared" si="91"/>
        <v>0</v>
      </c>
    </row>
    <row r="1944" spans="1:11">
      <c r="A1944">
        <v>64.888</v>
      </c>
      <c r="B1944">
        <v>-202.5</v>
      </c>
      <c r="C1944">
        <v>25.5</v>
      </c>
      <c r="E1944">
        <v>64.855</v>
      </c>
      <c r="F1944">
        <v>-202.7</v>
      </c>
      <c r="G1944">
        <v>25.5</v>
      </c>
      <c r="I1944">
        <f t="shared" si="90"/>
        <v>64.85</v>
      </c>
      <c r="J1944">
        <f t="shared" si="92"/>
        <v>0.300000000000011</v>
      </c>
      <c r="K1944">
        <f t="shared" si="91"/>
        <v>0</v>
      </c>
    </row>
    <row r="1945" spans="1:11">
      <c r="A1945">
        <v>64.921</v>
      </c>
      <c r="B1945">
        <v>-202.3</v>
      </c>
      <c r="C1945">
        <v>26.8</v>
      </c>
      <c r="E1945">
        <v>64.888</v>
      </c>
      <c r="F1945">
        <v>-202.5</v>
      </c>
      <c r="G1945">
        <v>25.5</v>
      </c>
      <c r="I1945">
        <f t="shared" si="90"/>
        <v>64.85</v>
      </c>
      <c r="J1945">
        <f t="shared" si="92"/>
        <v>0.5</v>
      </c>
      <c r="K1945">
        <f t="shared" si="91"/>
        <v>0</v>
      </c>
    </row>
    <row r="1946" spans="1:11">
      <c r="A1946">
        <v>64.955</v>
      </c>
      <c r="B1946">
        <v>-202.2</v>
      </c>
      <c r="C1946">
        <v>26</v>
      </c>
      <c r="E1946">
        <v>64.921</v>
      </c>
      <c r="F1946">
        <v>-202.3</v>
      </c>
      <c r="G1946">
        <v>26.8</v>
      </c>
      <c r="I1946">
        <f t="shared" si="90"/>
        <v>64.9</v>
      </c>
      <c r="J1946">
        <f t="shared" si="92"/>
        <v>0.699999999999989</v>
      </c>
      <c r="K1946">
        <f t="shared" si="91"/>
        <v>0</v>
      </c>
    </row>
    <row r="1947" spans="1:11">
      <c r="A1947">
        <v>64.988</v>
      </c>
      <c r="B1947">
        <v>-201.6</v>
      </c>
      <c r="C1947">
        <v>26.5</v>
      </c>
      <c r="E1947">
        <v>64.955</v>
      </c>
      <c r="F1947">
        <v>-202.2</v>
      </c>
      <c r="G1947">
        <v>26</v>
      </c>
      <c r="I1947">
        <f t="shared" si="90"/>
        <v>64.95</v>
      </c>
      <c r="J1947">
        <f t="shared" si="92"/>
        <v>0.800000000000011</v>
      </c>
      <c r="K1947">
        <f t="shared" si="91"/>
        <v>0</v>
      </c>
    </row>
    <row r="1948" spans="1:11">
      <c r="A1948">
        <v>65.022</v>
      </c>
      <c r="B1948">
        <v>-201</v>
      </c>
      <c r="C1948">
        <v>25.5</v>
      </c>
      <c r="E1948">
        <v>64.988</v>
      </c>
      <c r="F1948">
        <v>-201.6</v>
      </c>
      <c r="G1948">
        <v>26.5</v>
      </c>
      <c r="I1948">
        <f t="shared" si="90"/>
        <v>64.95</v>
      </c>
      <c r="J1948">
        <f t="shared" si="92"/>
        <v>1.40000000000001</v>
      </c>
      <c r="K1948">
        <f t="shared" si="91"/>
        <v>0</v>
      </c>
    </row>
    <row r="1949" spans="1:11">
      <c r="A1949">
        <v>65.055</v>
      </c>
      <c r="B1949">
        <v>-200.4</v>
      </c>
      <c r="C1949">
        <v>26.1</v>
      </c>
      <c r="E1949">
        <v>65.022</v>
      </c>
      <c r="F1949">
        <v>-201</v>
      </c>
      <c r="G1949">
        <v>25.5</v>
      </c>
      <c r="I1949">
        <f t="shared" si="90"/>
        <v>65</v>
      </c>
      <c r="J1949">
        <f t="shared" si="92"/>
        <v>2</v>
      </c>
      <c r="K1949">
        <f t="shared" si="91"/>
        <v>0</v>
      </c>
    </row>
    <row r="1950" spans="1:11">
      <c r="A1950">
        <v>65.089</v>
      </c>
      <c r="B1950">
        <v>-199.8</v>
      </c>
      <c r="C1950">
        <v>25.9</v>
      </c>
      <c r="E1950">
        <v>65.055</v>
      </c>
      <c r="F1950">
        <v>-200.4</v>
      </c>
      <c r="G1950">
        <v>26.1</v>
      </c>
      <c r="I1950">
        <f t="shared" si="90"/>
        <v>65.05</v>
      </c>
      <c r="J1950">
        <f t="shared" si="92"/>
        <v>2.59999999999999</v>
      </c>
      <c r="K1950">
        <f t="shared" si="91"/>
        <v>0</v>
      </c>
    </row>
    <row r="1951" spans="1:11">
      <c r="A1951">
        <v>65.122</v>
      </c>
      <c r="B1951">
        <v>-199.1</v>
      </c>
      <c r="C1951">
        <v>25.7</v>
      </c>
      <c r="E1951">
        <v>65.089</v>
      </c>
      <c r="F1951">
        <v>-199.8</v>
      </c>
      <c r="G1951">
        <v>25.9</v>
      </c>
      <c r="I1951">
        <f t="shared" ref="I1951:I2014" si="93">FLOOR(E1951,0.05)</f>
        <v>65.05</v>
      </c>
      <c r="J1951">
        <f t="shared" si="92"/>
        <v>3.19999999999999</v>
      </c>
      <c r="K1951">
        <f t="shared" ref="K1951:K2014" si="94">IF(G1951&lt;230,0,5)</f>
        <v>0</v>
      </c>
    </row>
    <row r="1952" spans="1:11">
      <c r="A1952">
        <v>65.155</v>
      </c>
      <c r="B1952">
        <v>-198.5</v>
      </c>
      <c r="C1952">
        <v>26.5</v>
      </c>
      <c r="E1952">
        <v>65.122</v>
      </c>
      <c r="F1952">
        <v>-199.1</v>
      </c>
      <c r="G1952">
        <v>25.7</v>
      </c>
      <c r="I1952">
        <f t="shared" si="93"/>
        <v>65.1</v>
      </c>
      <c r="J1952">
        <f t="shared" si="92"/>
        <v>3.90000000000001</v>
      </c>
      <c r="K1952">
        <f t="shared" si="94"/>
        <v>0</v>
      </c>
    </row>
    <row r="1953" spans="1:11">
      <c r="A1953">
        <v>65.189</v>
      </c>
      <c r="B1953">
        <v>-198.3</v>
      </c>
      <c r="C1953">
        <v>25.1</v>
      </c>
      <c r="E1953">
        <v>65.155</v>
      </c>
      <c r="F1953">
        <v>-198.5</v>
      </c>
      <c r="G1953">
        <v>26.5</v>
      </c>
      <c r="I1953">
        <f t="shared" si="93"/>
        <v>65.15</v>
      </c>
      <c r="J1953">
        <f t="shared" si="92"/>
        <v>4.5</v>
      </c>
      <c r="K1953">
        <f t="shared" si="94"/>
        <v>0</v>
      </c>
    </row>
    <row r="1954" spans="1:11">
      <c r="A1954">
        <v>65.222</v>
      </c>
      <c r="B1954">
        <v>-198.2</v>
      </c>
      <c r="C1954">
        <v>25.9</v>
      </c>
      <c r="E1954">
        <v>65.189</v>
      </c>
      <c r="F1954">
        <v>-198.3</v>
      </c>
      <c r="G1954">
        <v>25.1</v>
      </c>
      <c r="I1954">
        <f t="shared" si="93"/>
        <v>65.15</v>
      </c>
      <c r="J1954">
        <f t="shared" si="92"/>
        <v>4.69999999999999</v>
      </c>
      <c r="K1954">
        <f t="shared" si="94"/>
        <v>0</v>
      </c>
    </row>
    <row r="1955" spans="1:11">
      <c r="A1955">
        <v>65.256</v>
      </c>
      <c r="B1955">
        <v>-197.5</v>
      </c>
      <c r="C1955">
        <v>26.5</v>
      </c>
      <c r="E1955">
        <v>65.222</v>
      </c>
      <c r="F1955">
        <v>-198.2</v>
      </c>
      <c r="G1955">
        <v>25.9</v>
      </c>
      <c r="I1955">
        <f t="shared" si="93"/>
        <v>65.2</v>
      </c>
      <c r="J1955">
        <f t="shared" si="92"/>
        <v>4.80000000000001</v>
      </c>
      <c r="K1955">
        <f t="shared" si="94"/>
        <v>0</v>
      </c>
    </row>
    <row r="1956" spans="1:11">
      <c r="A1956">
        <v>65.289</v>
      </c>
      <c r="B1956">
        <v>-197.3</v>
      </c>
      <c r="C1956">
        <v>25.7</v>
      </c>
      <c r="E1956">
        <v>65.256</v>
      </c>
      <c r="F1956">
        <v>-197.5</v>
      </c>
      <c r="G1956">
        <v>26.5</v>
      </c>
      <c r="I1956">
        <f t="shared" si="93"/>
        <v>65.25</v>
      </c>
      <c r="J1956">
        <f t="shared" si="92"/>
        <v>5.5</v>
      </c>
      <c r="K1956">
        <f t="shared" si="94"/>
        <v>0</v>
      </c>
    </row>
    <row r="1957" spans="1:11">
      <c r="A1957">
        <v>65.323</v>
      </c>
      <c r="B1957">
        <v>-197.1</v>
      </c>
      <c r="C1957">
        <v>25.6</v>
      </c>
      <c r="E1957">
        <v>65.289</v>
      </c>
      <c r="F1957">
        <v>-197.3</v>
      </c>
      <c r="G1957">
        <v>25.7</v>
      </c>
      <c r="I1957">
        <f t="shared" si="93"/>
        <v>65.25</v>
      </c>
      <c r="J1957">
        <f t="shared" si="92"/>
        <v>5.69999999999999</v>
      </c>
      <c r="K1957">
        <f t="shared" si="94"/>
        <v>0</v>
      </c>
    </row>
    <row r="1958" spans="1:11">
      <c r="A1958">
        <v>65.356</v>
      </c>
      <c r="B1958">
        <v>-196.7</v>
      </c>
      <c r="C1958">
        <v>25.5</v>
      </c>
      <c r="E1958">
        <v>65.323</v>
      </c>
      <c r="F1958">
        <v>-197.1</v>
      </c>
      <c r="G1958">
        <v>25.6</v>
      </c>
      <c r="I1958">
        <f t="shared" si="93"/>
        <v>65.3</v>
      </c>
      <c r="J1958">
        <f t="shared" si="92"/>
        <v>5.90000000000001</v>
      </c>
      <c r="K1958">
        <f t="shared" si="94"/>
        <v>0</v>
      </c>
    </row>
    <row r="1959" spans="1:11">
      <c r="A1959">
        <v>65.389</v>
      </c>
      <c r="B1959">
        <v>-196.7</v>
      </c>
      <c r="C1959">
        <v>26.8</v>
      </c>
      <c r="E1959">
        <v>65.356</v>
      </c>
      <c r="F1959">
        <v>-196.7</v>
      </c>
      <c r="G1959">
        <v>25.5</v>
      </c>
      <c r="I1959">
        <f t="shared" si="93"/>
        <v>65.35</v>
      </c>
      <c r="J1959">
        <f t="shared" si="92"/>
        <v>6.30000000000001</v>
      </c>
      <c r="K1959">
        <f t="shared" si="94"/>
        <v>0</v>
      </c>
    </row>
    <row r="1960" spans="1:11">
      <c r="A1960">
        <v>65.423</v>
      </c>
      <c r="B1960">
        <v>-196.6</v>
      </c>
      <c r="C1960">
        <v>26.1</v>
      </c>
      <c r="E1960">
        <v>65.389</v>
      </c>
      <c r="F1960">
        <v>-196.7</v>
      </c>
      <c r="G1960">
        <v>26.8</v>
      </c>
      <c r="I1960">
        <f t="shared" si="93"/>
        <v>65.35</v>
      </c>
      <c r="J1960">
        <f t="shared" si="92"/>
        <v>6.30000000000001</v>
      </c>
      <c r="K1960">
        <f t="shared" si="94"/>
        <v>0</v>
      </c>
    </row>
    <row r="1961" spans="1:11">
      <c r="A1961">
        <v>65.456</v>
      </c>
      <c r="B1961">
        <v>-196.7</v>
      </c>
      <c r="C1961">
        <v>25.8</v>
      </c>
      <c r="E1961">
        <v>65.423</v>
      </c>
      <c r="F1961">
        <v>-196.6</v>
      </c>
      <c r="G1961">
        <v>26.1</v>
      </c>
      <c r="I1961">
        <f t="shared" si="93"/>
        <v>65.4</v>
      </c>
      <c r="J1961">
        <f t="shared" si="92"/>
        <v>6.40000000000001</v>
      </c>
      <c r="K1961">
        <f t="shared" si="94"/>
        <v>0</v>
      </c>
    </row>
    <row r="1962" spans="1:11">
      <c r="A1962">
        <v>65.49</v>
      </c>
      <c r="B1962">
        <v>-196.7</v>
      </c>
      <c r="C1962">
        <v>26.1</v>
      </c>
      <c r="E1962">
        <v>65.456</v>
      </c>
      <c r="F1962">
        <v>-196.7</v>
      </c>
      <c r="G1962">
        <v>25.8</v>
      </c>
      <c r="I1962">
        <f t="shared" si="93"/>
        <v>65.45</v>
      </c>
      <c r="J1962">
        <f t="shared" si="92"/>
        <v>6.30000000000001</v>
      </c>
      <c r="K1962">
        <f t="shared" si="94"/>
        <v>0</v>
      </c>
    </row>
    <row r="1963" spans="1:11">
      <c r="A1963">
        <v>65.523</v>
      </c>
      <c r="B1963">
        <v>-196.7</v>
      </c>
      <c r="C1963">
        <v>26.1</v>
      </c>
      <c r="E1963">
        <v>65.49</v>
      </c>
      <c r="F1963">
        <v>-196.7</v>
      </c>
      <c r="G1963">
        <v>26.1</v>
      </c>
      <c r="I1963">
        <f t="shared" si="93"/>
        <v>65.45</v>
      </c>
      <c r="J1963">
        <f t="shared" si="92"/>
        <v>6.30000000000001</v>
      </c>
      <c r="K1963">
        <f t="shared" si="94"/>
        <v>0</v>
      </c>
    </row>
    <row r="1964" spans="1:11">
      <c r="A1964">
        <v>65.557</v>
      </c>
      <c r="B1964">
        <v>-196.9</v>
      </c>
      <c r="C1964">
        <v>25.8</v>
      </c>
      <c r="E1964">
        <v>65.523</v>
      </c>
      <c r="F1964">
        <v>-196.7</v>
      </c>
      <c r="G1964">
        <v>26.1</v>
      </c>
      <c r="I1964">
        <f t="shared" si="93"/>
        <v>65.5</v>
      </c>
      <c r="J1964">
        <f t="shared" si="92"/>
        <v>6.30000000000001</v>
      </c>
      <c r="K1964">
        <f t="shared" si="94"/>
        <v>0</v>
      </c>
    </row>
    <row r="1965" spans="1:11">
      <c r="A1965">
        <v>65.59</v>
      </c>
      <c r="B1965">
        <v>-197.1</v>
      </c>
      <c r="C1965">
        <v>25.8</v>
      </c>
      <c r="E1965">
        <v>65.557</v>
      </c>
      <c r="F1965">
        <v>-196.9</v>
      </c>
      <c r="G1965">
        <v>25.8</v>
      </c>
      <c r="I1965">
        <f t="shared" si="93"/>
        <v>65.55</v>
      </c>
      <c r="J1965">
        <f t="shared" si="92"/>
        <v>6.09999999999999</v>
      </c>
      <c r="K1965">
        <f t="shared" si="94"/>
        <v>0</v>
      </c>
    </row>
    <row r="1966" spans="1:11">
      <c r="A1966">
        <v>65.624</v>
      </c>
      <c r="B1966">
        <v>-197.2</v>
      </c>
      <c r="C1966">
        <v>25.4</v>
      </c>
      <c r="E1966">
        <v>65.59</v>
      </c>
      <c r="F1966">
        <v>-197.1</v>
      </c>
      <c r="G1966">
        <v>25.8</v>
      </c>
      <c r="I1966">
        <f t="shared" si="93"/>
        <v>65.55</v>
      </c>
      <c r="J1966">
        <f t="shared" si="92"/>
        <v>5.90000000000001</v>
      </c>
      <c r="K1966">
        <f t="shared" si="94"/>
        <v>0</v>
      </c>
    </row>
    <row r="1967" spans="1:11">
      <c r="A1967">
        <v>65.657</v>
      </c>
      <c r="B1967">
        <v>-197.5</v>
      </c>
      <c r="C1967">
        <v>25.9</v>
      </c>
      <c r="E1967">
        <v>65.624</v>
      </c>
      <c r="F1967">
        <v>-197.2</v>
      </c>
      <c r="G1967">
        <v>25.4</v>
      </c>
      <c r="I1967">
        <f t="shared" si="93"/>
        <v>65.6</v>
      </c>
      <c r="J1967">
        <f t="shared" si="92"/>
        <v>5.80000000000001</v>
      </c>
      <c r="K1967">
        <f t="shared" si="94"/>
        <v>0</v>
      </c>
    </row>
    <row r="1968" spans="1:11">
      <c r="A1968">
        <v>65.69</v>
      </c>
      <c r="B1968">
        <v>-197.9</v>
      </c>
      <c r="C1968">
        <v>25.8</v>
      </c>
      <c r="E1968">
        <v>65.657</v>
      </c>
      <c r="F1968">
        <v>-197.5</v>
      </c>
      <c r="G1968">
        <v>25.9</v>
      </c>
      <c r="I1968">
        <f t="shared" si="93"/>
        <v>65.65</v>
      </c>
      <c r="J1968">
        <f t="shared" si="92"/>
        <v>5.5</v>
      </c>
      <c r="K1968">
        <f t="shared" si="94"/>
        <v>0</v>
      </c>
    </row>
    <row r="1969" spans="1:11">
      <c r="A1969">
        <v>65.724</v>
      </c>
      <c r="B1969">
        <v>-198</v>
      </c>
      <c r="C1969">
        <v>25.9</v>
      </c>
      <c r="E1969">
        <v>65.69</v>
      </c>
      <c r="F1969">
        <v>-197.9</v>
      </c>
      <c r="G1969">
        <v>25.8</v>
      </c>
      <c r="I1969">
        <f t="shared" si="93"/>
        <v>65.65</v>
      </c>
      <c r="J1969">
        <f t="shared" si="92"/>
        <v>5.09999999999999</v>
      </c>
      <c r="K1969">
        <f t="shared" si="94"/>
        <v>0</v>
      </c>
    </row>
    <row r="1970" spans="1:11">
      <c r="A1970">
        <v>65.757</v>
      </c>
      <c r="B1970">
        <v>-198.5</v>
      </c>
      <c r="C1970">
        <v>26.2</v>
      </c>
      <c r="E1970">
        <v>65.724</v>
      </c>
      <c r="F1970">
        <v>-198</v>
      </c>
      <c r="G1970">
        <v>25.9</v>
      </c>
      <c r="I1970">
        <f t="shared" si="93"/>
        <v>65.7</v>
      </c>
      <c r="J1970">
        <f t="shared" si="92"/>
        <v>5</v>
      </c>
      <c r="K1970">
        <f t="shared" si="94"/>
        <v>0</v>
      </c>
    </row>
    <row r="1971" spans="1:11">
      <c r="A1971">
        <v>65.791</v>
      </c>
      <c r="B1971">
        <v>-198.9</v>
      </c>
      <c r="C1971">
        <v>26.1</v>
      </c>
      <c r="E1971">
        <v>65.757</v>
      </c>
      <c r="F1971">
        <v>-198.5</v>
      </c>
      <c r="G1971">
        <v>26.2</v>
      </c>
      <c r="I1971">
        <f t="shared" si="93"/>
        <v>65.75</v>
      </c>
      <c r="J1971">
        <f t="shared" si="92"/>
        <v>4.5</v>
      </c>
      <c r="K1971">
        <f t="shared" si="94"/>
        <v>0</v>
      </c>
    </row>
    <row r="1972" spans="1:11">
      <c r="A1972">
        <v>65.824</v>
      </c>
      <c r="B1972">
        <v>-199.2</v>
      </c>
      <c r="C1972">
        <v>25.9</v>
      </c>
      <c r="E1972">
        <v>65.791</v>
      </c>
      <c r="F1972">
        <v>-198.9</v>
      </c>
      <c r="G1972">
        <v>26.1</v>
      </c>
      <c r="I1972">
        <f t="shared" si="93"/>
        <v>65.75</v>
      </c>
      <c r="J1972">
        <f t="shared" si="92"/>
        <v>4.09999999999999</v>
      </c>
      <c r="K1972">
        <f t="shared" si="94"/>
        <v>0</v>
      </c>
    </row>
    <row r="1973" spans="1:11">
      <c r="A1973">
        <v>65.858</v>
      </c>
      <c r="B1973">
        <v>-199.5</v>
      </c>
      <c r="C1973">
        <v>25.7</v>
      </c>
      <c r="E1973">
        <v>65.824</v>
      </c>
      <c r="F1973">
        <v>-199.2</v>
      </c>
      <c r="G1973">
        <v>25.9</v>
      </c>
      <c r="I1973">
        <f t="shared" si="93"/>
        <v>65.8</v>
      </c>
      <c r="J1973">
        <f t="shared" si="92"/>
        <v>3.80000000000001</v>
      </c>
      <c r="K1973">
        <f t="shared" si="94"/>
        <v>0</v>
      </c>
    </row>
    <row r="1974" spans="1:11">
      <c r="A1974">
        <v>65.891</v>
      </c>
      <c r="B1974">
        <v>-200.5</v>
      </c>
      <c r="C1974">
        <v>26.1</v>
      </c>
      <c r="E1974">
        <v>65.858</v>
      </c>
      <c r="F1974">
        <v>-199.5</v>
      </c>
      <c r="G1974">
        <v>25.7</v>
      </c>
      <c r="I1974">
        <f t="shared" si="93"/>
        <v>65.85</v>
      </c>
      <c r="J1974">
        <f t="shared" si="92"/>
        <v>3.5</v>
      </c>
      <c r="K1974">
        <f t="shared" si="94"/>
        <v>0</v>
      </c>
    </row>
    <row r="1975" spans="1:11">
      <c r="A1975">
        <v>65.924</v>
      </c>
      <c r="B1975">
        <v>-201.2</v>
      </c>
      <c r="C1975">
        <v>26.4</v>
      </c>
      <c r="E1975">
        <v>65.891</v>
      </c>
      <c r="F1975">
        <v>-200.5</v>
      </c>
      <c r="G1975">
        <v>26.1</v>
      </c>
      <c r="I1975">
        <f t="shared" si="93"/>
        <v>65.85</v>
      </c>
      <c r="J1975">
        <f t="shared" si="92"/>
        <v>2.5</v>
      </c>
      <c r="K1975">
        <f t="shared" si="94"/>
        <v>0</v>
      </c>
    </row>
    <row r="1976" spans="1:11">
      <c r="A1976">
        <v>65.958</v>
      </c>
      <c r="B1976">
        <v>-201.5</v>
      </c>
      <c r="C1976">
        <v>25.3</v>
      </c>
      <c r="E1976">
        <v>65.924</v>
      </c>
      <c r="F1976">
        <v>-201.2</v>
      </c>
      <c r="G1976">
        <v>26.4</v>
      </c>
      <c r="I1976">
        <f t="shared" si="93"/>
        <v>65.9</v>
      </c>
      <c r="J1976">
        <f t="shared" si="92"/>
        <v>1.80000000000001</v>
      </c>
      <c r="K1976">
        <f t="shared" si="94"/>
        <v>0</v>
      </c>
    </row>
    <row r="1977" spans="1:11">
      <c r="A1977">
        <v>65.991</v>
      </c>
      <c r="B1977">
        <v>-202.1</v>
      </c>
      <c r="C1977">
        <v>26.3</v>
      </c>
      <c r="E1977">
        <v>65.958</v>
      </c>
      <c r="F1977">
        <v>-201.5</v>
      </c>
      <c r="G1977">
        <v>25.3</v>
      </c>
      <c r="I1977">
        <f t="shared" si="93"/>
        <v>65.95</v>
      </c>
      <c r="J1977">
        <f t="shared" si="92"/>
        <v>1.5</v>
      </c>
      <c r="K1977">
        <f t="shared" si="94"/>
        <v>0</v>
      </c>
    </row>
    <row r="1978" spans="1:11">
      <c r="A1978">
        <v>66.025</v>
      </c>
      <c r="B1978">
        <v>-202.2</v>
      </c>
      <c r="C1978">
        <v>26.2</v>
      </c>
      <c r="E1978">
        <v>65.991</v>
      </c>
      <c r="F1978">
        <v>-202.1</v>
      </c>
      <c r="G1978">
        <v>26.3</v>
      </c>
      <c r="I1978">
        <f t="shared" si="93"/>
        <v>65.95</v>
      </c>
      <c r="J1978">
        <f t="shared" si="92"/>
        <v>0.900000000000006</v>
      </c>
      <c r="K1978">
        <f t="shared" si="94"/>
        <v>0</v>
      </c>
    </row>
    <row r="1979" spans="1:11">
      <c r="A1979">
        <v>66.058</v>
      </c>
      <c r="B1979">
        <v>-202.5</v>
      </c>
      <c r="C1979">
        <v>25.4</v>
      </c>
      <c r="E1979">
        <v>66.025</v>
      </c>
      <c r="F1979">
        <v>-202.2</v>
      </c>
      <c r="G1979">
        <v>26.2</v>
      </c>
      <c r="I1979">
        <f t="shared" si="93"/>
        <v>66</v>
      </c>
      <c r="J1979">
        <f t="shared" si="92"/>
        <v>0.800000000000011</v>
      </c>
      <c r="K1979">
        <f t="shared" si="94"/>
        <v>0</v>
      </c>
    </row>
    <row r="1980" spans="1:11">
      <c r="A1980">
        <v>66.092</v>
      </c>
      <c r="B1980">
        <v>-202.7</v>
      </c>
      <c r="C1980">
        <v>25.6</v>
      </c>
      <c r="E1980">
        <v>66.058</v>
      </c>
      <c r="F1980">
        <v>-202.5</v>
      </c>
      <c r="G1980">
        <v>25.4</v>
      </c>
      <c r="I1980">
        <f t="shared" si="93"/>
        <v>66.05</v>
      </c>
      <c r="J1980">
        <f t="shared" si="92"/>
        <v>0.5</v>
      </c>
      <c r="K1980">
        <f t="shared" si="94"/>
        <v>0</v>
      </c>
    </row>
    <row r="1981" spans="1:11">
      <c r="A1981">
        <v>66.125</v>
      </c>
      <c r="B1981">
        <v>-202.8</v>
      </c>
      <c r="C1981">
        <v>25.4</v>
      </c>
      <c r="E1981">
        <v>66.092</v>
      </c>
      <c r="F1981">
        <v>-202.7</v>
      </c>
      <c r="G1981">
        <v>25.6</v>
      </c>
      <c r="I1981">
        <f t="shared" si="93"/>
        <v>66.05</v>
      </c>
      <c r="J1981">
        <f t="shared" si="92"/>
        <v>0.300000000000011</v>
      </c>
      <c r="K1981">
        <f t="shared" si="94"/>
        <v>0</v>
      </c>
    </row>
    <row r="1982" spans="1:11">
      <c r="A1982">
        <v>66.158</v>
      </c>
      <c r="B1982">
        <v>-202.8</v>
      </c>
      <c r="C1982">
        <v>26</v>
      </c>
      <c r="E1982">
        <v>66.125</v>
      </c>
      <c r="F1982">
        <v>-202.8</v>
      </c>
      <c r="G1982">
        <v>25.4</v>
      </c>
      <c r="I1982">
        <f t="shared" si="93"/>
        <v>66.1</v>
      </c>
      <c r="J1982">
        <f t="shared" si="92"/>
        <v>0.199999999999989</v>
      </c>
      <c r="K1982">
        <f t="shared" si="94"/>
        <v>0</v>
      </c>
    </row>
    <row r="1983" spans="1:11">
      <c r="A1983">
        <v>66.192</v>
      </c>
      <c r="B1983">
        <v>-202.8</v>
      </c>
      <c r="C1983">
        <v>26.3</v>
      </c>
      <c r="E1983">
        <v>66.158</v>
      </c>
      <c r="F1983">
        <v>-202.8</v>
      </c>
      <c r="G1983">
        <v>26</v>
      </c>
      <c r="I1983">
        <f t="shared" si="93"/>
        <v>66.15</v>
      </c>
      <c r="J1983">
        <f t="shared" si="92"/>
        <v>0.199999999999989</v>
      </c>
      <c r="K1983">
        <f t="shared" si="94"/>
        <v>0</v>
      </c>
    </row>
    <row r="1984" spans="1:11">
      <c r="A1984">
        <v>66.225</v>
      </c>
      <c r="B1984">
        <v>-202.7</v>
      </c>
      <c r="C1984">
        <v>26.3</v>
      </c>
      <c r="E1984">
        <v>66.192</v>
      </c>
      <c r="F1984">
        <v>-202.8</v>
      </c>
      <c r="G1984">
        <v>26.3</v>
      </c>
      <c r="I1984">
        <f t="shared" si="93"/>
        <v>66.15</v>
      </c>
      <c r="J1984">
        <f t="shared" si="92"/>
        <v>0.199999999999989</v>
      </c>
      <c r="K1984">
        <f t="shared" si="94"/>
        <v>0</v>
      </c>
    </row>
    <row r="1985" spans="1:11">
      <c r="A1985">
        <v>66.259</v>
      </c>
      <c r="B1985">
        <v>-202.7</v>
      </c>
      <c r="C1985">
        <v>27.1</v>
      </c>
      <c r="E1985">
        <v>66.225</v>
      </c>
      <c r="F1985">
        <v>-202.7</v>
      </c>
      <c r="G1985">
        <v>26.3</v>
      </c>
      <c r="I1985">
        <f t="shared" si="93"/>
        <v>66.2</v>
      </c>
      <c r="J1985">
        <f t="shared" si="92"/>
        <v>0.300000000000011</v>
      </c>
      <c r="K1985">
        <f t="shared" si="94"/>
        <v>0</v>
      </c>
    </row>
    <row r="1986" spans="1:11">
      <c r="A1986">
        <v>66.292</v>
      </c>
      <c r="B1986">
        <v>-202.7</v>
      </c>
      <c r="C1986">
        <v>26.7</v>
      </c>
      <c r="E1986">
        <v>66.259</v>
      </c>
      <c r="F1986">
        <v>-202.7</v>
      </c>
      <c r="G1986">
        <v>27.1</v>
      </c>
      <c r="I1986">
        <f t="shared" si="93"/>
        <v>66.25</v>
      </c>
      <c r="J1986">
        <f t="shared" si="92"/>
        <v>0.300000000000011</v>
      </c>
      <c r="K1986">
        <f t="shared" si="94"/>
        <v>0</v>
      </c>
    </row>
    <row r="1987" spans="1:11">
      <c r="A1987">
        <v>66.326</v>
      </c>
      <c r="B1987">
        <v>-202.5</v>
      </c>
      <c r="C1987">
        <v>26.2</v>
      </c>
      <c r="E1987">
        <v>66.292</v>
      </c>
      <c r="F1987">
        <v>-202.7</v>
      </c>
      <c r="G1987">
        <v>26.7</v>
      </c>
      <c r="I1987">
        <f t="shared" si="93"/>
        <v>66.25</v>
      </c>
      <c r="J1987">
        <f t="shared" si="92"/>
        <v>0.300000000000011</v>
      </c>
      <c r="K1987">
        <f t="shared" si="94"/>
        <v>0</v>
      </c>
    </row>
    <row r="1988" spans="1:11">
      <c r="A1988">
        <v>66.359</v>
      </c>
      <c r="B1988">
        <v>-202.4</v>
      </c>
      <c r="C1988">
        <v>26</v>
      </c>
      <c r="E1988">
        <v>66.326</v>
      </c>
      <c r="F1988">
        <v>-202.5</v>
      </c>
      <c r="G1988">
        <v>26.2</v>
      </c>
      <c r="I1988">
        <f t="shared" si="93"/>
        <v>66.3</v>
      </c>
      <c r="J1988">
        <f t="shared" si="92"/>
        <v>0.5</v>
      </c>
      <c r="K1988">
        <f t="shared" si="94"/>
        <v>0</v>
      </c>
    </row>
    <row r="1989" spans="1:11">
      <c r="A1989">
        <v>66.392</v>
      </c>
      <c r="B1989">
        <v>-202.2</v>
      </c>
      <c r="C1989">
        <v>25.9</v>
      </c>
      <c r="E1989">
        <v>66.359</v>
      </c>
      <c r="F1989">
        <v>-202.4</v>
      </c>
      <c r="G1989">
        <v>26</v>
      </c>
      <c r="I1989">
        <f t="shared" si="93"/>
        <v>66.35</v>
      </c>
      <c r="J1989">
        <f t="shared" ref="J1989:J2052" si="95">F1989+203</f>
        <v>0.599999999999994</v>
      </c>
      <c r="K1989">
        <f t="shared" si="94"/>
        <v>0</v>
      </c>
    </row>
    <row r="1990" spans="1:11">
      <c r="A1990">
        <v>66.426</v>
      </c>
      <c r="B1990">
        <v>-201.6</v>
      </c>
      <c r="C1990">
        <v>26.6</v>
      </c>
      <c r="E1990">
        <v>66.392</v>
      </c>
      <c r="F1990">
        <v>-202.2</v>
      </c>
      <c r="G1990">
        <v>25.9</v>
      </c>
      <c r="I1990">
        <f t="shared" si="93"/>
        <v>66.35</v>
      </c>
      <c r="J1990">
        <f t="shared" si="95"/>
        <v>0.800000000000011</v>
      </c>
      <c r="K1990">
        <f t="shared" si="94"/>
        <v>0</v>
      </c>
    </row>
    <row r="1991" spans="1:11">
      <c r="A1991">
        <v>66.459</v>
      </c>
      <c r="B1991">
        <v>-201.2</v>
      </c>
      <c r="C1991">
        <v>26.1</v>
      </c>
      <c r="E1991">
        <v>66.426</v>
      </c>
      <c r="F1991">
        <v>-201.6</v>
      </c>
      <c r="G1991">
        <v>26.6</v>
      </c>
      <c r="I1991">
        <f t="shared" si="93"/>
        <v>66.4</v>
      </c>
      <c r="J1991">
        <f t="shared" si="95"/>
        <v>1.40000000000001</v>
      </c>
      <c r="K1991">
        <f t="shared" si="94"/>
        <v>0</v>
      </c>
    </row>
    <row r="1992" spans="1:11">
      <c r="A1992">
        <v>66.493</v>
      </c>
      <c r="B1992">
        <v>-200.6</v>
      </c>
      <c r="C1992">
        <v>25.3</v>
      </c>
      <c r="E1992">
        <v>66.459</v>
      </c>
      <c r="F1992">
        <v>-201.2</v>
      </c>
      <c r="G1992">
        <v>26.1</v>
      </c>
      <c r="I1992">
        <f t="shared" si="93"/>
        <v>66.45</v>
      </c>
      <c r="J1992">
        <f t="shared" si="95"/>
        <v>1.80000000000001</v>
      </c>
      <c r="K1992">
        <f t="shared" si="94"/>
        <v>0</v>
      </c>
    </row>
    <row r="1993" spans="1:11">
      <c r="A1993">
        <v>66.526</v>
      </c>
      <c r="B1993">
        <v>-200.2</v>
      </c>
      <c r="C1993">
        <v>25.2</v>
      </c>
      <c r="E1993">
        <v>66.493</v>
      </c>
      <c r="F1993">
        <v>-200.6</v>
      </c>
      <c r="G1993">
        <v>25.3</v>
      </c>
      <c r="I1993">
        <f t="shared" si="93"/>
        <v>66.45</v>
      </c>
      <c r="J1993">
        <f t="shared" si="95"/>
        <v>2.40000000000001</v>
      </c>
      <c r="K1993">
        <f t="shared" si="94"/>
        <v>0</v>
      </c>
    </row>
    <row r="1994" spans="1:11">
      <c r="A1994">
        <v>66.56</v>
      </c>
      <c r="B1994">
        <v>-199.6</v>
      </c>
      <c r="C1994">
        <v>26.2</v>
      </c>
      <c r="E1994">
        <v>66.526</v>
      </c>
      <c r="F1994">
        <v>-200.2</v>
      </c>
      <c r="G1994">
        <v>25.2</v>
      </c>
      <c r="I1994">
        <f t="shared" si="93"/>
        <v>66.5</v>
      </c>
      <c r="J1994">
        <f t="shared" si="95"/>
        <v>2.80000000000001</v>
      </c>
      <c r="K1994">
        <f t="shared" si="94"/>
        <v>0</v>
      </c>
    </row>
    <row r="1995" spans="1:11">
      <c r="A1995">
        <v>66.593</v>
      </c>
      <c r="B1995">
        <v>-199.2</v>
      </c>
      <c r="C1995">
        <v>26.1</v>
      </c>
      <c r="E1995">
        <v>66.56</v>
      </c>
      <c r="F1995">
        <v>-199.6</v>
      </c>
      <c r="G1995">
        <v>26.2</v>
      </c>
      <c r="I1995">
        <f t="shared" si="93"/>
        <v>66.55</v>
      </c>
      <c r="J1995">
        <f t="shared" si="95"/>
        <v>3.40000000000001</v>
      </c>
      <c r="K1995">
        <f t="shared" si="94"/>
        <v>0</v>
      </c>
    </row>
    <row r="1996" spans="1:11">
      <c r="A1996">
        <v>66.626</v>
      </c>
      <c r="B1996">
        <v>-198.6</v>
      </c>
      <c r="C1996">
        <v>25.9</v>
      </c>
      <c r="E1996">
        <v>66.593</v>
      </c>
      <c r="F1996">
        <v>-199.2</v>
      </c>
      <c r="G1996">
        <v>26.1</v>
      </c>
      <c r="I1996">
        <f t="shared" si="93"/>
        <v>66.55</v>
      </c>
      <c r="J1996">
        <f t="shared" si="95"/>
        <v>3.80000000000001</v>
      </c>
      <c r="K1996">
        <f t="shared" si="94"/>
        <v>0</v>
      </c>
    </row>
    <row r="1997" spans="1:11">
      <c r="A1997">
        <v>66.66</v>
      </c>
      <c r="B1997">
        <v>-198.1</v>
      </c>
      <c r="C1997">
        <v>25.8</v>
      </c>
      <c r="E1997">
        <v>66.626</v>
      </c>
      <c r="F1997">
        <v>-198.6</v>
      </c>
      <c r="G1997">
        <v>25.9</v>
      </c>
      <c r="I1997">
        <f t="shared" si="93"/>
        <v>66.6</v>
      </c>
      <c r="J1997">
        <f t="shared" si="95"/>
        <v>4.40000000000001</v>
      </c>
      <c r="K1997">
        <f t="shared" si="94"/>
        <v>0</v>
      </c>
    </row>
    <row r="1998" spans="1:11">
      <c r="A1998">
        <v>66.693</v>
      </c>
      <c r="B1998">
        <v>-197.6</v>
      </c>
      <c r="C1998">
        <v>25.6</v>
      </c>
      <c r="E1998">
        <v>66.66</v>
      </c>
      <c r="F1998">
        <v>-198.1</v>
      </c>
      <c r="G1998">
        <v>25.8</v>
      </c>
      <c r="I1998">
        <f t="shared" si="93"/>
        <v>66.65</v>
      </c>
      <c r="J1998">
        <f t="shared" si="95"/>
        <v>4.90000000000001</v>
      </c>
      <c r="K1998">
        <f t="shared" si="94"/>
        <v>0</v>
      </c>
    </row>
    <row r="1999" spans="1:11">
      <c r="A1999">
        <v>66.727</v>
      </c>
      <c r="B1999">
        <v>-197.3</v>
      </c>
      <c r="C1999">
        <v>26.6</v>
      </c>
      <c r="E1999">
        <v>66.693</v>
      </c>
      <c r="F1999">
        <v>-197.6</v>
      </c>
      <c r="G1999">
        <v>25.6</v>
      </c>
      <c r="I1999">
        <f t="shared" si="93"/>
        <v>66.65</v>
      </c>
      <c r="J1999">
        <f t="shared" si="95"/>
        <v>5.40000000000001</v>
      </c>
      <c r="K1999">
        <f t="shared" si="94"/>
        <v>0</v>
      </c>
    </row>
    <row r="2000" spans="1:11">
      <c r="A2000">
        <v>66.76</v>
      </c>
      <c r="B2000">
        <v>-197.3</v>
      </c>
      <c r="C2000">
        <v>26.4</v>
      </c>
      <c r="E2000">
        <v>66.727</v>
      </c>
      <c r="F2000">
        <v>-197.3</v>
      </c>
      <c r="G2000">
        <v>26.6</v>
      </c>
      <c r="I2000">
        <f t="shared" si="93"/>
        <v>66.7</v>
      </c>
      <c r="J2000">
        <f t="shared" si="95"/>
        <v>5.69999999999999</v>
      </c>
      <c r="K2000">
        <f t="shared" si="94"/>
        <v>0</v>
      </c>
    </row>
    <row r="2001" spans="1:11">
      <c r="A2001">
        <v>66.794</v>
      </c>
      <c r="B2001">
        <v>-197.3</v>
      </c>
      <c r="C2001">
        <v>26.3</v>
      </c>
      <c r="E2001">
        <v>66.76</v>
      </c>
      <c r="F2001">
        <v>-197.3</v>
      </c>
      <c r="G2001">
        <v>26.4</v>
      </c>
      <c r="I2001">
        <f t="shared" si="93"/>
        <v>66.75</v>
      </c>
      <c r="J2001">
        <f t="shared" si="95"/>
        <v>5.69999999999999</v>
      </c>
      <c r="K2001">
        <f t="shared" si="94"/>
        <v>0</v>
      </c>
    </row>
    <row r="2002" spans="1:11">
      <c r="A2002">
        <v>66.827</v>
      </c>
      <c r="B2002">
        <v>-197.2</v>
      </c>
      <c r="C2002">
        <v>26.3</v>
      </c>
      <c r="E2002">
        <v>66.794</v>
      </c>
      <c r="F2002">
        <v>-197.3</v>
      </c>
      <c r="G2002">
        <v>26.3</v>
      </c>
      <c r="I2002">
        <f t="shared" si="93"/>
        <v>66.75</v>
      </c>
      <c r="J2002">
        <f t="shared" si="95"/>
        <v>5.69999999999999</v>
      </c>
      <c r="K2002">
        <f t="shared" si="94"/>
        <v>0</v>
      </c>
    </row>
    <row r="2003" spans="1:11">
      <c r="A2003">
        <v>66.86</v>
      </c>
      <c r="B2003">
        <v>-197.1</v>
      </c>
      <c r="C2003">
        <v>25.7</v>
      </c>
      <c r="E2003">
        <v>66.827</v>
      </c>
      <c r="F2003">
        <v>-197.2</v>
      </c>
      <c r="G2003">
        <v>26.3</v>
      </c>
      <c r="I2003">
        <f t="shared" si="93"/>
        <v>66.8</v>
      </c>
      <c r="J2003">
        <f t="shared" si="95"/>
        <v>5.80000000000001</v>
      </c>
      <c r="K2003">
        <f t="shared" si="94"/>
        <v>0</v>
      </c>
    </row>
    <row r="2004" spans="1:11">
      <c r="A2004">
        <v>66.894</v>
      </c>
      <c r="B2004">
        <v>-196.8</v>
      </c>
      <c r="C2004">
        <v>26.2</v>
      </c>
      <c r="E2004">
        <v>66.86</v>
      </c>
      <c r="F2004">
        <v>-197.1</v>
      </c>
      <c r="G2004">
        <v>25.7</v>
      </c>
      <c r="I2004">
        <f t="shared" si="93"/>
        <v>66.85</v>
      </c>
      <c r="J2004">
        <f t="shared" si="95"/>
        <v>5.90000000000001</v>
      </c>
      <c r="K2004">
        <f t="shared" si="94"/>
        <v>0</v>
      </c>
    </row>
    <row r="2005" spans="1:11">
      <c r="A2005">
        <v>66.927</v>
      </c>
      <c r="B2005">
        <v>-196.9</v>
      </c>
      <c r="C2005">
        <v>25.8</v>
      </c>
      <c r="E2005">
        <v>66.894</v>
      </c>
      <c r="F2005">
        <v>-196.8</v>
      </c>
      <c r="G2005">
        <v>26.2</v>
      </c>
      <c r="I2005">
        <f t="shared" si="93"/>
        <v>66.85</v>
      </c>
      <c r="J2005">
        <f t="shared" si="95"/>
        <v>6.19999999999999</v>
      </c>
      <c r="K2005">
        <f t="shared" si="94"/>
        <v>0</v>
      </c>
    </row>
    <row r="2006" spans="1:11">
      <c r="A2006">
        <v>66.961</v>
      </c>
      <c r="B2006">
        <v>-196.9</v>
      </c>
      <c r="C2006">
        <v>25.9</v>
      </c>
      <c r="E2006">
        <v>66.927</v>
      </c>
      <c r="F2006">
        <v>-196.9</v>
      </c>
      <c r="G2006">
        <v>25.8</v>
      </c>
      <c r="I2006">
        <f t="shared" si="93"/>
        <v>66.9</v>
      </c>
      <c r="J2006">
        <f t="shared" si="95"/>
        <v>6.09999999999999</v>
      </c>
      <c r="K2006">
        <f t="shared" si="94"/>
        <v>0</v>
      </c>
    </row>
    <row r="2007" spans="1:11">
      <c r="A2007">
        <v>66.994</v>
      </c>
      <c r="B2007">
        <v>-196.8</v>
      </c>
      <c r="C2007">
        <v>26</v>
      </c>
      <c r="E2007">
        <v>66.961</v>
      </c>
      <c r="F2007">
        <v>-196.9</v>
      </c>
      <c r="G2007">
        <v>25.9</v>
      </c>
      <c r="I2007">
        <f t="shared" si="93"/>
        <v>66.95</v>
      </c>
      <c r="J2007">
        <f t="shared" si="95"/>
        <v>6.09999999999999</v>
      </c>
      <c r="K2007">
        <f t="shared" si="94"/>
        <v>0</v>
      </c>
    </row>
    <row r="2008" spans="1:11">
      <c r="A2008">
        <v>67.028</v>
      </c>
      <c r="B2008">
        <v>-197.1</v>
      </c>
      <c r="C2008">
        <v>25.4</v>
      </c>
      <c r="E2008">
        <v>66.994</v>
      </c>
      <c r="F2008">
        <v>-196.8</v>
      </c>
      <c r="G2008">
        <v>26</v>
      </c>
      <c r="I2008">
        <f t="shared" si="93"/>
        <v>66.95</v>
      </c>
      <c r="J2008">
        <f t="shared" si="95"/>
        <v>6.19999999999999</v>
      </c>
      <c r="K2008">
        <f t="shared" si="94"/>
        <v>0</v>
      </c>
    </row>
    <row r="2009" spans="1:11">
      <c r="A2009">
        <v>67.061</v>
      </c>
      <c r="B2009">
        <v>-197.2</v>
      </c>
      <c r="C2009">
        <v>25.7</v>
      </c>
      <c r="E2009">
        <v>67.028</v>
      </c>
      <c r="F2009">
        <v>-197.1</v>
      </c>
      <c r="G2009">
        <v>25.4</v>
      </c>
      <c r="I2009">
        <f t="shared" si="93"/>
        <v>67</v>
      </c>
      <c r="J2009">
        <f t="shared" si="95"/>
        <v>5.90000000000001</v>
      </c>
      <c r="K2009">
        <f t="shared" si="94"/>
        <v>0</v>
      </c>
    </row>
    <row r="2010" spans="1:11">
      <c r="A2010">
        <v>67.094</v>
      </c>
      <c r="B2010">
        <v>-197.3</v>
      </c>
      <c r="C2010">
        <v>25.9</v>
      </c>
      <c r="E2010">
        <v>67.061</v>
      </c>
      <c r="F2010">
        <v>-197.2</v>
      </c>
      <c r="G2010">
        <v>25.7</v>
      </c>
      <c r="I2010">
        <f t="shared" si="93"/>
        <v>67.05</v>
      </c>
      <c r="J2010">
        <f t="shared" si="95"/>
        <v>5.80000000000001</v>
      </c>
      <c r="K2010">
        <f t="shared" si="94"/>
        <v>0</v>
      </c>
    </row>
    <row r="2011" spans="1:11">
      <c r="A2011">
        <v>67.128</v>
      </c>
      <c r="B2011">
        <v>-197.8</v>
      </c>
      <c r="C2011">
        <v>25.9</v>
      </c>
      <c r="E2011">
        <v>67.094</v>
      </c>
      <c r="F2011">
        <v>-197.3</v>
      </c>
      <c r="G2011">
        <v>25.9</v>
      </c>
      <c r="I2011">
        <f t="shared" si="93"/>
        <v>67.05</v>
      </c>
      <c r="J2011">
        <f t="shared" si="95"/>
        <v>5.69999999999999</v>
      </c>
      <c r="K2011">
        <f t="shared" si="94"/>
        <v>0</v>
      </c>
    </row>
    <row r="2012" spans="1:11">
      <c r="A2012">
        <v>67.161</v>
      </c>
      <c r="B2012">
        <v>-198.1</v>
      </c>
      <c r="C2012">
        <v>26</v>
      </c>
      <c r="E2012">
        <v>67.128</v>
      </c>
      <c r="F2012">
        <v>-197.8</v>
      </c>
      <c r="G2012">
        <v>25.9</v>
      </c>
      <c r="I2012">
        <f t="shared" si="93"/>
        <v>67.1</v>
      </c>
      <c r="J2012">
        <f t="shared" si="95"/>
        <v>5.19999999999999</v>
      </c>
      <c r="K2012">
        <f t="shared" si="94"/>
        <v>0</v>
      </c>
    </row>
    <row r="2013" spans="1:11">
      <c r="A2013">
        <v>67.195</v>
      </c>
      <c r="B2013">
        <v>-198.5</v>
      </c>
      <c r="C2013">
        <v>26.1</v>
      </c>
      <c r="E2013">
        <v>67.161</v>
      </c>
      <c r="F2013">
        <v>-198.1</v>
      </c>
      <c r="G2013">
        <v>26</v>
      </c>
      <c r="I2013">
        <f t="shared" si="93"/>
        <v>67.15</v>
      </c>
      <c r="J2013">
        <f t="shared" si="95"/>
        <v>4.90000000000001</v>
      </c>
      <c r="K2013">
        <f t="shared" si="94"/>
        <v>0</v>
      </c>
    </row>
    <row r="2014" spans="1:11">
      <c r="A2014">
        <v>67.228</v>
      </c>
      <c r="B2014">
        <v>-199.1</v>
      </c>
      <c r="C2014">
        <v>26.3</v>
      </c>
      <c r="E2014">
        <v>67.195</v>
      </c>
      <c r="F2014">
        <v>-198.5</v>
      </c>
      <c r="G2014">
        <v>26.1</v>
      </c>
      <c r="I2014">
        <f t="shared" si="93"/>
        <v>67.15</v>
      </c>
      <c r="J2014">
        <f t="shared" si="95"/>
        <v>4.5</v>
      </c>
      <c r="K2014">
        <f t="shared" si="94"/>
        <v>0</v>
      </c>
    </row>
    <row r="2015" spans="1:11">
      <c r="A2015">
        <v>67.262</v>
      </c>
      <c r="B2015">
        <v>-199.3</v>
      </c>
      <c r="C2015">
        <v>25.9</v>
      </c>
      <c r="E2015">
        <v>67.228</v>
      </c>
      <c r="F2015">
        <v>-199.1</v>
      </c>
      <c r="G2015">
        <v>26.3</v>
      </c>
      <c r="I2015">
        <f t="shared" ref="I2015:I2067" si="96">FLOOR(E2015,0.05)</f>
        <v>67.2</v>
      </c>
      <c r="J2015">
        <f t="shared" si="95"/>
        <v>3.90000000000001</v>
      </c>
      <c r="K2015">
        <f t="shared" ref="K2015:K2067" si="97">IF(G2015&lt;230,0,5)</f>
        <v>0</v>
      </c>
    </row>
    <row r="2016" spans="1:11">
      <c r="A2016">
        <v>67.295</v>
      </c>
      <c r="B2016">
        <v>-200</v>
      </c>
      <c r="C2016">
        <v>25.4</v>
      </c>
      <c r="E2016">
        <v>67.262</v>
      </c>
      <c r="F2016">
        <v>-199.3</v>
      </c>
      <c r="G2016">
        <v>25.9</v>
      </c>
      <c r="I2016">
        <f t="shared" si="96"/>
        <v>67.25</v>
      </c>
      <c r="J2016">
        <f t="shared" si="95"/>
        <v>3.69999999999999</v>
      </c>
      <c r="K2016">
        <f t="shared" si="97"/>
        <v>0</v>
      </c>
    </row>
    <row r="2017" spans="1:11">
      <c r="A2017">
        <v>67.328</v>
      </c>
      <c r="B2017">
        <v>-200.7</v>
      </c>
      <c r="C2017">
        <v>25.8</v>
      </c>
      <c r="E2017">
        <v>67.295</v>
      </c>
      <c r="F2017">
        <v>-200</v>
      </c>
      <c r="G2017">
        <v>25.4</v>
      </c>
      <c r="I2017">
        <f t="shared" si="96"/>
        <v>67.25</v>
      </c>
      <c r="J2017">
        <f t="shared" si="95"/>
        <v>3</v>
      </c>
      <c r="K2017">
        <f t="shared" si="97"/>
        <v>0</v>
      </c>
    </row>
    <row r="2018" spans="1:11">
      <c r="A2018">
        <v>67.362</v>
      </c>
      <c r="B2018">
        <v>-201.2</v>
      </c>
      <c r="C2018">
        <v>26.1</v>
      </c>
      <c r="E2018">
        <v>67.328</v>
      </c>
      <c r="F2018">
        <v>-200.7</v>
      </c>
      <c r="G2018">
        <v>25.8</v>
      </c>
      <c r="I2018">
        <f t="shared" si="96"/>
        <v>67.3</v>
      </c>
      <c r="J2018">
        <f t="shared" si="95"/>
        <v>2.30000000000001</v>
      </c>
      <c r="K2018">
        <f t="shared" si="97"/>
        <v>0</v>
      </c>
    </row>
    <row r="2019" spans="1:11">
      <c r="A2019">
        <v>67.395</v>
      </c>
      <c r="B2019">
        <v>-201.4</v>
      </c>
      <c r="C2019">
        <v>25.5</v>
      </c>
      <c r="E2019">
        <v>67.362</v>
      </c>
      <c r="F2019">
        <v>-201.2</v>
      </c>
      <c r="G2019">
        <v>26.1</v>
      </c>
      <c r="I2019">
        <f t="shared" si="96"/>
        <v>67.35</v>
      </c>
      <c r="J2019">
        <f t="shared" si="95"/>
        <v>1.80000000000001</v>
      </c>
      <c r="K2019">
        <f t="shared" si="97"/>
        <v>0</v>
      </c>
    </row>
    <row r="2020" spans="1:11">
      <c r="A2020">
        <v>67.429</v>
      </c>
      <c r="B2020">
        <v>-202</v>
      </c>
      <c r="C2020">
        <v>25.9</v>
      </c>
      <c r="E2020">
        <v>67.395</v>
      </c>
      <c r="F2020">
        <v>-201.4</v>
      </c>
      <c r="G2020">
        <v>25.5</v>
      </c>
      <c r="I2020">
        <f t="shared" si="96"/>
        <v>67.35</v>
      </c>
      <c r="J2020">
        <f t="shared" si="95"/>
        <v>1.59999999999999</v>
      </c>
      <c r="K2020">
        <f t="shared" si="97"/>
        <v>0</v>
      </c>
    </row>
    <row r="2021" spans="1:11">
      <c r="A2021">
        <v>67.462</v>
      </c>
      <c r="B2021">
        <v>-202.2</v>
      </c>
      <c r="C2021">
        <v>26.4</v>
      </c>
      <c r="E2021">
        <v>67.429</v>
      </c>
      <c r="F2021">
        <v>-202</v>
      </c>
      <c r="G2021">
        <v>25.9</v>
      </c>
      <c r="I2021">
        <f t="shared" si="96"/>
        <v>67.4</v>
      </c>
      <c r="J2021">
        <f t="shared" si="95"/>
        <v>1</v>
      </c>
      <c r="K2021">
        <f t="shared" si="97"/>
        <v>0</v>
      </c>
    </row>
    <row r="2022" spans="1:11">
      <c r="A2022">
        <v>67.496</v>
      </c>
      <c r="B2022">
        <v>-202.4</v>
      </c>
      <c r="C2022">
        <v>25.6</v>
      </c>
      <c r="E2022">
        <v>67.462</v>
      </c>
      <c r="F2022">
        <v>-202.2</v>
      </c>
      <c r="G2022">
        <v>26.4</v>
      </c>
      <c r="I2022">
        <f t="shared" si="96"/>
        <v>67.45</v>
      </c>
      <c r="J2022">
        <f t="shared" si="95"/>
        <v>0.800000000000011</v>
      </c>
      <c r="K2022">
        <f t="shared" si="97"/>
        <v>0</v>
      </c>
    </row>
    <row r="2023" spans="1:11">
      <c r="A2023">
        <v>67.529</v>
      </c>
      <c r="B2023">
        <v>-202.7</v>
      </c>
      <c r="C2023">
        <v>25.9</v>
      </c>
      <c r="E2023">
        <v>67.496</v>
      </c>
      <c r="F2023">
        <v>-202.4</v>
      </c>
      <c r="G2023">
        <v>25.6</v>
      </c>
      <c r="I2023">
        <f t="shared" si="96"/>
        <v>67.45</v>
      </c>
      <c r="J2023">
        <f t="shared" si="95"/>
        <v>0.599999999999994</v>
      </c>
      <c r="K2023">
        <f t="shared" si="97"/>
        <v>0</v>
      </c>
    </row>
    <row r="2024" spans="1:11">
      <c r="A2024">
        <v>67.562</v>
      </c>
      <c r="B2024">
        <v>-202.9</v>
      </c>
      <c r="C2024">
        <v>26</v>
      </c>
      <c r="E2024">
        <v>67.529</v>
      </c>
      <c r="F2024">
        <v>-202.7</v>
      </c>
      <c r="G2024">
        <v>25.9</v>
      </c>
      <c r="I2024">
        <f t="shared" si="96"/>
        <v>67.5</v>
      </c>
      <c r="J2024">
        <f t="shared" si="95"/>
        <v>0.300000000000011</v>
      </c>
      <c r="K2024">
        <f t="shared" si="97"/>
        <v>0</v>
      </c>
    </row>
    <row r="2025" spans="1:11">
      <c r="A2025">
        <v>67.596</v>
      </c>
      <c r="B2025">
        <v>-203</v>
      </c>
      <c r="C2025">
        <v>25.9</v>
      </c>
      <c r="E2025">
        <v>67.562</v>
      </c>
      <c r="F2025">
        <v>-202.9</v>
      </c>
      <c r="G2025">
        <v>26</v>
      </c>
      <c r="I2025">
        <f t="shared" si="96"/>
        <v>67.55</v>
      </c>
      <c r="J2025">
        <f t="shared" si="95"/>
        <v>0.0999999999999943</v>
      </c>
      <c r="K2025">
        <f t="shared" si="97"/>
        <v>0</v>
      </c>
    </row>
    <row r="2026" spans="1:11">
      <c r="A2026">
        <v>67.629</v>
      </c>
      <c r="B2026">
        <v>-202.9</v>
      </c>
      <c r="C2026">
        <v>26.1</v>
      </c>
      <c r="E2026">
        <v>67.596</v>
      </c>
      <c r="F2026">
        <v>-203</v>
      </c>
      <c r="G2026">
        <v>25.9</v>
      </c>
      <c r="I2026">
        <f t="shared" si="96"/>
        <v>67.55</v>
      </c>
      <c r="J2026">
        <f t="shared" si="95"/>
        <v>0</v>
      </c>
      <c r="K2026">
        <f t="shared" si="97"/>
        <v>0</v>
      </c>
    </row>
    <row r="2027" spans="1:11">
      <c r="A2027">
        <v>67.663</v>
      </c>
      <c r="B2027">
        <v>-202.8</v>
      </c>
      <c r="C2027">
        <v>26.2</v>
      </c>
      <c r="E2027">
        <v>67.629</v>
      </c>
      <c r="F2027">
        <v>-202.9</v>
      </c>
      <c r="G2027">
        <v>26.1</v>
      </c>
      <c r="I2027">
        <f t="shared" si="96"/>
        <v>67.6</v>
      </c>
      <c r="J2027">
        <f t="shared" si="95"/>
        <v>0.0999999999999943</v>
      </c>
      <c r="K2027">
        <f t="shared" si="97"/>
        <v>0</v>
      </c>
    </row>
    <row r="2028" spans="1:11">
      <c r="A2028">
        <v>67.696</v>
      </c>
      <c r="B2028">
        <v>-202.8</v>
      </c>
      <c r="C2028">
        <v>25.5</v>
      </c>
      <c r="E2028">
        <v>67.663</v>
      </c>
      <c r="F2028">
        <v>-202.8</v>
      </c>
      <c r="G2028">
        <v>26.2</v>
      </c>
      <c r="I2028">
        <f t="shared" si="96"/>
        <v>67.65</v>
      </c>
      <c r="J2028">
        <f t="shared" si="95"/>
        <v>0.199999999999989</v>
      </c>
      <c r="K2028">
        <f t="shared" si="97"/>
        <v>0</v>
      </c>
    </row>
    <row r="2029" spans="1:11">
      <c r="A2029">
        <v>67.73</v>
      </c>
      <c r="B2029">
        <v>-202.6</v>
      </c>
      <c r="C2029">
        <v>26</v>
      </c>
      <c r="E2029">
        <v>67.696</v>
      </c>
      <c r="F2029">
        <v>-202.8</v>
      </c>
      <c r="G2029">
        <v>25.5</v>
      </c>
      <c r="I2029">
        <f t="shared" si="96"/>
        <v>67.65</v>
      </c>
      <c r="J2029">
        <f t="shared" si="95"/>
        <v>0.199999999999989</v>
      </c>
      <c r="K2029">
        <f t="shared" si="97"/>
        <v>0</v>
      </c>
    </row>
    <row r="2030" spans="1:11">
      <c r="A2030">
        <v>67.763</v>
      </c>
      <c r="B2030">
        <v>-202.6</v>
      </c>
      <c r="C2030">
        <v>26.1</v>
      </c>
      <c r="E2030">
        <v>67.73</v>
      </c>
      <c r="F2030">
        <v>-202.6</v>
      </c>
      <c r="G2030">
        <v>26</v>
      </c>
      <c r="I2030">
        <f t="shared" si="96"/>
        <v>67.7</v>
      </c>
      <c r="J2030">
        <f t="shared" si="95"/>
        <v>0.400000000000006</v>
      </c>
      <c r="K2030">
        <f t="shared" si="97"/>
        <v>0</v>
      </c>
    </row>
    <row r="2031" spans="1:11">
      <c r="A2031">
        <v>67.796</v>
      </c>
      <c r="B2031">
        <v>-202.5</v>
      </c>
      <c r="C2031">
        <v>26.4</v>
      </c>
      <c r="E2031">
        <v>67.763</v>
      </c>
      <c r="F2031">
        <v>-202.6</v>
      </c>
      <c r="G2031">
        <v>26.1</v>
      </c>
      <c r="I2031">
        <f t="shared" si="96"/>
        <v>67.75</v>
      </c>
      <c r="J2031">
        <f t="shared" si="95"/>
        <v>0.400000000000006</v>
      </c>
      <c r="K2031">
        <f t="shared" si="97"/>
        <v>0</v>
      </c>
    </row>
    <row r="2032" spans="1:11">
      <c r="A2032">
        <v>67.83</v>
      </c>
      <c r="B2032">
        <v>-202.2</v>
      </c>
      <c r="C2032">
        <v>25.7</v>
      </c>
      <c r="E2032">
        <v>67.796</v>
      </c>
      <c r="F2032">
        <v>-202.5</v>
      </c>
      <c r="G2032">
        <v>26.4</v>
      </c>
      <c r="I2032">
        <f t="shared" si="96"/>
        <v>67.75</v>
      </c>
      <c r="J2032">
        <f t="shared" si="95"/>
        <v>0.5</v>
      </c>
      <c r="K2032">
        <f t="shared" si="97"/>
        <v>0</v>
      </c>
    </row>
    <row r="2033" spans="1:11">
      <c r="A2033">
        <v>67.863</v>
      </c>
      <c r="B2033">
        <v>-201.7</v>
      </c>
      <c r="C2033">
        <v>25.8</v>
      </c>
      <c r="E2033">
        <v>67.83</v>
      </c>
      <c r="F2033">
        <v>-202.2</v>
      </c>
      <c r="G2033">
        <v>25.7</v>
      </c>
      <c r="I2033">
        <f t="shared" si="96"/>
        <v>67.8</v>
      </c>
      <c r="J2033">
        <f t="shared" si="95"/>
        <v>0.800000000000011</v>
      </c>
      <c r="K2033">
        <f t="shared" si="97"/>
        <v>0</v>
      </c>
    </row>
    <row r="2034" spans="1:11">
      <c r="A2034">
        <v>67.897</v>
      </c>
      <c r="B2034">
        <v>-201.4</v>
      </c>
      <c r="C2034">
        <v>26.1</v>
      </c>
      <c r="E2034">
        <v>67.863</v>
      </c>
      <c r="F2034">
        <v>-201.7</v>
      </c>
      <c r="G2034">
        <v>25.8</v>
      </c>
      <c r="I2034">
        <f t="shared" si="96"/>
        <v>67.85</v>
      </c>
      <c r="J2034">
        <f t="shared" si="95"/>
        <v>1.30000000000001</v>
      </c>
      <c r="K2034">
        <f t="shared" si="97"/>
        <v>0</v>
      </c>
    </row>
    <row r="2035" spans="1:11">
      <c r="A2035">
        <v>67.93</v>
      </c>
      <c r="B2035">
        <v>-200.8</v>
      </c>
      <c r="C2035">
        <v>26.1</v>
      </c>
      <c r="E2035">
        <v>67.897</v>
      </c>
      <c r="F2035">
        <v>-201.4</v>
      </c>
      <c r="G2035">
        <v>26.1</v>
      </c>
      <c r="I2035">
        <f t="shared" si="96"/>
        <v>67.85</v>
      </c>
      <c r="J2035">
        <f t="shared" si="95"/>
        <v>1.59999999999999</v>
      </c>
      <c r="K2035">
        <f t="shared" si="97"/>
        <v>0</v>
      </c>
    </row>
    <row r="2036" spans="1:11">
      <c r="A2036">
        <v>67.964</v>
      </c>
      <c r="B2036">
        <v>-200.3</v>
      </c>
      <c r="C2036">
        <v>26</v>
      </c>
      <c r="E2036">
        <v>67.93</v>
      </c>
      <c r="F2036">
        <v>-200.8</v>
      </c>
      <c r="G2036">
        <v>26.1</v>
      </c>
      <c r="I2036">
        <f t="shared" si="96"/>
        <v>67.9</v>
      </c>
      <c r="J2036">
        <f t="shared" si="95"/>
        <v>2.19999999999999</v>
      </c>
      <c r="K2036">
        <f t="shared" si="97"/>
        <v>0</v>
      </c>
    </row>
    <row r="2037" spans="1:11">
      <c r="A2037">
        <v>67.997</v>
      </c>
      <c r="B2037">
        <v>-200.2</v>
      </c>
      <c r="C2037">
        <v>26.1</v>
      </c>
      <c r="E2037">
        <v>67.964</v>
      </c>
      <c r="F2037">
        <v>-200.3</v>
      </c>
      <c r="G2037">
        <v>26</v>
      </c>
      <c r="I2037">
        <f t="shared" si="96"/>
        <v>67.95</v>
      </c>
      <c r="J2037">
        <f t="shared" si="95"/>
        <v>2.69999999999999</v>
      </c>
      <c r="K2037">
        <f t="shared" si="97"/>
        <v>0</v>
      </c>
    </row>
    <row r="2038" spans="1:11">
      <c r="A2038">
        <v>68.03</v>
      </c>
      <c r="B2038">
        <v>-199.4</v>
      </c>
      <c r="C2038">
        <v>25.9</v>
      </c>
      <c r="E2038">
        <v>67.997</v>
      </c>
      <c r="F2038">
        <v>-200.2</v>
      </c>
      <c r="G2038">
        <v>26.1</v>
      </c>
      <c r="I2038">
        <f t="shared" si="96"/>
        <v>67.95</v>
      </c>
      <c r="J2038">
        <f t="shared" si="95"/>
        <v>2.80000000000001</v>
      </c>
      <c r="K2038">
        <f t="shared" si="97"/>
        <v>0</v>
      </c>
    </row>
    <row r="2039" spans="1:11">
      <c r="A2039">
        <v>68.064</v>
      </c>
      <c r="B2039">
        <v>-199.1</v>
      </c>
      <c r="C2039">
        <v>25.9</v>
      </c>
      <c r="E2039">
        <v>68.03</v>
      </c>
      <c r="F2039">
        <v>-199.4</v>
      </c>
      <c r="G2039">
        <v>25.9</v>
      </c>
      <c r="I2039">
        <f t="shared" si="96"/>
        <v>68</v>
      </c>
      <c r="J2039">
        <f t="shared" si="95"/>
        <v>3.59999999999999</v>
      </c>
      <c r="K2039">
        <f t="shared" si="97"/>
        <v>0</v>
      </c>
    </row>
    <row r="2040" spans="1:11">
      <c r="A2040">
        <v>68.097</v>
      </c>
      <c r="B2040">
        <v>-198.4</v>
      </c>
      <c r="C2040">
        <v>26</v>
      </c>
      <c r="E2040">
        <v>68.064</v>
      </c>
      <c r="F2040">
        <v>-199.1</v>
      </c>
      <c r="G2040">
        <v>25.9</v>
      </c>
      <c r="I2040">
        <f t="shared" si="96"/>
        <v>68.05</v>
      </c>
      <c r="J2040">
        <f t="shared" si="95"/>
        <v>3.90000000000001</v>
      </c>
      <c r="K2040">
        <f t="shared" si="97"/>
        <v>0</v>
      </c>
    </row>
    <row r="2041" spans="1:11">
      <c r="A2041">
        <v>68.131</v>
      </c>
      <c r="B2041">
        <v>-198.1</v>
      </c>
      <c r="C2041">
        <v>25.5</v>
      </c>
      <c r="E2041">
        <v>68.097</v>
      </c>
      <c r="F2041">
        <v>-198.4</v>
      </c>
      <c r="G2041">
        <v>26</v>
      </c>
      <c r="I2041">
        <f t="shared" si="96"/>
        <v>68.05</v>
      </c>
      <c r="J2041">
        <f t="shared" si="95"/>
        <v>4.59999999999999</v>
      </c>
      <c r="K2041">
        <f t="shared" si="97"/>
        <v>0</v>
      </c>
    </row>
    <row r="2042" spans="1:11">
      <c r="A2042">
        <v>68.164</v>
      </c>
      <c r="B2042">
        <v>-197.6</v>
      </c>
      <c r="C2042">
        <v>26.1</v>
      </c>
      <c r="E2042">
        <v>68.131</v>
      </c>
      <c r="F2042">
        <v>-198.1</v>
      </c>
      <c r="G2042">
        <v>25.5</v>
      </c>
      <c r="I2042">
        <f t="shared" si="96"/>
        <v>68.1</v>
      </c>
      <c r="J2042">
        <f t="shared" si="95"/>
        <v>4.90000000000001</v>
      </c>
      <c r="K2042">
        <f t="shared" si="97"/>
        <v>0</v>
      </c>
    </row>
    <row r="2043" spans="1:11">
      <c r="A2043">
        <v>68.198</v>
      </c>
      <c r="B2043">
        <v>-197.5</v>
      </c>
      <c r="C2043">
        <v>25.8</v>
      </c>
      <c r="E2043">
        <v>68.164</v>
      </c>
      <c r="F2043">
        <v>-197.6</v>
      </c>
      <c r="G2043">
        <v>26.1</v>
      </c>
      <c r="I2043">
        <f t="shared" si="96"/>
        <v>68.15</v>
      </c>
      <c r="J2043">
        <f t="shared" si="95"/>
        <v>5.40000000000001</v>
      </c>
      <c r="K2043">
        <f t="shared" si="97"/>
        <v>0</v>
      </c>
    </row>
    <row r="2044" spans="1:11">
      <c r="A2044">
        <v>68.231</v>
      </c>
      <c r="B2044">
        <v>-197.3</v>
      </c>
      <c r="C2044">
        <v>25.9</v>
      </c>
      <c r="E2044">
        <v>68.198</v>
      </c>
      <c r="F2044">
        <v>-197.5</v>
      </c>
      <c r="G2044">
        <v>25.8</v>
      </c>
      <c r="I2044">
        <f t="shared" si="96"/>
        <v>68.15</v>
      </c>
      <c r="J2044">
        <f t="shared" si="95"/>
        <v>5.5</v>
      </c>
      <c r="K2044">
        <f t="shared" si="97"/>
        <v>0</v>
      </c>
    </row>
    <row r="2045" spans="1:11">
      <c r="A2045">
        <v>68.264</v>
      </c>
      <c r="B2045">
        <v>-197.4</v>
      </c>
      <c r="C2045">
        <v>25.6</v>
      </c>
      <c r="E2045">
        <v>68.231</v>
      </c>
      <c r="F2045">
        <v>-197.3</v>
      </c>
      <c r="G2045">
        <v>25.9</v>
      </c>
      <c r="I2045">
        <f t="shared" si="96"/>
        <v>68.2</v>
      </c>
      <c r="J2045">
        <f t="shared" si="95"/>
        <v>5.69999999999999</v>
      </c>
      <c r="K2045">
        <f t="shared" si="97"/>
        <v>0</v>
      </c>
    </row>
    <row r="2046" spans="1:11">
      <c r="A2046">
        <v>68.298</v>
      </c>
      <c r="B2046">
        <v>-197.4</v>
      </c>
      <c r="C2046">
        <v>26.3</v>
      </c>
      <c r="E2046">
        <v>68.264</v>
      </c>
      <c r="F2046">
        <v>-197.4</v>
      </c>
      <c r="G2046">
        <v>25.6</v>
      </c>
      <c r="I2046">
        <f t="shared" si="96"/>
        <v>68.25</v>
      </c>
      <c r="J2046">
        <f t="shared" si="95"/>
        <v>5.59999999999999</v>
      </c>
      <c r="K2046">
        <f t="shared" si="97"/>
        <v>0</v>
      </c>
    </row>
    <row r="2047" spans="1:11">
      <c r="A2047">
        <v>68.331</v>
      </c>
      <c r="B2047">
        <v>-197.5</v>
      </c>
      <c r="C2047">
        <v>25.5</v>
      </c>
      <c r="E2047">
        <v>68.298</v>
      </c>
      <c r="F2047">
        <v>-197.4</v>
      </c>
      <c r="G2047">
        <v>26.3</v>
      </c>
      <c r="I2047">
        <f t="shared" si="96"/>
        <v>68.25</v>
      </c>
      <c r="J2047">
        <f t="shared" si="95"/>
        <v>5.59999999999999</v>
      </c>
      <c r="K2047">
        <f t="shared" si="97"/>
        <v>0</v>
      </c>
    </row>
    <row r="2048" spans="1:11">
      <c r="A2048">
        <v>68.365</v>
      </c>
      <c r="B2048">
        <v>-197.6</v>
      </c>
      <c r="C2048">
        <v>25.7</v>
      </c>
      <c r="E2048">
        <v>68.331</v>
      </c>
      <c r="F2048">
        <v>-197.5</v>
      </c>
      <c r="G2048">
        <v>25.5</v>
      </c>
      <c r="I2048">
        <f t="shared" si="96"/>
        <v>68.3</v>
      </c>
      <c r="J2048">
        <f t="shared" si="95"/>
        <v>5.5</v>
      </c>
      <c r="K2048">
        <f t="shared" si="97"/>
        <v>0</v>
      </c>
    </row>
    <row r="2049" spans="1:11">
      <c r="A2049">
        <v>68.398</v>
      </c>
      <c r="B2049">
        <v>-197.6</v>
      </c>
      <c r="C2049">
        <v>25.8</v>
      </c>
      <c r="E2049">
        <v>68.365</v>
      </c>
      <c r="F2049">
        <v>-197.6</v>
      </c>
      <c r="G2049">
        <v>25.7</v>
      </c>
      <c r="I2049">
        <f t="shared" si="96"/>
        <v>68.35</v>
      </c>
      <c r="J2049">
        <f t="shared" si="95"/>
        <v>5.40000000000001</v>
      </c>
      <c r="K2049">
        <f t="shared" si="97"/>
        <v>0</v>
      </c>
    </row>
    <row r="2050" spans="1:11">
      <c r="A2050">
        <v>68.432</v>
      </c>
      <c r="B2050">
        <v>-197.7</v>
      </c>
      <c r="C2050">
        <v>26.3</v>
      </c>
      <c r="E2050">
        <v>68.398</v>
      </c>
      <c r="F2050">
        <v>-197.6</v>
      </c>
      <c r="G2050">
        <v>25.8</v>
      </c>
      <c r="I2050">
        <f t="shared" si="96"/>
        <v>68.35</v>
      </c>
      <c r="J2050">
        <f t="shared" si="95"/>
        <v>5.40000000000001</v>
      </c>
      <c r="K2050">
        <f t="shared" si="97"/>
        <v>0</v>
      </c>
    </row>
    <row r="2051" spans="1:11">
      <c r="A2051">
        <v>68.465</v>
      </c>
      <c r="B2051">
        <v>-197.7</v>
      </c>
      <c r="C2051">
        <v>25.8</v>
      </c>
      <c r="E2051">
        <v>68.432</v>
      </c>
      <c r="F2051">
        <v>-197.7</v>
      </c>
      <c r="G2051">
        <v>26.3</v>
      </c>
      <c r="I2051">
        <f t="shared" si="96"/>
        <v>68.4</v>
      </c>
      <c r="J2051">
        <f t="shared" si="95"/>
        <v>5.30000000000001</v>
      </c>
      <c r="K2051">
        <f t="shared" si="97"/>
        <v>0</v>
      </c>
    </row>
    <row r="2052" spans="1:11">
      <c r="A2052">
        <v>68.498</v>
      </c>
      <c r="B2052">
        <v>-198</v>
      </c>
      <c r="C2052">
        <v>25.8</v>
      </c>
      <c r="E2052">
        <v>68.465</v>
      </c>
      <c r="F2052">
        <v>-197.7</v>
      </c>
      <c r="G2052">
        <v>25.8</v>
      </c>
      <c r="I2052">
        <f t="shared" si="96"/>
        <v>68.45</v>
      </c>
      <c r="J2052">
        <f t="shared" si="95"/>
        <v>5.30000000000001</v>
      </c>
      <c r="K2052">
        <f t="shared" si="97"/>
        <v>0</v>
      </c>
    </row>
    <row r="2053" spans="1:11">
      <c r="A2053">
        <v>68.532</v>
      </c>
      <c r="B2053">
        <v>-198</v>
      </c>
      <c r="C2053">
        <v>25.2</v>
      </c>
      <c r="E2053">
        <v>68.498</v>
      </c>
      <c r="F2053">
        <v>-198</v>
      </c>
      <c r="G2053">
        <v>25.8</v>
      </c>
      <c r="I2053">
        <f t="shared" si="96"/>
        <v>68.45</v>
      </c>
      <c r="J2053">
        <f t="shared" ref="J2053:J2085" si="98">F2053+203</f>
        <v>5</v>
      </c>
      <c r="K2053">
        <f t="shared" si="97"/>
        <v>0</v>
      </c>
    </row>
    <row r="2054" spans="1:11">
      <c r="A2054">
        <v>68.565</v>
      </c>
      <c r="B2054">
        <v>-198</v>
      </c>
      <c r="C2054">
        <v>25.7</v>
      </c>
      <c r="E2054">
        <v>68.532</v>
      </c>
      <c r="F2054">
        <v>-198</v>
      </c>
      <c r="G2054">
        <v>25.2</v>
      </c>
      <c r="I2054">
        <f t="shared" si="96"/>
        <v>68.5</v>
      </c>
      <c r="J2054">
        <f t="shared" si="98"/>
        <v>5</v>
      </c>
      <c r="K2054">
        <f t="shared" si="97"/>
        <v>0</v>
      </c>
    </row>
    <row r="2055" spans="1:11">
      <c r="A2055">
        <v>68.599</v>
      </c>
      <c r="B2055">
        <v>-198.4</v>
      </c>
      <c r="C2055">
        <v>26</v>
      </c>
      <c r="E2055">
        <v>68.565</v>
      </c>
      <c r="F2055">
        <v>-198</v>
      </c>
      <c r="G2055">
        <v>25.7</v>
      </c>
      <c r="I2055">
        <f t="shared" si="96"/>
        <v>68.55</v>
      </c>
      <c r="J2055">
        <f t="shared" si="98"/>
        <v>5</v>
      </c>
      <c r="K2055">
        <f t="shared" si="97"/>
        <v>0</v>
      </c>
    </row>
    <row r="2056" spans="1:11">
      <c r="A2056">
        <v>68.632</v>
      </c>
      <c r="B2056">
        <v>-198.8</v>
      </c>
      <c r="C2056">
        <v>25.6</v>
      </c>
      <c r="E2056">
        <v>68.599</v>
      </c>
      <c r="F2056">
        <v>-198.4</v>
      </c>
      <c r="G2056">
        <v>26</v>
      </c>
      <c r="I2056">
        <f t="shared" si="96"/>
        <v>68.55</v>
      </c>
      <c r="J2056">
        <f t="shared" si="98"/>
        <v>4.59999999999999</v>
      </c>
      <c r="K2056">
        <f t="shared" si="97"/>
        <v>0</v>
      </c>
    </row>
    <row r="2057" spans="1:11">
      <c r="A2057">
        <v>68.666</v>
      </c>
      <c r="B2057">
        <v>-199.1</v>
      </c>
      <c r="C2057">
        <v>26.1</v>
      </c>
      <c r="E2057">
        <v>68.632</v>
      </c>
      <c r="F2057">
        <v>-198.8</v>
      </c>
      <c r="G2057">
        <v>25.6</v>
      </c>
      <c r="I2057">
        <f t="shared" si="96"/>
        <v>68.6</v>
      </c>
      <c r="J2057">
        <f t="shared" si="98"/>
        <v>4.19999999999999</v>
      </c>
      <c r="K2057">
        <f t="shared" si="97"/>
        <v>0</v>
      </c>
    </row>
    <row r="2058" spans="1:11">
      <c r="A2058">
        <v>68.699</v>
      </c>
      <c r="B2058">
        <v>-199.3</v>
      </c>
      <c r="C2058">
        <v>26</v>
      </c>
      <c r="E2058">
        <v>68.666</v>
      </c>
      <c r="F2058">
        <v>-199.1</v>
      </c>
      <c r="G2058">
        <v>26.1</v>
      </c>
      <c r="I2058">
        <f t="shared" si="96"/>
        <v>68.65</v>
      </c>
      <c r="J2058">
        <f t="shared" si="98"/>
        <v>3.90000000000001</v>
      </c>
      <c r="K2058">
        <f t="shared" si="97"/>
        <v>0</v>
      </c>
    </row>
    <row r="2059" spans="1:11">
      <c r="A2059">
        <v>68.733</v>
      </c>
      <c r="B2059">
        <v>-199.9</v>
      </c>
      <c r="C2059">
        <v>25.7</v>
      </c>
      <c r="E2059">
        <v>68.699</v>
      </c>
      <c r="F2059">
        <v>-199.3</v>
      </c>
      <c r="G2059">
        <v>26</v>
      </c>
      <c r="I2059">
        <f t="shared" si="96"/>
        <v>68.65</v>
      </c>
      <c r="J2059">
        <f t="shared" si="98"/>
        <v>3.69999999999999</v>
      </c>
      <c r="K2059">
        <f t="shared" si="97"/>
        <v>0</v>
      </c>
    </row>
    <row r="2060" spans="1:11">
      <c r="A2060">
        <v>68.766</v>
      </c>
      <c r="B2060">
        <v>-200.5</v>
      </c>
      <c r="C2060">
        <v>25.6</v>
      </c>
      <c r="E2060">
        <v>68.733</v>
      </c>
      <c r="F2060">
        <v>-199.9</v>
      </c>
      <c r="G2060">
        <v>25.7</v>
      </c>
      <c r="I2060">
        <f t="shared" si="96"/>
        <v>68.7</v>
      </c>
      <c r="J2060">
        <f t="shared" si="98"/>
        <v>3.09999999999999</v>
      </c>
      <c r="K2060">
        <f t="shared" si="97"/>
        <v>0</v>
      </c>
    </row>
    <row r="2061" spans="1:11">
      <c r="A2061">
        <v>68.799</v>
      </c>
      <c r="B2061">
        <v>-201.1</v>
      </c>
      <c r="C2061">
        <v>26.5</v>
      </c>
      <c r="E2061">
        <v>68.766</v>
      </c>
      <c r="F2061">
        <v>-200.5</v>
      </c>
      <c r="G2061">
        <v>25.6</v>
      </c>
      <c r="I2061">
        <f t="shared" si="96"/>
        <v>68.75</v>
      </c>
      <c r="J2061">
        <f t="shared" si="98"/>
        <v>2.5</v>
      </c>
      <c r="K2061">
        <f t="shared" si="97"/>
        <v>0</v>
      </c>
    </row>
    <row r="2062" spans="1:11">
      <c r="A2062">
        <v>68.833</v>
      </c>
      <c r="B2062">
        <v>-201.6</v>
      </c>
      <c r="C2062">
        <v>26.6</v>
      </c>
      <c r="E2062">
        <v>68.799</v>
      </c>
      <c r="F2062">
        <v>-201.1</v>
      </c>
      <c r="G2062">
        <v>26.5</v>
      </c>
      <c r="I2062">
        <f t="shared" si="96"/>
        <v>68.75</v>
      </c>
      <c r="J2062">
        <f t="shared" si="98"/>
        <v>1.90000000000001</v>
      </c>
      <c r="K2062">
        <f t="shared" si="97"/>
        <v>0</v>
      </c>
    </row>
    <row r="2063" spans="1:11">
      <c r="A2063">
        <v>68.866</v>
      </c>
      <c r="B2063">
        <v>-202.1</v>
      </c>
      <c r="C2063">
        <v>26.2</v>
      </c>
      <c r="E2063">
        <v>68.833</v>
      </c>
      <c r="F2063">
        <v>-201.6</v>
      </c>
      <c r="G2063">
        <v>26.6</v>
      </c>
      <c r="I2063">
        <f t="shared" si="96"/>
        <v>68.8</v>
      </c>
      <c r="J2063">
        <f t="shared" si="98"/>
        <v>1.40000000000001</v>
      </c>
      <c r="K2063">
        <f t="shared" si="97"/>
        <v>0</v>
      </c>
    </row>
    <row r="2064" spans="1:11">
      <c r="A2064">
        <v>68.9</v>
      </c>
      <c r="B2064">
        <v>-202.2</v>
      </c>
      <c r="C2064">
        <v>26.8</v>
      </c>
      <c r="E2064">
        <v>68.866</v>
      </c>
      <c r="F2064">
        <v>-202.1</v>
      </c>
      <c r="G2064">
        <v>26.2</v>
      </c>
      <c r="I2064">
        <f t="shared" si="96"/>
        <v>68.85</v>
      </c>
      <c r="J2064">
        <f t="shared" si="98"/>
        <v>0.900000000000006</v>
      </c>
      <c r="K2064">
        <f t="shared" si="97"/>
        <v>0</v>
      </c>
    </row>
    <row r="2065" spans="1:11">
      <c r="A2065">
        <v>68.933</v>
      </c>
      <c r="B2065">
        <v>-202.5</v>
      </c>
      <c r="C2065">
        <v>25.9</v>
      </c>
      <c r="E2065">
        <v>68.9</v>
      </c>
      <c r="F2065">
        <v>-202.2</v>
      </c>
      <c r="G2065">
        <v>26.8</v>
      </c>
      <c r="I2065">
        <f t="shared" si="96"/>
        <v>68.9</v>
      </c>
      <c r="J2065">
        <f t="shared" si="98"/>
        <v>0.800000000000011</v>
      </c>
      <c r="K2065">
        <f t="shared" si="97"/>
        <v>0</v>
      </c>
    </row>
    <row r="2066" spans="1:11">
      <c r="A2066">
        <v>68.967</v>
      </c>
      <c r="B2066">
        <v>-202.8</v>
      </c>
      <c r="C2066">
        <v>25.8</v>
      </c>
      <c r="E2066">
        <v>68.933</v>
      </c>
      <c r="F2066">
        <v>-202.5</v>
      </c>
      <c r="G2066">
        <v>25.9</v>
      </c>
      <c r="I2066">
        <f t="shared" si="96"/>
        <v>68.9</v>
      </c>
      <c r="J2066">
        <f t="shared" si="98"/>
        <v>0.5</v>
      </c>
      <c r="K2066">
        <f t="shared" si="97"/>
        <v>0</v>
      </c>
    </row>
    <row r="2067" spans="1:11">
      <c r="A2067">
        <v>69</v>
      </c>
      <c r="B2067">
        <v>-202.8</v>
      </c>
      <c r="C2067">
        <v>26.2</v>
      </c>
      <c r="E2067">
        <v>68.967</v>
      </c>
      <c r="F2067">
        <v>-202.8</v>
      </c>
      <c r="G2067">
        <v>25.8</v>
      </c>
      <c r="I2067">
        <f t="shared" si="96"/>
        <v>68.95</v>
      </c>
      <c r="J2067">
        <f t="shared" si="98"/>
        <v>0.199999999999989</v>
      </c>
      <c r="K2067">
        <f t="shared" si="97"/>
        <v>0</v>
      </c>
    </row>
    <row r="2068" spans="1:11">
      <c r="A2068">
        <v>69.033</v>
      </c>
      <c r="B2068">
        <v>-202.9</v>
      </c>
      <c r="C2068">
        <v>25.2</v>
      </c>
      <c r="E2068">
        <v>69</v>
      </c>
      <c r="F2068">
        <v>-202.8</v>
      </c>
      <c r="G2068">
        <v>26.2</v>
      </c>
      <c r="I2068">
        <f t="shared" ref="I2068:I2085" si="99">FLOOR(E2068,0.05)</f>
        <v>69</v>
      </c>
      <c r="J2068">
        <f t="shared" si="98"/>
        <v>0.199999999999989</v>
      </c>
      <c r="K2068">
        <f t="shared" ref="K2068:K2085" si="100">IF(G2068&lt;230,0,5)</f>
        <v>0</v>
      </c>
    </row>
    <row r="2069" spans="1:11">
      <c r="A2069">
        <v>69.067</v>
      </c>
      <c r="B2069">
        <v>-202.9</v>
      </c>
      <c r="C2069">
        <v>26.3</v>
      </c>
      <c r="E2069">
        <v>69.033</v>
      </c>
      <c r="F2069">
        <v>-202.9</v>
      </c>
      <c r="G2069">
        <v>25.2</v>
      </c>
      <c r="I2069">
        <f t="shared" si="99"/>
        <v>69</v>
      </c>
      <c r="J2069">
        <f t="shared" si="98"/>
        <v>0.0999999999999943</v>
      </c>
      <c r="K2069">
        <f t="shared" si="100"/>
        <v>0</v>
      </c>
    </row>
    <row r="2070" spans="1:11">
      <c r="A2070">
        <v>69.1</v>
      </c>
      <c r="B2070">
        <v>-202.9</v>
      </c>
      <c r="C2070">
        <v>26.1</v>
      </c>
      <c r="E2070">
        <v>69.067</v>
      </c>
      <c r="F2070">
        <v>-202.9</v>
      </c>
      <c r="G2070">
        <v>26.3</v>
      </c>
      <c r="I2070">
        <f t="shared" si="99"/>
        <v>69.05</v>
      </c>
      <c r="J2070">
        <f t="shared" si="98"/>
        <v>0.0999999999999943</v>
      </c>
      <c r="K2070">
        <f t="shared" si="100"/>
        <v>0</v>
      </c>
    </row>
    <row r="2071" spans="1:11">
      <c r="A2071">
        <v>69.134</v>
      </c>
      <c r="B2071">
        <v>-202.8</v>
      </c>
      <c r="C2071">
        <v>25.7</v>
      </c>
      <c r="E2071">
        <v>69.1</v>
      </c>
      <c r="F2071">
        <v>-202.9</v>
      </c>
      <c r="G2071">
        <v>26.1</v>
      </c>
      <c r="I2071">
        <f t="shared" si="99"/>
        <v>69.1</v>
      </c>
      <c r="J2071">
        <f t="shared" si="98"/>
        <v>0.0999999999999943</v>
      </c>
      <c r="K2071">
        <f t="shared" si="100"/>
        <v>0</v>
      </c>
    </row>
    <row r="2072" spans="1:11">
      <c r="A2072">
        <v>69.167</v>
      </c>
      <c r="B2072">
        <v>-202.7</v>
      </c>
      <c r="C2072">
        <v>25.9</v>
      </c>
      <c r="E2072">
        <v>69.134</v>
      </c>
      <c r="F2072">
        <v>-202.8</v>
      </c>
      <c r="G2072">
        <v>25.7</v>
      </c>
      <c r="I2072">
        <f t="shared" si="99"/>
        <v>69.1</v>
      </c>
      <c r="J2072">
        <f t="shared" si="98"/>
        <v>0.199999999999989</v>
      </c>
      <c r="K2072">
        <f t="shared" si="100"/>
        <v>0</v>
      </c>
    </row>
    <row r="2073" spans="1:11">
      <c r="A2073">
        <v>69.201</v>
      </c>
      <c r="B2073">
        <v>-202.6</v>
      </c>
      <c r="C2073">
        <v>25.3</v>
      </c>
      <c r="E2073">
        <v>69.167</v>
      </c>
      <c r="F2073">
        <v>-202.7</v>
      </c>
      <c r="G2073">
        <v>25.9</v>
      </c>
      <c r="I2073">
        <f t="shared" si="99"/>
        <v>69.15</v>
      </c>
      <c r="J2073">
        <f t="shared" si="98"/>
        <v>0.300000000000011</v>
      </c>
      <c r="K2073">
        <f t="shared" si="100"/>
        <v>0</v>
      </c>
    </row>
    <row r="2074" spans="1:11">
      <c r="A2074">
        <v>69.234</v>
      </c>
      <c r="B2074">
        <v>-202.5</v>
      </c>
      <c r="C2074">
        <v>26.6</v>
      </c>
      <c r="E2074">
        <v>69.201</v>
      </c>
      <c r="F2074">
        <v>-202.6</v>
      </c>
      <c r="G2074">
        <v>25.3</v>
      </c>
      <c r="I2074">
        <f t="shared" si="99"/>
        <v>69.2</v>
      </c>
      <c r="J2074">
        <f t="shared" si="98"/>
        <v>0.400000000000006</v>
      </c>
      <c r="K2074">
        <f t="shared" si="100"/>
        <v>0</v>
      </c>
    </row>
    <row r="2075" spans="1:11">
      <c r="A2075">
        <v>69.267</v>
      </c>
      <c r="B2075">
        <v>-202.4</v>
      </c>
      <c r="C2075">
        <v>25.2</v>
      </c>
      <c r="E2075">
        <v>69.234</v>
      </c>
      <c r="F2075">
        <v>-202.5</v>
      </c>
      <c r="G2075">
        <v>26.6</v>
      </c>
      <c r="I2075">
        <f t="shared" si="99"/>
        <v>69.2</v>
      </c>
      <c r="J2075">
        <f t="shared" si="98"/>
        <v>0.5</v>
      </c>
      <c r="K2075">
        <f t="shared" si="100"/>
        <v>0</v>
      </c>
    </row>
    <row r="2076" spans="1:11">
      <c r="A2076">
        <v>69.301</v>
      </c>
      <c r="B2076">
        <v>-202.4</v>
      </c>
      <c r="C2076">
        <v>25.6</v>
      </c>
      <c r="E2076">
        <v>69.267</v>
      </c>
      <c r="F2076">
        <v>-202.4</v>
      </c>
      <c r="G2076">
        <v>25.2</v>
      </c>
      <c r="I2076">
        <f t="shared" si="99"/>
        <v>69.25</v>
      </c>
      <c r="J2076">
        <f t="shared" si="98"/>
        <v>0.599999999999994</v>
      </c>
      <c r="K2076">
        <f t="shared" si="100"/>
        <v>0</v>
      </c>
    </row>
    <row r="2077" spans="1:11">
      <c r="A2077">
        <v>69.334</v>
      </c>
      <c r="B2077">
        <v>-202</v>
      </c>
      <c r="C2077">
        <v>26</v>
      </c>
      <c r="E2077">
        <v>69.301</v>
      </c>
      <c r="F2077">
        <v>-202.4</v>
      </c>
      <c r="G2077">
        <v>25.6</v>
      </c>
      <c r="I2077">
        <f t="shared" si="99"/>
        <v>69.3</v>
      </c>
      <c r="J2077">
        <f t="shared" si="98"/>
        <v>0.599999999999994</v>
      </c>
      <c r="K2077">
        <f t="shared" si="100"/>
        <v>0</v>
      </c>
    </row>
    <row r="2078" spans="1:11">
      <c r="A2078">
        <v>69.368</v>
      </c>
      <c r="B2078">
        <v>-201.4</v>
      </c>
      <c r="C2078">
        <v>25.7</v>
      </c>
      <c r="E2078">
        <v>69.334</v>
      </c>
      <c r="F2078">
        <v>-202</v>
      </c>
      <c r="G2078">
        <v>26</v>
      </c>
      <c r="I2078">
        <f t="shared" si="99"/>
        <v>69.3</v>
      </c>
      <c r="J2078">
        <f t="shared" si="98"/>
        <v>1</v>
      </c>
      <c r="K2078">
        <f t="shared" si="100"/>
        <v>0</v>
      </c>
    </row>
    <row r="2079" spans="1:11">
      <c r="A2079">
        <v>69.401</v>
      </c>
      <c r="B2079">
        <v>-200.9</v>
      </c>
      <c r="C2079">
        <v>26.1</v>
      </c>
      <c r="E2079">
        <v>69.368</v>
      </c>
      <c r="F2079">
        <v>-201.4</v>
      </c>
      <c r="G2079">
        <v>25.7</v>
      </c>
      <c r="I2079">
        <f t="shared" si="99"/>
        <v>69.35</v>
      </c>
      <c r="J2079">
        <f t="shared" si="98"/>
        <v>1.59999999999999</v>
      </c>
      <c r="K2079">
        <f t="shared" si="100"/>
        <v>0</v>
      </c>
    </row>
    <row r="2080" spans="1:11">
      <c r="A2080">
        <v>69.435</v>
      </c>
      <c r="B2080">
        <v>-200.4</v>
      </c>
      <c r="C2080">
        <v>26.1</v>
      </c>
      <c r="E2080">
        <v>69.401</v>
      </c>
      <c r="F2080">
        <v>-200.9</v>
      </c>
      <c r="G2080">
        <v>26.1</v>
      </c>
      <c r="I2080">
        <f t="shared" si="99"/>
        <v>69.4</v>
      </c>
      <c r="J2080">
        <f t="shared" si="98"/>
        <v>2.09999999999999</v>
      </c>
      <c r="K2080">
        <f t="shared" si="100"/>
        <v>0</v>
      </c>
    </row>
    <row r="2081" spans="1:11">
      <c r="A2081">
        <v>69.468</v>
      </c>
      <c r="B2081">
        <v>-200.1</v>
      </c>
      <c r="C2081">
        <v>26.4</v>
      </c>
      <c r="E2081">
        <v>69.435</v>
      </c>
      <c r="F2081">
        <v>-200.4</v>
      </c>
      <c r="G2081">
        <v>26.1</v>
      </c>
      <c r="I2081">
        <f t="shared" si="99"/>
        <v>69.4</v>
      </c>
      <c r="J2081">
        <f t="shared" si="98"/>
        <v>2.59999999999999</v>
      </c>
      <c r="K2081">
        <f t="shared" si="100"/>
        <v>0</v>
      </c>
    </row>
    <row r="2082" spans="1:11">
      <c r="A2082">
        <v>69.501</v>
      </c>
      <c r="B2082">
        <v>-199.5</v>
      </c>
      <c r="C2082">
        <v>26.3</v>
      </c>
      <c r="E2082">
        <v>69.468</v>
      </c>
      <c r="F2082">
        <v>-200.1</v>
      </c>
      <c r="G2082">
        <v>26.4</v>
      </c>
      <c r="I2082">
        <f t="shared" si="99"/>
        <v>69.45</v>
      </c>
      <c r="J2082">
        <f t="shared" si="98"/>
        <v>2.90000000000001</v>
      </c>
      <c r="K2082">
        <f t="shared" si="100"/>
        <v>0</v>
      </c>
    </row>
    <row r="2083" spans="1:11">
      <c r="A2083">
        <v>69.535</v>
      </c>
      <c r="B2083">
        <v>-199.2</v>
      </c>
      <c r="C2083">
        <v>25.6</v>
      </c>
      <c r="E2083">
        <v>69.501</v>
      </c>
      <c r="F2083">
        <v>-199.5</v>
      </c>
      <c r="G2083">
        <v>26.3</v>
      </c>
      <c r="I2083">
        <f t="shared" si="99"/>
        <v>69.5</v>
      </c>
      <c r="J2083">
        <f t="shared" si="98"/>
        <v>3.5</v>
      </c>
      <c r="K2083">
        <f t="shared" si="100"/>
        <v>0</v>
      </c>
    </row>
    <row r="2084" spans="1:11">
      <c r="A2084">
        <v>69.568</v>
      </c>
      <c r="B2084">
        <v>-198.5</v>
      </c>
      <c r="C2084">
        <v>26.2</v>
      </c>
      <c r="E2084">
        <v>69.535</v>
      </c>
      <c r="F2084">
        <v>-199.2</v>
      </c>
      <c r="G2084">
        <v>25.6</v>
      </c>
      <c r="I2084">
        <f t="shared" si="99"/>
        <v>69.5</v>
      </c>
      <c r="J2084">
        <f t="shared" si="98"/>
        <v>3.80000000000001</v>
      </c>
      <c r="K2084">
        <f t="shared" si="100"/>
        <v>0</v>
      </c>
    </row>
    <row r="2085" spans="1:11">
      <c r="E2085">
        <v>69.568</v>
      </c>
      <c r="F2085">
        <v>-198.5</v>
      </c>
      <c r="G2085">
        <v>26.2</v>
      </c>
      <c r="I2085">
        <f t="shared" si="99"/>
        <v>69.55</v>
      </c>
      <c r="J2085">
        <f t="shared" si="98"/>
        <v>4.5</v>
      </c>
      <c r="K2085">
        <f t="shared" si="100"/>
        <v>0</v>
      </c>
    </row>
  </sheetData>
  <mergeCells count="2">
    <mergeCell ref="E1:G1"/>
    <mergeCell ref="I1:K1"/>
  </mergeCells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44"/>
  <sheetViews>
    <sheetView tabSelected="1" zoomScale="145" zoomScaleNormal="145" topLeftCell="A13" workbookViewId="0">
      <selection activeCell="A13" sqref="$A1:$XFD1048576"/>
    </sheetView>
  </sheetViews>
  <sheetFormatPr defaultColWidth="8.88888888888889" defaultRowHeight="14.4"/>
  <cols>
    <col min="1" max="2" width="7.66666666666667" customWidth="1"/>
    <col min="3" max="4" width="9.66666666666667" customWidth="1"/>
    <col min="5" max="5" width="7.66666666666667" customWidth="1"/>
    <col min="6" max="6" width="9.66666666666667" customWidth="1"/>
    <col min="7" max="7" width="9.75" customWidth="1"/>
    <col min="8" max="8" width="3.88888888888889" customWidth="1"/>
    <col min="9" max="9" width="7.66666666666667" customWidth="1"/>
    <col min="10" max="10" width="9.66666666666667" customWidth="1"/>
    <col min="11" max="11" width="8.77777777777778" customWidth="1"/>
  </cols>
  <sheetData>
    <row r="1" spans="1:11">
      <c r="B1" t="s">
        <v>0</v>
      </c>
      <c r="C1" t="s">
        <v>1</v>
      </c>
      <c r="E1" s="1" t="s">
        <v>8</v>
      </c>
      <c r="F1" s="1"/>
      <c r="G1" s="1"/>
      <c r="I1" s="1" t="s">
        <v>729</v>
      </c>
      <c r="J1" s="1"/>
      <c r="K1" s="1"/>
    </row>
    <row r="2" spans="1:11">
      <c r="A2" t="s">
        <v>5</v>
      </c>
      <c r="B2" t="s">
        <v>6</v>
      </c>
      <c r="C2" t="s">
        <v>7</v>
      </c>
      <c r="F2" t="s">
        <v>0</v>
      </c>
      <c r="G2" t="s">
        <v>1</v>
      </c>
      <c r="J2" t="s">
        <v>730</v>
      </c>
      <c r="K2" t="s">
        <v>731</v>
      </c>
    </row>
    <row r="3" spans="1:11">
      <c r="A3">
        <v>0</v>
      </c>
      <c r="B3">
        <v>-328.1</v>
      </c>
      <c r="C3" s="2">
        <v>36.8</v>
      </c>
      <c r="D3" s="2"/>
      <c r="E3" t="s">
        <v>5</v>
      </c>
      <c r="F3" t="s">
        <v>6</v>
      </c>
      <c r="G3" t="s">
        <v>7</v>
      </c>
      <c r="J3" t="s">
        <v>6</v>
      </c>
      <c r="K3" t="s">
        <v>7</v>
      </c>
    </row>
    <row r="4" spans="1:11">
      <c r="A4">
        <v>0.033</v>
      </c>
      <c r="B4">
        <v>-310.1</v>
      </c>
      <c r="C4" s="2">
        <v>36.7</v>
      </c>
      <c r="D4" s="2"/>
      <c r="E4">
        <v>0</v>
      </c>
      <c r="F4">
        <v>-328.1</v>
      </c>
      <c r="G4" s="2">
        <v>36.8</v>
      </c>
      <c r="I4">
        <f t="shared" ref="I4:I67" si="0">FLOOR(E4,0.05)</f>
        <v>0</v>
      </c>
      <c r="J4">
        <f t="shared" ref="J4:J67" si="1">F4+203</f>
        <v>-125.1</v>
      </c>
      <c r="K4">
        <f>IF(G4&lt;230,-150,100)</f>
        <v>-150</v>
      </c>
    </row>
    <row r="5" spans="1:11">
      <c r="A5">
        <v>0.067</v>
      </c>
      <c r="B5">
        <v>-290.6</v>
      </c>
      <c r="C5" s="2">
        <v>36.2</v>
      </c>
      <c r="D5" s="2"/>
      <c r="E5">
        <v>0.033</v>
      </c>
      <c r="F5">
        <v>-310.1</v>
      </c>
      <c r="G5" s="2">
        <v>36.7</v>
      </c>
      <c r="I5">
        <f t="shared" si="0"/>
        <v>0</v>
      </c>
      <c r="J5">
        <f t="shared" si="1"/>
        <v>-107.1</v>
      </c>
      <c r="K5">
        <f t="shared" ref="K5:K68" si="2">IF(G5&lt;230,-150,100)</f>
        <v>-150</v>
      </c>
    </row>
    <row r="6" spans="1:11">
      <c r="A6">
        <v>0.1</v>
      </c>
      <c r="B6">
        <v>-268.5</v>
      </c>
      <c r="C6" s="2">
        <v>36.2</v>
      </c>
      <c r="D6" s="2"/>
      <c r="E6">
        <v>0.067</v>
      </c>
      <c r="F6">
        <v>-290.6</v>
      </c>
      <c r="G6" s="2">
        <v>36.2</v>
      </c>
      <c r="I6">
        <f t="shared" si="0"/>
        <v>0.05</v>
      </c>
      <c r="J6">
        <f t="shared" si="1"/>
        <v>-87.6</v>
      </c>
      <c r="K6">
        <f t="shared" si="2"/>
        <v>-150</v>
      </c>
    </row>
    <row r="7" spans="1:11">
      <c r="A7">
        <v>0.134</v>
      </c>
      <c r="B7">
        <v>-249.1</v>
      </c>
      <c r="C7" s="2">
        <v>37.1</v>
      </c>
      <c r="D7" s="2"/>
      <c r="E7">
        <v>0.1</v>
      </c>
      <c r="F7">
        <v>-268.5</v>
      </c>
      <c r="G7" s="2">
        <v>36.2</v>
      </c>
      <c r="I7">
        <f t="shared" si="0"/>
        <v>0.1</v>
      </c>
      <c r="J7">
        <f t="shared" si="1"/>
        <v>-65.5</v>
      </c>
      <c r="K7">
        <f t="shared" si="2"/>
        <v>-150</v>
      </c>
    </row>
    <row r="8" spans="1:11">
      <c r="A8">
        <v>0.167</v>
      </c>
      <c r="B8">
        <v>-228.3</v>
      </c>
      <c r="C8" s="2">
        <v>36.8</v>
      </c>
      <c r="D8" s="2"/>
      <c r="E8">
        <v>0.134</v>
      </c>
      <c r="F8">
        <v>-249.1</v>
      </c>
      <c r="G8" s="2">
        <v>37.1</v>
      </c>
      <c r="I8">
        <f t="shared" si="0"/>
        <v>0.1</v>
      </c>
      <c r="J8">
        <f t="shared" si="1"/>
        <v>-46.1</v>
      </c>
      <c r="K8">
        <f t="shared" si="2"/>
        <v>-150</v>
      </c>
    </row>
    <row r="9" spans="1:11">
      <c r="A9">
        <v>0.201</v>
      </c>
      <c r="B9">
        <v>-209.2</v>
      </c>
      <c r="C9" s="2">
        <v>36.6</v>
      </c>
      <c r="D9" s="2"/>
      <c r="E9">
        <v>0.167</v>
      </c>
      <c r="F9">
        <v>-228.3</v>
      </c>
      <c r="G9" s="2">
        <v>36.8</v>
      </c>
      <c r="I9">
        <f t="shared" si="0"/>
        <v>0.15</v>
      </c>
      <c r="J9">
        <f t="shared" si="1"/>
        <v>-25.3</v>
      </c>
      <c r="K9">
        <f t="shared" si="2"/>
        <v>-150</v>
      </c>
    </row>
    <row r="10" spans="1:11">
      <c r="A10">
        <v>0.234</v>
      </c>
      <c r="B10">
        <v>-191.6</v>
      </c>
      <c r="C10" s="2">
        <v>37</v>
      </c>
      <c r="D10" s="2"/>
      <c r="E10">
        <v>0.201</v>
      </c>
      <c r="F10">
        <v>-209.2</v>
      </c>
      <c r="G10" s="2">
        <v>36.6</v>
      </c>
      <c r="I10">
        <f t="shared" si="0"/>
        <v>0.2</v>
      </c>
      <c r="J10">
        <f t="shared" si="1"/>
        <v>-6.19999999999999</v>
      </c>
      <c r="K10">
        <f t="shared" si="2"/>
        <v>-150</v>
      </c>
    </row>
    <row r="11" spans="1:11">
      <c r="A11">
        <v>0.267</v>
      </c>
      <c r="B11">
        <v>-172.6</v>
      </c>
      <c r="C11" s="2">
        <v>36.8</v>
      </c>
      <c r="D11" s="2"/>
      <c r="E11">
        <v>0.234</v>
      </c>
      <c r="F11">
        <v>-191.6</v>
      </c>
      <c r="G11" s="2">
        <v>37</v>
      </c>
      <c r="I11">
        <f t="shared" si="0"/>
        <v>0.2</v>
      </c>
      <c r="J11">
        <f t="shared" si="1"/>
        <v>11.4</v>
      </c>
      <c r="K11">
        <f t="shared" si="2"/>
        <v>-150</v>
      </c>
    </row>
    <row r="12" spans="1:11">
      <c r="A12">
        <v>0.301</v>
      </c>
      <c r="B12">
        <v>-155.8</v>
      </c>
      <c r="C12" s="2">
        <v>37.2</v>
      </c>
      <c r="D12" s="2"/>
      <c r="E12">
        <v>0.267</v>
      </c>
      <c r="F12">
        <v>-172.6</v>
      </c>
      <c r="G12" s="2">
        <v>36.8</v>
      </c>
      <c r="I12">
        <f t="shared" si="0"/>
        <v>0.25</v>
      </c>
      <c r="J12">
        <f t="shared" si="1"/>
        <v>30.4</v>
      </c>
      <c r="K12">
        <f t="shared" si="2"/>
        <v>-150</v>
      </c>
    </row>
    <row r="13" spans="1:11">
      <c r="A13">
        <v>0.334</v>
      </c>
      <c r="B13">
        <v>-140.7</v>
      </c>
      <c r="C13" s="2">
        <v>36.7</v>
      </c>
      <c r="D13" s="2"/>
      <c r="E13">
        <v>0.301</v>
      </c>
      <c r="F13">
        <v>-155.8</v>
      </c>
      <c r="G13" s="2">
        <v>37.2</v>
      </c>
      <c r="I13">
        <f t="shared" si="0"/>
        <v>0.3</v>
      </c>
      <c r="J13">
        <f t="shared" si="1"/>
        <v>47.2</v>
      </c>
      <c r="K13">
        <f t="shared" si="2"/>
        <v>-150</v>
      </c>
    </row>
    <row r="14" spans="1:11">
      <c r="A14">
        <v>0.368</v>
      </c>
      <c r="B14">
        <v>-126.2</v>
      </c>
      <c r="C14" s="2">
        <v>36.5</v>
      </c>
      <c r="D14" s="2"/>
      <c r="E14">
        <v>0.334</v>
      </c>
      <c r="F14">
        <v>-140.7</v>
      </c>
      <c r="G14" s="2">
        <v>36.7</v>
      </c>
      <c r="I14">
        <f t="shared" si="0"/>
        <v>0.3</v>
      </c>
      <c r="J14">
        <f t="shared" si="1"/>
        <v>62.3</v>
      </c>
      <c r="K14">
        <f t="shared" si="2"/>
        <v>-150</v>
      </c>
    </row>
    <row r="15" spans="1:11">
      <c r="A15">
        <v>0.401</v>
      </c>
      <c r="B15">
        <v>-113</v>
      </c>
      <c r="C15" s="2">
        <v>36.9</v>
      </c>
      <c r="D15" s="2"/>
      <c r="E15">
        <v>0.368</v>
      </c>
      <c r="F15">
        <v>-126.2</v>
      </c>
      <c r="G15" s="2">
        <v>36.5</v>
      </c>
      <c r="I15">
        <f t="shared" si="0"/>
        <v>0.35</v>
      </c>
      <c r="J15">
        <f t="shared" si="1"/>
        <v>76.8</v>
      </c>
      <c r="K15">
        <f t="shared" si="2"/>
        <v>-150</v>
      </c>
    </row>
    <row r="16" spans="1:11">
      <c r="A16">
        <v>0.435</v>
      </c>
      <c r="B16">
        <v>-100.9</v>
      </c>
      <c r="C16" s="2">
        <v>37</v>
      </c>
      <c r="D16" s="2"/>
      <c r="E16">
        <v>0.401</v>
      </c>
      <c r="F16">
        <v>-113</v>
      </c>
      <c r="G16" s="2">
        <v>36.9</v>
      </c>
      <c r="I16">
        <f t="shared" si="0"/>
        <v>0.4</v>
      </c>
      <c r="J16">
        <f t="shared" si="1"/>
        <v>90</v>
      </c>
      <c r="K16">
        <f t="shared" si="2"/>
        <v>-150</v>
      </c>
    </row>
    <row r="17" spans="1:11">
      <c r="A17">
        <v>0.468</v>
      </c>
      <c r="B17">
        <v>-90.91</v>
      </c>
      <c r="C17" s="2">
        <v>36.8</v>
      </c>
      <c r="D17" s="2"/>
      <c r="E17">
        <v>0.435</v>
      </c>
      <c r="F17">
        <v>-100.9</v>
      </c>
      <c r="G17" s="2">
        <v>37</v>
      </c>
      <c r="I17">
        <f t="shared" si="0"/>
        <v>0.4</v>
      </c>
      <c r="J17">
        <f t="shared" si="1"/>
        <v>102.1</v>
      </c>
      <c r="K17">
        <f t="shared" si="2"/>
        <v>-150</v>
      </c>
    </row>
    <row r="18" spans="1:11">
      <c r="A18">
        <v>0.501</v>
      </c>
      <c r="B18">
        <v>-81.95</v>
      </c>
      <c r="C18" s="2">
        <v>36.8</v>
      </c>
      <c r="D18" s="2"/>
      <c r="E18">
        <v>0.468</v>
      </c>
      <c r="F18">
        <v>-90.91</v>
      </c>
      <c r="G18" s="2">
        <v>36.8</v>
      </c>
      <c r="I18">
        <f t="shared" si="0"/>
        <v>0.45</v>
      </c>
      <c r="J18">
        <f t="shared" si="1"/>
        <v>112.09</v>
      </c>
      <c r="K18">
        <f t="shared" si="2"/>
        <v>-150</v>
      </c>
    </row>
    <row r="19" spans="1:11">
      <c r="A19">
        <v>0.535</v>
      </c>
      <c r="B19">
        <v>-74.89</v>
      </c>
      <c r="C19" s="2">
        <v>36.8</v>
      </c>
      <c r="D19" s="2"/>
      <c r="E19">
        <v>0.501</v>
      </c>
      <c r="F19">
        <v>-81.95</v>
      </c>
      <c r="G19" s="2">
        <v>36.8</v>
      </c>
      <c r="I19">
        <f t="shared" si="0"/>
        <v>0.5</v>
      </c>
      <c r="J19">
        <f t="shared" si="1"/>
        <v>121.05</v>
      </c>
      <c r="K19">
        <f t="shared" si="2"/>
        <v>-150</v>
      </c>
    </row>
    <row r="20" spans="1:11">
      <c r="A20">
        <v>0.568</v>
      </c>
      <c r="B20">
        <v>-70.3</v>
      </c>
      <c r="C20" s="2">
        <v>36.4</v>
      </c>
      <c r="D20" s="2"/>
      <c r="E20">
        <v>0.535</v>
      </c>
      <c r="F20">
        <v>-74.89</v>
      </c>
      <c r="G20" s="2">
        <v>36.8</v>
      </c>
      <c r="I20">
        <f t="shared" si="0"/>
        <v>0.5</v>
      </c>
      <c r="J20">
        <f t="shared" si="1"/>
        <v>128.11</v>
      </c>
      <c r="K20">
        <f t="shared" si="2"/>
        <v>-150</v>
      </c>
    </row>
    <row r="21" spans="1:11">
      <c r="A21">
        <v>0.602</v>
      </c>
      <c r="B21">
        <v>-66.06</v>
      </c>
      <c r="C21" s="2">
        <v>36.3</v>
      </c>
      <c r="D21" s="2"/>
      <c r="E21">
        <v>0.568</v>
      </c>
      <c r="F21">
        <v>-70.3</v>
      </c>
      <c r="G21" s="2">
        <v>36.4</v>
      </c>
      <c r="I21">
        <f t="shared" si="0"/>
        <v>0.55</v>
      </c>
      <c r="J21">
        <f t="shared" si="1"/>
        <v>132.7</v>
      </c>
      <c r="K21">
        <f t="shared" si="2"/>
        <v>-150</v>
      </c>
    </row>
    <row r="22" spans="1:11">
      <c r="A22">
        <v>0.635</v>
      </c>
      <c r="B22">
        <v>-64.67</v>
      </c>
      <c r="C22" s="2">
        <v>37</v>
      </c>
      <c r="D22" s="2"/>
      <c r="E22">
        <v>0.602</v>
      </c>
      <c r="F22">
        <v>-66.06</v>
      </c>
      <c r="G22" s="2">
        <v>36.3</v>
      </c>
      <c r="I22">
        <f t="shared" si="0"/>
        <v>0.6</v>
      </c>
      <c r="J22">
        <f t="shared" si="1"/>
        <v>136.94</v>
      </c>
      <c r="K22">
        <f t="shared" si="2"/>
        <v>-150</v>
      </c>
    </row>
    <row r="23" spans="1:11">
      <c r="A23">
        <v>0.669</v>
      </c>
      <c r="B23">
        <v>-65</v>
      </c>
      <c r="C23" s="2">
        <v>37.2</v>
      </c>
      <c r="D23" s="2"/>
      <c r="E23">
        <v>0.635</v>
      </c>
      <c r="F23">
        <v>-64.67</v>
      </c>
      <c r="G23" s="2">
        <v>37</v>
      </c>
      <c r="I23">
        <f t="shared" si="0"/>
        <v>0.6</v>
      </c>
      <c r="J23">
        <f t="shared" si="1"/>
        <v>138.33</v>
      </c>
      <c r="K23">
        <f t="shared" si="2"/>
        <v>-150</v>
      </c>
    </row>
    <row r="24" spans="1:11">
      <c r="A24">
        <v>0.702</v>
      </c>
      <c r="B24">
        <v>-67.01</v>
      </c>
      <c r="C24" s="2">
        <v>36.2</v>
      </c>
      <c r="D24" s="2"/>
      <c r="E24">
        <v>0.669</v>
      </c>
      <c r="F24">
        <v>-65</v>
      </c>
      <c r="G24" s="2">
        <v>37.2</v>
      </c>
      <c r="I24">
        <f t="shared" si="0"/>
        <v>0.65</v>
      </c>
      <c r="J24">
        <f t="shared" si="1"/>
        <v>138</v>
      </c>
      <c r="K24">
        <f t="shared" si="2"/>
        <v>-150</v>
      </c>
    </row>
    <row r="25" spans="1:11">
      <c r="A25">
        <v>0.735</v>
      </c>
      <c r="B25">
        <v>-71.09</v>
      </c>
      <c r="C25">
        <v>36.6</v>
      </c>
      <c r="E25">
        <v>0.702</v>
      </c>
      <c r="F25">
        <v>-67.01</v>
      </c>
      <c r="G25" s="2">
        <v>36.2</v>
      </c>
      <c r="I25">
        <f t="shared" si="0"/>
        <v>0.7</v>
      </c>
      <c r="J25">
        <f t="shared" si="1"/>
        <v>135.99</v>
      </c>
      <c r="K25">
        <f t="shared" si="2"/>
        <v>-150</v>
      </c>
    </row>
    <row r="26" spans="1:11">
      <c r="A26">
        <v>0.769</v>
      </c>
      <c r="B26">
        <v>-76.93</v>
      </c>
      <c r="C26">
        <v>37.1</v>
      </c>
      <c r="E26">
        <v>0.735</v>
      </c>
      <c r="F26">
        <v>-71.09</v>
      </c>
      <c r="G26">
        <v>36.6</v>
      </c>
      <c r="I26">
        <f t="shared" si="0"/>
        <v>0.7</v>
      </c>
      <c r="J26">
        <f t="shared" si="1"/>
        <v>131.91</v>
      </c>
      <c r="K26">
        <f t="shared" si="2"/>
        <v>-150</v>
      </c>
    </row>
    <row r="27" spans="1:11">
      <c r="A27">
        <v>0.802</v>
      </c>
      <c r="B27">
        <v>-84.11</v>
      </c>
      <c r="C27">
        <v>36.2</v>
      </c>
      <c r="E27">
        <v>0.769</v>
      </c>
      <c r="F27">
        <v>-76.93</v>
      </c>
      <c r="G27">
        <v>37.1</v>
      </c>
      <c r="I27">
        <f t="shared" si="0"/>
        <v>0.75</v>
      </c>
      <c r="J27">
        <f t="shared" si="1"/>
        <v>126.07</v>
      </c>
      <c r="K27">
        <f t="shared" si="2"/>
        <v>-150</v>
      </c>
    </row>
    <row r="28" spans="1:11">
      <c r="A28">
        <v>0.836</v>
      </c>
      <c r="B28">
        <v>-93.09</v>
      </c>
      <c r="C28">
        <v>36.3</v>
      </c>
      <c r="E28">
        <v>0.802</v>
      </c>
      <c r="F28">
        <v>-84.11</v>
      </c>
      <c r="G28">
        <v>36.2</v>
      </c>
      <c r="I28">
        <f t="shared" si="0"/>
        <v>0.8</v>
      </c>
      <c r="J28">
        <f t="shared" si="1"/>
        <v>118.89</v>
      </c>
      <c r="K28">
        <f t="shared" si="2"/>
        <v>-150</v>
      </c>
    </row>
    <row r="29" spans="1:11">
      <c r="A29">
        <v>0.869</v>
      </c>
      <c r="B29">
        <v>-104.1</v>
      </c>
      <c r="C29">
        <v>37.2</v>
      </c>
      <c r="E29">
        <v>0.836</v>
      </c>
      <c r="F29">
        <v>-93.09</v>
      </c>
      <c r="G29">
        <v>36.3</v>
      </c>
      <c r="I29">
        <f t="shared" si="0"/>
        <v>0.8</v>
      </c>
      <c r="J29">
        <f t="shared" si="1"/>
        <v>109.91</v>
      </c>
      <c r="K29">
        <f t="shared" si="2"/>
        <v>-150</v>
      </c>
    </row>
    <row r="30" spans="1:11">
      <c r="A30">
        <v>0.903</v>
      </c>
      <c r="B30">
        <v>-115.4</v>
      </c>
      <c r="C30">
        <v>36.1</v>
      </c>
      <c r="E30">
        <v>0.869</v>
      </c>
      <c r="F30">
        <v>-104.1</v>
      </c>
      <c r="G30">
        <v>37.2</v>
      </c>
      <c r="I30">
        <f t="shared" si="0"/>
        <v>0.85</v>
      </c>
      <c r="J30">
        <f t="shared" si="1"/>
        <v>98.9</v>
      </c>
      <c r="K30">
        <f t="shared" si="2"/>
        <v>-150</v>
      </c>
    </row>
    <row r="31" spans="1:11">
      <c r="A31">
        <v>0.936</v>
      </c>
      <c r="B31">
        <v>-129.2</v>
      </c>
      <c r="C31">
        <v>36.5</v>
      </c>
      <c r="E31">
        <v>0.903</v>
      </c>
      <c r="F31">
        <v>-115.4</v>
      </c>
      <c r="G31">
        <v>36.1</v>
      </c>
      <c r="I31">
        <f t="shared" si="0"/>
        <v>0.9</v>
      </c>
      <c r="J31">
        <f t="shared" si="1"/>
        <v>87.6</v>
      </c>
      <c r="K31">
        <f t="shared" si="2"/>
        <v>-150</v>
      </c>
    </row>
    <row r="32" spans="1:11">
      <c r="A32">
        <v>0.969</v>
      </c>
      <c r="B32">
        <v>-143.1</v>
      </c>
      <c r="C32">
        <v>36.4</v>
      </c>
      <c r="E32">
        <v>0.936</v>
      </c>
      <c r="F32">
        <v>-129.2</v>
      </c>
      <c r="G32">
        <v>36.5</v>
      </c>
      <c r="I32">
        <f t="shared" si="0"/>
        <v>0.9</v>
      </c>
      <c r="J32">
        <f t="shared" si="1"/>
        <v>73.8</v>
      </c>
      <c r="K32">
        <f t="shared" si="2"/>
        <v>-150</v>
      </c>
    </row>
    <row r="33" spans="1:11">
      <c r="A33">
        <v>1.003</v>
      </c>
      <c r="B33">
        <v>-158.3</v>
      </c>
      <c r="C33">
        <v>36.5</v>
      </c>
      <c r="E33">
        <v>0.969</v>
      </c>
      <c r="F33">
        <v>-143.1</v>
      </c>
      <c r="G33">
        <v>36.4</v>
      </c>
      <c r="I33">
        <f t="shared" si="0"/>
        <v>0.95</v>
      </c>
      <c r="J33">
        <f t="shared" si="1"/>
        <v>59.9</v>
      </c>
      <c r="K33">
        <f t="shared" si="2"/>
        <v>-150</v>
      </c>
    </row>
    <row r="34" spans="1:11">
      <c r="A34">
        <v>1.036</v>
      </c>
      <c r="B34">
        <v>-174.2</v>
      </c>
      <c r="C34">
        <v>36.8</v>
      </c>
      <c r="E34">
        <v>1.003</v>
      </c>
      <c r="F34">
        <v>-158.3</v>
      </c>
      <c r="G34">
        <v>36.5</v>
      </c>
      <c r="I34">
        <f t="shared" si="0"/>
        <v>1</v>
      </c>
      <c r="J34">
        <f t="shared" si="1"/>
        <v>44.7</v>
      </c>
      <c r="K34">
        <f t="shared" si="2"/>
        <v>-150</v>
      </c>
    </row>
    <row r="35" spans="1:11">
      <c r="A35">
        <v>1.07</v>
      </c>
      <c r="B35">
        <v>-194</v>
      </c>
      <c r="C35">
        <v>36.1</v>
      </c>
      <c r="E35">
        <v>1.036</v>
      </c>
      <c r="F35">
        <v>-174.2</v>
      </c>
      <c r="G35">
        <v>36.8</v>
      </c>
      <c r="I35">
        <f t="shared" si="0"/>
        <v>1</v>
      </c>
      <c r="J35">
        <f t="shared" si="1"/>
        <v>28.8</v>
      </c>
      <c r="K35">
        <f t="shared" si="2"/>
        <v>-150</v>
      </c>
    </row>
    <row r="36" spans="1:11">
      <c r="A36">
        <v>1.103</v>
      </c>
      <c r="B36">
        <v>-212.6</v>
      </c>
      <c r="C36">
        <v>36.3</v>
      </c>
      <c r="E36">
        <v>1.07</v>
      </c>
      <c r="F36">
        <v>-194</v>
      </c>
      <c r="G36">
        <v>36.1</v>
      </c>
      <c r="I36">
        <f t="shared" si="0"/>
        <v>1.05</v>
      </c>
      <c r="J36">
        <f t="shared" si="1"/>
        <v>9</v>
      </c>
      <c r="K36">
        <f t="shared" si="2"/>
        <v>-150</v>
      </c>
    </row>
    <row r="37" spans="1:11">
      <c r="A37">
        <v>1.137</v>
      </c>
      <c r="B37">
        <v>-231.3</v>
      </c>
      <c r="C37">
        <v>36.6</v>
      </c>
      <c r="E37">
        <v>1.103</v>
      </c>
      <c r="F37">
        <v>-212.6</v>
      </c>
      <c r="G37">
        <v>36.3</v>
      </c>
      <c r="I37">
        <f t="shared" si="0"/>
        <v>1.1</v>
      </c>
      <c r="J37">
        <f t="shared" si="1"/>
        <v>-9.59999999999999</v>
      </c>
      <c r="K37">
        <f t="shared" si="2"/>
        <v>-150</v>
      </c>
    </row>
    <row r="38" spans="1:11">
      <c r="A38">
        <v>1.17</v>
      </c>
      <c r="B38">
        <v>-250.5</v>
      </c>
      <c r="C38">
        <v>36.3</v>
      </c>
      <c r="E38">
        <v>1.137</v>
      </c>
      <c r="F38">
        <v>-231.3</v>
      </c>
      <c r="G38">
        <v>36.6</v>
      </c>
      <c r="I38">
        <f t="shared" si="0"/>
        <v>1.1</v>
      </c>
      <c r="J38">
        <f t="shared" si="1"/>
        <v>-28.3</v>
      </c>
      <c r="K38">
        <f t="shared" si="2"/>
        <v>-150</v>
      </c>
    </row>
    <row r="39" spans="1:11">
      <c r="A39">
        <v>1.203</v>
      </c>
      <c r="B39">
        <v>-270.4</v>
      </c>
      <c r="C39">
        <v>36.1</v>
      </c>
      <c r="E39">
        <v>1.17</v>
      </c>
      <c r="F39">
        <v>-250.5</v>
      </c>
      <c r="G39">
        <v>36.3</v>
      </c>
      <c r="I39">
        <f t="shared" si="0"/>
        <v>1.15</v>
      </c>
      <c r="J39">
        <f t="shared" si="1"/>
        <v>-47.5</v>
      </c>
      <c r="K39">
        <f t="shared" si="2"/>
        <v>-150</v>
      </c>
    </row>
    <row r="40" spans="1:11">
      <c r="A40">
        <v>1.237</v>
      </c>
      <c r="B40">
        <v>-293.8</v>
      </c>
      <c r="C40">
        <v>35.7</v>
      </c>
      <c r="E40">
        <v>1.203</v>
      </c>
      <c r="F40">
        <v>-270.4</v>
      </c>
      <c r="G40">
        <v>36.1</v>
      </c>
      <c r="I40">
        <f t="shared" si="0"/>
        <v>1.2</v>
      </c>
      <c r="J40">
        <f t="shared" si="1"/>
        <v>-67.4</v>
      </c>
      <c r="K40">
        <f t="shared" si="2"/>
        <v>-150</v>
      </c>
    </row>
    <row r="41" spans="1:11">
      <c r="A41">
        <v>1.27</v>
      </c>
      <c r="B41">
        <v>-310.4</v>
      </c>
      <c r="C41">
        <v>36.4</v>
      </c>
      <c r="E41">
        <v>1.237</v>
      </c>
      <c r="F41">
        <v>-293.8</v>
      </c>
      <c r="G41">
        <v>35.7</v>
      </c>
      <c r="I41">
        <f t="shared" si="0"/>
        <v>1.2</v>
      </c>
      <c r="J41">
        <f t="shared" si="1"/>
        <v>-90.8</v>
      </c>
      <c r="K41">
        <f t="shared" si="2"/>
        <v>-150</v>
      </c>
    </row>
    <row r="42" spans="1:11">
      <c r="A42">
        <v>1.304</v>
      </c>
      <c r="B42">
        <v>-327.6</v>
      </c>
      <c r="C42">
        <v>36.1</v>
      </c>
      <c r="E42">
        <v>1.27</v>
      </c>
      <c r="F42">
        <v>-310.4</v>
      </c>
      <c r="G42">
        <v>36.4</v>
      </c>
      <c r="I42">
        <f t="shared" si="0"/>
        <v>1.25</v>
      </c>
      <c r="J42">
        <f t="shared" si="1"/>
        <v>-107.4</v>
      </c>
      <c r="K42">
        <f t="shared" si="2"/>
        <v>-150</v>
      </c>
    </row>
    <row r="43" spans="1:11">
      <c r="A43">
        <v>1.337</v>
      </c>
      <c r="B43">
        <v>-345.4</v>
      </c>
      <c r="C43">
        <v>36.4</v>
      </c>
      <c r="E43">
        <v>1.304</v>
      </c>
      <c r="F43">
        <v>-327.6</v>
      </c>
      <c r="G43">
        <v>36.1</v>
      </c>
      <c r="I43">
        <f t="shared" si="0"/>
        <v>1.3</v>
      </c>
      <c r="J43">
        <f t="shared" si="1"/>
        <v>-124.6</v>
      </c>
      <c r="K43">
        <f t="shared" si="2"/>
        <v>-150</v>
      </c>
    </row>
    <row r="44" spans="1:11">
      <c r="A44">
        <v>1.371</v>
      </c>
      <c r="B44">
        <v>-361</v>
      </c>
      <c r="C44">
        <v>36.8</v>
      </c>
      <c r="E44">
        <v>1.337</v>
      </c>
      <c r="F44">
        <v>-345.4</v>
      </c>
      <c r="G44">
        <v>36.4</v>
      </c>
      <c r="I44">
        <f t="shared" si="0"/>
        <v>1.3</v>
      </c>
      <c r="J44">
        <f t="shared" si="1"/>
        <v>-142.4</v>
      </c>
      <c r="K44">
        <f t="shared" si="2"/>
        <v>-150</v>
      </c>
    </row>
    <row r="45" spans="1:11">
      <c r="A45">
        <v>1.404</v>
      </c>
      <c r="B45">
        <v>-376.6</v>
      </c>
      <c r="C45">
        <v>36</v>
      </c>
      <c r="E45">
        <v>1.371</v>
      </c>
      <c r="F45">
        <v>-361</v>
      </c>
      <c r="G45">
        <v>36.8</v>
      </c>
      <c r="I45">
        <f t="shared" si="0"/>
        <v>1.35</v>
      </c>
      <c r="J45">
        <f t="shared" si="1"/>
        <v>-158</v>
      </c>
      <c r="K45">
        <f t="shared" si="2"/>
        <v>-150</v>
      </c>
    </row>
    <row r="46" spans="1:11">
      <c r="A46">
        <v>1.437</v>
      </c>
      <c r="B46">
        <v>-391.8</v>
      </c>
      <c r="C46">
        <v>36.3</v>
      </c>
      <c r="E46">
        <v>1.404</v>
      </c>
      <c r="F46">
        <v>-376.6</v>
      </c>
      <c r="G46">
        <v>36</v>
      </c>
      <c r="I46">
        <f t="shared" si="0"/>
        <v>1.4</v>
      </c>
      <c r="J46">
        <f t="shared" si="1"/>
        <v>-173.6</v>
      </c>
      <c r="K46">
        <f t="shared" si="2"/>
        <v>-150</v>
      </c>
    </row>
    <row r="47" spans="1:11">
      <c r="A47">
        <v>1.471</v>
      </c>
      <c r="B47">
        <v>-405.6</v>
      </c>
      <c r="C47">
        <v>35.9</v>
      </c>
      <c r="E47">
        <v>1.437</v>
      </c>
      <c r="F47">
        <v>-391.8</v>
      </c>
      <c r="G47">
        <v>36.3</v>
      </c>
      <c r="I47">
        <f t="shared" si="0"/>
        <v>1.4</v>
      </c>
      <c r="J47">
        <f t="shared" si="1"/>
        <v>-188.8</v>
      </c>
      <c r="K47">
        <f t="shared" si="2"/>
        <v>-150</v>
      </c>
    </row>
    <row r="48" spans="1:11">
      <c r="A48">
        <v>1.504</v>
      </c>
      <c r="B48">
        <v>-417.6</v>
      </c>
      <c r="C48">
        <v>36.4</v>
      </c>
      <c r="E48">
        <v>1.471</v>
      </c>
      <c r="F48">
        <v>-405.6</v>
      </c>
      <c r="G48">
        <v>35.9</v>
      </c>
      <c r="I48">
        <f t="shared" si="0"/>
        <v>1.45</v>
      </c>
      <c r="J48">
        <f t="shared" si="1"/>
        <v>-202.6</v>
      </c>
      <c r="K48">
        <f t="shared" si="2"/>
        <v>-150</v>
      </c>
    </row>
    <row r="49" spans="1:11">
      <c r="A49">
        <v>1.538</v>
      </c>
      <c r="B49">
        <v>-427.2</v>
      </c>
      <c r="C49">
        <v>36.2</v>
      </c>
      <c r="E49">
        <v>1.504</v>
      </c>
      <c r="F49">
        <v>-417.6</v>
      </c>
      <c r="G49">
        <v>36.4</v>
      </c>
      <c r="I49">
        <f t="shared" si="0"/>
        <v>1.5</v>
      </c>
      <c r="J49">
        <f t="shared" si="1"/>
        <v>-214.6</v>
      </c>
      <c r="K49">
        <f t="shared" si="2"/>
        <v>-150</v>
      </c>
    </row>
    <row r="50" spans="1:11">
      <c r="A50">
        <v>1.571</v>
      </c>
      <c r="B50">
        <v>-435.3</v>
      </c>
      <c r="C50">
        <v>36.2</v>
      </c>
      <c r="E50">
        <v>1.538</v>
      </c>
      <c r="F50">
        <v>-427.2</v>
      </c>
      <c r="G50">
        <v>36.2</v>
      </c>
      <c r="I50">
        <f t="shared" si="0"/>
        <v>1.5</v>
      </c>
      <c r="J50">
        <f t="shared" si="1"/>
        <v>-224.2</v>
      </c>
      <c r="K50">
        <f t="shared" si="2"/>
        <v>-150</v>
      </c>
    </row>
    <row r="51" spans="1:11">
      <c r="A51">
        <v>1.605</v>
      </c>
      <c r="B51">
        <v>-442</v>
      </c>
      <c r="C51">
        <v>36.6</v>
      </c>
      <c r="E51">
        <v>1.571</v>
      </c>
      <c r="F51">
        <v>-435.3</v>
      </c>
      <c r="G51">
        <v>36.2</v>
      </c>
      <c r="I51">
        <f t="shared" si="0"/>
        <v>1.55</v>
      </c>
      <c r="J51">
        <f t="shared" si="1"/>
        <v>-232.3</v>
      </c>
      <c r="K51">
        <f t="shared" si="2"/>
        <v>-150</v>
      </c>
    </row>
    <row r="52" spans="1:11">
      <c r="A52">
        <v>1.638</v>
      </c>
      <c r="B52">
        <v>-446.9</v>
      </c>
      <c r="C52">
        <v>36</v>
      </c>
      <c r="E52">
        <v>1.605</v>
      </c>
      <c r="F52">
        <v>-442</v>
      </c>
      <c r="G52">
        <v>36.6</v>
      </c>
      <c r="I52">
        <f t="shared" si="0"/>
        <v>1.6</v>
      </c>
      <c r="J52">
        <f t="shared" si="1"/>
        <v>-239</v>
      </c>
      <c r="K52">
        <f t="shared" si="2"/>
        <v>-150</v>
      </c>
    </row>
    <row r="53" spans="1:11">
      <c r="A53">
        <v>1.671</v>
      </c>
      <c r="B53">
        <v>-450.6</v>
      </c>
      <c r="C53">
        <v>35.9</v>
      </c>
      <c r="E53">
        <v>1.638</v>
      </c>
      <c r="F53">
        <v>-446.9</v>
      </c>
      <c r="G53">
        <v>36</v>
      </c>
      <c r="I53">
        <f t="shared" si="0"/>
        <v>1.6</v>
      </c>
      <c r="J53">
        <f t="shared" si="1"/>
        <v>-243.9</v>
      </c>
      <c r="K53">
        <f t="shared" si="2"/>
        <v>-150</v>
      </c>
    </row>
    <row r="54" spans="1:11">
      <c r="A54">
        <v>1.705</v>
      </c>
      <c r="B54">
        <v>-452</v>
      </c>
      <c r="C54">
        <v>36.2</v>
      </c>
      <c r="E54">
        <v>1.671</v>
      </c>
      <c r="F54">
        <v>-450.6</v>
      </c>
      <c r="G54">
        <v>35.9</v>
      </c>
      <c r="I54">
        <f t="shared" si="0"/>
        <v>1.65</v>
      </c>
      <c r="J54">
        <f t="shared" si="1"/>
        <v>-247.6</v>
      </c>
      <c r="K54">
        <f t="shared" si="2"/>
        <v>-150</v>
      </c>
    </row>
    <row r="55" spans="1:11">
      <c r="A55">
        <v>1.738</v>
      </c>
      <c r="B55">
        <v>-452</v>
      </c>
      <c r="C55">
        <v>36.3</v>
      </c>
      <c r="E55">
        <v>1.705</v>
      </c>
      <c r="F55">
        <v>-452</v>
      </c>
      <c r="G55">
        <v>36.2</v>
      </c>
      <c r="I55">
        <f t="shared" si="0"/>
        <v>1.7</v>
      </c>
      <c r="J55">
        <f t="shared" si="1"/>
        <v>-249</v>
      </c>
      <c r="K55">
        <f t="shared" si="2"/>
        <v>-150</v>
      </c>
    </row>
    <row r="56" spans="1:11">
      <c r="A56">
        <v>1.772</v>
      </c>
      <c r="B56">
        <v>-450.3</v>
      </c>
      <c r="C56">
        <v>35.9</v>
      </c>
      <c r="E56">
        <v>1.738</v>
      </c>
      <c r="F56">
        <v>-452</v>
      </c>
      <c r="G56">
        <v>36.3</v>
      </c>
      <c r="I56">
        <f t="shared" si="0"/>
        <v>1.7</v>
      </c>
      <c r="J56">
        <f t="shared" si="1"/>
        <v>-249</v>
      </c>
      <c r="K56">
        <f t="shared" si="2"/>
        <v>-150</v>
      </c>
    </row>
    <row r="57" spans="1:11">
      <c r="A57">
        <v>1.805</v>
      </c>
      <c r="B57">
        <v>-446.9</v>
      </c>
      <c r="C57">
        <v>35.9</v>
      </c>
      <c r="E57">
        <v>1.772</v>
      </c>
      <c r="F57">
        <v>-450.3</v>
      </c>
      <c r="G57">
        <v>35.9</v>
      </c>
      <c r="I57">
        <f t="shared" si="0"/>
        <v>1.75</v>
      </c>
      <c r="J57">
        <f t="shared" si="1"/>
        <v>-247.3</v>
      </c>
      <c r="K57">
        <f t="shared" si="2"/>
        <v>-150</v>
      </c>
    </row>
    <row r="58" spans="1:11">
      <c r="A58">
        <v>1.839</v>
      </c>
      <c r="B58">
        <v>-441.7</v>
      </c>
      <c r="C58">
        <v>36.5</v>
      </c>
      <c r="E58">
        <v>1.805</v>
      </c>
      <c r="F58">
        <v>-446.9</v>
      </c>
      <c r="G58">
        <v>35.9</v>
      </c>
      <c r="I58">
        <f t="shared" si="0"/>
        <v>1.8</v>
      </c>
      <c r="J58">
        <f t="shared" si="1"/>
        <v>-243.9</v>
      </c>
      <c r="K58">
        <f t="shared" si="2"/>
        <v>-150</v>
      </c>
    </row>
    <row r="59" spans="1:11">
      <c r="A59">
        <v>1.872</v>
      </c>
      <c r="B59">
        <v>-434.8</v>
      </c>
      <c r="C59" s="2">
        <v>36.9</v>
      </c>
      <c r="D59" s="2"/>
      <c r="E59">
        <v>1.839</v>
      </c>
      <c r="F59">
        <v>-441.7</v>
      </c>
      <c r="G59">
        <v>36.5</v>
      </c>
      <c r="I59">
        <f t="shared" si="0"/>
        <v>1.8</v>
      </c>
      <c r="J59">
        <f t="shared" si="1"/>
        <v>-238.7</v>
      </c>
      <c r="K59">
        <f t="shared" si="2"/>
        <v>-150</v>
      </c>
    </row>
    <row r="60" spans="1:11">
      <c r="A60">
        <v>1.905</v>
      </c>
      <c r="B60">
        <v>-426.6</v>
      </c>
      <c r="C60" s="2">
        <v>36.4</v>
      </c>
      <c r="D60" s="2"/>
      <c r="E60">
        <v>1.872</v>
      </c>
      <c r="F60">
        <v>-434.8</v>
      </c>
      <c r="G60" s="2">
        <v>36.9</v>
      </c>
      <c r="I60">
        <f t="shared" si="0"/>
        <v>1.85</v>
      </c>
      <c r="J60">
        <f t="shared" si="1"/>
        <v>-231.8</v>
      </c>
      <c r="K60">
        <f t="shared" si="2"/>
        <v>-150</v>
      </c>
    </row>
    <row r="61" spans="1:11">
      <c r="A61">
        <v>1.939</v>
      </c>
      <c r="B61">
        <v>-417</v>
      </c>
      <c r="C61" s="2">
        <v>36.2</v>
      </c>
      <c r="D61" s="2"/>
      <c r="E61">
        <v>1.905</v>
      </c>
      <c r="F61">
        <v>-426.6</v>
      </c>
      <c r="G61" s="2">
        <v>36.4</v>
      </c>
      <c r="I61">
        <f t="shared" si="0"/>
        <v>1.9</v>
      </c>
      <c r="J61">
        <f t="shared" si="1"/>
        <v>-223.6</v>
      </c>
      <c r="K61">
        <f t="shared" si="2"/>
        <v>-150</v>
      </c>
    </row>
    <row r="62" spans="1:11">
      <c r="A62">
        <v>1.972</v>
      </c>
      <c r="B62">
        <v>-405.5</v>
      </c>
      <c r="C62" s="2">
        <v>36.4</v>
      </c>
      <c r="D62" s="2"/>
      <c r="E62">
        <v>1.939</v>
      </c>
      <c r="F62">
        <v>-417</v>
      </c>
      <c r="G62" s="2">
        <v>36.2</v>
      </c>
      <c r="I62">
        <f t="shared" si="0"/>
        <v>1.9</v>
      </c>
      <c r="J62">
        <f t="shared" si="1"/>
        <v>-214</v>
      </c>
      <c r="K62">
        <f t="shared" si="2"/>
        <v>-150</v>
      </c>
    </row>
    <row r="63" spans="1:11">
      <c r="A63">
        <v>2.006</v>
      </c>
      <c r="B63">
        <v>-391.5</v>
      </c>
      <c r="C63" s="2">
        <v>37.2</v>
      </c>
      <c r="D63" s="2"/>
      <c r="E63">
        <v>1.972</v>
      </c>
      <c r="F63">
        <v>-405.5</v>
      </c>
      <c r="G63" s="2">
        <v>36.4</v>
      </c>
      <c r="I63">
        <f t="shared" si="0"/>
        <v>1.95</v>
      </c>
      <c r="J63">
        <f t="shared" si="1"/>
        <v>-202.5</v>
      </c>
      <c r="K63">
        <f t="shared" si="2"/>
        <v>-150</v>
      </c>
    </row>
    <row r="64" spans="1:11">
      <c r="A64">
        <v>2.039</v>
      </c>
      <c r="B64">
        <v>-376.1</v>
      </c>
      <c r="C64" s="2">
        <v>36.7</v>
      </c>
      <c r="D64" s="2"/>
      <c r="E64">
        <v>2.006</v>
      </c>
      <c r="F64">
        <v>-391.5</v>
      </c>
      <c r="G64" s="2">
        <v>37.2</v>
      </c>
      <c r="I64">
        <f t="shared" si="0"/>
        <v>2</v>
      </c>
      <c r="J64">
        <f t="shared" si="1"/>
        <v>-188.5</v>
      </c>
      <c r="K64">
        <f t="shared" si="2"/>
        <v>-150</v>
      </c>
    </row>
    <row r="65" spans="1:11">
      <c r="A65">
        <v>2.073</v>
      </c>
      <c r="B65">
        <v>-361.7</v>
      </c>
      <c r="C65" s="2">
        <v>36.3</v>
      </c>
      <c r="D65" s="2"/>
      <c r="E65">
        <v>2.039</v>
      </c>
      <c r="F65">
        <v>-376.1</v>
      </c>
      <c r="G65" s="2">
        <v>36.7</v>
      </c>
      <c r="I65">
        <f t="shared" si="0"/>
        <v>2</v>
      </c>
      <c r="J65">
        <f t="shared" si="1"/>
        <v>-173.1</v>
      </c>
      <c r="K65">
        <f t="shared" si="2"/>
        <v>-150</v>
      </c>
    </row>
    <row r="66" spans="1:11">
      <c r="A66">
        <v>2.106</v>
      </c>
      <c r="B66">
        <v>-345.2</v>
      </c>
      <c r="C66" s="2">
        <v>36.7</v>
      </c>
      <c r="D66" s="2"/>
      <c r="E66">
        <v>2.073</v>
      </c>
      <c r="F66">
        <v>-361.7</v>
      </c>
      <c r="G66" s="2">
        <v>36.3</v>
      </c>
      <c r="I66">
        <f t="shared" si="0"/>
        <v>2.05</v>
      </c>
      <c r="J66">
        <f t="shared" si="1"/>
        <v>-158.7</v>
      </c>
      <c r="K66">
        <f t="shared" si="2"/>
        <v>-150</v>
      </c>
    </row>
    <row r="67" spans="1:11">
      <c r="A67">
        <v>2.139</v>
      </c>
      <c r="B67">
        <v>-327.4</v>
      </c>
      <c r="C67" s="2">
        <v>36</v>
      </c>
      <c r="D67" s="2"/>
      <c r="E67">
        <v>2.106</v>
      </c>
      <c r="F67">
        <v>-345.2</v>
      </c>
      <c r="G67" s="2">
        <v>36.7</v>
      </c>
      <c r="I67">
        <f t="shared" si="0"/>
        <v>2.1</v>
      </c>
      <c r="J67">
        <f t="shared" si="1"/>
        <v>-142.2</v>
      </c>
      <c r="K67">
        <f t="shared" si="2"/>
        <v>-150</v>
      </c>
    </row>
    <row r="68" spans="1:11">
      <c r="A68">
        <v>2.173</v>
      </c>
      <c r="B68">
        <v>-310.8</v>
      </c>
      <c r="C68" s="2">
        <v>37.1</v>
      </c>
      <c r="D68" s="2"/>
      <c r="E68">
        <v>2.139</v>
      </c>
      <c r="F68">
        <v>-327.4</v>
      </c>
      <c r="G68" s="2">
        <v>36</v>
      </c>
      <c r="I68">
        <f t="shared" ref="I68:I131" si="3">FLOOR(E68,0.05)</f>
        <v>2.1</v>
      </c>
      <c r="J68">
        <f t="shared" ref="J68:J131" si="4">F68+203</f>
        <v>-124.4</v>
      </c>
      <c r="K68">
        <f t="shared" si="2"/>
        <v>-150</v>
      </c>
    </row>
    <row r="69" spans="1:11">
      <c r="A69">
        <v>2.206</v>
      </c>
      <c r="B69">
        <v>-291</v>
      </c>
      <c r="C69" s="2">
        <v>36.7</v>
      </c>
      <c r="D69" s="2"/>
      <c r="E69">
        <v>2.173</v>
      </c>
      <c r="F69">
        <v>-310.8</v>
      </c>
      <c r="G69" s="2">
        <v>37.1</v>
      </c>
      <c r="I69">
        <f t="shared" si="3"/>
        <v>2.15</v>
      </c>
      <c r="J69">
        <f t="shared" si="4"/>
        <v>-107.8</v>
      </c>
      <c r="K69">
        <f t="shared" ref="K69:K132" si="5">IF(G69&lt;230,-150,100)</f>
        <v>-150</v>
      </c>
    </row>
    <row r="70" spans="1:11">
      <c r="A70">
        <v>2.24</v>
      </c>
      <c r="B70">
        <v>-270.9</v>
      </c>
      <c r="C70" s="2">
        <v>36.9</v>
      </c>
      <c r="D70" s="2"/>
      <c r="E70">
        <v>2.206</v>
      </c>
      <c r="F70">
        <v>-291</v>
      </c>
      <c r="G70" s="2">
        <v>36.7</v>
      </c>
      <c r="I70">
        <f t="shared" si="3"/>
        <v>2.2</v>
      </c>
      <c r="J70">
        <f t="shared" si="4"/>
        <v>-88</v>
      </c>
      <c r="K70">
        <f t="shared" si="5"/>
        <v>-150</v>
      </c>
    </row>
    <row r="71" spans="1:11">
      <c r="A71">
        <v>2.273</v>
      </c>
      <c r="B71">
        <v>-251</v>
      </c>
      <c r="C71" s="2">
        <v>36.7</v>
      </c>
      <c r="D71" s="2"/>
      <c r="E71">
        <v>2.24</v>
      </c>
      <c r="F71">
        <v>-270.9</v>
      </c>
      <c r="G71" s="2">
        <v>36.9</v>
      </c>
      <c r="I71">
        <f t="shared" si="3"/>
        <v>2.2</v>
      </c>
      <c r="J71">
        <f t="shared" si="4"/>
        <v>-67.9</v>
      </c>
      <c r="K71">
        <f t="shared" si="5"/>
        <v>-150</v>
      </c>
    </row>
    <row r="72" spans="1:11">
      <c r="A72">
        <v>2.307</v>
      </c>
      <c r="B72">
        <v>-231.5</v>
      </c>
      <c r="C72" s="2">
        <v>37</v>
      </c>
      <c r="D72" s="2"/>
      <c r="E72">
        <v>2.273</v>
      </c>
      <c r="F72">
        <v>-251</v>
      </c>
      <c r="G72" s="2">
        <v>36.7</v>
      </c>
      <c r="I72">
        <f t="shared" si="3"/>
        <v>2.25</v>
      </c>
      <c r="J72">
        <f t="shared" si="4"/>
        <v>-48</v>
      </c>
      <c r="K72">
        <f t="shared" si="5"/>
        <v>-150</v>
      </c>
    </row>
    <row r="73" spans="1:11">
      <c r="A73">
        <v>2.34</v>
      </c>
      <c r="B73">
        <v>-213.5</v>
      </c>
      <c r="C73" s="2">
        <v>37</v>
      </c>
      <c r="D73" s="2"/>
      <c r="E73">
        <v>2.307</v>
      </c>
      <c r="F73">
        <v>-231.5</v>
      </c>
      <c r="G73" s="2">
        <v>37</v>
      </c>
      <c r="I73">
        <f t="shared" si="3"/>
        <v>2.3</v>
      </c>
      <c r="J73">
        <f t="shared" si="4"/>
        <v>-28.5</v>
      </c>
      <c r="K73">
        <f t="shared" si="5"/>
        <v>-150</v>
      </c>
    </row>
    <row r="74" spans="1:11">
      <c r="A74">
        <v>2.373</v>
      </c>
      <c r="B74">
        <v>-195.3</v>
      </c>
      <c r="C74" s="2">
        <v>36.4</v>
      </c>
      <c r="D74" s="2"/>
      <c r="E74">
        <v>2.34</v>
      </c>
      <c r="F74">
        <v>-213.5</v>
      </c>
      <c r="G74" s="2">
        <v>37</v>
      </c>
      <c r="I74">
        <f t="shared" si="3"/>
        <v>2.3</v>
      </c>
      <c r="J74">
        <f t="shared" si="4"/>
        <v>-10.5</v>
      </c>
      <c r="K74">
        <f t="shared" si="5"/>
        <v>-150</v>
      </c>
    </row>
    <row r="75" spans="1:11">
      <c r="A75">
        <v>2.407</v>
      </c>
      <c r="B75">
        <v>-177.2</v>
      </c>
      <c r="C75" s="2">
        <v>37.4</v>
      </c>
      <c r="D75" s="2"/>
      <c r="E75">
        <v>2.373</v>
      </c>
      <c r="F75">
        <v>-195.3</v>
      </c>
      <c r="G75" s="2">
        <v>36.4</v>
      </c>
      <c r="I75">
        <f t="shared" si="3"/>
        <v>2.35</v>
      </c>
      <c r="J75">
        <f t="shared" si="4"/>
        <v>7.69999999999999</v>
      </c>
      <c r="K75">
        <f t="shared" si="5"/>
        <v>-150</v>
      </c>
    </row>
    <row r="76" spans="1:11">
      <c r="A76">
        <v>2.44</v>
      </c>
      <c r="B76">
        <v>-161.3</v>
      </c>
      <c r="C76" s="2">
        <v>36.6</v>
      </c>
      <c r="D76" s="2"/>
      <c r="E76">
        <v>2.407</v>
      </c>
      <c r="F76">
        <v>-177.2</v>
      </c>
      <c r="G76" s="2">
        <v>37.4</v>
      </c>
      <c r="I76">
        <f t="shared" si="3"/>
        <v>2.4</v>
      </c>
      <c r="J76">
        <f t="shared" si="4"/>
        <v>25.8</v>
      </c>
      <c r="K76">
        <f t="shared" si="5"/>
        <v>-150</v>
      </c>
    </row>
    <row r="77" spans="1:11">
      <c r="A77">
        <v>2.474</v>
      </c>
      <c r="B77">
        <v>-144.5</v>
      </c>
      <c r="C77" s="2">
        <v>35.7</v>
      </c>
      <c r="D77" s="2"/>
      <c r="E77">
        <v>2.44</v>
      </c>
      <c r="F77">
        <v>-161.3</v>
      </c>
      <c r="G77" s="2">
        <v>36.6</v>
      </c>
      <c r="I77">
        <f t="shared" si="3"/>
        <v>2.4</v>
      </c>
      <c r="J77">
        <f t="shared" si="4"/>
        <v>41.7</v>
      </c>
      <c r="K77">
        <f t="shared" si="5"/>
        <v>-150</v>
      </c>
    </row>
    <row r="78" spans="1:11">
      <c r="A78">
        <v>2.507</v>
      </c>
      <c r="B78">
        <v>-131.1</v>
      </c>
      <c r="C78" s="2">
        <v>36.5</v>
      </c>
      <c r="D78" s="2"/>
      <c r="E78">
        <v>2.474</v>
      </c>
      <c r="F78">
        <v>-144.5</v>
      </c>
      <c r="G78" s="2">
        <v>35.7</v>
      </c>
      <c r="I78">
        <f t="shared" si="3"/>
        <v>2.45</v>
      </c>
      <c r="J78">
        <f t="shared" si="4"/>
        <v>58.5</v>
      </c>
      <c r="K78">
        <f t="shared" si="5"/>
        <v>-150</v>
      </c>
    </row>
    <row r="79" spans="1:11">
      <c r="A79">
        <v>2.541</v>
      </c>
      <c r="B79">
        <v>-118.5</v>
      </c>
      <c r="C79" s="2">
        <v>36.2</v>
      </c>
      <c r="D79" s="2"/>
      <c r="E79">
        <v>2.507</v>
      </c>
      <c r="F79">
        <v>-131.1</v>
      </c>
      <c r="G79" s="2">
        <v>36.5</v>
      </c>
      <c r="I79">
        <f t="shared" si="3"/>
        <v>2.5</v>
      </c>
      <c r="J79">
        <f t="shared" si="4"/>
        <v>71.9</v>
      </c>
      <c r="K79">
        <f t="shared" si="5"/>
        <v>-150</v>
      </c>
    </row>
    <row r="80" spans="1:11">
      <c r="A80">
        <v>2.574</v>
      </c>
      <c r="B80">
        <v>-107.6</v>
      </c>
      <c r="C80" s="2">
        <v>36.2</v>
      </c>
      <c r="D80" s="2"/>
      <c r="E80">
        <v>2.541</v>
      </c>
      <c r="F80">
        <v>-118.5</v>
      </c>
      <c r="G80" s="2">
        <v>36.2</v>
      </c>
      <c r="I80">
        <f t="shared" si="3"/>
        <v>2.5</v>
      </c>
      <c r="J80">
        <f t="shared" si="4"/>
        <v>84.5</v>
      </c>
      <c r="K80">
        <f t="shared" si="5"/>
        <v>-150</v>
      </c>
    </row>
    <row r="81" spans="1:11">
      <c r="A81">
        <v>2.607</v>
      </c>
      <c r="B81">
        <v>-97.15</v>
      </c>
      <c r="C81" s="2">
        <v>37.5</v>
      </c>
      <c r="D81" s="2"/>
      <c r="E81">
        <v>2.574</v>
      </c>
      <c r="F81">
        <v>-107.6</v>
      </c>
      <c r="G81" s="2">
        <v>36.2</v>
      </c>
      <c r="I81">
        <f t="shared" si="3"/>
        <v>2.55</v>
      </c>
      <c r="J81">
        <f t="shared" si="4"/>
        <v>95.4</v>
      </c>
      <c r="K81">
        <f t="shared" si="5"/>
        <v>-150</v>
      </c>
    </row>
    <row r="82" spans="1:11">
      <c r="A82">
        <v>2.641</v>
      </c>
      <c r="B82">
        <v>-88.61</v>
      </c>
      <c r="C82" s="2">
        <v>36.6</v>
      </c>
      <c r="D82" s="2"/>
      <c r="E82">
        <v>2.607</v>
      </c>
      <c r="F82">
        <v>-97.15</v>
      </c>
      <c r="G82" s="2">
        <v>37.5</v>
      </c>
      <c r="I82">
        <f t="shared" si="3"/>
        <v>2.6</v>
      </c>
      <c r="J82">
        <f t="shared" si="4"/>
        <v>105.85</v>
      </c>
      <c r="K82">
        <f t="shared" si="5"/>
        <v>-150</v>
      </c>
    </row>
    <row r="83" spans="1:11">
      <c r="A83">
        <v>2.674</v>
      </c>
      <c r="B83">
        <v>-81.9</v>
      </c>
      <c r="C83" s="2">
        <v>36.3</v>
      </c>
      <c r="D83" s="2"/>
      <c r="E83">
        <v>2.641</v>
      </c>
      <c r="F83">
        <v>-88.61</v>
      </c>
      <c r="G83" s="2">
        <v>36.6</v>
      </c>
      <c r="I83">
        <f t="shared" si="3"/>
        <v>2.6</v>
      </c>
      <c r="J83">
        <f t="shared" si="4"/>
        <v>114.39</v>
      </c>
      <c r="K83">
        <f t="shared" si="5"/>
        <v>-150</v>
      </c>
    </row>
    <row r="84" spans="1:11">
      <c r="A84">
        <v>2.708</v>
      </c>
      <c r="B84">
        <v>-76.7</v>
      </c>
      <c r="C84" s="2">
        <v>36.9</v>
      </c>
      <c r="D84" s="2"/>
      <c r="E84">
        <v>2.674</v>
      </c>
      <c r="F84">
        <v>-81.9</v>
      </c>
      <c r="G84" s="2">
        <v>36.3</v>
      </c>
      <c r="I84">
        <f t="shared" si="3"/>
        <v>2.65</v>
      </c>
      <c r="J84">
        <f t="shared" si="4"/>
        <v>121.1</v>
      </c>
      <c r="K84">
        <f t="shared" si="5"/>
        <v>-150</v>
      </c>
    </row>
    <row r="85" spans="1:11">
      <c r="A85">
        <v>2.741</v>
      </c>
      <c r="B85">
        <v>-73.43</v>
      </c>
      <c r="C85" s="2">
        <v>36.4</v>
      </c>
      <c r="D85" s="2"/>
      <c r="E85">
        <v>2.708</v>
      </c>
      <c r="F85">
        <v>-76.7</v>
      </c>
      <c r="G85" s="2">
        <v>36.9</v>
      </c>
      <c r="I85">
        <f t="shared" si="3"/>
        <v>2.7</v>
      </c>
      <c r="J85">
        <f t="shared" si="4"/>
        <v>126.3</v>
      </c>
      <c r="K85">
        <f t="shared" si="5"/>
        <v>-150</v>
      </c>
    </row>
    <row r="86" spans="1:11">
      <c r="A86">
        <v>2.775</v>
      </c>
      <c r="B86">
        <v>-71.52</v>
      </c>
      <c r="C86" s="2">
        <v>36.8</v>
      </c>
      <c r="D86" s="2"/>
      <c r="E86">
        <v>2.741</v>
      </c>
      <c r="F86">
        <v>-73.43</v>
      </c>
      <c r="G86" s="2">
        <v>36.4</v>
      </c>
      <c r="I86">
        <f t="shared" si="3"/>
        <v>2.7</v>
      </c>
      <c r="J86">
        <f t="shared" si="4"/>
        <v>129.57</v>
      </c>
      <c r="K86">
        <f t="shared" si="5"/>
        <v>-150</v>
      </c>
    </row>
    <row r="87" spans="1:11">
      <c r="A87">
        <v>2.808</v>
      </c>
      <c r="B87">
        <v>-71.58</v>
      </c>
      <c r="C87" s="2">
        <v>37.2</v>
      </c>
      <c r="D87" s="2"/>
      <c r="E87">
        <v>2.775</v>
      </c>
      <c r="F87">
        <v>-71.52</v>
      </c>
      <c r="G87" s="2">
        <v>36.8</v>
      </c>
      <c r="I87">
        <f t="shared" si="3"/>
        <v>2.75</v>
      </c>
      <c r="J87">
        <f t="shared" si="4"/>
        <v>131.48</v>
      </c>
      <c r="K87">
        <f t="shared" si="5"/>
        <v>-150</v>
      </c>
    </row>
    <row r="88" spans="1:11">
      <c r="A88">
        <v>2.841</v>
      </c>
      <c r="B88">
        <v>-73.72</v>
      </c>
      <c r="C88" s="2">
        <v>37.2</v>
      </c>
      <c r="D88" s="2"/>
      <c r="E88">
        <v>2.808</v>
      </c>
      <c r="F88">
        <v>-71.58</v>
      </c>
      <c r="G88" s="2">
        <v>37.2</v>
      </c>
      <c r="I88">
        <f t="shared" si="3"/>
        <v>2.8</v>
      </c>
      <c r="J88">
        <f t="shared" si="4"/>
        <v>131.42</v>
      </c>
      <c r="K88">
        <f t="shared" si="5"/>
        <v>-150</v>
      </c>
    </row>
    <row r="89" spans="1:11">
      <c r="A89">
        <v>2.875</v>
      </c>
      <c r="B89">
        <v>-77.84</v>
      </c>
      <c r="C89">
        <v>36.9</v>
      </c>
      <c r="E89">
        <v>2.841</v>
      </c>
      <c r="F89">
        <v>-73.72</v>
      </c>
      <c r="G89" s="2">
        <v>37.2</v>
      </c>
      <c r="I89">
        <f t="shared" si="3"/>
        <v>2.8</v>
      </c>
      <c r="J89">
        <f t="shared" si="4"/>
        <v>129.28</v>
      </c>
      <c r="K89">
        <f t="shared" si="5"/>
        <v>-150</v>
      </c>
    </row>
    <row r="90" spans="1:11">
      <c r="A90">
        <v>2.908</v>
      </c>
      <c r="B90">
        <v>-82.92</v>
      </c>
      <c r="C90">
        <v>36.8</v>
      </c>
      <c r="E90">
        <v>2.875</v>
      </c>
      <c r="F90">
        <v>-77.84</v>
      </c>
      <c r="G90">
        <v>36.9</v>
      </c>
      <c r="I90">
        <f t="shared" si="3"/>
        <v>2.85</v>
      </c>
      <c r="J90">
        <f t="shared" si="4"/>
        <v>125.16</v>
      </c>
      <c r="K90">
        <f t="shared" si="5"/>
        <v>-150</v>
      </c>
    </row>
    <row r="91" spans="1:11">
      <c r="A91">
        <v>2.942</v>
      </c>
      <c r="B91">
        <v>-90.16</v>
      </c>
      <c r="C91">
        <v>36.8</v>
      </c>
      <c r="E91">
        <v>2.908</v>
      </c>
      <c r="F91">
        <v>-82.92</v>
      </c>
      <c r="G91">
        <v>36.8</v>
      </c>
      <c r="I91">
        <f t="shared" si="3"/>
        <v>2.9</v>
      </c>
      <c r="J91">
        <f t="shared" si="4"/>
        <v>120.08</v>
      </c>
      <c r="K91">
        <f t="shared" si="5"/>
        <v>-150</v>
      </c>
    </row>
    <row r="92" spans="1:11">
      <c r="A92">
        <v>2.975</v>
      </c>
      <c r="B92">
        <v>-99.34</v>
      </c>
      <c r="C92">
        <v>36.5</v>
      </c>
      <c r="E92">
        <v>2.942</v>
      </c>
      <c r="F92">
        <v>-90.16</v>
      </c>
      <c r="G92">
        <v>36.8</v>
      </c>
      <c r="I92">
        <f t="shared" si="3"/>
        <v>2.9</v>
      </c>
      <c r="J92">
        <f t="shared" si="4"/>
        <v>112.84</v>
      </c>
      <c r="K92">
        <f t="shared" si="5"/>
        <v>-150</v>
      </c>
    </row>
    <row r="93" spans="1:11">
      <c r="A93">
        <v>3.009</v>
      </c>
      <c r="B93">
        <v>-109.4</v>
      </c>
      <c r="C93">
        <v>37</v>
      </c>
      <c r="E93">
        <v>2.975</v>
      </c>
      <c r="F93">
        <v>-99.34</v>
      </c>
      <c r="G93">
        <v>36.5</v>
      </c>
      <c r="I93">
        <f t="shared" si="3"/>
        <v>2.95</v>
      </c>
      <c r="J93">
        <f t="shared" si="4"/>
        <v>103.66</v>
      </c>
      <c r="K93">
        <f t="shared" si="5"/>
        <v>-150</v>
      </c>
    </row>
    <row r="94" spans="1:11">
      <c r="A94">
        <v>3.042</v>
      </c>
      <c r="B94">
        <v>-120.1</v>
      </c>
      <c r="C94">
        <v>36.8</v>
      </c>
      <c r="E94">
        <v>3.009</v>
      </c>
      <c r="F94">
        <v>-109.4</v>
      </c>
      <c r="G94">
        <v>37</v>
      </c>
      <c r="I94">
        <f t="shared" si="3"/>
        <v>3</v>
      </c>
      <c r="J94">
        <f t="shared" si="4"/>
        <v>93.6</v>
      </c>
      <c r="K94">
        <f t="shared" si="5"/>
        <v>-150</v>
      </c>
    </row>
    <row r="95" spans="1:11">
      <c r="A95">
        <v>3.075</v>
      </c>
      <c r="B95">
        <v>-133.3</v>
      </c>
      <c r="C95">
        <v>36.8</v>
      </c>
      <c r="E95">
        <v>3.042</v>
      </c>
      <c r="F95">
        <v>-120.1</v>
      </c>
      <c r="G95">
        <v>36.8</v>
      </c>
      <c r="I95">
        <f t="shared" si="3"/>
        <v>3</v>
      </c>
      <c r="J95">
        <f t="shared" si="4"/>
        <v>82.9</v>
      </c>
      <c r="K95">
        <f t="shared" si="5"/>
        <v>-150</v>
      </c>
    </row>
    <row r="96" spans="1:11">
      <c r="A96">
        <v>3.109</v>
      </c>
      <c r="B96">
        <v>-146.4</v>
      </c>
      <c r="C96">
        <v>36.5</v>
      </c>
      <c r="E96">
        <v>3.075</v>
      </c>
      <c r="F96">
        <v>-133.3</v>
      </c>
      <c r="G96">
        <v>36.8</v>
      </c>
      <c r="I96">
        <f t="shared" si="3"/>
        <v>3.05</v>
      </c>
      <c r="J96">
        <f t="shared" si="4"/>
        <v>69.7</v>
      </c>
      <c r="K96">
        <f t="shared" si="5"/>
        <v>-150</v>
      </c>
    </row>
    <row r="97" spans="1:11">
      <c r="A97">
        <v>3.142</v>
      </c>
      <c r="B97">
        <v>-161.7</v>
      </c>
      <c r="C97">
        <v>36.3</v>
      </c>
      <c r="E97">
        <v>3.109</v>
      </c>
      <c r="F97">
        <v>-146.4</v>
      </c>
      <c r="G97">
        <v>36.5</v>
      </c>
      <c r="I97">
        <f t="shared" si="3"/>
        <v>3.1</v>
      </c>
      <c r="J97">
        <f t="shared" si="4"/>
        <v>56.6</v>
      </c>
      <c r="K97">
        <f t="shared" si="5"/>
        <v>-150</v>
      </c>
    </row>
    <row r="98" spans="1:11">
      <c r="A98">
        <v>3.176</v>
      </c>
      <c r="B98">
        <v>-178.7</v>
      </c>
      <c r="C98">
        <v>36.4</v>
      </c>
      <c r="E98">
        <v>3.142</v>
      </c>
      <c r="F98">
        <v>-161.7</v>
      </c>
      <c r="G98">
        <v>36.3</v>
      </c>
      <c r="I98">
        <f t="shared" si="3"/>
        <v>3.1</v>
      </c>
      <c r="J98">
        <f t="shared" si="4"/>
        <v>41.3</v>
      </c>
      <c r="K98">
        <f t="shared" si="5"/>
        <v>-150</v>
      </c>
    </row>
    <row r="99" spans="1:11">
      <c r="A99">
        <v>3.209</v>
      </c>
      <c r="B99">
        <v>-197.3</v>
      </c>
      <c r="C99">
        <v>36.2</v>
      </c>
      <c r="E99">
        <v>3.176</v>
      </c>
      <c r="F99">
        <v>-178.7</v>
      </c>
      <c r="G99">
        <v>36.4</v>
      </c>
      <c r="I99">
        <f t="shared" si="3"/>
        <v>3.15</v>
      </c>
      <c r="J99">
        <f t="shared" si="4"/>
        <v>24.3</v>
      </c>
      <c r="K99">
        <f t="shared" si="5"/>
        <v>-150</v>
      </c>
    </row>
    <row r="100" spans="1:11">
      <c r="A100">
        <v>3.243</v>
      </c>
      <c r="B100">
        <v>-214.3</v>
      </c>
      <c r="C100">
        <v>36.8</v>
      </c>
      <c r="E100">
        <v>3.209</v>
      </c>
      <c r="F100">
        <v>-197.3</v>
      </c>
      <c r="G100">
        <v>36.2</v>
      </c>
      <c r="I100">
        <f t="shared" si="3"/>
        <v>3.2</v>
      </c>
      <c r="J100">
        <f t="shared" si="4"/>
        <v>5.69999999999999</v>
      </c>
      <c r="K100">
        <f t="shared" si="5"/>
        <v>-150</v>
      </c>
    </row>
    <row r="101" spans="1:11">
      <c r="A101">
        <v>3.276</v>
      </c>
      <c r="B101">
        <v>-232.6</v>
      </c>
      <c r="C101">
        <v>36.2</v>
      </c>
      <c r="E101">
        <v>3.243</v>
      </c>
      <c r="F101">
        <v>-214.3</v>
      </c>
      <c r="G101">
        <v>36.8</v>
      </c>
      <c r="I101">
        <f t="shared" si="3"/>
        <v>3.2</v>
      </c>
      <c r="J101">
        <f t="shared" si="4"/>
        <v>-11.3</v>
      </c>
      <c r="K101">
        <f t="shared" si="5"/>
        <v>-150</v>
      </c>
    </row>
    <row r="102" spans="1:11">
      <c r="A102">
        <v>3.309</v>
      </c>
      <c r="B102">
        <v>-250.6</v>
      </c>
      <c r="C102">
        <v>36.5</v>
      </c>
      <c r="E102">
        <v>3.276</v>
      </c>
      <c r="F102">
        <v>-232.6</v>
      </c>
      <c r="G102">
        <v>36.2</v>
      </c>
      <c r="I102">
        <f t="shared" si="3"/>
        <v>3.25</v>
      </c>
      <c r="J102">
        <f t="shared" si="4"/>
        <v>-29.6</v>
      </c>
      <c r="K102">
        <f t="shared" si="5"/>
        <v>-150</v>
      </c>
    </row>
    <row r="103" spans="1:11">
      <c r="A103">
        <v>3.343</v>
      </c>
      <c r="B103">
        <v>-267.9</v>
      </c>
      <c r="C103">
        <v>36.9</v>
      </c>
      <c r="E103">
        <v>3.309</v>
      </c>
      <c r="F103">
        <v>-250.6</v>
      </c>
      <c r="G103">
        <v>36.5</v>
      </c>
      <c r="I103">
        <f t="shared" si="3"/>
        <v>3.3</v>
      </c>
      <c r="J103">
        <f t="shared" si="4"/>
        <v>-47.6</v>
      </c>
      <c r="K103">
        <f t="shared" si="5"/>
        <v>-150</v>
      </c>
    </row>
    <row r="104" spans="1:11">
      <c r="A104">
        <v>3.376</v>
      </c>
      <c r="B104">
        <v>-290.1</v>
      </c>
      <c r="C104">
        <v>36.3</v>
      </c>
      <c r="E104">
        <v>3.343</v>
      </c>
      <c r="F104">
        <v>-267.9</v>
      </c>
      <c r="G104">
        <v>36.9</v>
      </c>
      <c r="I104">
        <f t="shared" si="3"/>
        <v>3.3</v>
      </c>
      <c r="J104">
        <f t="shared" si="4"/>
        <v>-64.9</v>
      </c>
      <c r="K104">
        <f t="shared" si="5"/>
        <v>-150</v>
      </c>
    </row>
    <row r="105" spans="1:11">
      <c r="A105">
        <v>3.41</v>
      </c>
      <c r="B105">
        <v>-308.5</v>
      </c>
      <c r="C105">
        <v>36.6</v>
      </c>
      <c r="E105">
        <v>3.376</v>
      </c>
      <c r="F105">
        <v>-290.1</v>
      </c>
      <c r="G105">
        <v>36.3</v>
      </c>
      <c r="I105">
        <f t="shared" si="3"/>
        <v>3.35</v>
      </c>
      <c r="J105">
        <f t="shared" si="4"/>
        <v>-87.1</v>
      </c>
      <c r="K105">
        <f t="shared" si="5"/>
        <v>-150</v>
      </c>
    </row>
    <row r="106" spans="1:11">
      <c r="A106">
        <v>3.443</v>
      </c>
      <c r="B106">
        <v>-325.5</v>
      </c>
      <c r="C106">
        <v>36.5</v>
      </c>
      <c r="E106">
        <v>3.41</v>
      </c>
      <c r="F106">
        <v>-308.5</v>
      </c>
      <c r="G106">
        <v>36.6</v>
      </c>
      <c r="I106">
        <f t="shared" si="3"/>
        <v>3.4</v>
      </c>
      <c r="J106">
        <f t="shared" si="4"/>
        <v>-105.5</v>
      </c>
      <c r="K106">
        <f t="shared" si="5"/>
        <v>-150</v>
      </c>
    </row>
    <row r="107" spans="1:11">
      <c r="A107">
        <v>3.477</v>
      </c>
      <c r="B107">
        <v>-343.1</v>
      </c>
      <c r="C107">
        <v>36.5</v>
      </c>
      <c r="E107">
        <v>3.443</v>
      </c>
      <c r="F107">
        <v>-325.5</v>
      </c>
      <c r="G107">
        <v>36.5</v>
      </c>
      <c r="I107">
        <f t="shared" si="3"/>
        <v>3.4</v>
      </c>
      <c r="J107">
        <f t="shared" si="4"/>
        <v>-122.5</v>
      </c>
      <c r="K107">
        <f t="shared" si="5"/>
        <v>-150</v>
      </c>
    </row>
    <row r="108" spans="1:11">
      <c r="A108">
        <v>3.51</v>
      </c>
      <c r="B108">
        <v>-356</v>
      </c>
      <c r="C108">
        <v>36.7</v>
      </c>
      <c r="E108">
        <v>3.477</v>
      </c>
      <c r="F108">
        <v>-343.1</v>
      </c>
      <c r="G108">
        <v>36.5</v>
      </c>
      <c r="I108">
        <f t="shared" si="3"/>
        <v>3.45</v>
      </c>
      <c r="J108">
        <f t="shared" si="4"/>
        <v>-140.1</v>
      </c>
      <c r="K108">
        <f t="shared" si="5"/>
        <v>-150</v>
      </c>
    </row>
    <row r="109" spans="1:11">
      <c r="A109">
        <v>3.543</v>
      </c>
      <c r="B109">
        <v>-371.3</v>
      </c>
      <c r="C109">
        <v>36.6</v>
      </c>
      <c r="E109">
        <v>3.51</v>
      </c>
      <c r="F109">
        <v>-356</v>
      </c>
      <c r="G109">
        <v>36.7</v>
      </c>
      <c r="I109">
        <f t="shared" si="3"/>
        <v>3.5</v>
      </c>
      <c r="J109">
        <f t="shared" si="4"/>
        <v>-153</v>
      </c>
      <c r="K109">
        <f t="shared" si="5"/>
        <v>-150</v>
      </c>
    </row>
    <row r="110" spans="1:11">
      <c r="A110">
        <v>3.577</v>
      </c>
      <c r="B110">
        <v>-387.6</v>
      </c>
      <c r="C110">
        <v>36.1</v>
      </c>
      <c r="E110">
        <v>3.543</v>
      </c>
      <c r="F110">
        <v>-371.3</v>
      </c>
      <c r="G110">
        <v>36.6</v>
      </c>
      <c r="I110">
        <f t="shared" si="3"/>
        <v>3.5</v>
      </c>
      <c r="J110">
        <f t="shared" si="4"/>
        <v>-168.3</v>
      </c>
      <c r="K110">
        <f t="shared" si="5"/>
        <v>-150</v>
      </c>
    </row>
    <row r="111" spans="1:11">
      <c r="A111">
        <v>3.61</v>
      </c>
      <c r="B111">
        <v>-400.3</v>
      </c>
      <c r="C111">
        <v>36.5</v>
      </c>
      <c r="E111">
        <v>3.577</v>
      </c>
      <c r="F111">
        <v>-387.6</v>
      </c>
      <c r="G111">
        <v>36.1</v>
      </c>
      <c r="I111">
        <f t="shared" si="3"/>
        <v>3.55</v>
      </c>
      <c r="J111">
        <f t="shared" si="4"/>
        <v>-184.6</v>
      </c>
      <c r="K111">
        <f t="shared" si="5"/>
        <v>-150</v>
      </c>
    </row>
    <row r="112" spans="1:11">
      <c r="A112">
        <v>3.644</v>
      </c>
      <c r="B112">
        <v>-411.9</v>
      </c>
      <c r="C112">
        <v>36.3</v>
      </c>
      <c r="E112">
        <v>3.61</v>
      </c>
      <c r="F112">
        <v>-400.3</v>
      </c>
      <c r="G112">
        <v>36.5</v>
      </c>
      <c r="I112">
        <f t="shared" si="3"/>
        <v>3.6</v>
      </c>
      <c r="J112">
        <f t="shared" si="4"/>
        <v>-197.3</v>
      </c>
      <c r="K112">
        <f t="shared" si="5"/>
        <v>-150</v>
      </c>
    </row>
    <row r="113" spans="1:11">
      <c r="A113">
        <v>3.677</v>
      </c>
      <c r="B113">
        <v>-421.6</v>
      </c>
      <c r="C113">
        <v>36</v>
      </c>
      <c r="E113">
        <v>3.644</v>
      </c>
      <c r="F113">
        <v>-411.9</v>
      </c>
      <c r="G113">
        <v>36.3</v>
      </c>
      <c r="I113">
        <f t="shared" si="3"/>
        <v>3.6</v>
      </c>
      <c r="J113">
        <f t="shared" si="4"/>
        <v>-208.9</v>
      </c>
      <c r="K113">
        <f t="shared" si="5"/>
        <v>-150</v>
      </c>
    </row>
    <row r="114" spans="1:11">
      <c r="A114">
        <v>3.711</v>
      </c>
      <c r="B114">
        <v>-429.5</v>
      </c>
      <c r="C114">
        <v>36.1</v>
      </c>
      <c r="E114">
        <v>3.677</v>
      </c>
      <c r="F114">
        <v>-421.6</v>
      </c>
      <c r="G114">
        <v>36</v>
      </c>
      <c r="I114">
        <f t="shared" si="3"/>
        <v>3.65</v>
      </c>
      <c r="J114">
        <f t="shared" si="4"/>
        <v>-218.6</v>
      </c>
      <c r="K114">
        <f t="shared" si="5"/>
        <v>-150</v>
      </c>
    </row>
    <row r="115" spans="1:11">
      <c r="A115">
        <v>3.744</v>
      </c>
      <c r="B115">
        <v>-435.5</v>
      </c>
      <c r="C115">
        <v>35.6</v>
      </c>
      <c r="E115">
        <v>3.711</v>
      </c>
      <c r="F115">
        <v>-429.5</v>
      </c>
      <c r="G115">
        <v>36.1</v>
      </c>
      <c r="I115">
        <f t="shared" si="3"/>
        <v>3.7</v>
      </c>
      <c r="J115">
        <f t="shared" si="4"/>
        <v>-226.5</v>
      </c>
      <c r="K115">
        <f t="shared" si="5"/>
        <v>-150</v>
      </c>
    </row>
    <row r="116" spans="1:11">
      <c r="A116">
        <v>3.777</v>
      </c>
      <c r="B116">
        <v>-440.2</v>
      </c>
      <c r="C116">
        <v>36.5</v>
      </c>
      <c r="E116">
        <v>3.744</v>
      </c>
      <c r="F116">
        <v>-435.5</v>
      </c>
      <c r="G116">
        <v>35.6</v>
      </c>
      <c r="I116">
        <f t="shared" si="3"/>
        <v>3.7</v>
      </c>
      <c r="J116">
        <f t="shared" si="4"/>
        <v>-232.5</v>
      </c>
      <c r="K116">
        <f t="shared" si="5"/>
        <v>-150</v>
      </c>
    </row>
    <row r="117" spans="1:11">
      <c r="A117">
        <v>3.811</v>
      </c>
      <c r="B117">
        <v>-443.2</v>
      </c>
      <c r="C117">
        <v>36.4</v>
      </c>
      <c r="E117">
        <v>3.777</v>
      </c>
      <c r="F117">
        <v>-440.2</v>
      </c>
      <c r="G117">
        <v>36.5</v>
      </c>
      <c r="I117">
        <f t="shared" si="3"/>
        <v>3.75</v>
      </c>
      <c r="J117">
        <f t="shared" si="4"/>
        <v>-237.2</v>
      </c>
      <c r="K117">
        <f t="shared" si="5"/>
        <v>-150</v>
      </c>
    </row>
    <row r="118" spans="1:11">
      <c r="A118">
        <v>3.844</v>
      </c>
      <c r="B118">
        <v>-445</v>
      </c>
      <c r="C118">
        <v>237.8</v>
      </c>
      <c r="E118">
        <v>3.811</v>
      </c>
      <c r="F118">
        <v>-443.2</v>
      </c>
      <c r="G118">
        <v>36.4</v>
      </c>
      <c r="I118">
        <f t="shared" si="3"/>
        <v>3.8</v>
      </c>
      <c r="J118">
        <f t="shared" si="4"/>
        <v>-240.2</v>
      </c>
      <c r="K118">
        <f t="shared" si="5"/>
        <v>-150</v>
      </c>
    </row>
    <row r="119" spans="1:11">
      <c r="A119">
        <v>3.878</v>
      </c>
      <c r="B119">
        <v>-444.7</v>
      </c>
      <c r="C119">
        <v>238.2</v>
      </c>
      <c r="E119">
        <v>3.844</v>
      </c>
      <c r="F119">
        <v>-445</v>
      </c>
      <c r="G119">
        <v>237.8</v>
      </c>
      <c r="I119">
        <f t="shared" si="3"/>
        <v>3.8</v>
      </c>
      <c r="J119">
        <f t="shared" si="4"/>
        <v>-242</v>
      </c>
      <c r="K119">
        <f t="shared" si="5"/>
        <v>100</v>
      </c>
    </row>
    <row r="120" spans="1:11">
      <c r="A120">
        <v>3.911</v>
      </c>
      <c r="B120">
        <v>-442.9</v>
      </c>
      <c r="C120">
        <v>238.2</v>
      </c>
      <c r="E120">
        <v>3.878</v>
      </c>
      <c r="F120">
        <v>-444.7</v>
      </c>
      <c r="G120">
        <v>238.2</v>
      </c>
      <c r="I120">
        <f t="shared" si="3"/>
        <v>3.85</v>
      </c>
      <c r="J120">
        <f t="shared" si="4"/>
        <v>-241.7</v>
      </c>
      <c r="K120">
        <f t="shared" si="5"/>
        <v>100</v>
      </c>
    </row>
    <row r="121" spans="1:11">
      <c r="A121">
        <v>3.945</v>
      </c>
      <c r="B121">
        <v>-439.7</v>
      </c>
      <c r="C121">
        <v>238.2</v>
      </c>
      <c r="E121">
        <v>3.911</v>
      </c>
      <c r="F121">
        <v>-442.9</v>
      </c>
      <c r="G121">
        <v>238.2</v>
      </c>
      <c r="I121">
        <f t="shared" si="3"/>
        <v>3.9</v>
      </c>
      <c r="J121">
        <f t="shared" si="4"/>
        <v>-239.9</v>
      </c>
      <c r="K121">
        <f t="shared" si="5"/>
        <v>100</v>
      </c>
    </row>
    <row r="122" spans="1:11">
      <c r="A122">
        <v>3.978</v>
      </c>
      <c r="B122">
        <v>-434.4</v>
      </c>
      <c r="C122">
        <v>238.2</v>
      </c>
      <c r="E122">
        <v>3.945</v>
      </c>
      <c r="F122">
        <v>-439.7</v>
      </c>
      <c r="G122">
        <v>238.2</v>
      </c>
      <c r="I122">
        <f t="shared" si="3"/>
        <v>3.9</v>
      </c>
      <c r="J122">
        <f t="shared" si="4"/>
        <v>-236.7</v>
      </c>
      <c r="K122">
        <f t="shared" si="5"/>
        <v>100</v>
      </c>
    </row>
    <row r="123" spans="1:11">
      <c r="A123">
        <v>4.011</v>
      </c>
      <c r="B123">
        <v>-427.6</v>
      </c>
      <c r="C123">
        <v>238.3</v>
      </c>
      <c r="E123">
        <v>3.978</v>
      </c>
      <c r="F123">
        <v>-434.4</v>
      </c>
      <c r="G123">
        <v>238.2</v>
      </c>
      <c r="I123">
        <f t="shared" si="3"/>
        <v>3.95</v>
      </c>
      <c r="J123">
        <f t="shared" si="4"/>
        <v>-231.4</v>
      </c>
      <c r="K123">
        <f t="shared" si="5"/>
        <v>100</v>
      </c>
    </row>
    <row r="124" spans="1:11">
      <c r="A124">
        <v>4.045</v>
      </c>
      <c r="B124">
        <v>-419.8</v>
      </c>
      <c r="C124" s="2">
        <v>238.3</v>
      </c>
      <c r="D124" s="2"/>
      <c r="E124">
        <v>4.011</v>
      </c>
      <c r="F124">
        <v>-427.6</v>
      </c>
      <c r="G124">
        <v>238.3</v>
      </c>
      <c r="I124">
        <f t="shared" si="3"/>
        <v>4</v>
      </c>
      <c r="J124">
        <f t="shared" si="4"/>
        <v>-224.6</v>
      </c>
      <c r="K124">
        <f t="shared" si="5"/>
        <v>100</v>
      </c>
    </row>
    <row r="125" spans="1:11">
      <c r="A125">
        <v>4.078</v>
      </c>
      <c r="B125">
        <v>-409.1</v>
      </c>
      <c r="C125" s="2">
        <v>238.3</v>
      </c>
      <c r="D125" s="2"/>
      <c r="E125">
        <v>4.045</v>
      </c>
      <c r="F125">
        <v>-419.8</v>
      </c>
      <c r="G125" s="2">
        <v>238.3</v>
      </c>
      <c r="I125">
        <f t="shared" si="3"/>
        <v>4</v>
      </c>
      <c r="J125">
        <f t="shared" si="4"/>
        <v>-216.8</v>
      </c>
      <c r="K125">
        <f t="shared" si="5"/>
        <v>100</v>
      </c>
    </row>
    <row r="126" spans="1:11">
      <c r="A126">
        <v>4.112</v>
      </c>
      <c r="B126">
        <v>-397</v>
      </c>
      <c r="C126" s="2">
        <v>238.3</v>
      </c>
      <c r="D126" s="2"/>
      <c r="E126">
        <v>4.078</v>
      </c>
      <c r="F126">
        <v>-409.1</v>
      </c>
      <c r="G126" s="2">
        <v>238.3</v>
      </c>
      <c r="I126">
        <f t="shared" si="3"/>
        <v>4.05</v>
      </c>
      <c r="J126">
        <f t="shared" si="4"/>
        <v>-206.1</v>
      </c>
      <c r="K126">
        <f t="shared" si="5"/>
        <v>100</v>
      </c>
    </row>
    <row r="127" spans="1:11">
      <c r="A127">
        <v>4.145</v>
      </c>
      <c r="B127">
        <v>-382.5</v>
      </c>
      <c r="C127" s="2">
        <v>238.3</v>
      </c>
      <c r="D127" s="2"/>
      <c r="E127">
        <v>4.112</v>
      </c>
      <c r="F127">
        <v>-397</v>
      </c>
      <c r="G127" s="2">
        <v>238.3</v>
      </c>
      <c r="I127">
        <f t="shared" si="3"/>
        <v>4.1</v>
      </c>
      <c r="J127">
        <f t="shared" si="4"/>
        <v>-194</v>
      </c>
      <c r="K127">
        <f t="shared" si="5"/>
        <v>100</v>
      </c>
    </row>
    <row r="128" spans="1:11">
      <c r="A128">
        <v>4.178</v>
      </c>
      <c r="B128">
        <v>-367.5</v>
      </c>
      <c r="C128" s="2">
        <v>238.3</v>
      </c>
      <c r="D128" s="2"/>
      <c r="E128">
        <v>4.145</v>
      </c>
      <c r="F128">
        <v>-382.5</v>
      </c>
      <c r="G128" s="2">
        <v>238.3</v>
      </c>
      <c r="I128">
        <f t="shared" si="3"/>
        <v>4.1</v>
      </c>
      <c r="J128">
        <f t="shared" si="4"/>
        <v>-179.5</v>
      </c>
      <c r="K128">
        <f t="shared" si="5"/>
        <v>100</v>
      </c>
    </row>
    <row r="129" spans="1:11">
      <c r="A129">
        <v>4.212</v>
      </c>
      <c r="B129">
        <v>-352.9</v>
      </c>
      <c r="C129" s="2">
        <v>238.2</v>
      </c>
      <c r="D129" s="2"/>
      <c r="E129">
        <v>4.178</v>
      </c>
      <c r="F129">
        <v>-367.5</v>
      </c>
      <c r="G129" s="2">
        <v>238.3</v>
      </c>
      <c r="I129">
        <f t="shared" si="3"/>
        <v>4.15</v>
      </c>
      <c r="J129">
        <f t="shared" si="4"/>
        <v>-164.5</v>
      </c>
      <c r="K129">
        <f t="shared" si="5"/>
        <v>100</v>
      </c>
    </row>
    <row r="130" spans="1:11">
      <c r="A130">
        <v>4.245</v>
      </c>
      <c r="B130">
        <v>-342.3</v>
      </c>
      <c r="C130" s="2">
        <v>238.2</v>
      </c>
      <c r="D130" s="2"/>
      <c r="E130">
        <v>4.212</v>
      </c>
      <c r="F130">
        <v>-352.9</v>
      </c>
      <c r="G130" s="2">
        <v>238.2</v>
      </c>
      <c r="I130">
        <f t="shared" si="3"/>
        <v>4.2</v>
      </c>
      <c r="J130">
        <f t="shared" si="4"/>
        <v>-149.9</v>
      </c>
      <c r="K130">
        <f t="shared" si="5"/>
        <v>100</v>
      </c>
    </row>
    <row r="131" spans="1:11">
      <c r="A131">
        <v>4.279</v>
      </c>
      <c r="B131">
        <v>-324.1</v>
      </c>
      <c r="C131" s="2">
        <v>238.2</v>
      </c>
      <c r="D131" s="2"/>
      <c r="E131">
        <v>4.245</v>
      </c>
      <c r="F131">
        <v>-342.3</v>
      </c>
      <c r="G131" s="2">
        <v>238.2</v>
      </c>
      <c r="I131">
        <f t="shared" si="3"/>
        <v>4.2</v>
      </c>
      <c r="J131">
        <f t="shared" si="4"/>
        <v>-139.3</v>
      </c>
      <c r="K131">
        <f t="shared" si="5"/>
        <v>100</v>
      </c>
    </row>
    <row r="132" spans="1:11">
      <c r="A132">
        <v>4.312</v>
      </c>
      <c r="B132">
        <v>-307.8</v>
      </c>
      <c r="C132" s="2">
        <v>238.2</v>
      </c>
      <c r="D132" s="2"/>
      <c r="E132">
        <v>4.279</v>
      </c>
      <c r="F132">
        <v>-324.1</v>
      </c>
      <c r="G132" s="2">
        <v>238.2</v>
      </c>
      <c r="I132">
        <f t="shared" ref="I132:I195" si="6">FLOOR(E132,0.05)</f>
        <v>4.25</v>
      </c>
      <c r="J132">
        <f t="shared" ref="J132:J195" si="7">F132+203</f>
        <v>-121.1</v>
      </c>
      <c r="K132">
        <f t="shared" si="5"/>
        <v>100</v>
      </c>
    </row>
    <row r="133" spans="1:11">
      <c r="A133">
        <v>4.346</v>
      </c>
      <c r="B133">
        <v>-290.3</v>
      </c>
      <c r="C133" s="2">
        <v>238.2</v>
      </c>
      <c r="D133" s="2"/>
      <c r="E133">
        <v>4.312</v>
      </c>
      <c r="F133">
        <v>-307.8</v>
      </c>
      <c r="G133" s="2">
        <v>238.2</v>
      </c>
      <c r="I133">
        <f t="shared" si="6"/>
        <v>4.3</v>
      </c>
      <c r="J133">
        <f t="shared" si="7"/>
        <v>-104.8</v>
      </c>
      <c r="K133">
        <f t="shared" ref="K133:K196" si="8">IF(G133&lt;230,-150,100)</f>
        <v>100</v>
      </c>
    </row>
    <row r="134" spans="1:11">
      <c r="A134">
        <v>4.379</v>
      </c>
      <c r="B134">
        <v>-272.9</v>
      </c>
      <c r="C134" s="2">
        <v>238.3</v>
      </c>
      <c r="D134" s="2"/>
      <c r="E134">
        <v>4.346</v>
      </c>
      <c r="F134">
        <v>-290.3</v>
      </c>
      <c r="G134" s="2">
        <v>238.2</v>
      </c>
      <c r="I134">
        <f t="shared" si="6"/>
        <v>4.3</v>
      </c>
      <c r="J134">
        <f t="shared" si="7"/>
        <v>-87.3</v>
      </c>
      <c r="K134">
        <f t="shared" si="8"/>
        <v>100</v>
      </c>
    </row>
    <row r="135" spans="1:11">
      <c r="A135">
        <v>4.412</v>
      </c>
      <c r="B135">
        <v>-254.2</v>
      </c>
      <c r="C135" s="2">
        <v>238.3</v>
      </c>
      <c r="D135" s="2"/>
      <c r="E135">
        <v>4.379</v>
      </c>
      <c r="F135">
        <v>-272.9</v>
      </c>
      <c r="G135" s="2">
        <v>238.3</v>
      </c>
      <c r="I135">
        <f t="shared" si="6"/>
        <v>4.35</v>
      </c>
      <c r="J135">
        <f t="shared" si="7"/>
        <v>-69.9</v>
      </c>
      <c r="K135">
        <f t="shared" si="8"/>
        <v>100</v>
      </c>
    </row>
    <row r="136" spans="1:11">
      <c r="A136">
        <v>4.446</v>
      </c>
      <c r="B136">
        <v>-236.5</v>
      </c>
      <c r="C136" s="2">
        <v>238.3</v>
      </c>
      <c r="D136" s="2"/>
      <c r="E136">
        <v>4.412</v>
      </c>
      <c r="F136">
        <v>-254.2</v>
      </c>
      <c r="G136" s="2">
        <v>238.3</v>
      </c>
      <c r="I136">
        <f t="shared" si="6"/>
        <v>4.4</v>
      </c>
      <c r="J136">
        <f t="shared" si="7"/>
        <v>-51.2</v>
      </c>
      <c r="K136">
        <f t="shared" si="8"/>
        <v>100</v>
      </c>
    </row>
    <row r="137" spans="1:11">
      <c r="A137">
        <v>4.479</v>
      </c>
      <c r="B137">
        <v>-220.8</v>
      </c>
      <c r="C137" s="2">
        <v>238.3</v>
      </c>
      <c r="D137" s="2"/>
      <c r="E137">
        <v>4.446</v>
      </c>
      <c r="F137">
        <v>-236.5</v>
      </c>
      <c r="G137" s="2">
        <v>238.3</v>
      </c>
      <c r="I137">
        <f t="shared" si="6"/>
        <v>4.4</v>
      </c>
      <c r="J137">
        <f t="shared" si="7"/>
        <v>-33.5</v>
      </c>
      <c r="K137">
        <f t="shared" si="8"/>
        <v>100</v>
      </c>
    </row>
    <row r="138" spans="1:11">
      <c r="A138">
        <v>4.513</v>
      </c>
      <c r="B138">
        <v>-204.7</v>
      </c>
      <c r="C138" s="2">
        <v>238.3</v>
      </c>
      <c r="D138" s="2"/>
      <c r="E138">
        <v>4.479</v>
      </c>
      <c r="F138">
        <v>-220.8</v>
      </c>
      <c r="G138" s="2">
        <v>238.3</v>
      </c>
      <c r="I138">
        <f t="shared" si="6"/>
        <v>4.45</v>
      </c>
      <c r="J138">
        <f t="shared" si="7"/>
        <v>-17.8</v>
      </c>
      <c r="K138">
        <f t="shared" si="8"/>
        <v>100</v>
      </c>
    </row>
    <row r="139" spans="1:11">
      <c r="A139">
        <v>4.546</v>
      </c>
      <c r="B139">
        <v>-187.6</v>
      </c>
      <c r="C139" s="2">
        <v>238.3</v>
      </c>
      <c r="D139" s="2"/>
      <c r="E139">
        <v>4.513</v>
      </c>
      <c r="F139">
        <v>-204.7</v>
      </c>
      <c r="G139" s="2">
        <v>238.3</v>
      </c>
      <c r="I139">
        <f t="shared" si="6"/>
        <v>4.5</v>
      </c>
      <c r="J139">
        <f t="shared" si="7"/>
        <v>-1.69999999999999</v>
      </c>
      <c r="K139">
        <f t="shared" si="8"/>
        <v>100</v>
      </c>
    </row>
    <row r="140" spans="1:11">
      <c r="A140">
        <v>4.58</v>
      </c>
      <c r="B140">
        <v>-172.8</v>
      </c>
      <c r="C140" s="2">
        <v>238.3</v>
      </c>
      <c r="D140" s="2"/>
      <c r="E140">
        <v>4.546</v>
      </c>
      <c r="F140">
        <v>-187.6</v>
      </c>
      <c r="G140" s="2">
        <v>238.3</v>
      </c>
      <c r="I140">
        <f t="shared" si="6"/>
        <v>4.5</v>
      </c>
      <c r="J140">
        <f t="shared" si="7"/>
        <v>15.4</v>
      </c>
      <c r="K140">
        <f t="shared" si="8"/>
        <v>100</v>
      </c>
    </row>
    <row r="141" spans="1:11">
      <c r="A141">
        <v>4.613</v>
      </c>
      <c r="B141">
        <v>-158.2</v>
      </c>
      <c r="C141" s="2">
        <v>60.7</v>
      </c>
      <c r="D141" s="2"/>
      <c r="E141">
        <v>4.58</v>
      </c>
      <c r="F141">
        <v>-172.8</v>
      </c>
      <c r="G141" s="2">
        <v>238.3</v>
      </c>
      <c r="I141">
        <f t="shared" si="6"/>
        <v>4.55</v>
      </c>
      <c r="J141">
        <f t="shared" si="7"/>
        <v>30.2</v>
      </c>
      <c r="K141">
        <f t="shared" si="8"/>
        <v>100</v>
      </c>
    </row>
    <row r="142" spans="1:11">
      <c r="A142">
        <v>4.646</v>
      </c>
      <c r="B142">
        <v>-145.5</v>
      </c>
      <c r="C142" s="2">
        <v>62.3</v>
      </c>
      <c r="D142" s="2"/>
      <c r="E142">
        <v>4.613</v>
      </c>
      <c r="F142">
        <v>-158.2</v>
      </c>
      <c r="G142" s="2">
        <v>60.7</v>
      </c>
      <c r="I142">
        <f t="shared" si="6"/>
        <v>4.6</v>
      </c>
      <c r="J142">
        <f t="shared" si="7"/>
        <v>44.8</v>
      </c>
      <c r="K142">
        <f t="shared" si="8"/>
        <v>-150</v>
      </c>
    </row>
    <row r="143" spans="1:11">
      <c r="A143">
        <v>4.68</v>
      </c>
      <c r="B143">
        <v>-134.4</v>
      </c>
      <c r="C143" s="2">
        <v>60.7</v>
      </c>
      <c r="D143" s="2"/>
      <c r="E143">
        <v>4.646</v>
      </c>
      <c r="F143">
        <v>-145.5</v>
      </c>
      <c r="G143" s="2">
        <v>62.3</v>
      </c>
      <c r="I143">
        <f t="shared" si="6"/>
        <v>4.6</v>
      </c>
      <c r="J143">
        <f t="shared" si="7"/>
        <v>57.5</v>
      </c>
      <c r="K143">
        <f t="shared" si="8"/>
        <v>-150</v>
      </c>
    </row>
    <row r="144" spans="1:11">
      <c r="A144">
        <v>4.713</v>
      </c>
      <c r="B144">
        <v>-123.6</v>
      </c>
      <c r="C144" s="2">
        <v>60.5</v>
      </c>
      <c r="D144" s="2"/>
      <c r="E144">
        <v>4.68</v>
      </c>
      <c r="F144">
        <v>-134.4</v>
      </c>
      <c r="G144" s="2">
        <v>60.7</v>
      </c>
      <c r="I144">
        <f t="shared" si="6"/>
        <v>4.65</v>
      </c>
      <c r="J144">
        <f t="shared" si="7"/>
        <v>68.6</v>
      </c>
      <c r="K144">
        <f t="shared" si="8"/>
        <v>-150</v>
      </c>
    </row>
    <row r="145" spans="1:11">
      <c r="A145">
        <v>4.747</v>
      </c>
      <c r="B145">
        <v>-114.6</v>
      </c>
      <c r="C145" s="2">
        <v>60.3</v>
      </c>
      <c r="D145" s="2"/>
      <c r="E145">
        <v>4.713</v>
      </c>
      <c r="F145">
        <v>-123.6</v>
      </c>
      <c r="G145" s="2">
        <v>60.5</v>
      </c>
      <c r="I145">
        <f t="shared" si="6"/>
        <v>4.7</v>
      </c>
      <c r="J145">
        <f t="shared" si="7"/>
        <v>79.4</v>
      </c>
      <c r="K145">
        <f t="shared" si="8"/>
        <v>-150</v>
      </c>
    </row>
    <row r="146" spans="1:11">
      <c r="A146">
        <v>4.78</v>
      </c>
      <c r="B146">
        <v>-106.8</v>
      </c>
      <c r="C146" s="2">
        <v>60.4</v>
      </c>
      <c r="D146" s="2"/>
      <c r="E146">
        <v>4.747</v>
      </c>
      <c r="F146">
        <v>-114.6</v>
      </c>
      <c r="G146" s="2">
        <v>60.3</v>
      </c>
      <c r="I146">
        <f t="shared" si="6"/>
        <v>4.7</v>
      </c>
      <c r="J146">
        <f t="shared" si="7"/>
        <v>88.4</v>
      </c>
      <c r="K146">
        <f t="shared" si="8"/>
        <v>-150</v>
      </c>
    </row>
    <row r="147" spans="1:11">
      <c r="A147">
        <v>4.814</v>
      </c>
      <c r="B147">
        <v>-100.3</v>
      </c>
      <c r="C147" s="2">
        <v>60.3</v>
      </c>
      <c r="D147" s="2"/>
      <c r="E147">
        <v>4.78</v>
      </c>
      <c r="F147">
        <v>-106.8</v>
      </c>
      <c r="G147" s="2">
        <v>60.4</v>
      </c>
      <c r="I147">
        <f t="shared" si="6"/>
        <v>4.75</v>
      </c>
      <c r="J147">
        <f t="shared" si="7"/>
        <v>96.2</v>
      </c>
      <c r="K147">
        <f t="shared" si="8"/>
        <v>-150</v>
      </c>
    </row>
    <row r="148" spans="1:11">
      <c r="A148">
        <v>4.847</v>
      </c>
      <c r="B148">
        <v>-95.7</v>
      </c>
      <c r="C148" s="2">
        <v>60.3</v>
      </c>
      <c r="D148" s="2"/>
      <c r="E148">
        <v>4.814</v>
      </c>
      <c r="F148">
        <v>-100.3</v>
      </c>
      <c r="G148" s="2">
        <v>60.3</v>
      </c>
      <c r="I148">
        <f t="shared" si="6"/>
        <v>4.8</v>
      </c>
      <c r="J148">
        <f t="shared" si="7"/>
        <v>102.7</v>
      </c>
      <c r="K148">
        <f t="shared" si="8"/>
        <v>-150</v>
      </c>
    </row>
    <row r="149" spans="1:11">
      <c r="A149">
        <v>4.88</v>
      </c>
      <c r="B149">
        <v>-92.3</v>
      </c>
      <c r="C149" s="2">
        <v>60.4</v>
      </c>
      <c r="D149" s="2"/>
      <c r="E149">
        <v>4.847</v>
      </c>
      <c r="F149">
        <v>-95.7</v>
      </c>
      <c r="G149" s="2">
        <v>60.3</v>
      </c>
      <c r="I149">
        <f t="shared" si="6"/>
        <v>4.8</v>
      </c>
      <c r="J149">
        <f t="shared" si="7"/>
        <v>107.3</v>
      </c>
      <c r="K149">
        <f t="shared" si="8"/>
        <v>-150</v>
      </c>
    </row>
    <row r="150" spans="1:11">
      <c r="A150">
        <v>4.914</v>
      </c>
      <c r="B150">
        <v>-90.79</v>
      </c>
      <c r="C150" s="2">
        <v>60.3</v>
      </c>
      <c r="D150" s="2"/>
      <c r="E150">
        <v>4.88</v>
      </c>
      <c r="F150">
        <v>-92.3</v>
      </c>
      <c r="G150" s="2">
        <v>60.4</v>
      </c>
      <c r="I150">
        <f t="shared" si="6"/>
        <v>4.85</v>
      </c>
      <c r="J150">
        <f t="shared" si="7"/>
        <v>110.7</v>
      </c>
      <c r="K150">
        <f t="shared" si="8"/>
        <v>-150</v>
      </c>
    </row>
    <row r="151" spans="1:11">
      <c r="A151">
        <v>4.947</v>
      </c>
      <c r="B151">
        <v>-91.09</v>
      </c>
      <c r="C151" s="2">
        <v>60</v>
      </c>
      <c r="D151" s="2"/>
      <c r="E151">
        <v>4.914</v>
      </c>
      <c r="F151">
        <v>-90.79</v>
      </c>
      <c r="G151" s="2">
        <v>60.3</v>
      </c>
      <c r="I151">
        <f t="shared" si="6"/>
        <v>4.9</v>
      </c>
      <c r="J151">
        <f t="shared" si="7"/>
        <v>112.21</v>
      </c>
      <c r="K151">
        <f t="shared" si="8"/>
        <v>-150</v>
      </c>
    </row>
    <row r="152" spans="1:11">
      <c r="A152">
        <v>4.981</v>
      </c>
      <c r="B152">
        <v>-92.46</v>
      </c>
      <c r="C152" s="2">
        <v>60.4</v>
      </c>
      <c r="D152" s="2"/>
      <c r="E152">
        <v>4.947</v>
      </c>
      <c r="F152">
        <v>-91.09</v>
      </c>
      <c r="G152" s="2">
        <v>60</v>
      </c>
      <c r="I152">
        <f t="shared" si="6"/>
        <v>4.9</v>
      </c>
      <c r="J152">
        <f t="shared" si="7"/>
        <v>111.91</v>
      </c>
      <c r="K152">
        <f t="shared" si="8"/>
        <v>-150</v>
      </c>
    </row>
    <row r="153" spans="1:11">
      <c r="A153">
        <v>5.014</v>
      </c>
      <c r="B153">
        <v>-96.03</v>
      </c>
      <c r="C153">
        <v>60.4</v>
      </c>
      <c r="E153">
        <v>4.981</v>
      </c>
      <c r="F153">
        <v>-92.46</v>
      </c>
      <c r="G153" s="2">
        <v>60.4</v>
      </c>
      <c r="I153">
        <f t="shared" si="6"/>
        <v>4.95</v>
      </c>
      <c r="J153">
        <f t="shared" si="7"/>
        <v>110.54</v>
      </c>
      <c r="K153">
        <f t="shared" si="8"/>
        <v>-150</v>
      </c>
    </row>
    <row r="154" spans="1:11">
      <c r="A154">
        <v>5.048</v>
      </c>
      <c r="B154">
        <v>-100.9</v>
      </c>
      <c r="C154">
        <v>60.4</v>
      </c>
      <c r="E154">
        <v>5.014</v>
      </c>
      <c r="F154">
        <v>-96.03</v>
      </c>
      <c r="G154">
        <v>60.4</v>
      </c>
      <c r="I154">
        <f t="shared" si="6"/>
        <v>5</v>
      </c>
      <c r="J154">
        <f t="shared" si="7"/>
        <v>106.97</v>
      </c>
      <c r="K154">
        <f t="shared" si="8"/>
        <v>-150</v>
      </c>
    </row>
    <row r="155" spans="1:11">
      <c r="A155">
        <v>5.081</v>
      </c>
      <c r="B155">
        <v>-107.4</v>
      </c>
      <c r="C155">
        <v>60.4</v>
      </c>
      <c r="E155">
        <v>5.048</v>
      </c>
      <c r="F155">
        <v>-100.9</v>
      </c>
      <c r="G155">
        <v>60.4</v>
      </c>
      <c r="I155">
        <f t="shared" si="6"/>
        <v>5</v>
      </c>
      <c r="J155">
        <f t="shared" si="7"/>
        <v>102.1</v>
      </c>
      <c r="K155">
        <f t="shared" si="8"/>
        <v>-150</v>
      </c>
    </row>
    <row r="156" spans="1:11">
      <c r="A156">
        <v>5.114</v>
      </c>
      <c r="B156">
        <v>-115.4</v>
      </c>
      <c r="C156">
        <v>60.1</v>
      </c>
      <c r="E156">
        <v>5.081</v>
      </c>
      <c r="F156">
        <v>-107.4</v>
      </c>
      <c r="G156">
        <v>60.4</v>
      </c>
      <c r="I156">
        <f t="shared" si="6"/>
        <v>5.05</v>
      </c>
      <c r="J156">
        <f t="shared" si="7"/>
        <v>95.6</v>
      </c>
      <c r="K156">
        <f t="shared" si="8"/>
        <v>-150</v>
      </c>
    </row>
    <row r="157" spans="1:11">
      <c r="A157">
        <v>5.148</v>
      </c>
      <c r="B157">
        <v>-124.3</v>
      </c>
      <c r="C157">
        <v>60.2</v>
      </c>
      <c r="E157">
        <v>5.114</v>
      </c>
      <c r="F157">
        <v>-115.4</v>
      </c>
      <c r="G157">
        <v>60.1</v>
      </c>
      <c r="I157">
        <f t="shared" si="6"/>
        <v>5.1</v>
      </c>
      <c r="J157">
        <f t="shared" si="7"/>
        <v>87.6</v>
      </c>
      <c r="K157">
        <f t="shared" si="8"/>
        <v>-150</v>
      </c>
    </row>
    <row r="158" spans="1:11">
      <c r="A158">
        <v>5.181</v>
      </c>
      <c r="B158">
        <v>-134.6</v>
      </c>
      <c r="C158">
        <v>60.1</v>
      </c>
      <c r="E158">
        <v>5.148</v>
      </c>
      <c r="F158">
        <v>-124.3</v>
      </c>
      <c r="G158">
        <v>60.2</v>
      </c>
      <c r="I158">
        <f t="shared" si="6"/>
        <v>5.1</v>
      </c>
      <c r="J158">
        <f t="shared" si="7"/>
        <v>78.7</v>
      </c>
      <c r="K158">
        <f t="shared" si="8"/>
        <v>-150</v>
      </c>
    </row>
    <row r="159" spans="1:11">
      <c r="A159">
        <v>5.215</v>
      </c>
      <c r="B159">
        <v>-145.8</v>
      </c>
      <c r="C159">
        <v>60.1</v>
      </c>
      <c r="E159">
        <v>5.181</v>
      </c>
      <c r="F159">
        <v>-134.6</v>
      </c>
      <c r="G159">
        <v>60.1</v>
      </c>
      <c r="I159">
        <f t="shared" si="6"/>
        <v>5.15</v>
      </c>
      <c r="J159">
        <f t="shared" si="7"/>
        <v>68.4</v>
      </c>
      <c r="K159">
        <f t="shared" si="8"/>
        <v>-150</v>
      </c>
    </row>
    <row r="160" spans="1:11">
      <c r="A160">
        <v>5.248</v>
      </c>
      <c r="B160">
        <v>-158</v>
      </c>
      <c r="C160">
        <v>59.8</v>
      </c>
      <c r="E160">
        <v>5.215</v>
      </c>
      <c r="F160">
        <v>-145.8</v>
      </c>
      <c r="G160">
        <v>60.1</v>
      </c>
      <c r="I160">
        <f t="shared" si="6"/>
        <v>5.2</v>
      </c>
      <c r="J160">
        <f t="shared" si="7"/>
        <v>57.2</v>
      </c>
      <c r="K160">
        <f t="shared" si="8"/>
        <v>-150</v>
      </c>
    </row>
    <row r="161" spans="1:11">
      <c r="A161">
        <v>5.282</v>
      </c>
      <c r="B161">
        <v>-171.8</v>
      </c>
      <c r="C161">
        <v>58.9</v>
      </c>
      <c r="E161">
        <v>5.248</v>
      </c>
      <c r="F161">
        <v>-158</v>
      </c>
      <c r="G161">
        <v>59.8</v>
      </c>
      <c r="I161">
        <f t="shared" si="6"/>
        <v>5.2</v>
      </c>
      <c r="J161">
        <f t="shared" si="7"/>
        <v>45</v>
      </c>
      <c r="K161">
        <f t="shared" si="8"/>
        <v>-150</v>
      </c>
    </row>
    <row r="162" spans="1:11">
      <c r="A162">
        <v>5.315</v>
      </c>
      <c r="B162">
        <v>-187.6</v>
      </c>
      <c r="C162">
        <v>58.2</v>
      </c>
      <c r="E162">
        <v>5.282</v>
      </c>
      <c r="F162">
        <v>-171.8</v>
      </c>
      <c r="G162">
        <v>58.9</v>
      </c>
      <c r="I162">
        <f t="shared" si="6"/>
        <v>5.25</v>
      </c>
      <c r="J162">
        <f t="shared" si="7"/>
        <v>31.2</v>
      </c>
      <c r="K162">
        <f t="shared" si="8"/>
        <v>-150</v>
      </c>
    </row>
    <row r="163" spans="1:11">
      <c r="A163">
        <v>5.348</v>
      </c>
      <c r="B163">
        <v>-204</v>
      </c>
      <c r="C163">
        <v>238.1</v>
      </c>
      <c r="E163">
        <v>5.315</v>
      </c>
      <c r="F163">
        <v>-187.6</v>
      </c>
      <c r="G163">
        <v>58.2</v>
      </c>
      <c r="I163">
        <f t="shared" si="6"/>
        <v>5.3</v>
      </c>
      <c r="J163">
        <f t="shared" si="7"/>
        <v>15.4</v>
      </c>
      <c r="K163">
        <f t="shared" si="8"/>
        <v>-150</v>
      </c>
    </row>
    <row r="164" spans="1:11">
      <c r="A164">
        <v>5.382</v>
      </c>
      <c r="B164">
        <v>-220</v>
      </c>
      <c r="C164">
        <v>238.2</v>
      </c>
      <c r="E164">
        <v>5.348</v>
      </c>
      <c r="F164">
        <v>-204</v>
      </c>
      <c r="G164">
        <v>238.1</v>
      </c>
      <c r="I164">
        <f t="shared" si="6"/>
        <v>5.3</v>
      </c>
      <c r="J164">
        <f t="shared" si="7"/>
        <v>-1</v>
      </c>
      <c r="K164">
        <f t="shared" si="8"/>
        <v>100</v>
      </c>
    </row>
    <row r="165" spans="1:11">
      <c r="A165">
        <v>5.415</v>
      </c>
      <c r="B165">
        <v>-236.1</v>
      </c>
      <c r="C165">
        <v>238.3</v>
      </c>
      <c r="E165">
        <v>5.382</v>
      </c>
      <c r="F165">
        <v>-220</v>
      </c>
      <c r="G165">
        <v>238.2</v>
      </c>
      <c r="I165">
        <f t="shared" si="6"/>
        <v>5.35</v>
      </c>
      <c r="J165">
        <f t="shared" si="7"/>
        <v>-17</v>
      </c>
      <c r="K165">
        <f t="shared" si="8"/>
        <v>100</v>
      </c>
    </row>
    <row r="166" spans="1:11">
      <c r="A166">
        <v>5.449</v>
      </c>
      <c r="B166">
        <v>-251.7</v>
      </c>
      <c r="C166">
        <v>238.3</v>
      </c>
      <c r="E166">
        <v>5.415</v>
      </c>
      <c r="F166">
        <v>-236.1</v>
      </c>
      <c r="G166">
        <v>238.3</v>
      </c>
      <c r="I166">
        <f t="shared" si="6"/>
        <v>5.4</v>
      </c>
      <c r="J166">
        <f t="shared" si="7"/>
        <v>-33.1</v>
      </c>
      <c r="K166">
        <f t="shared" si="8"/>
        <v>100</v>
      </c>
    </row>
    <row r="167" spans="1:11">
      <c r="A167">
        <v>5.482</v>
      </c>
      <c r="B167">
        <v>-268.5</v>
      </c>
      <c r="C167">
        <v>238.3</v>
      </c>
      <c r="E167">
        <v>5.449</v>
      </c>
      <c r="F167">
        <v>-251.7</v>
      </c>
      <c r="G167">
        <v>238.3</v>
      </c>
      <c r="I167">
        <f t="shared" si="6"/>
        <v>5.4</v>
      </c>
      <c r="J167">
        <f t="shared" si="7"/>
        <v>-48.7</v>
      </c>
      <c r="K167">
        <f t="shared" si="8"/>
        <v>100</v>
      </c>
    </row>
    <row r="168" spans="1:11">
      <c r="A168">
        <v>5.516</v>
      </c>
      <c r="B168">
        <v>-287.2</v>
      </c>
      <c r="C168">
        <v>238.3</v>
      </c>
      <c r="E168">
        <v>5.482</v>
      </c>
      <c r="F168">
        <v>-268.5</v>
      </c>
      <c r="G168">
        <v>238.3</v>
      </c>
      <c r="I168">
        <f t="shared" si="6"/>
        <v>5.45</v>
      </c>
      <c r="J168">
        <f t="shared" si="7"/>
        <v>-65.5</v>
      </c>
      <c r="K168">
        <f t="shared" si="8"/>
        <v>100</v>
      </c>
    </row>
    <row r="169" spans="1:11">
      <c r="A169">
        <v>5.549</v>
      </c>
      <c r="B169">
        <v>-302.3</v>
      </c>
      <c r="C169">
        <v>238.3</v>
      </c>
      <c r="E169">
        <v>5.516</v>
      </c>
      <c r="F169">
        <v>-287.2</v>
      </c>
      <c r="G169">
        <v>238.3</v>
      </c>
      <c r="I169">
        <f t="shared" si="6"/>
        <v>5.5</v>
      </c>
      <c r="J169">
        <f t="shared" si="7"/>
        <v>-84.2</v>
      </c>
      <c r="K169">
        <f t="shared" si="8"/>
        <v>100</v>
      </c>
    </row>
    <row r="170" spans="1:11">
      <c r="A170">
        <v>5.582</v>
      </c>
      <c r="B170">
        <v>-317.8</v>
      </c>
      <c r="C170">
        <v>238.3</v>
      </c>
      <c r="E170">
        <v>5.549</v>
      </c>
      <c r="F170">
        <v>-302.3</v>
      </c>
      <c r="G170">
        <v>238.3</v>
      </c>
      <c r="I170">
        <f t="shared" si="6"/>
        <v>5.5</v>
      </c>
      <c r="J170">
        <f t="shared" si="7"/>
        <v>-99.3</v>
      </c>
      <c r="K170">
        <f t="shared" si="8"/>
        <v>100</v>
      </c>
    </row>
    <row r="171" spans="1:11">
      <c r="A171">
        <v>5.616</v>
      </c>
      <c r="B171">
        <v>-334.7</v>
      </c>
      <c r="C171">
        <v>238.3</v>
      </c>
      <c r="E171">
        <v>5.582</v>
      </c>
      <c r="F171">
        <v>-317.8</v>
      </c>
      <c r="G171">
        <v>238.3</v>
      </c>
      <c r="I171">
        <f t="shared" si="6"/>
        <v>5.55</v>
      </c>
      <c r="J171">
        <f t="shared" si="7"/>
        <v>-114.8</v>
      </c>
      <c r="K171">
        <f t="shared" si="8"/>
        <v>100</v>
      </c>
    </row>
    <row r="172" spans="1:11">
      <c r="A172">
        <v>5.649</v>
      </c>
      <c r="B172">
        <v>-345.5</v>
      </c>
      <c r="C172">
        <v>238.3</v>
      </c>
      <c r="E172">
        <v>5.616</v>
      </c>
      <c r="F172">
        <v>-334.7</v>
      </c>
      <c r="G172">
        <v>238.3</v>
      </c>
      <c r="I172">
        <f t="shared" si="6"/>
        <v>5.6</v>
      </c>
      <c r="J172">
        <f t="shared" si="7"/>
        <v>-131.7</v>
      </c>
      <c r="K172">
        <f t="shared" si="8"/>
        <v>100</v>
      </c>
    </row>
    <row r="173" spans="1:11">
      <c r="A173">
        <v>5.683</v>
      </c>
      <c r="B173">
        <v>-357.2</v>
      </c>
      <c r="C173">
        <v>238.3</v>
      </c>
      <c r="E173">
        <v>5.649</v>
      </c>
      <c r="F173">
        <v>-345.5</v>
      </c>
      <c r="G173">
        <v>238.3</v>
      </c>
      <c r="I173">
        <f t="shared" si="6"/>
        <v>5.6</v>
      </c>
      <c r="J173">
        <f t="shared" si="7"/>
        <v>-142.5</v>
      </c>
      <c r="K173">
        <f t="shared" si="8"/>
        <v>100</v>
      </c>
    </row>
    <row r="174" spans="1:11">
      <c r="A174">
        <v>5.716</v>
      </c>
      <c r="B174">
        <v>-367.9</v>
      </c>
      <c r="C174">
        <v>238.3</v>
      </c>
      <c r="E174">
        <v>5.683</v>
      </c>
      <c r="F174">
        <v>-357.2</v>
      </c>
      <c r="G174">
        <v>238.3</v>
      </c>
      <c r="I174">
        <f t="shared" si="6"/>
        <v>5.65</v>
      </c>
      <c r="J174">
        <f t="shared" si="7"/>
        <v>-154.2</v>
      </c>
      <c r="K174">
        <f t="shared" si="8"/>
        <v>100</v>
      </c>
    </row>
    <row r="175" spans="1:11">
      <c r="A175">
        <v>5.75</v>
      </c>
      <c r="B175">
        <v>-378.6</v>
      </c>
      <c r="C175">
        <v>238.3</v>
      </c>
      <c r="E175">
        <v>5.716</v>
      </c>
      <c r="F175">
        <v>-367.9</v>
      </c>
      <c r="G175">
        <v>238.3</v>
      </c>
      <c r="I175">
        <f t="shared" si="6"/>
        <v>5.7</v>
      </c>
      <c r="J175">
        <f t="shared" si="7"/>
        <v>-164.9</v>
      </c>
      <c r="K175">
        <f t="shared" si="8"/>
        <v>100</v>
      </c>
    </row>
    <row r="176" spans="1:11">
      <c r="A176">
        <v>5.783</v>
      </c>
      <c r="B176">
        <v>-389.6</v>
      </c>
      <c r="C176">
        <v>238.3</v>
      </c>
      <c r="E176">
        <v>5.75</v>
      </c>
      <c r="F176">
        <v>-378.6</v>
      </c>
      <c r="G176">
        <v>238.3</v>
      </c>
      <c r="I176">
        <f t="shared" si="6"/>
        <v>5.75</v>
      </c>
      <c r="J176">
        <f t="shared" si="7"/>
        <v>-175.6</v>
      </c>
      <c r="K176">
        <f t="shared" si="8"/>
        <v>100</v>
      </c>
    </row>
    <row r="177" spans="1:11">
      <c r="A177">
        <v>5.816</v>
      </c>
      <c r="B177">
        <v>-396.9</v>
      </c>
      <c r="C177">
        <v>238.3</v>
      </c>
      <c r="E177">
        <v>5.783</v>
      </c>
      <c r="F177">
        <v>-389.6</v>
      </c>
      <c r="G177">
        <v>238.3</v>
      </c>
      <c r="I177">
        <f t="shared" si="6"/>
        <v>5.75</v>
      </c>
      <c r="J177">
        <f t="shared" si="7"/>
        <v>-186.6</v>
      </c>
      <c r="K177">
        <f t="shared" si="8"/>
        <v>100</v>
      </c>
    </row>
    <row r="178" spans="1:11">
      <c r="A178">
        <v>5.85</v>
      </c>
      <c r="B178">
        <v>-403.6</v>
      </c>
      <c r="C178">
        <v>238.3</v>
      </c>
      <c r="E178">
        <v>5.816</v>
      </c>
      <c r="F178">
        <v>-396.9</v>
      </c>
      <c r="G178">
        <v>238.3</v>
      </c>
      <c r="I178">
        <f t="shared" si="6"/>
        <v>5.8</v>
      </c>
      <c r="J178">
        <f t="shared" si="7"/>
        <v>-193.9</v>
      </c>
      <c r="K178">
        <f t="shared" si="8"/>
        <v>100</v>
      </c>
    </row>
    <row r="179" spans="1:11">
      <c r="A179">
        <v>5.883</v>
      </c>
      <c r="B179">
        <v>-408.6</v>
      </c>
      <c r="C179">
        <v>238.3</v>
      </c>
      <c r="E179">
        <v>5.85</v>
      </c>
      <c r="F179">
        <v>-403.6</v>
      </c>
      <c r="G179">
        <v>238.3</v>
      </c>
      <c r="I179">
        <f t="shared" si="6"/>
        <v>5.85</v>
      </c>
      <c r="J179">
        <f t="shared" si="7"/>
        <v>-200.6</v>
      </c>
      <c r="K179">
        <f t="shared" si="8"/>
        <v>100</v>
      </c>
    </row>
    <row r="180" spans="1:11">
      <c r="A180">
        <v>5.917</v>
      </c>
      <c r="B180">
        <v>-412.3</v>
      </c>
      <c r="C180">
        <v>238.3</v>
      </c>
      <c r="E180">
        <v>5.883</v>
      </c>
      <c r="F180">
        <v>-408.6</v>
      </c>
      <c r="G180">
        <v>238.3</v>
      </c>
      <c r="I180">
        <f t="shared" si="6"/>
        <v>5.85</v>
      </c>
      <c r="J180">
        <f t="shared" si="7"/>
        <v>-205.6</v>
      </c>
      <c r="K180">
        <f t="shared" si="8"/>
        <v>100</v>
      </c>
    </row>
    <row r="181" spans="1:11">
      <c r="A181">
        <v>5.95</v>
      </c>
      <c r="B181">
        <v>-414.5</v>
      </c>
      <c r="C181">
        <v>238.3</v>
      </c>
      <c r="E181">
        <v>5.917</v>
      </c>
      <c r="F181">
        <v>-412.3</v>
      </c>
      <c r="G181">
        <v>238.3</v>
      </c>
      <c r="I181">
        <f t="shared" si="6"/>
        <v>5.9</v>
      </c>
      <c r="J181">
        <f t="shared" si="7"/>
        <v>-209.3</v>
      </c>
      <c r="K181">
        <f t="shared" si="8"/>
        <v>100</v>
      </c>
    </row>
    <row r="182" spans="1:11">
      <c r="A182">
        <v>5.984</v>
      </c>
      <c r="B182">
        <v>-414.8</v>
      </c>
      <c r="C182">
        <v>238.3</v>
      </c>
      <c r="E182">
        <v>5.95</v>
      </c>
      <c r="F182">
        <v>-414.5</v>
      </c>
      <c r="G182">
        <v>238.3</v>
      </c>
      <c r="I182">
        <f t="shared" si="6"/>
        <v>5.95</v>
      </c>
      <c r="J182">
        <f t="shared" si="7"/>
        <v>-211.5</v>
      </c>
      <c r="K182">
        <f t="shared" si="8"/>
        <v>100</v>
      </c>
    </row>
    <row r="183" spans="1:11">
      <c r="A183">
        <v>6.017</v>
      </c>
      <c r="B183">
        <v>-413.7</v>
      </c>
      <c r="C183">
        <v>238.3</v>
      </c>
      <c r="E183">
        <v>5.984</v>
      </c>
      <c r="F183">
        <v>-414.8</v>
      </c>
      <c r="G183">
        <v>238.3</v>
      </c>
      <c r="I183">
        <f t="shared" si="6"/>
        <v>5.95</v>
      </c>
      <c r="J183">
        <f t="shared" si="7"/>
        <v>-211.8</v>
      </c>
      <c r="K183">
        <f t="shared" si="8"/>
        <v>100</v>
      </c>
    </row>
    <row r="184" spans="1:11">
      <c r="A184">
        <v>6.05</v>
      </c>
      <c r="B184">
        <v>-410.9</v>
      </c>
      <c r="C184">
        <v>238.3</v>
      </c>
      <c r="E184">
        <v>6.017</v>
      </c>
      <c r="F184">
        <v>-413.7</v>
      </c>
      <c r="G184">
        <v>238.3</v>
      </c>
      <c r="I184">
        <f t="shared" si="6"/>
        <v>6</v>
      </c>
      <c r="J184">
        <f t="shared" si="7"/>
        <v>-210.7</v>
      </c>
      <c r="K184">
        <f t="shared" si="8"/>
        <v>100</v>
      </c>
    </row>
    <row r="185" spans="1:11">
      <c r="A185">
        <v>6.084</v>
      </c>
      <c r="B185">
        <v>-406.7</v>
      </c>
      <c r="C185">
        <v>238.3</v>
      </c>
      <c r="E185">
        <v>6.05</v>
      </c>
      <c r="F185">
        <v>-410.9</v>
      </c>
      <c r="G185">
        <v>238.3</v>
      </c>
      <c r="I185">
        <f t="shared" si="6"/>
        <v>6.05</v>
      </c>
      <c r="J185">
        <f t="shared" si="7"/>
        <v>-207.9</v>
      </c>
      <c r="K185">
        <f t="shared" si="8"/>
        <v>100</v>
      </c>
    </row>
    <row r="186" spans="1:11">
      <c r="A186">
        <v>6.117</v>
      </c>
      <c r="B186">
        <v>-400.8</v>
      </c>
      <c r="C186">
        <v>105.3</v>
      </c>
      <c r="E186">
        <v>6.084</v>
      </c>
      <c r="F186">
        <v>-406.7</v>
      </c>
      <c r="G186">
        <v>238.3</v>
      </c>
      <c r="I186">
        <f t="shared" si="6"/>
        <v>6.05</v>
      </c>
      <c r="J186">
        <f t="shared" si="7"/>
        <v>-203.7</v>
      </c>
      <c r="K186">
        <f t="shared" si="8"/>
        <v>100</v>
      </c>
    </row>
    <row r="187" spans="1:11">
      <c r="A187">
        <v>6.151</v>
      </c>
      <c r="B187">
        <v>-393.5</v>
      </c>
      <c r="C187">
        <v>127</v>
      </c>
      <c r="E187">
        <v>6.117</v>
      </c>
      <c r="F187">
        <v>-400.8</v>
      </c>
      <c r="G187">
        <v>105.3</v>
      </c>
      <c r="I187">
        <f t="shared" si="6"/>
        <v>6.1</v>
      </c>
      <c r="J187">
        <f t="shared" si="7"/>
        <v>-197.8</v>
      </c>
      <c r="K187">
        <f t="shared" si="8"/>
        <v>-150</v>
      </c>
    </row>
    <row r="188" spans="1:11">
      <c r="A188">
        <v>6.184</v>
      </c>
      <c r="B188">
        <v>-385.9</v>
      </c>
      <c r="C188">
        <v>123.9</v>
      </c>
      <c r="E188">
        <v>6.151</v>
      </c>
      <c r="F188">
        <v>-393.5</v>
      </c>
      <c r="G188">
        <v>127</v>
      </c>
      <c r="I188">
        <f t="shared" si="6"/>
        <v>6.15</v>
      </c>
      <c r="J188">
        <f t="shared" si="7"/>
        <v>-190.5</v>
      </c>
      <c r="K188">
        <f t="shared" si="8"/>
        <v>-150</v>
      </c>
    </row>
    <row r="189" spans="1:11">
      <c r="A189">
        <v>6.218</v>
      </c>
      <c r="B189">
        <v>-374.4</v>
      </c>
      <c r="C189" s="2">
        <v>122</v>
      </c>
      <c r="D189" s="2"/>
      <c r="E189">
        <v>6.184</v>
      </c>
      <c r="F189">
        <v>-385.9</v>
      </c>
      <c r="G189">
        <v>123.9</v>
      </c>
      <c r="I189">
        <f t="shared" si="6"/>
        <v>6.15</v>
      </c>
      <c r="J189">
        <f t="shared" si="7"/>
        <v>-182.9</v>
      </c>
      <c r="K189">
        <f t="shared" si="8"/>
        <v>-150</v>
      </c>
    </row>
    <row r="190" spans="1:11">
      <c r="A190">
        <v>6.251</v>
      </c>
      <c r="B190">
        <v>-362.8</v>
      </c>
      <c r="C190" s="2">
        <v>119</v>
      </c>
      <c r="D190" s="2"/>
      <c r="E190">
        <v>6.218</v>
      </c>
      <c r="F190">
        <v>-374.4</v>
      </c>
      <c r="G190" s="2">
        <v>122</v>
      </c>
      <c r="I190">
        <f t="shared" si="6"/>
        <v>6.2</v>
      </c>
      <c r="J190">
        <f t="shared" si="7"/>
        <v>-171.4</v>
      </c>
      <c r="K190">
        <f t="shared" si="8"/>
        <v>-150</v>
      </c>
    </row>
    <row r="191" spans="1:11">
      <c r="A191">
        <v>6.284</v>
      </c>
      <c r="B191">
        <v>-352.2</v>
      </c>
      <c r="C191" s="2">
        <v>116.9</v>
      </c>
      <c r="D191" s="2"/>
      <c r="E191">
        <v>6.251</v>
      </c>
      <c r="F191">
        <v>-362.8</v>
      </c>
      <c r="G191" s="2">
        <v>119</v>
      </c>
      <c r="I191">
        <f t="shared" si="6"/>
        <v>6.25</v>
      </c>
      <c r="J191">
        <f t="shared" si="7"/>
        <v>-159.8</v>
      </c>
      <c r="K191">
        <f t="shared" si="8"/>
        <v>-150</v>
      </c>
    </row>
    <row r="192" spans="1:11">
      <c r="A192">
        <v>6.318</v>
      </c>
      <c r="B192">
        <v>-342.7</v>
      </c>
      <c r="C192" s="2">
        <v>113</v>
      </c>
      <c r="D192" s="2"/>
      <c r="E192">
        <v>6.284</v>
      </c>
      <c r="F192">
        <v>-352.2</v>
      </c>
      <c r="G192" s="2">
        <v>116.9</v>
      </c>
      <c r="I192">
        <f t="shared" si="6"/>
        <v>6.25</v>
      </c>
      <c r="J192">
        <f t="shared" si="7"/>
        <v>-149.2</v>
      </c>
      <c r="K192">
        <f t="shared" si="8"/>
        <v>-150</v>
      </c>
    </row>
    <row r="193" spans="1:11">
      <c r="A193">
        <v>6.351</v>
      </c>
      <c r="B193">
        <v>-327.9</v>
      </c>
      <c r="C193" s="2">
        <v>110</v>
      </c>
      <c r="D193" s="2"/>
      <c r="E193">
        <v>6.318</v>
      </c>
      <c r="F193">
        <v>-342.7</v>
      </c>
      <c r="G193" s="2">
        <v>113</v>
      </c>
      <c r="I193">
        <f t="shared" si="6"/>
        <v>6.3</v>
      </c>
      <c r="J193">
        <f t="shared" si="7"/>
        <v>-139.7</v>
      </c>
      <c r="K193">
        <f t="shared" si="8"/>
        <v>-150</v>
      </c>
    </row>
    <row r="194" spans="1:11">
      <c r="A194">
        <v>6.385</v>
      </c>
      <c r="B194">
        <v>-313.5</v>
      </c>
      <c r="C194" s="2">
        <v>107.5</v>
      </c>
      <c r="D194" s="2"/>
      <c r="E194">
        <v>6.351</v>
      </c>
      <c r="F194">
        <v>-327.9</v>
      </c>
      <c r="G194" s="2">
        <v>110</v>
      </c>
      <c r="I194">
        <f t="shared" si="6"/>
        <v>6.35</v>
      </c>
      <c r="J194">
        <f t="shared" si="7"/>
        <v>-124.9</v>
      </c>
      <c r="K194">
        <f t="shared" si="8"/>
        <v>-150</v>
      </c>
    </row>
    <row r="195" spans="1:11">
      <c r="A195">
        <v>6.418</v>
      </c>
      <c r="B195">
        <v>-299.3</v>
      </c>
      <c r="C195" s="2">
        <v>105</v>
      </c>
      <c r="D195" s="2"/>
      <c r="E195">
        <v>6.385</v>
      </c>
      <c r="F195">
        <v>-313.5</v>
      </c>
      <c r="G195" s="2">
        <v>107.5</v>
      </c>
      <c r="I195">
        <f t="shared" si="6"/>
        <v>6.35</v>
      </c>
      <c r="J195">
        <f t="shared" si="7"/>
        <v>-110.5</v>
      </c>
      <c r="K195">
        <f t="shared" si="8"/>
        <v>-150</v>
      </c>
    </row>
    <row r="196" spans="1:11">
      <c r="A196">
        <v>6.452</v>
      </c>
      <c r="B196">
        <v>-284.3</v>
      </c>
      <c r="C196" s="2">
        <v>101.2</v>
      </c>
      <c r="D196" s="2"/>
      <c r="E196">
        <v>6.418</v>
      </c>
      <c r="F196">
        <v>-299.3</v>
      </c>
      <c r="G196" s="2">
        <v>105</v>
      </c>
      <c r="I196">
        <f t="shared" ref="I196:I259" si="9">FLOOR(E196,0.05)</f>
        <v>6.4</v>
      </c>
      <c r="J196">
        <f t="shared" ref="J196:J259" si="10">F196+203</f>
        <v>-96.3</v>
      </c>
      <c r="K196">
        <f t="shared" si="8"/>
        <v>-150</v>
      </c>
    </row>
    <row r="197" spans="1:11">
      <c r="A197">
        <v>6.485</v>
      </c>
      <c r="B197">
        <v>-268.4</v>
      </c>
      <c r="C197" s="2">
        <v>98.1</v>
      </c>
      <c r="D197" s="2"/>
      <c r="E197">
        <v>6.452</v>
      </c>
      <c r="F197">
        <v>-284.3</v>
      </c>
      <c r="G197" s="2">
        <v>101.2</v>
      </c>
      <c r="I197">
        <f t="shared" si="9"/>
        <v>6.45</v>
      </c>
      <c r="J197">
        <f t="shared" si="10"/>
        <v>-81.3</v>
      </c>
      <c r="K197">
        <f t="shared" ref="K197:K260" si="11">IF(G197&lt;230,-150,100)</f>
        <v>-150</v>
      </c>
    </row>
    <row r="198" spans="1:11">
      <c r="A198">
        <v>6.518</v>
      </c>
      <c r="B198">
        <v>-251.6</v>
      </c>
      <c r="C198" s="2">
        <v>95.8</v>
      </c>
      <c r="D198" s="2"/>
      <c r="E198">
        <v>6.485</v>
      </c>
      <c r="F198">
        <v>-268.4</v>
      </c>
      <c r="G198" s="2">
        <v>98.1</v>
      </c>
      <c r="I198">
        <f t="shared" si="9"/>
        <v>6.45</v>
      </c>
      <c r="J198">
        <f t="shared" si="10"/>
        <v>-65.4</v>
      </c>
      <c r="K198">
        <f t="shared" si="11"/>
        <v>-150</v>
      </c>
    </row>
    <row r="199" spans="1:11">
      <c r="A199">
        <v>6.552</v>
      </c>
      <c r="B199">
        <v>-236.3</v>
      </c>
      <c r="C199" s="2">
        <v>92.1</v>
      </c>
      <c r="D199" s="2"/>
      <c r="E199">
        <v>6.518</v>
      </c>
      <c r="F199">
        <v>-251.6</v>
      </c>
      <c r="G199" s="2">
        <v>95.8</v>
      </c>
      <c r="I199">
        <f t="shared" si="9"/>
        <v>6.5</v>
      </c>
      <c r="J199">
        <f t="shared" si="10"/>
        <v>-48.6</v>
      </c>
      <c r="K199">
        <f t="shared" si="11"/>
        <v>-150</v>
      </c>
    </row>
    <row r="200" spans="1:11">
      <c r="A200">
        <v>6.585</v>
      </c>
      <c r="B200">
        <v>-222.3</v>
      </c>
      <c r="C200" s="2">
        <v>91.6</v>
      </c>
      <c r="D200" s="2"/>
      <c r="E200">
        <v>6.552</v>
      </c>
      <c r="F200">
        <v>-236.3</v>
      </c>
      <c r="G200" s="2">
        <v>92.1</v>
      </c>
      <c r="I200">
        <f t="shared" si="9"/>
        <v>6.55</v>
      </c>
      <c r="J200">
        <f t="shared" si="10"/>
        <v>-33.3</v>
      </c>
      <c r="K200">
        <f t="shared" si="11"/>
        <v>-150</v>
      </c>
    </row>
    <row r="201" spans="1:11">
      <c r="A201">
        <v>6.619</v>
      </c>
      <c r="B201">
        <v>-207.8</v>
      </c>
      <c r="C201" s="2">
        <v>85.4</v>
      </c>
      <c r="D201" s="2"/>
      <c r="E201">
        <v>6.585</v>
      </c>
      <c r="F201">
        <v>-222.3</v>
      </c>
      <c r="G201" s="2">
        <v>91.6</v>
      </c>
      <c r="I201">
        <f t="shared" si="9"/>
        <v>6.55</v>
      </c>
      <c r="J201">
        <f t="shared" si="10"/>
        <v>-19.3</v>
      </c>
      <c r="K201">
        <f t="shared" si="11"/>
        <v>-150</v>
      </c>
    </row>
    <row r="202" spans="1:11">
      <c r="A202">
        <v>6.652</v>
      </c>
      <c r="B202">
        <v>-195</v>
      </c>
      <c r="C202" s="2">
        <v>83.2</v>
      </c>
      <c r="D202" s="2"/>
      <c r="E202">
        <v>6.619</v>
      </c>
      <c r="F202">
        <v>-207.8</v>
      </c>
      <c r="G202" s="2">
        <v>85.4</v>
      </c>
      <c r="I202">
        <f t="shared" si="9"/>
        <v>6.6</v>
      </c>
      <c r="J202">
        <f t="shared" si="10"/>
        <v>-4.80000000000001</v>
      </c>
      <c r="K202">
        <f t="shared" si="11"/>
        <v>-150</v>
      </c>
    </row>
    <row r="203" spans="1:11">
      <c r="A203">
        <v>6.686</v>
      </c>
      <c r="B203">
        <v>-180.8</v>
      </c>
      <c r="C203" s="2">
        <v>81.5</v>
      </c>
      <c r="D203" s="2"/>
      <c r="E203">
        <v>6.652</v>
      </c>
      <c r="F203">
        <v>-195</v>
      </c>
      <c r="G203" s="2">
        <v>83.2</v>
      </c>
      <c r="I203">
        <f t="shared" si="9"/>
        <v>6.65</v>
      </c>
      <c r="J203">
        <f t="shared" si="10"/>
        <v>8</v>
      </c>
      <c r="K203">
        <f t="shared" si="11"/>
        <v>-150</v>
      </c>
    </row>
    <row r="204" spans="1:11">
      <c r="A204">
        <v>6.719</v>
      </c>
      <c r="B204">
        <v>-168.5</v>
      </c>
      <c r="C204" s="2">
        <v>78.1</v>
      </c>
      <c r="D204" s="2"/>
      <c r="E204">
        <v>6.686</v>
      </c>
      <c r="F204">
        <v>-180.8</v>
      </c>
      <c r="G204" s="2">
        <v>81.5</v>
      </c>
      <c r="I204">
        <f t="shared" si="9"/>
        <v>6.65</v>
      </c>
      <c r="J204">
        <f t="shared" si="10"/>
        <v>22.2</v>
      </c>
      <c r="K204">
        <f t="shared" si="11"/>
        <v>-150</v>
      </c>
    </row>
    <row r="205" spans="1:11">
      <c r="A205">
        <v>6.752</v>
      </c>
      <c r="B205">
        <v>-156.4</v>
      </c>
      <c r="C205" s="2">
        <v>74.9</v>
      </c>
      <c r="D205" s="2"/>
      <c r="E205">
        <v>6.719</v>
      </c>
      <c r="F205">
        <v>-168.5</v>
      </c>
      <c r="G205" s="2">
        <v>78.1</v>
      </c>
      <c r="I205">
        <f t="shared" si="9"/>
        <v>6.7</v>
      </c>
      <c r="J205">
        <f t="shared" si="10"/>
        <v>34.5</v>
      </c>
      <c r="K205">
        <f t="shared" si="11"/>
        <v>-150</v>
      </c>
    </row>
    <row r="206" spans="1:11">
      <c r="A206">
        <v>6.786</v>
      </c>
      <c r="B206">
        <v>-146</v>
      </c>
      <c r="C206" s="2">
        <v>71.5</v>
      </c>
      <c r="D206" s="2"/>
      <c r="E206">
        <v>6.752</v>
      </c>
      <c r="F206">
        <v>-156.4</v>
      </c>
      <c r="G206" s="2">
        <v>74.9</v>
      </c>
      <c r="I206">
        <f t="shared" si="9"/>
        <v>6.75</v>
      </c>
      <c r="J206">
        <f t="shared" si="10"/>
        <v>46.6</v>
      </c>
      <c r="K206">
        <f t="shared" si="11"/>
        <v>-150</v>
      </c>
    </row>
    <row r="207" spans="1:11">
      <c r="A207">
        <v>6.819</v>
      </c>
      <c r="B207">
        <v>-136.7</v>
      </c>
      <c r="C207" s="2">
        <v>69.7</v>
      </c>
      <c r="D207" s="2"/>
      <c r="E207">
        <v>6.786</v>
      </c>
      <c r="F207">
        <v>-146</v>
      </c>
      <c r="G207" s="2">
        <v>71.5</v>
      </c>
      <c r="I207">
        <f t="shared" si="9"/>
        <v>6.75</v>
      </c>
      <c r="J207">
        <f t="shared" si="10"/>
        <v>57</v>
      </c>
      <c r="K207">
        <f t="shared" si="11"/>
        <v>-150</v>
      </c>
    </row>
    <row r="208" spans="1:11">
      <c r="A208">
        <v>6.853</v>
      </c>
      <c r="B208">
        <v>-128.9</v>
      </c>
      <c r="C208" s="2">
        <v>238.3</v>
      </c>
      <c r="D208" s="2"/>
      <c r="E208">
        <v>6.819</v>
      </c>
      <c r="F208">
        <v>-136.7</v>
      </c>
      <c r="G208" s="2">
        <v>69.7</v>
      </c>
      <c r="I208">
        <f t="shared" si="9"/>
        <v>6.8</v>
      </c>
      <c r="J208">
        <f t="shared" si="10"/>
        <v>66.3</v>
      </c>
      <c r="K208">
        <f t="shared" si="11"/>
        <v>-150</v>
      </c>
    </row>
    <row r="209" spans="1:11">
      <c r="A209">
        <v>6.886</v>
      </c>
      <c r="B209">
        <v>-121.7</v>
      </c>
      <c r="C209" s="2">
        <v>238.4</v>
      </c>
      <c r="D209" s="2"/>
      <c r="E209">
        <v>6.853</v>
      </c>
      <c r="F209">
        <v>-128.9</v>
      </c>
      <c r="G209" s="2">
        <v>238.3</v>
      </c>
      <c r="I209">
        <f t="shared" si="9"/>
        <v>6.85</v>
      </c>
      <c r="J209">
        <f t="shared" si="10"/>
        <v>74.1</v>
      </c>
      <c r="K209">
        <f t="shared" si="11"/>
        <v>100</v>
      </c>
    </row>
    <row r="210" spans="1:11">
      <c r="A210">
        <v>6.92</v>
      </c>
      <c r="B210">
        <v>-116.9</v>
      </c>
      <c r="C210" s="2">
        <v>238.4</v>
      </c>
      <c r="D210" s="2"/>
      <c r="E210">
        <v>6.886</v>
      </c>
      <c r="F210">
        <v>-121.7</v>
      </c>
      <c r="G210" s="2">
        <v>238.4</v>
      </c>
      <c r="I210">
        <f t="shared" si="9"/>
        <v>6.85</v>
      </c>
      <c r="J210">
        <f t="shared" si="10"/>
        <v>81.3</v>
      </c>
      <c r="K210">
        <f t="shared" si="11"/>
        <v>100</v>
      </c>
    </row>
    <row r="211" spans="1:11">
      <c r="A211">
        <v>6.953</v>
      </c>
      <c r="B211">
        <v>-112.5</v>
      </c>
      <c r="C211" s="2">
        <v>238.4</v>
      </c>
      <c r="D211" s="2"/>
      <c r="E211">
        <v>6.92</v>
      </c>
      <c r="F211">
        <v>-116.9</v>
      </c>
      <c r="G211" s="2">
        <v>238.4</v>
      </c>
      <c r="I211">
        <f t="shared" si="9"/>
        <v>6.9</v>
      </c>
      <c r="J211">
        <f t="shared" si="10"/>
        <v>86.1</v>
      </c>
      <c r="K211">
        <f t="shared" si="11"/>
        <v>100</v>
      </c>
    </row>
    <row r="212" spans="1:11">
      <c r="A212">
        <v>6.986</v>
      </c>
      <c r="B212">
        <v>-109.2</v>
      </c>
      <c r="C212" s="2">
        <v>238.4</v>
      </c>
      <c r="D212" s="2"/>
      <c r="E212">
        <v>6.953</v>
      </c>
      <c r="F212">
        <v>-112.5</v>
      </c>
      <c r="G212" s="2">
        <v>238.4</v>
      </c>
      <c r="I212">
        <f t="shared" si="9"/>
        <v>6.95</v>
      </c>
      <c r="J212">
        <f t="shared" si="10"/>
        <v>90.5</v>
      </c>
      <c r="K212">
        <f t="shared" si="11"/>
        <v>100</v>
      </c>
    </row>
    <row r="213" spans="1:11">
      <c r="A213">
        <v>7.02</v>
      </c>
      <c r="B213">
        <v>-107.9</v>
      </c>
      <c r="C213" s="2">
        <v>238.2</v>
      </c>
      <c r="D213" s="2"/>
      <c r="E213">
        <v>6.986</v>
      </c>
      <c r="F213">
        <v>-109.2</v>
      </c>
      <c r="G213" s="2">
        <v>238.4</v>
      </c>
      <c r="I213">
        <f t="shared" si="9"/>
        <v>6.95</v>
      </c>
      <c r="J213">
        <f t="shared" si="10"/>
        <v>93.8</v>
      </c>
      <c r="K213">
        <f t="shared" si="11"/>
        <v>100</v>
      </c>
    </row>
    <row r="214" spans="1:11">
      <c r="A214">
        <v>7.053</v>
      </c>
      <c r="B214">
        <v>-107.9</v>
      </c>
      <c r="C214" s="2">
        <v>238.2</v>
      </c>
      <c r="D214" s="2"/>
      <c r="E214">
        <v>7.02</v>
      </c>
      <c r="F214">
        <v>-107.9</v>
      </c>
      <c r="G214" s="2">
        <v>238.2</v>
      </c>
      <c r="I214">
        <f t="shared" si="9"/>
        <v>7</v>
      </c>
      <c r="J214">
        <f t="shared" si="10"/>
        <v>95.1</v>
      </c>
      <c r="K214">
        <f t="shared" si="11"/>
        <v>100</v>
      </c>
    </row>
    <row r="215" spans="1:11">
      <c r="A215">
        <v>7.087</v>
      </c>
      <c r="B215">
        <v>-109</v>
      </c>
      <c r="C215">
        <v>238.2</v>
      </c>
      <c r="E215">
        <v>7.053</v>
      </c>
      <c r="F215">
        <v>-107.9</v>
      </c>
      <c r="G215" s="2">
        <v>238.2</v>
      </c>
      <c r="I215">
        <f t="shared" si="9"/>
        <v>7.05</v>
      </c>
      <c r="J215">
        <f t="shared" si="10"/>
        <v>95.1</v>
      </c>
      <c r="K215">
        <f t="shared" si="11"/>
        <v>100</v>
      </c>
    </row>
    <row r="216" spans="1:11">
      <c r="A216">
        <v>7.12</v>
      </c>
      <c r="B216">
        <v>-112.3</v>
      </c>
      <c r="C216">
        <v>238.2</v>
      </c>
      <c r="E216">
        <v>7.087</v>
      </c>
      <c r="F216">
        <v>-109</v>
      </c>
      <c r="G216">
        <v>238.2</v>
      </c>
      <c r="I216">
        <f t="shared" si="9"/>
        <v>7.05</v>
      </c>
      <c r="J216">
        <f t="shared" si="10"/>
        <v>94</v>
      </c>
      <c r="K216">
        <f t="shared" si="11"/>
        <v>100</v>
      </c>
    </row>
    <row r="217" spans="1:11">
      <c r="A217">
        <v>7.154</v>
      </c>
      <c r="B217">
        <v>-116.5</v>
      </c>
      <c r="C217">
        <v>238.2</v>
      </c>
      <c r="E217">
        <v>7.12</v>
      </c>
      <c r="F217">
        <v>-112.3</v>
      </c>
      <c r="G217">
        <v>238.2</v>
      </c>
      <c r="I217">
        <f t="shared" si="9"/>
        <v>7.1</v>
      </c>
      <c r="J217">
        <f t="shared" si="10"/>
        <v>90.7</v>
      </c>
      <c r="K217">
        <f t="shared" si="11"/>
        <v>100</v>
      </c>
    </row>
    <row r="218" spans="1:11">
      <c r="A218">
        <v>7.187</v>
      </c>
      <c r="B218">
        <v>-121.6</v>
      </c>
      <c r="C218">
        <v>238.2</v>
      </c>
      <c r="E218">
        <v>7.154</v>
      </c>
      <c r="F218">
        <v>-116.5</v>
      </c>
      <c r="G218">
        <v>238.2</v>
      </c>
      <c r="I218">
        <f t="shared" si="9"/>
        <v>7.15</v>
      </c>
      <c r="J218">
        <f t="shared" si="10"/>
        <v>86.5</v>
      </c>
      <c r="K218">
        <f t="shared" si="11"/>
        <v>100</v>
      </c>
    </row>
    <row r="219" spans="1:11">
      <c r="A219">
        <v>7.22</v>
      </c>
      <c r="B219">
        <v>-128.8</v>
      </c>
      <c r="C219">
        <v>238.2</v>
      </c>
      <c r="E219">
        <v>7.187</v>
      </c>
      <c r="F219">
        <v>-121.6</v>
      </c>
      <c r="G219">
        <v>238.2</v>
      </c>
      <c r="I219">
        <f t="shared" si="9"/>
        <v>7.15</v>
      </c>
      <c r="J219">
        <f t="shared" si="10"/>
        <v>81.4</v>
      </c>
      <c r="K219">
        <f t="shared" si="11"/>
        <v>100</v>
      </c>
    </row>
    <row r="220" spans="1:11">
      <c r="A220">
        <v>7.254</v>
      </c>
      <c r="B220">
        <v>-136.1</v>
      </c>
      <c r="C220">
        <v>238.2</v>
      </c>
      <c r="E220">
        <v>7.22</v>
      </c>
      <c r="F220">
        <v>-128.8</v>
      </c>
      <c r="G220">
        <v>238.2</v>
      </c>
      <c r="I220">
        <f t="shared" si="9"/>
        <v>7.2</v>
      </c>
      <c r="J220">
        <f t="shared" si="10"/>
        <v>74.2</v>
      </c>
      <c r="K220">
        <f t="shared" si="11"/>
        <v>100</v>
      </c>
    </row>
    <row r="221" spans="1:11">
      <c r="A221">
        <v>7.287</v>
      </c>
      <c r="B221">
        <v>-145.4</v>
      </c>
      <c r="C221">
        <v>238.2</v>
      </c>
      <c r="E221">
        <v>7.254</v>
      </c>
      <c r="F221">
        <v>-136.1</v>
      </c>
      <c r="G221">
        <v>238.2</v>
      </c>
      <c r="I221">
        <f t="shared" si="9"/>
        <v>7.25</v>
      </c>
      <c r="J221">
        <f t="shared" si="10"/>
        <v>66.9</v>
      </c>
      <c r="K221">
        <f t="shared" si="11"/>
        <v>100</v>
      </c>
    </row>
    <row r="222" spans="1:11">
      <c r="A222">
        <v>7.321</v>
      </c>
      <c r="B222">
        <v>-155</v>
      </c>
      <c r="C222">
        <v>238.2</v>
      </c>
      <c r="E222">
        <v>7.287</v>
      </c>
      <c r="F222">
        <v>-145.4</v>
      </c>
      <c r="G222">
        <v>238.2</v>
      </c>
      <c r="I222">
        <f t="shared" si="9"/>
        <v>7.25</v>
      </c>
      <c r="J222">
        <f t="shared" si="10"/>
        <v>57.6</v>
      </c>
      <c r="K222">
        <f t="shared" si="11"/>
        <v>100</v>
      </c>
    </row>
    <row r="223" spans="1:11">
      <c r="A223">
        <v>7.354</v>
      </c>
      <c r="B223">
        <v>-166</v>
      </c>
      <c r="C223">
        <v>238.2</v>
      </c>
      <c r="E223">
        <v>7.321</v>
      </c>
      <c r="F223">
        <v>-155</v>
      </c>
      <c r="G223">
        <v>238.2</v>
      </c>
      <c r="I223">
        <f t="shared" si="9"/>
        <v>7.3</v>
      </c>
      <c r="J223">
        <f t="shared" si="10"/>
        <v>48</v>
      </c>
      <c r="K223">
        <f t="shared" si="11"/>
        <v>100</v>
      </c>
    </row>
    <row r="224" spans="1:11">
      <c r="A224">
        <v>7.388</v>
      </c>
      <c r="B224">
        <v>-178.8</v>
      </c>
      <c r="C224">
        <v>238.2</v>
      </c>
      <c r="E224">
        <v>7.354</v>
      </c>
      <c r="F224">
        <v>-166</v>
      </c>
      <c r="G224">
        <v>238.2</v>
      </c>
      <c r="I224">
        <f t="shared" si="9"/>
        <v>7.35</v>
      </c>
      <c r="J224">
        <f t="shared" si="10"/>
        <v>37</v>
      </c>
      <c r="K224">
        <f t="shared" si="11"/>
        <v>100</v>
      </c>
    </row>
    <row r="225" spans="1:11">
      <c r="A225">
        <v>7.421</v>
      </c>
      <c r="B225">
        <v>-192.8</v>
      </c>
      <c r="C225">
        <v>238.2</v>
      </c>
      <c r="E225">
        <v>7.388</v>
      </c>
      <c r="F225">
        <v>-178.8</v>
      </c>
      <c r="G225">
        <v>238.2</v>
      </c>
      <c r="I225">
        <f t="shared" si="9"/>
        <v>7.35</v>
      </c>
      <c r="J225">
        <f t="shared" si="10"/>
        <v>24.2</v>
      </c>
      <c r="K225">
        <f t="shared" si="11"/>
        <v>100</v>
      </c>
    </row>
    <row r="226" spans="1:11">
      <c r="A226">
        <v>7.454</v>
      </c>
      <c r="B226">
        <v>-205.6</v>
      </c>
      <c r="C226">
        <v>238.2</v>
      </c>
      <c r="E226">
        <v>7.421</v>
      </c>
      <c r="F226">
        <v>-192.8</v>
      </c>
      <c r="G226">
        <v>238.2</v>
      </c>
      <c r="I226">
        <f t="shared" si="9"/>
        <v>7.4</v>
      </c>
      <c r="J226">
        <f t="shared" si="10"/>
        <v>10.2</v>
      </c>
      <c r="K226">
        <f t="shared" si="11"/>
        <v>100</v>
      </c>
    </row>
    <row r="227" spans="1:11">
      <c r="A227">
        <v>7.488</v>
      </c>
      <c r="B227">
        <v>-219.6</v>
      </c>
      <c r="C227">
        <v>238.2</v>
      </c>
      <c r="E227">
        <v>7.454</v>
      </c>
      <c r="F227">
        <v>-205.6</v>
      </c>
      <c r="G227">
        <v>238.2</v>
      </c>
      <c r="I227">
        <f t="shared" si="9"/>
        <v>7.45</v>
      </c>
      <c r="J227">
        <f t="shared" si="10"/>
        <v>-2.59999999999999</v>
      </c>
      <c r="K227">
        <f t="shared" si="11"/>
        <v>100</v>
      </c>
    </row>
    <row r="228" spans="1:11">
      <c r="A228">
        <v>7.521</v>
      </c>
      <c r="B228">
        <v>-233.9</v>
      </c>
      <c r="C228">
        <v>238.2</v>
      </c>
      <c r="E228">
        <v>7.488</v>
      </c>
      <c r="F228">
        <v>-219.6</v>
      </c>
      <c r="G228">
        <v>238.2</v>
      </c>
      <c r="I228">
        <f t="shared" si="9"/>
        <v>7.45</v>
      </c>
      <c r="J228">
        <f t="shared" si="10"/>
        <v>-16.6</v>
      </c>
      <c r="K228">
        <f t="shared" si="11"/>
        <v>100</v>
      </c>
    </row>
    <row r="229" spans="1:11">
      <c r="A229">
        <v>7.555</v>
      </c>
      <c r="B229">
        <v>-246.9</v>
      </c>
      <c r="C229">
        <v>238.2</v>
      </c>
      <c r="E229">
        <v>7.521</v>
      </c>
      <c r="F229">
        <v>-233.9</v>
      </c>
      <c r="G229">
        <v>238.2</v>
      </c>
      <c r="I229">
        <f t="shared" si="9"/>
        <v>7.5</v>
      </c>
      <c r="J229">
        <f t="shared" si="10"/>
        <v>-30.9</v>
      </c>
      <c r="K229">
        <f t="shared" si="11"/>
        <v>100</v>
      </c>
    </row>
    <row r="230" spans="1:11">
      <c r="A230">
        <v>7.588</v>
      </c>
      <c r="B230">
        <v>-260.1</v>
      </c>
      <c r="C230">
        <v>238.4</v>
      </c>
      <c r="E230">
        <v>7.555</v>
      </c>
      <c r="F230">
        <v>-246.9</v>
      </c>
      <c r="G230">
        <v>238.2</v>
      </c>
      <c r="I230">
        <f t="shared" si="9"/>
        <v>7.55</v>
      </c>
      <c r="J230">
        <f t="shared" si="10"/>
        <v>-43.9</v>
      </c>
      <c r="K230">
        <f t="shared" si="11"/>
        <v>100</v>
      </c>
    </row>
    <row r="231" spans="1:11">
      <c r="A231">
        <v>7.622</v>
      </c>
      <c r="B231">
        <v>-276.1</v>
      </c>
      <c r="C231">
        <v>129.7</v>
      </c>
      <c r="E231">
        <v>7.588</v>
      </c>
      <c r="F231">
        <v>-260.1</v>
      </c>
      <c r="G231">
        <v>238.4</v>
      </c>
      <c r="I231">
        <f t="shared" si="9"/>
        <v>7.55</v>
      </c>
      <c r="J231">
        <f t="shared" si="10"/>
        <v>-57.1</v>
      </c>
      <c r="K231">
        <f t="shared" si="11"/>
        <v>100</v>
      </c>
    </row>
    <row r="232" spans="1:11">
      <c r="A232">
        <v>7.655</v>
      </c>
      <c r="B232">
        <v>-290.8</v>
      </c>
      <c r="C232">
        <v>148.2</v>
      </c>
      <c r="E232">
        <v>7.622</v>
      </c>
      <c r="F232">
        <v>-276.1</v>
      </c>
      <c r="G232">
        <v>129.7</v>
      </c>
      <c r="I232">
        <f t="shared" si="9"/>
        <v>7.6</v>
      </c>
      <c r="J232">
        <f t="shared" si="10"/>
        <v>-73.1</v>
      </c>
      <c r="K232">
        <f t="shared" si="11"/>
        <v>-150</v>
      </c>
    </row>
    <row r="233" spans="1:11">
      <c r="A233">
        <v>7.688</v>
      </c>
      <c r="B233">
        <v>-304.3</v>
      </c>
      <c r="C233">
        <v>146.5</v>
      </c>
      <c r="E233">
        <v>7.655</v>
      </c>
      <c r="F233">
        <v>-290.8</v>
      </c>
      <c r="G233">
        <v>148.2</v>
      </c>
      <c r="I233">
        <f t="shared" si="9"/>
        <v>7.65</v>
      </c>
      <c r="J233">
        <f t="shared" si="10"/>
        <v>-87.8</v>
      </c>
      <c r="K233">
        <f t="shared" si="11"/>
        <v>-150</v>
      </c>
    </row>
    <row r="234" spans="1:11">
      <c r="A234">
        <v>7.722</v>
      </c>
      <c r="B234">
        <v>-316.6</v>
      </c>
      <c r="C234">
        <v>145.2</v>
      </c>
      <c r="E234">
        <v>7.688</v>
      </c>
      <c r="F234">
        <v>-304.3</v>
      </c>
      <c r="G234">
        <v>146.5</v>
      </c>
      <c r="I234">
        <f t="shared" si="9"/>
        <v>7.65</v>
      </c>
      <c r="J234">
        <f t="shared" si="10"/>
        <v>-101.3</v>
      </c>
      <c r="K234">
        <f t="shared" si="11"/>
        <v>-150</v>
      </c>
    </row>
    <row r="235" spans="1:11">
      <c r="A235">
        <v>7.755</v>
      </c>
      <c r="B235">
        <v>-328.4</v>
      </c>
      <c r="C235">
        <v>143</v>
      </c>
      <c r="E235">
        <v>7.722</v>
      </c>
      <c r="F235">
        <v>-316.6</v>
      </c>
      <c r="G235">
        <v>145.2</v>
      </c>
      <c r="I235">
        <f t="shared" si="9"/>
        <v>7.7</v>
      </c>
      <c r="J235">
        <f t="shared" si="10"/>
        <v>-113.6</v>
      </c>
      <c r="K235">
        <f t="shared" si="11"/>
        <v>-150</v>
      </c>
    </row>
    <row r="236" spans="1:11">
      <c r="A236">
        <v>7.789</v>
      </c>
      <c r="B236">
        <v>-341.7</v>
      </c>
      <c r="C236">
        <v>140.4</v>
      </c>
      <c r="E236">
        <v>7.755</v>
      </c>
      <c r="F236">
        <v>-328.4</v>
      </c>
      <c r="G236">
        <v>143</v>
      </c>
      <c r="I236">
        <f t="shared" si="9"/>
        <v>7.75</v>
      </c>
      <c r="J236">
        <f t="shared" si="10"/>
        <v>-125.4</v>
      </c>
      <c r="K236">
        <f t="shared" si="11"/>
        <v>-150</v>
      </c>
    </row>
    <row r="237" spans="1:11">
      <c r="A237">
        <v>7.822</v>
      </c>
      <c r="B237">
        <v>-347.7</v>
      </c>
      <c r="C237">
        <v>138.1</v>
      </c>
      <c r="E237">
        <v>7.789</v>
      </c>
      <c r="F237">
        <v>-341.7</v>
      </c>
      <c r="G237">
        <v>140.4</v>
      </c>
      <c r="I237">
        <f t="shared" si="9"/>
        <v>7.75</v>
      </c>
      <c r="J237">
        <f t="shared" si="10"/>
        <v>-138.7</v>
      </c>
      <c r="K237">
        <f t="shared" si="11"/>
        <v>-150</v>
      </c>
    </row>
    <row r="238" spans="1:11">
      <c r="A238">
        <v>7.856</v>
      </c>
      <c r="B238">
        <v>-357.8</v>
      </c>
      <c r="C238">
        <v>136.4</v>
      </c>
      <c r="E238">
        <v>7.822</v>
      </c>
      <c r="F238">
        <v>-347.7</v>
      </c>
      <c r="G238">
        <v>138.1</v>
      </c>
      <c r="I238">
        <f t="shared" si="9"/>
        <v>7.8</v>
      </c>
      <c r="J238">
        <f t="shared" si="10"/>
        <v>-144.7</v>
      </c>
      <c r="K238">
        <f t="shared" si="11"/>
        <v>-150</v>
      </c>
    </row>
    <row r="239" spans="1:11">
      <c r="A239">
        <v>7.889</v>
      </c>
      <c r="B239">
        <v>-364.1</v>
      </c>
      <c r="C239">
        <v>134</v>
      </c>
      <c r="E239">
        <v>7.856</v>
      </c>
      <c r="F239">
        <v>-357.8</v>
      </c>
      <c r="G239">
        <v>136.4</v>
      </c>
      <c r="I239">
        <f t="shared" si="9"/>
        <v>7.85</v>
      </c>
      <c r="J239">
        <f t="shared" si="10"/>
        <v>-154.8</v>
      </c>
      <c r="K239">
        <f t="shared" si="11"/>
        <v>-150</v>
      </c>
    </row>
    <row r="240" spans="1:11">
      <c r="A240">
        <v>7.922</v>
      </c>
      <c r="B240">
        <v>-373.6</v>
      </c>
      <c r="C240">
        <v>131.3</v>
      </c>
      <c r="E240">
        <v>7.889</v>
      </c>
      <c r="F240">
        <v>-364.1</v>
      </c>
      <c r="G240">
        <v>134</v>
      </c>
      <c r="I240">
        <f t="shared" si="9"/>
        <v>7.85</v>
      </c>
      <c r="J240">
        <f t="shared" si="10"/>
        <v>-161.1</v>
      </c>
      <c r="K240">
        <f t="shared" si="11"/>
        <v>-150</v>
      </c>
    </row>
    <row r="241" spans="1:11">
      <c r="A241">
        <v>7.956</v>
      </c>
      <c r="B241">
        <v>-379.5</v>
      </c>
      <c r="C241">
        <v>129.1</v>
      </c>
      <c r="E241">
        <v>7.922</v>
      </c>
      <c r="F241">
        <v>-373.6</v>
      </c>
      <c r="G241">
        <v>131.3</v>
      </c>
      <c r="I241">
        <f t="shared" si="9"/>
        <v>7.9</v>
      </c>
      <c r="J241">
        <f t="shared" si="10"/>
        <v>-170.6</v>
      </c>
      <c r="K241">
        <f t="shared" si="11"/>
        <v>-150</v>
      </c>
    </row>
    <row r="242" spans="1:11">
      <c r="A242">
        <v>7.989</v>
      </c>
      <c r="B242">
        <v>-384.7</v>
      </c>
      <c r="C242">
        <v>127.9</v>
      </c>
      <c r="E242">
        <v>7.956</v>
      </c>
      <c r="F242">
        <v>-379.5</v>
      </c>
      <c r="G242">
        <v>129.1</v>
      </c>
      <c r="I242">
        <f t="shared" si="9"/>
        <v>7.95</v>
      </c>
      <c r="J242">
        <f t="shared" si="10"/>
        <v>-176.5</v>
      </c>
      <c r="K242">
        <f t="shared" si="11"/>
        <v>-150</v>
      </c>
    </row>
    <row r="243" spans="1:11">
      <c r="A243">
        <v>8.023</v>
      </c>
      <c r="B243">
        <v>-387.6</v>
      </c>
      <c r="C243">
        <v>125.7</v>
      </c>
      <c r="E243">
        <v>7.989</v>
      </c>
      <c r="F243">
        <v>-384.7</v>
      </c>
      <c r="G243">
        <v>127.9</v>
      </c>
      <c r="I243">
        <f t="shared" si="9"/>
        <v>7.95</v>
      </c>
      <c r="J243">
        <f t="shared" si="10"/>
        <v>-181.7</v>
      </c>
      <c r="K243">
        <f t="shared" si="11"/>
        <v>-150</v>
      </c>
    </row>
    <row r="244" spans="1:11">
      <c r="A244">
        <v>8.056</v>
      </c>
      <c r="B244">
        <v>-389.6</v>
      </c>
      <c r="C244">
        <v>122.9</v>
      </c>
      <c r="E244">
        <v>8.023</v>
      </c>
      <c r="F244">
        <v>-387.6</v>
      </c>
      <c r="G244">
        <v>125.7</v>
      </c>
      <c r="I244">
        <f t="shared" si="9"/>
        <v>8</v>
      </c>
      <c r="J244">
        <f t="shared" si="10"/>
        <v>-184.6</v>
      </c>
      <c r="K244">
        <f t="shared" si="11"/>
        <v>-150</v>
      </c>
    </row>
    <row r="245" spans="1:11">
      <c r="A245">
        <v>8.09</v>
      </c>
      <c r="B245">
        <v>-390.4</v>
      </c>
      <c r="C245">
        <v>120.6</v>
      </c>
      <c r="E245">
        <v>8.056</v>
      </c>
      <c r="F245">
        <v>-389.6</v>
      </c>
      <c r="G245">
        <v>122.9</v>
      </c>
      <c r="I245">
        <f t="shared" si="9"/>
        <v>8.05</v>
      </c>
      <c r="J245">
        <f t="shared" si="10"/>
        <v>-186.6</v>
      </c>
      <c r="K245">
        <f t="shared" si="11"/>
        <v>-150</v>
      </c>
    </row>
    <row r="246" spans="1:11">
      <c r="A246">
        <v>8.123</v>
      </c>
      <c r="B246">
        <v>-389.8</v>
      </c>
      <c r="C246">
        <v>118.3</v>
      </c>
      <c r="E246">
        <v>8.09</v>
      </c>
      <c r="F246">
        <v>-390.4</v>
      </c>
      <c r="G246">
        <v>120.6</v>
      </c>
      <c r="I246">
        <f t="shared" si="9"/>
        <v>8.05</v>
      </c>
      <c r="J246">
        <f t="shared" si="10"/>
        <v>-187.4</v>
      </c>
      <c r="K246">
        <f t="shared" si="11"/>
        <v>-150</v>
      </c>
    </row>
    <row r="247" spans="1:11">
      <c r="A247">
        <v>8.156</v>
      </c>
      <c r="B247">
        <v>-387.3</v>
      </c>
      <c r="C247" s="2">
        <v>115.7</v>
      </c>
      <c r="D247" s="2"/>
      <c r="E247">
        <v>8.123</v>
      </c>
      <c r="F247">
        <v>-389.8</v>
      </c>
      <c r="G247">
        <v>118.3</v>
      </c>
      <c r="I247">
        <f t="shared" si="9"/>
        <v>8.1</v>
      </c>
      <c r="J247">
        <f t="shared" si="10"/>
        <v>-186.8</v>
      </c>
      <c r="K247">
        <f t="shared" si="11"/>
        <v>-150</v>
      </c>
    </row>
    <row r="248" spans="1:11">
      <c r="A248">
        <v>8.19</v>
      </c>
      <c r="B248">
        <v>-383.3</v>
      </c>
      <c r="C248" s="2">
        <v>112.9</v>
      </c>
      <c r="D248" s="2"/>
      <c r="E248">
        <v>8.156</v>
      </c>
      <c r="F248">
        <v>-387.3</v>
      </c>
      <c r="G248" s="2">
        <v>115.7</v>
      </c>
      <c r="I248">
        <f t="shared" si="9"/>
        <v>8.15</v>
      </c>
      <c r="J248">
        <f t="shared" si="10"/>
        <v>-184.3</v>
      </c>
      <c r="K248">
        <f t="shared" si="11"/>
        <v>-150</v>
      </c>
    </row>
    <row r="249" spans="1:11">
      <c r="A249">
        <v>8.223</v>
      </c>
      <c r="B249">
        <v>-377.6</v>
      </c>
      <c r="C249" s="2">
        <v>111.3</v>
      </c>
      <c r="D249" s="2"/>
      <c r="E249">
        <v>8.19</v>
      </c>
      <c r="F249">
        <v>-383.3</v>
      </c>
      <c r="G249" s="2">
        <v>112.9</v>
      </c>
      <c r="I249">
        <f t="shared" si="9"/>
        <v>8.15</v>
      </c>
      <c r="J249">
        <f t="shared" si="10"/>
        <v>-180.3</v>
      </c>
      <c r="K249">
        <f t="shared" si="11"/>
        <v>-150</v>
      </c>
    </row>
    <row r="250" spans="1:11">
      <c r="A250">
        <v>8.257</v>
      </c>
      <c r="B250">
        <v>-372.8</v>
      </c>
      <c r="C250" s="2">
        <v>107.2</v>
      </c>
      <c r="D250" s="2"/>
      <c r="E250">
        <v>8.223</v>
      </c>
      <c r="F250">
        <v>-377.6</v>
      </c>
      <c r="G250" s="2">
        <v>111.3</v>
      </c>
      <c r="I250">
        <f t="shared" si="9"/>
        <v>8.2</v>
      </c>
      <c r="J250">
        <f t="shared" si="10"/>
        <v>-174.6</v>
      </c>
      <c r="K250">
        <f t="shared" si="11"/>
        <v>-150</v>
      </c>
    </row>
    <row r="251" spans="1:11">
      <c r="A251">
        <v>8.29</v>
      </c>
      <c r="B251">
        <v>-363.1</v>
      </c>
      <c r="C251" s="2">
        <v>104</v>
      </c>
      <c r="D251" s="2"/>
      <c r="E251">
        <v>8.257</v>
      </c>
      <c r="F251">
        <v>-372.8</v>
      </c>
      <c r="G251" s="2">
        <v>107.2</v>
      </c>
      <c r="I251">
        <f t="shared" si="9"/>
        <v>8.25</v>
      </c>
      <c r="J251">
        <f t="shared" si="10"/>
        <v>-169.8</v>
      </c>
      <c r="K251">
        <f t="shared" si="11"/>
        <v>-150</v>
      </c>
    </row>
    <row r="252" spans="1:11">
      <c r="A252">
        <v>8.324</v>
      </c>
      <c r="B252">
        <v>-355</v>
      </c>
      <c r="C252" s="2">
        <v>127</v>
      </c>
      <c r="D252" s="2"/>
      <c r="E252">
        <v>8.29</v>
      </c>
      <c r="F252">
        <v>-363.1</v>
      </c>
      <c r="G252" s="2">
        <v>104</v>
      </c>
      <c r="I252">
        <f t="shared" si="9"/>
        <v>8.25</v>
      </c>
      <c r="J252">
        <f t="shared" si="10"/>
        <v>-160.1</v>
      </c>
      <c r="K252">
        <f t="shared" si="11"/>
        <v>-150</v>
      </c>
    </row>
    <row r="253" spans="1:11">
      <c r="A253">
        <v>8.357</v>
      </c>
      <c r="B253">
        <v>-346.2</v>
      </c>
      <c r="C253" s="2">
        <v>238.5</v>
      </c>
      <c r="D253" s="2"/>
      <c r="E253">
        <v>8.324</v>
      </c>
      <c r="F253">
        <v>-355</v>
      </c>
      <c r="G253" s="2">
        <v>127</v>
      </c>
      <c r="I253">
        <f t="shared" si="9"/>
        <v>8.3</v>
      </c>
      <c r="J253">
        <f t="shared" si="10"/>
        <v>-152</v>
      </c>
      <c r="K253">
        <f t="shared" si="11"/>
        <v>-150</v>
      </c>
    </row>
    <row r="254" spans="1:11">
      <c r="A254">
        <v>8.39</v>
      </c>
      <c r="B254">
        <v>-339.9</v>
      </c>
      <c r="C254" s="2">
        <v>238.5</v>
      </c>
      <c r="D254" s="2"/>
      <c r="E254">
        <v>8.357</v>
      </c>
      <c r="F254">
        <v>-346.2</v>
      </c>
      <c r="G254" s="2">
        <v>238.5</v>
      </c>
      <c r="I254">
        <f t="shared" si="9"/>
        <v>8.35</v>
      </c>
      <c r="J254">
        <f t="shared" si="10"/>
        <v>-143.2</v>
      </c>
      <c r="K254">
        <f t="shared" si="11"/>
        <v>100</v>
      </c>
    </row>
    <row r="255" spans="1:11">
      <c r="A255">
        <v>8.424</v>
      </c>
      <c r="B255">
        <v>-326.2</v>
      </c>
      <c r="C255" s="2">
        <v>238.5</v>
      </c>
      <c r="D255" s="2"/>
      <c r="E255">
        <v>8.39</v>
      </c>
      <c r="F255">
        <v>-339.9</v>
      </c>
      <c r="G255" s="2">
        <v>238.5</v>
      </c>
      <c r="I255">
        <f t="shared" si="9"/>
        <v>8.35</v>
      </c>
      <c r="J255">
        <f t="shared" si="10"/>
        <v>-136.9</v>
      </c>
      <c r="K255">
        <f t="shared" si="11"/>
        <v>100</v>
      </c>
    </row>
    <row r="256" spans="1:11">
      <c r="A256">
        <v>8.457</v>
      </c>
      <c r="B256">
        <v>-314.3</v>
      </c>
      <c r="C256" s="2">
        <v>238.5</v>
      </c>
      <c r="D256" s="2"/>
      <c r="E256">
        <v>8.424</v>
      </c>
      <c r="F256">
        <v>-326.2</v>
      </c>
      <c r="G256" s="2">
        <v>238.5</v>
      </c>
      <c r="I256">
        <f t="shared" si="9"/>
        <v>8.4</v>
      </c>
      <c r="J256">
        <f t="shared" si="10"/>
        <v>-123.2</v>
      </c>
      <c r="K256">
        <f t="shared" si="11"/>
        <v>100</v>
      </c>
    </row>
    <row r="257" spans="1:11">
      <c r="A257">
        <v>8.491</v>
      </c>
      <c r="B257">
        <v>-302.3</v>
      </c>
      <c r="C257" s="2">
        <v>238.5</v>
      </c>
      <c r="D257" s="2"/>
      <c r="E257">
        <v>8.457</v>
      </c>
      <c r="F257">
        <v>-314.3</v>
      </c>
      <c r="G257" s="2">
        <v>238.5</v>
      </c>
      <c r="I257">
        <f t="shared" si="9"/>
        <v>8.45</v>
      </c>
      <c r="J257">
        <f t="shared" si="10"/>
        <v>-111.3</v>
      </c>
      <c r="K257">
        <f t="shared" si="11"/>
        <v>100</v>
      </c>
    </row>
    <row r="258" spans="1:11">
      <c r="A258">
        <v>8.524</v>
      </c>
      <c r="B258">
        <v>-289</v>
      </c>
      <c r="C258" s="2">
        <v>238.5</v>
      </c>
      <c r="D258" s="2"/>
      <c r="E258">
        <v>8.491</v>
      </c>
      <c r="F258">
        <v>-302.3</v>
      </c>
      <c r="G258" s="2">
        <v>238.5</v>
      </c>
      <c r="I258">
        <f t="shared" si="9"/>
        <v>8.45</v>
      </c>
      <c r="J258">
        <f t="shared" si="10"/>
        <v>-99.3</v>
      </c>
      <c r="K258">
        <f t="shared" si="11"/>
        <v>100</v>
      </c>
    </row>
    <row r="259" spans="1:11">
      <c r="A259">
        <v>8.558</v>
      </c>
      <c r="B259">
        <v>-275.2</v>
      </c>
      <c r="C259" s="2">
        <v>238.5</v>
      </c>
      <c r="D259" s="2"/>
      <c r="E259">
        <v>8.524</v>
      </c>
      <c r="F259">
        <v>-289</v>
      </c>
      <c r="G259" s="2">
        <v>238.5</v>
      </c>
      <c r="I259">
        <f t="shared" si="9"/>
        <v>8.5</v>
      </c>
      <c r="J259">
        <f t="shared" si="10"/>
        <v>-86</v>
      </c>
      <c r="K259">
        <f t="shared" si="11"/>
        <v>100</v>
      </c>
    </row>
    <row r="260" spans="1:11">
      <c r="A260">
        <v>8.591</v>
      </c>
      <c r="B260">
        <v>-261.4</v>
      </c>
      <c r="C260" s="2">
        <v>238.5</v>
      </c>
      <c r="D260" s="2"/>
      <c r="E260">
        <v>8.558</v>
      </c>
      <c r="F260">
        <v>-275.2</v>
      </c>
      <c r="G260" s="2">
        <v>238.5</v>
      </c>
      <c r="I260">
        <f t="shared" ref="I260:I323" si="12">FLOOR(E260,0.05)</f>
        <v>8.55</v>
      </c>
      <c r="J260">
        <f t="shared" ref="J260:J323" si="13">F260+203</f>
        <v>-72.2</v>
      </c>
      <c r="K260">
        <f t="shared" si="11"/>
        <v>100</v>
      </c>
    </row>
    <row r="261" spans="1:11">
      <c r="A261">
        <v>8.624</v>
      </c>
      <c r="B261">
        <v>-248.4</v>
      </c>
      <c r="C261" s="2">
        <v>238.5</v>
      </c>
      <c r="D261" s="2"/>
      <c r="E261">
        <v>8.591</v>
      </c>
      <c r="F261">
        <v>-261.4</v>
      </c>
      <c r="G261" s="2">
        <v>238.5</v>
      </c>
      <c r="I261">
        <f t="shared" si="12"/>
        <v>8.55</v>
      </c>
      <c r="J261">
        <f t="shared" si="13"/>
        <v>-58.4</v>
      </c>
      <c r="K261">
        <f t="shared" ref="K261:K324" si="14">IF(G261&lt;230,-150,100)</f>
        <v>100</v>
      </c>
    </row>
    <row r="262" spans="1:11">
      <c r="A262">
        <v>8.658</v>
      </c>
      <c r="B262">
        <v>-235.9</v>
      </c>
      <c r="C262" s="2">
        <v>238.5</v>
      </c>
      <c r="D262" s="2"/>
      <c r="E262">
        <v>8.624</v>
      </c>
      <c r="F262">
        <v>-248.4</v>
      </c>
      <c r="G262" s="2">
        <v>238.5</v>
      </c>
      <c r="I262">
        <f t="shared" si="12"/>
        <v>8.6</v>
      </c>
      <c r="J262">
        <f t="shared" si="13"/>
        <v>-45.4</v>
      </c>
      <c r="K262">
        <f t="shared" si="14"/>
        <v>100</v>
      </c>
    </row>
    <row r="263" spans="1:11">
      <c r="A263">
        <v>8.691</v>
      </c>
      <c r="B263">
        <v>-223.6</v>
      </c>
      <c r="C263" s="2">
        <v>238.5</v>
      </c>
      <c r="D263" s="2"/>
      <c r="E263">
        <v>8.658</v>
      </c>
      <c r="F263">
        <v>-235.9</v>
      </c>
      <c r="G263" s="2">
        <v>238.5</v>
      </c>
      <c r="I263">
        <f t="shared" si="12"/>
        <v>8.65</v>
      </c>
      <c r="J263">
        <f t="shared" si="13"/>
        <v>-32.9</v>
      </c>
      <c r="K263">
        <f t="shared" si="14"/>
        <v>100</v>
      </c>
    </row>
    <row r="264" spans="1:11">
      <c r="A264">
        <v>8.725</v>
      </c>
      <c r="B264">
        <v>-211.5</v>
      </c>
      <c r="C264" s="2">
        <v>238.5</v>
      </c>
      <c r="D264" s="2"/>
      <c r="E264">
        <v>8.691</v>
      </c>
      <c r="F264">
        <v>-223.6</v>
      </c>
      <c r="G264" s="2">
        <v>238.5</v>
      </c>
      <c r="I264">
        <f t="shared" si="12"/>
        <v>8.65</v>
      </c>
      <c r="J264">
        <f t="shared" si="13"/>
        <v>-20.6</v>
      </c>
      <c r="K264">
        <f t="shared" si="14"/>
        <v>100</v>
      </c>
    </row>
    <row r="265" spans="1:11">
      <c r="A265">
        <v>8.758</v>
      </c>
      <c r="B265">
        <v>-199.4</v>
      </c>
      <c r="C265" s="2">
        <v>238.5</v>
      </c>
      <c r="D265" s="2"/>
      <c r="E265">
        <v>8.725</v>
      </c>
      <c r="F265">
        <v>-211.5</v>
      </c>
      <c r="G265" s="2">
        <v>238.5</v>
      </c>
      <c r="I265">
        <f t="shared" si="12"/>
        <v>8.7</v>
      </c>
      <c r="J265">
        <f t="shared" si="13"/>
        <v>-8.5</v>
      </c>
      <c r="K265">
        <f t="shared" si="14"/>
        <v>100</v>
      </c>
    </row>
    <row r="266" spans="1:11">
      <c r="A266">
        <v>8.792</v>
      </c>
      <c r="B266">
        <v>-187.8</v>
      </c>
      <c r="C266" s="2">
        <v>238.5</v>
      </c>
      <c r="D266" s="2"/>
      <c r="E266">
        <v>8.758</v>
      </c>
      <c r="F266">
        <v>-199.4</v>
      </c>
      <c r="G266" s="2">
        <v>238.5</v>
      </c>
      <c r="I266">
        <f t="shared" si="12"/>
        <v>8.75</v>
      </c>
      <c r="J266">
        <f t="shared" si="13"/>
        <v>3.59999999999999</v>
      </c>
      <c r="K266">
        <f t="shared" si="14"/>
        <v>100</v>
      </c>
    </row>
    <row r="267" spans="1:11">
      <c r="A267">
        <v>8.825</v>
      </c>
      <c r="B267">
        <v>-176.7</v>
      </c>
      <c r="C267" s="2">
        <v>238.5</v>
      </c>
      <c r="D267" s="2"/>
      <c r="E267">
        <v>8.792</v>
      </c>
      <c r="F267">
        <v>-187.8</v>
      </c>
      <c r="G267" s="2">
        <v>238.5</v>
      </c>
      <c r="I267">
        <f t="shared" si="12"/>
        <v>8.75</v>
      </c>
      <c r="J267">
        <f t="shared" si="13"/>
        <v>15.2</v>
      </c>
      <c r="K267">
        <f t="shared" si="14"/>
        <v>100</v>
      </c>
    </row>
    <row r="268" spans="1:11">
      <c r="A268">
        <v>8.858</v>
      </c>
      <c r="B268">
        <v>-168.1</v>
      </c>
      <c r="C268">
        <v>238.5</v>
      </c>
      <c r="E268">
        <v>8.825</v>
      </c>
      <c r="F268">
        <v>-176.7</v>
      </c>
      <c r="G268" s="2">
        <v>238.5</v>
      </c>
      <c r="I268">
        <f t="shared" si="12"/>
        <v>8.8</v>
      </c>
      <c r="J268">
        <f t="shared" si="13"/>
        <v>26.3</v>
      </c>
      <c r="K268">
        <f t="shared" si="14"/>
        <v>100</v>
      </c>
    </row>
    <row r="269" spans="1:11">
      <c r="A269">
        <v>8.892</v>
      </c>
      <c r="B269">
        <v>-158.3</v>
      </c>
      <c r="C269">
        <v>238.5</v>
      </c>
      <c r="E269">
        <v>8.858</v>
      </c>
      <c r="F269">
        <v>-168.1</v>
      </c>
      <c r="G269">
        <v>238.5</v>
      </c>
      <c r="I269">
        <f t="shared" si="12"/>
        <v>8.85</v>
      </c>
      <c r="J269">
        <f t="shared" si="13"/>
        <v>34.9</v>
      </c>
      <c r="K269">
        <f t="shared" si="14"/>
        <v>100</v>
      </c>
    </row>
    <row r="270" spans="1:11">
      <c r="A270">
        <v>8.925</v>
      </c>
      <c r="B270">
        <v>-151.1</v>
      </c>
      <c r="C270">
        <v>238.5</v>
      </c>
      <c r="E270">
        <v>8.892</v>
      </c>
      <c r="F270">
        <v>-158.3</v>
      </c>
      <c r="G270">
        <v>238.5</v>
      </c>
      <c r="I270">
        <f t="shared" si="12"/>
        <v>8.85</v>
      </c>
      <c r="J270">
        <f t="shared" si="13"/>
        <v>44.7</v>
      </c>
      <c r="K270">
        <f t="shared" si="14"/>
        <v>100</v>
      </c>
    </row>
    <row r="271" spans="1:11">
      <c r="A271">
        <v>8.959</v>
      </c>
      <c r="B271">
        <v>-145.1</v>
      </c>
      <c r="C271">
        <v>238.5</v>
      </c>
      <c r="E271">
        <v>8.925</v>
      </c>
      <c r="F271">
        <v>-151.1</v>
      </c>
      <c r="G271">
        <v>238.5</v>
      </c>
      <c r="I271">
        <f t="shared" si="12"/>
        <v>8.9</v>
      </c>
      <c r="J271">
        <f t="shared" si="13"/>
        <v>51.9</v>
      </c>
      <c r="K271">
        <f t="shared" si="14"/>
        <v>100</v>
      </c>
    </row>
    <row r="272" spans="1:11">
      <c r="A272">
        <v>8.992</v>
      </c>
      <c r="B272">
        <v>-140</v>
      </c>
      <c r="C272">
        <v>238.5</v>
      </c>
      <c r="E272">
        <v>8.959</v>
      </c>
      <c r="F272">
        <v>-145.1</v>
      </c>
      <c r="G272">
        <v>238.5</v>
      </c>
      <c r="I272">
        <f t="shared" si="12"/>
        <v>8.95</v>
      </c>
      <c r="J272">
        <f t="shared" si="13"/>
        <v>57.9</v>
      </c>
      <c r="K272">
        <f t="shared" si="14"/>
        <v>100</v>
      </c>
    </row>
    <row r="273" spans="1:11">
      <c r="A273">
        <v>9.026</v>
      </c>
      <c r="B273">
        <v>-135.5</v>
      </c>
      <c r="C273">
        <v>238.4</v>
      </c>
      <c r="E273">
        <v>8.992</v>
      </c>
      <c r="F273">
        <v>-140</v>
      </c>
      <c r="G273">
        <v>238.5</v>
      </c>
      <c r="I273">
        <f t="shared" si="12"/>
        <v>8.95</v>
      </c>
      <c r="J273">
        <f t="shared" si="13"/>
        <v>63</v>
      </c>
      <c r="K273">
        <f t="shared" si="14"/>
        <v>100</v>
      </c>
    </row>
    <row r="274" spans="1:11">
      <c r="A274">
        <v>9.059</v>
      </c>
      <c r="B274">
        <v>-132.9</v>
      </c>
      <c r="C274">
        <v>238.4</v>
      </c>
      <c r="E274">
        <v>9.026</v>
      </c>
      <c r="F274">
        <v>-135.5</v>
      </c>
      <c r="G274">
        <v>238.4</v>
      </c>
      <c r="I274">
        <f t="shared" si="12"/>
        <v>9</v>
      </c>
      <c r="J274">
        <f t="shared" si="13"/>
        <v>67.5</v>
      </c>
      <c r="K274">
        <f t="shared" si="14"/>
        <v>100</v>
      </c>
    </row>
    <row r="275" spans="1:11">
      <c r="A275">
        <v>9.092</v>
      </c>
      <c r="B275">
        <v>-131.8</v>
      </c>
      <c r="C275">
        <v>237.8</v>
      </c>
      <c r="E275">
        <v>9.059</v>
      </c>
      <c r="F275">
        <v>-132.9</v>
      </c>
      <c r="G275">
        <v>238.4</v>
      </c>
      <c r="I275">
        <f t="shared" si="12"/>
        <v>9.05</v>
      </c>
      <c r="J275">
        <f t="shared" si="13"/>
        <v>70.1</v>
      </c>
      <c r="K275">
        <f t="shared" si="14"/>
        <v>100</v>
      </c>
    </row>
    <row r="276" spans="1:11">
      <c r="A276">
        <v>9.126</v>
      </c>
      <c r="B276">
        <v>-131.9</v>
      </c>
      <c r="C276">
        <v>141.1</v>
      </c>
      <c r="E276">
        <v>9.092</v>
      </c>
      <c r="F276">
        <v>-131.8</v>
      </c>
      <c r="G276">
        <v>237.8</v>
      </c>
      <c r="I276">
        <f t="shared" si="12"/>
        <v>9.05</v>
      </c>
      <c r="J276">
        <f t="shared" si="13"/>
        <v>71.2</v>
      </c>
      <c r="K276">
        <f t="shared" si="14"/>
        <v>100</v>
      </c>
    </row>
    <row r="277" spans="1:11">
      <c r="A277">
        <v>9.159</v>
      </c>
      <c r="B277">
        <v>-132.4</v>
      </c>
      <c r="C277">
        <v>156.8</v>
      </c>
      <c r="E277">
        <v>9.126</v>
      </c>
      <c r="F277">
        <v>-131.9</v>
      </c>
      <c r="G277">
        <v>141.1</v>
      </c>
      <c r="I277">
        <f t="shared" si="12"/>
        <v>9.1</v>
      </c>
      <c r="J277">
        <f t="shared" si="13"/>
        <v>71.1</v>
      </c>
      <c r="K277">
        <f t="shared" si="14"/>
        <v>-150</v>
      </c>
    </row>
    <row r="278" spans="1:11">
      <c r="A278">
        <v>9.193</v>
      </c>
      <c r="B278">
        <v>-134.7</v>
      </c>
      <c r="C278">
        <v>155.1</v>
      </c>
      <c r="E278">
        <v>9.159</v>
      </c>
      <c r="F278">
        <v>-132.4</v>
      </c>
      <c r="G278">
        <v>156.8</v>
      </c>
      <c r="I278">
        <f t="shared" si="12"/>
        <v>9.15</v>
      </c>
      <c r="J278">
        <f t="shared" si="13"/>
        <v>70.6</v>
      </c>
      <c r="K278">
        <f t="shared" si="14"/>
        <v>-150</v>
      </c>
    </row>
    <row r="279" spans="1:11">
      <c r="A279">
        <v>9.226</v>
      </c>
      <c r="B279">
        <v>-138.9</v>
      </c>
      <c r="C279">
        <v>152.9</v>
      </c>
      <c r="E279">
        <v>9.193</v>
      </c>
      <c r="F279">
        <v>-134.7</v>
      </c>
      <c r="G279">
        <v>155.1</v>
      </c>
      <c r="I279">
        <f t="shared" si="12"/>
        <v>9.15</v>
      </c>
      <c r="J279">
        <f t="shared" si="13"/>
        <v>68.3</v>
      </c>
      <c r="K279">
        <f t="shared" si="14"/>
        <v>-150</v>
      </c>
    </row>
    <row r="280" spans="1:11">
      <c r="A280">
        <v>9.26</v>
      </c>
      <c r="B280">
        <v>-143.7</v>
      </c>
      <c r="C280">
        <v>151.1</v>
      </c>
      <c r="E280">
        <v>9.226</v>
      </c>
      <c r="F280">
        <v>-138.9</v>
      </c>
      <c r="G280">
        <v>152.9</v>
      </c>
      <c r="I280">
        <f t="shared" si="12"/>
        <v>9.2</v>
      </c>
      <c r="J280">
        <f t="shared" si="13"/>
        <v>64.1</v>
      </c>
      <c r="K280">
        <f t="shared" si="14"/>
        <v>-150</v>
      </c>
    </row>
    <row r="281" spans="1:11">
      <c r="A281">
        <v>9.293</v>
      </c>
      <c r="B281">
        <v>-149.9</v>
      </c>
      <c r="C281">
        <v>150.4</v>
      </c>
      <c r="E281">
        <v>9.26</v>
      </c>
      <c r="F281">
        <v>-143.7</v>
      </c>
      <c r="G281">
        <v>151.1</v>
      </c>
      <c r="I281">
        <f t="shared" si="12"/>
        <v>9.25</v>
      </c>
      <c r="J281">
        <f t="shared" si="13"/>
        <v>59.3</v>
      </c>
      <c r="K281">
        <f t="shared" si="14"/>
        <v>-150</v>
      </c>
    </row>
    <row r="282" spans="1:11">
      <c r="A282">
        <v>9.326</v>
      </c>
      <c r="B282">
        <v>-156.8</v>
      </c>
      <c r="C282">
        <v>148.1</v>
      </c>
      <c r="E282">
        <v>9.293</v>
      </c>
      <c r="F282">
        <v>-149.9</v>
      </c>
      <c r="G282">
        <v>150.4</v>
      </c>
      <c r="I282">
        <f t="shared" si="12"/>
        <v>9.25</v>
      </c>
      <c r="J282">
        <f t="shared" si="13"/>
        <v>53.1</v>
      </c>
      <c r="K282">
        <f t="shared" si="14"/>
        <v>-150</v>
      </c>
    </row>
    <row r="283" spans="1:11">
      <c r="A283">
        <v>9.36</v>
      </c>
      <c r="B283">
        <v>-165.2</v>
      </c>
      <c r="C283">
        <v>146.7</v>
      </c>
      <c r="E283">
        <v>9.326</v>
      </c>
      <c r="F283">
        <v>-156.8</v>
      </c>
      <c r="G283">
        <v>148.1</v>
      </c>
      <c r="I283">
        <f t="shared" si="12"/>
        <v>9.3</v>
      </c>
      <c r="J283">
        <f t="shared" si="13"/>
        <v>46.2</v>
      </c>
      <c r="K283">
        <f t="shared" si="14"/>
        <v>-150</v>
      </c>
    </row>
    <row r="284" spans="1:11">
      <c r="A284">
        <v>9.393</v>
      </c>
      <c r="B284">
        <v>-175</v>
      </c>
      <c r="C284">
        <v>143.8</v>
      </c>
      <c r="E284">
        <v>9.36</v>
      </c>
      <c r="F284">
        <v>-165.2</v>
      </c>
      <c r="G284">
        <v>146.7</v>
      </c>
      <c r="I284">
        <f t="shared" si="12"/>
        <v>9.35</v>
      </c>
      <c r="J284">
        <f t="shared" si="13"/>
        <v>37.8</v>
      </c>
      <c r="K284">
        <f t="shared" si="14"/>
        <v>-150</v>
      </c>
    </row>
    <row r="285" spans="1:11">
      <c r="A285">
        <v>9.427</v>
      </c>
      <c r="B285">
        <v>-184.7</v>
      </c>
      <c r="C285">
        <v>142.2</v>
      </c>
      <c r="E285">
        <v>9.393</v>
      </c>
      <c r="F285">
        <v>-175</v>
      </c>
      <c r="G285">
        <v>143.8</v>
      </c>
      <c r="I285">
        <f t="shared" si="12"/>
        <v>9.35</v>
      </c>
      <c r="J285">
        <f t="shared" si="13"/>
        <v>28</v>
      </c>
      <c r="K285">
        <f t="shared" si="14"/>
        <v>-150</v>
      </c>
    </row>
    <row r="286" spans="1:11">
      <c r="A286">
        <v>9.46</v>
      </c>
      <c r="B286">
        <v>-196.2</v>
      </c>
      <c r="C286">
        <v>140</v>
      </c>
      <c r="E286">
        <v>9.427</v>
      </c>
      <c r="F286">
        <v>-184.7</v>
      </c>
      <c r="G286">
        <v>142.2</v>
      </c>
      <c r="I286">
        <f t="shared" si="12"/>
        <v>9.4</v>
      </c>
      <c r="J286">
        <f t="shared" si="13"/>
        <v>18.3</v>
      </c>
      <c r="K286">
        <f t="shared" si="14"/>
        <v>-150</v>
      </c>
    </row>
    <row r="287" spans="1:11">
      <c r="A287">
        <v>9.494</v>
      </c>
      <c r="B287">
        <v>-206.9</v>
      </c>
      <c r="C287">
        <v>139.3</v>
      </c>
      <c r="E287">
        <v>9.46</v>
      </c>
      <c r="F287">
        <v>-196.2</v>
      </c>
      <c r="G287">
        <v>140</v>
      </c>
      <c r="I287">
        <f t="shared" si="12"/>
        <v>9.45</v>
      </c>
      <c r="J287">
        <f t="shared" si="13"/>
        <v>6.80000000000001</v>
      </c>
      <c r="K287">
        <f t="shared" si="14"/>
        <v>-150</v>
      </c>
    </row>
    <row r="288" spans="1:11">
      <c r="A288">
        <v>9.527</v>
      </c>
      <c r="B288">
        <v>-219.2</v>
      </c>
      <c r="C288">
        <v>136</v>
      </c>
      <c r="E288">
        <v>9.494</v>
      </c>
      <c r="F288">
        <v>-206.9</v>
      </c>
      <c r="G288">
        <v>139.3</v>
      </c>
      <c r="I288">
        <f t="shared" si="12"/>
        <v>9.45</v>
      </c>
      <c r="J288">
        <f t="shared" si="13"/>
        <v>-3.90000000000001</v>
      </c>
      <c r="K288">
        <f t="shared" si="14"/>
        <v>-150</v>
      </c>
    </row>
    <row r="289" spans="1:11">
      <c r="A289">
        <v>9.56</v>
      </c>
      <c r="B289">
        <v>-230.2</v>
      </c>
      <c r="C289">
        <v>133.5</v>
      </c>
      <c r="E289">
        <v>9.527</v>
      </c>
      <c r="F289">
        <v>-219.2</v>
      </c>
      <c r="G289">
        <v>136</v>
      </c>
      <c r="I289">
        <f t="shared" si="12"/>
        <v>9.5</v>
      </c>
      <c r="J289">
        <f t="shared" si="13"/>
        <v>-16.2</v>
      </c>
      <c r="K289">
        <f t="shared" si="14"/>
        <v>-150</v>
      </c>
    </row>
    <row r="290" spans="1:11">
      <c r="A290">
        <v>9.594</v>
      </c>
      <c r="B290">
        <v>-242.3</v>
      </c>
      <c r="C290">
        <v>131.3</v>
      </c>
      <c r="E290">
        <v>9.56</v>
      </c>
      <c r="F290">
        <v>-230.2</v>
      </c>
      <c r="G290">
        <v>133.5</v>
      </c>
      <c r="I290">
        <f t="shared" si="12"/>
        <v>9.55</v>
      </c>
      <c r="J290">
        <f t="shared" si="13"/>
        <v>-27.2</v>
      </c>
      <c r="K290">
        <f t="shared" si="14"/>
        <v>-150</v>
      </c>
    </row>
    <row r="291" spans="1:11">
      <c r="A291">
        <v>9.627</v>
      </c>
      <c r="B291">
        <v>-254.1</v>
      </c>
      <c r="C291">
        <v>130.3</v>
      </c>
      <c r="E291">
        <v>9.594</v>
      </c>
      <c r="F291">
        <v>-242.3</v>
      </c>
      <c r="G291">
        <v>131.3</v>
      </c>
      <c r="I291">
        <f t="shared" si="12"/>
        <v>9.55</v>
      </c>
      <c r="J291">
        <f t="shared" si="13"/>
        <v>-39.3</v>
      </c>
      <c r="K291">
        <f t="shared" si="14"/>
        <v>-150</v>
      </c>
    </row>
    <row r="292" spans="1:11">
      <c r="A292">
        <v>9.661</v>
      </c>
      <c r="B292">
        <v>-267.4</v>
      </c>
      <c r="C292">
        <v>127.7</v>
      </c>
      <c r="E292">
        <v>9.627</v>
      </c>
      <c r="F292">
        <v>-254.1</v>
      </c>
      <c r="G292">
        <v>130.3</v>
      </c>
      <c r="I292">
        <f t="shared" si="12"/>
        <v>9.6</v>
      </c>
      <c r="J292">
        <f t="shared" si="13"/>
        <v>-51.1</v>
      </c>
      <c r="K292">
        <f t="shared" si="14"/>
        <v>-150</v>
      </c>
    </row>
    <row r="293" spans="1:11">
      <c r="A293">
        <v>9.694</v>
      </c>
      <c r="B293">
        <v>-280.3</v>
      </c>
      <c r="C293">
        <v>125.6</v>
      </c>
      <c r="E293">
        <v>9.661</v>
      </c>
      <c r="F293">
        <v>-267.4</v>
      </c>
      <c r="G293">
        <v>127.7</v>
      </c>
      <c r="I293">
        <f t="shared" si="12"/>
        <v>9.65</v>
      </c>
      <c r="J293">
        <f t="shared" si="13"/>
        <v>-64.4</v>
      </c>
      <c r="K293">
        <f t="shared" si="14"/>
        <v>-150</v>
      </c>
    </row>
    <row r="294" spans="1:11">
      <c r="A294">
        <v>9.728</v>
      </c>
      <c r="B294">
        <v>-291.7</v>
      </c>
      <c r="C294">
        <v>123.5</v>
      </c>
      <c r="E294">
        <v>9.694</v>
      </c>
      <c r="F294">
        <v>-280.3</v>
      </c>
      <c r="G294">
        <v>125.6</v>
      </c>
      <c r="I294">
        <f t="shared" si="12"/>
        <v>9.65</v>
      </c>
      <c r="J294">
        <f t="shared" si="13"/>
        <v>-77.3</v>
      </c>
      <c r="K294">
        <f t="shared" si="14"/>
        <v>-150</v>
      </c>
    </row>
    <row r="295" spans="1:11">
      <c r="A295">
        <v>9.761</v>
      </c>
      <c r="B295">
        <v>-303.3</v>
      </c>
      <c r="C295">
        <v>120.5</v>
      </c>
      <c r="E295">
        <v>9.728</v>
      </c>
      <c r="F295">
        <v>-291.7</v>
      </c>
      <c r="G295">
        <v>123.5</v>
      </c>
      <c r="I295">
        <f t="shared" si="12"/>
        <v>9.7</v>
      </c>
      <c r="J295">
        <f t="shared" si="13"/>
        <v>-88.7</v>
      </c>
      <c r="K295">
        <f t="shared" si="14"/>
        <v>-150</v>
      </c>
    </row>
    <row r="296" spans="1:11">
      <c r="A296">
        <v>9.794</v>
      </c>
      <c r="B296">
        <v>-313.6</v>
      </c>
      <c r="C296">
        <v>119</v>
      </c>
      <c r="E296">
        <v>9.761</v>
      </c>
      <c r="F296">
        <v>-303.3</v>
      </c>
      <c r="G296">
        <v>120.5</v>
      </c>
      <c r="I296">
        <f t="shared" si="12"/>
        <v>9.75</v>
      </c>
      <c r="J296">
        <f t="shared" si="13"/>
        <v>-100.3</v>
      </c>
      <c r="K296">
        <f t="shared" si="14"/>
        <v>-150</v>
      </c>
    </row>
    <row r="297" spans="1:11">
      <c r="A297">
        <v>9.828</v>
      </c>
      <c r="B297">
        <v>-324</v>
      </c>
      <c r="C297">
        <v>171.6</v>
      </c>
      <c r="E297">
        <v>9.794</v>
      </c>
      <c r="F297">
        <v>-313.6</v>
      </c>
      <c r="G297">
        <v>119</v>
      </c>
      <c r="I297">
        <f t="shared" si="12"/>
        <v>9.75</v>
      </c>
      <c r="J297">
        <f t="shared" si="13"/>
        <v>-110.6</v>
      </c>
      <c r="K297">
        <f t="shared" si="14"/>
        <v>-150</v>
      </c>
    </row>
    <row r="298" spans="1:11">
      <c r="A298">
        <v>9.861</v>
      </c>
      <c r="B298">
        <v>-333.3</v>
      </c>
      <c r="C298">
        <v>238.2</v>
      </c>
      <c r="E298">
        <v>9.828</v>
      </c>
      <c r="F298">
        <v>-324</v>
      </c>
      <c r="G298">
        <v>171.6</v>
      </c>
      <c r="I298">
        <f t="shared" si="12"/>
        <v>9.8</v>
      </c>
      <c r="J298">
        <f t="shared" si="13"/>
        <v>-121</v>
      </c>
      <c r="K298">
        <f t="shared" si="14"/>
        <v>-150</v>
      </c>
    </row>
    <row r="299" spans="1:11">
      <c r="A299">
        <v>9.895</v>
      </c>
      <c r="B299">
        <v>-342</v>
      </c>
      <c r="C299">
        <v>238.2</v>
      </c>
      <c r="E299">
        <v>9.861</v>
      </c>
      <c r="F299">
        <v>-333.3</v>
      </c>
      <c r="G299">
        <v>238.2</v>
      </c>
      <c r="I299">
        <f t="shared" si="12"/>
        <v>9.85</v>
      </c>
      <c r="J299">
        <f t="shared" si="13"/>
        <v>-130.3</v>
      </c>
      <c r="K299">
        <f t="shared" si="14"/>
        <v>100</v>
      </c>
    </row>
    <row r="300" spans="1:11">
      <c r="A300">
        <v>9.928</v>
      </c>
      <c r="B300">
        <v>-345.1</v>
      </c>
      <c r="C300" s="2">
        <v>238.2</v>
      </c>
      <c r="D300" s="2"/>
      <c r="E300">
        <v>9.895</v>
      </c>
      <c r="F300">
        <v>-342</v>
      </c>
      <c r="G300">
        <v>238.2</v>
      </c>
      <c r="I300">
        <f t="shared" si="12"/>
        <v>9.85</v>
      </c>
      <c r="J300">
        <f t="shared" si="13"/>
        <v>-139</v>
      </c>
      <c r="K300">
        <f t="shared" si="14"/>
        <v>100</v>
      </c>
    </row>
    <row r="301" spans="1:11">
      <c r="A301">
        <v>9.962</v>
      </c>
      <c r="B301">
        <v>-351.9</v>
      </c>
      <c r="C301" s="2">
        <v>238.2</v>
      </c>
      <c r="D301" s="2"/>
      <c r="E301">
        <v>9.928</v>
      </c>
      <c r="F301">
        <v>-345.1</v>
      </c>
      <c r="G301" s="2">
        <v>238.2</v>
      </c>
      <c r="I301">
        <f t="shared" si="12"/>
        <v>9.9</v>
      </c>
      <c r="J301">
        <f t="shared" si="13"/>
        <v>-142.1</v>
      </c>
      <c r="K301">
        <f t="shared" si="14"/>
        <v>100</v>
      </c>
    </row>
    <row r="302" spans="1:11">
      <c r="A302">
        <v>9.995</v>
      </c>
      <c r="B302">
        <v>-356.1</v>
      </c>
      <c r="C302" s="2">
        <v>238.2</v>
      </c>
      <c r="D302" s="2"/>
      <c r="E302">
        <v>9.962</v>
      </c>
      <c r="F302">
        <v>-351.9</v>
      </c>
      <c r="G302" s="2">
        <v>238.2</v>
      </c>
      <c r="I302">
        <f t="shared" si="12"/>
        <v>9.95</v>
      </c>
      <c r="J302">
        <f t="shared" si="13"/>
        <v>-148.9</v>
      </c>
      <c r="K302">
        <f t="shared" si="14"/>
        <v>100</v>
      </c>
    </row>
    <row r="303" spans="1:11">
      <c r="A303">
        <v>10.028</v>
      </c>
      <c r="B303">
        <v>-361</v>
      </c>
      <c r="C303" s="2">
        <v>238.2</v>
      </c>
      <c r="D303" s="2"/>
      <c r="E303">
        <v>9.995</v>
      </c>
      <c r="F303">
        <v>-356.1</v>
      </c>
      <c r="G303" s="2">
        <v>238.2</v>
      </c>
      <c r="I303">
        <f t="shared" si="12"/>
        <v>9.95</v>
      </c>
      <c r="J303">
        <f t="shared" si="13"/>
        <v>-153.1</v>
      </c>
      <c r="K303">
        <f t="shared" si="14"/>
        <v>100</v>
      </c>
    </row>
    <row r="304" spans="1:11">
      <c r="A304">
        <v>10.062</v>
      </c>
      <c r="B304">
        <v>-362.5</v>
      </c>
      <c r="C304" s="2">
        <v>238.2</v>
      </c>
      <c r="D304" s="2"/>
      <c r="E304">
        <v>10.028</v>
      </c>
      <c r="F304">
        <v>-361</v>
      </c>
      <c r="G304" s="2">
        <v>238.2</v>
      </c>
      <c r="I304">
        <f t="shared" si="12"/>
        <v>10</v>
      </c>
      <c r="J304">
        <f t="shared" si="13"/>
        <v>-158</v>
      </c>
      <c r="K304">
        <f t="shared" si="14"/>
        <v>100</v>
      </c>
    </row>
    <row r="305" spans="1:11">
      <c r="A305">
        <v>10.095</v>
      </c>
      <c r="B305">
        <v>-363.4</v>
      </c>
      <c r="C305" s="2">
        <v>238.2</v>
      </c>
      <c r="D305" s="2"/>
      <c r="E305">
        <v>10.062</v>
      </c>
      <c r="F305">
        <v>-362.5</v>
      </c>
      <c r="G305" s="2">
        <v>238.2</v>
      </c>
      <c r="I305">
        <f t="shared" si="12"/>
        <v>10.05</v>
      </c>
      <c r="J305">
        <f t="shared" si="13"/>
        <v>-159.5</v>
      </c>
      <c r="K305">
        <f t="shared" si="14"/>
        <v>100</v>
      </c>
    </row>
    <row r="306" spans="1:11">
      <c r="A306">
        <v>10.129</v>
      </c>
      <c r="B306">
        <v>-363.6</v>
      </c>
      <c r="C306" s="2">
        <v>238.2</v>
      </c>
      <c r="D306" s="2"/>
      <c r="E306">
        <v>10.095</v>
      </c>
      <c r="F306">
        <v>-363.4</v>
      </c>
      <c r="G306" s="2">
        <v>238.2</v>
      </c>
      <c r="I306">
        <f t="shared" si="12"/>
        <v>10.05</v>
      </c>
      <c r="J306">
        <f t="shared" si="13"/>
        <v>-160.4</v>
      </c>
      <c r="K306">
        <f t="shared" si="14"/>
        <v>100</v>
      </c>
    </row>
    <row r="307" spans="1:11">
      <c r="A307">
        <v>10.162</v>
      </c>
      <c r="B307">
        <v>-363.2</v>
      </c>
      <c r="C307" s="2">
        <v>238.2</v>
      </c>
      <c r="D307" s="2"/>
      <c r="E307">
        <v>10.129</v>
      </c>
      <c r="F307">
        <v>-363.6</v>
      </c>
      <c r="G307" s="2">
        <v>238.2</v>
      </c>
      <c r="I307">
        <f t="shared" si="12"/>
        <v>10.1</v>
      </c>
      <c r="J307">
        <f t="shared" si="13"/>
        <v>-160.6</v>
      </c>
      <c r="K307">
        <f t="shared" si="14"/>
        <v>100</v>
      </c>
    </row>
    <row r="308" spans="1:11">
      <c r="A308">
        <v>10.196</v>
      </c>
      <c r="B308">
        <v>-362.3</v>
      </c>
      <c r="C308" s="2">
        <v>238.2</v>
      </c>
      <c r="D308" s="2"/>
      <c r="E308">
        <v>10.162</v>
      </c>
      <c r="F308">
        <v>-363.2</v>
      </c>
      <c r="G308" s="2">
        <v>238.2</v>
      </c>
      <c r="I308">
        <f t="shared" si="12"/>
        <v>10.15</v>
      </c>
      <c r="J308">
        <f t="shared" si="13"/>
        <v>-160.2</v>
      </c>
      <c r="K308">
        <f t="shared" si="14"/>
        <v>100</v>
      </c>
    </row>
    <row r="309" spans="1:11">
      <c r="A309">
        <v>10.229</v>
      </c>
      <c r="B309">
        <v>-361.1</v>
      </c>
      <c r="C309" s="2">
        <v>238.2</v>
      </c>
      <c r="D309" s="2"/>
      <c r="E309">
        <v>10.196</v>
      </c>
      <c r="F309">
        <v>-362.3</v>
      </c>
      <c r="G309" s="2">
        <v>238.2</v>
      </c>
      <c r="I309">
        <f t="shared" si="12"/>
        <v>10.15</v>
      </c>
      <c r="J309">
        <f t="shared" si="13"/>
        <v>-159.3</v>
      </c>
      <c r="K309">
        <f t="shared" si="14"/>
        <v>100</v>
      </c>
    </row>
    <row r="310" spans="1:11">
      <c r="A310">
        <v>10.262</v>
      </c>
      <c r="B310">
        <v>-356.3</v>
      </c>
      <c r="C310" s="2">
        <v>238.2</v>
      </c>
      <c r="D310" s="2"/>
      <c r="E310">
        <v>10.229</v>
      </c>
      <c r="F310">
        <v>-361.1</v>
      </c>
      <c r="G310" s="2">
        <v>238.2</v>
      </c>
      <c r="I310">
        <f t="shared" si="12"/>
        <v>10.2</v>
      </c>
      <c r="J310">
        <f t="shared" si="13"/>
        <v>-158.1</v>
      </c>
      <c r="K310">
        <f t="shared" si="14"/>
        <v>100</v>
      </c>
    </row>
    <row r="311" spans="1:11">
      <c r="A311">
        <v>10.296</v>
      </c>
      <c r="B311">
        <v>-351.6</v>
      </c>
      <c r="C311" s="2">
        <v>238.2</v>
      </c>
      <c r="D311" s="2"/>
      <c r="E311">
        <v>10.262</v>
      </c>
      <c r="F311">
        <v>-356.3</v>
      </c>
      <c r="G311" s="2">
        <v>238.2</v>
      </c>
      <c r="I311">
        <f t="shared" si="12"/>
        <v>10.25</v>
      </c>
      <c r="J311">
        <f t="shared" si="13"/>
        <v>-153.3</v>
      </c>
      <c r="K311">
        <f t="shared" si="14"/>
        <v>100</v>
      </c>
    </row>
    <row r="312" spans="1:11">
      <c r="A312">
        <v>10.329</v>
      </c>
      <c r="B312">
        <v>-344.5</v>
      </c>
      <c r="C312" s="2">
        <v>238.2</v>
      </c>
      <c r="D312" s="2"/>
      <c r="E312">
        <v>10.296</v>
      </c>
      <c r="F312">
        <v>-351.6</v>
      </c>
      <c r="G312" s="2">
        <v>238.2</v>
      </c>
      <c r="I312">
        <f t="shared" si="12"/>
        <v>10.25</v>
      </c>
      <c r="J312">
        <f t="shared" si="13"/>
        <v>-148.6</v>
      </c>
      <c r="K312">
        <f t="shared" si="14"/>
        <v>100</v>
      </c>
    </row>
    <row r="313" spans="1:11">
      <c r="A313">
        <v>10.363</v>
      </c>
      <c r="B313">
        <v>-340.5</v>
      </c>
      <c r="C313" s="2">
        <v>238.2</v>
      </c>
      <c r="D313" s="2"/>
      <c r="E313">
        <v>10.329</v>
      </c>
      <c r="F313">
        <v>-344.5</v>
      </c>
      <c r="G313" s="2">
        <v>238.2</v>
      </c>
      <c r="I313">
        <f t="shared" si="12"/>
        <v>10.3</v>
      </c>
      <c r="J313">
        <f t="shared" si="13"/>
        <v>-141.5</v>
      </c>
      <c r="K313">
        <f t="shared" si="14"/>
        <v>100</v>
      </c>
    </row>
    <row r="314" spans="1:11">
      <c r="A314">
        <v>10.396</v>
      </c>
      <c r="B314">
        <v>-333.6</v>
      </c>
      <c r="C314" s="2">
        <v>238.2</v>
      </c>
      <c r="D314" s="2"/>
      <c r="E314">
        <v>10.363</v>
      </c>
      <c r="F314">
        <v>-340.5</v>
      </c>
      <c r="G314" s="2">
        <v>238.2</v>
      </c>
      <c r="I314">
        <f t="shared" si="12"/>
        <v>10.35</v>
      </c>
      <c r="J314">
        <f t="shared" si="13"/>
        <v>-137.5</v>
      </c>
      <c r="K314">
        <f t="shared" si="14"/>
        <v>100</v>
      </c>
    </row>
    <row r="315" spans="1:11">
      <c r="A315">
        <v>10.43</v>
      </c>
      <c r="B315">
        <v>-324.9</v>
      </c>
      <c r="C315" s="2">
        <v>238.2</v>
      </c>
      <c r="D315" s="2"/>
      <c r="E315">
        <v>10.396</v>
      </c>
      <c r="F315">
        <v>-333.6</v>
      </c>
      <c r="G315" s="2">
        <v>238.2</v>
      </c>
      <c r="I315">
        <f t="shared" si="12"/>
        <v>10.35</v>
      </c>
      <c r="J315">
        <f t="shared" si="13"/>
        <v>-130.6</v>
      </c>
      <c r="K315">
        <f t="shared" si="14"/>
        <v>100</v>
      </c>
    </row>
    <row r="316" spans="1:11">
      <c r="A316">
        <v>10.463</v>
      </c>
      <c r="B316">
        <v>-315.3</v>
      </c>
      <c r="C316" s="2">
        <v>238.2</v>
      </c>
      <c r="D316" s="2"/>
      <c r="E316">
        <v>10.43</v>
      </c>
      <c r="F316">
        <v>-324.9</v>
      </c>
      <c r="G316" s="2">
        <v>238.2</v>
      </c>
      <c r="I316">
        <f t="shared" si="12"/>
        <v>10.4</v>
      </c>
      <c r="J316">
        <f t="shared" si="13"/>
        <v>-121.9</v>
      </c>
      <c r="K316">
        <f t="shared" si="14"/>
        <v>100</v>
      </c>
    </row>
    <row r="317" spans="1:11">
      <c r="A317">
        <v>10.496</v>
      </c>
      <c r="B317">
        <v>-305.1</v>
      </c>
      <c r="C317">
        <v>238.2</v>
      </c>
      <c r="E317">
        <v>10.463</v>
      </c>
      <c r="F317">
        <v>-315.3</v>
      </c>
      <c r="G317" s="2">
        <v>238.2</v>
      </c>
      <c r="I317">
        <f t="shared" si="12"/>
        <v>10.45</v>
      </c>
      <c r="J317">
        <f t="shared" si="13"/>
        <v>-112.3</v>
      </c>
      <c r="K317">
        <f t="shared" si="14"/>
        <v>100</v>
      </c>
    </row>
    <row r="318" spans="1:11">
      <c r="A318">
        <v>10.53</v>
      </c>
      <c r="B318">
        <v>-294.4</v>
      </c>
      <c r="C318">
        <v>238.2</v>
      </c>
      <c r="E318">
        <v>10.496</v>
      </c>
      <c r="F318">
        <v>-305.1</v>
      </c>
      <c r="G318">
        <v>238.2</v>
      </c>
      <c r="I318">
        <f t="shared" si="12"/>
        <v>10.45</v>
      </c>
      <c r="J318">
        <f t="shared" si="13"/>
        <v>-102.1</v>
      </c>
      <c r="K318">
        <f t="shared" si="14"/>
        <v>100</v>
      </c>
    </row>
    <row r="319" spans="1:11">
      <c r="A319">
        <v>10.563</v>
      </c>
      <c r="B319">
        <v>-283.9</v>
      </c>
      <c r="C319">
        <v>238.2</v>
      </c>
      <c r="E319">
        <v>10.53</v>
      </c>
      <c r="F319">
        <v>-294.4</v>
      </c>
      <c r="G319">
        <v>238.2</v>
      </c>
      <c r="I319">
        <f t="shared" si="12"/>
        <v>10.5</v>
      </c>
      <c r="J319">
        <f t="shared" si="13"/>
        <v>-91.4</v>
      </c>
      <c r="K319">
        <f t="shared" si="14"/>
        <v>100</v>
      </c>
    </row>
    <row r="320" spans="1:11">
      <c r="A320">
        <v>10.597</v>
      </c>
      <c r="B320">
        <v>-272.1</v>
      </c>
      <c r="C320">
        <v>235.4</v>
      </c>
      <c r="E320">
        <v>10.563</v>
      </c>
      <c r="F320">
        <v>-283.9</v>
      </c>
      <c r="G320">
        <v>238.2</v>
      </c>
      <c r="I320">
        <f t="shared" si="12"/>
        <v>10.55</v>
      </c>
      <c r="J320">
        <f t="shared" si="13"/>
        <v>-80.9</v>
      </c>
      <c r="K320">
        <f t="shared" si="14"/>
        <v>100</v>
      </c>
    </row>
    <row r="321" spans="1:11">
      <c r="A321">
        <v>10.63</v>
      </c>
      <c r="B321">
        <v>-260.4</v>
      </c>
      <c r="C321">
        <v>145.7</v>
      </c>
      <c r="E321">
        <v>10.597</v>
      </c>
      <c r="F321">
        <v>-272.1</v>
      </c>
      <c r="G321">
        <v>235.4</v>
      </c>
      <c r="I321">
        <f t="shared" si="12"/>
        <v>10.55</v>
      </c>
      <c r="J321">
        <f t="shared" si="13"/>
        <v>-69.1</v>
      </c>
      <c r="K321">
        <f t="shared" si="14"/>
        <v>100</v>
      </c>
    </row>
    <row r="322" spans="1:11">
      <c r="A322">
        <v>10.664</v>
      </c>
      <c r="B322">
        <v>-248.7</v>
      </c>
      <c r="C322">
        <v>160.3</v>
      </c>
      <c r="E322">
        <v>10.63</v>
      </c>
      <c r="F322">
        <v>-260.4</v>
      </c>
      <c r="G322">
        <v>145.7</v>
      </c>
      <c r="I322">
        <f t="shared" si="12"/>
        <v>10.6</v>
      </c>
      <c r="J322">
        <f t="shared" si="13"/>
        <v>-57.4</v>
      </c>
      <c r="K322">
        <f t="shared" si="14"/>
        <v>-150</v>
      </c>
    </row>
    <row r="323" spans="1:11">
      <c r="A323">
        <v>10.697</v>
      </c>
      <c r="B323">
        <v>-238</v>
      </c>
      <c r="C323">
        <v>159.1</v>
      </c>
      <c r="E323">
        <v>10.664</v>
      </c>
      <c r="F323">
        <v>-248.7</v>
      </c>
      <c r="G323">
        <v>160.3</v>
      </c>
      <c r="I323">
        <f t="shared" si="12"/>
        <v>10.65</v>
      </c>
      <c r="J323">
        <f t="shared" si="13"/>
        <v>-45.7</v>
      </c>
      <c r="K323">
        <f t="shared" si="14"/>
        <v>-150</v>
      </c>
    </row>
    <row r="324" spans="1:11">
      <c r="A324">
        <v>10.73</v>
      </c>
      <c r="B324">
        <v>-227.7</v>
      </c>
      <c r="C324">
        <v>156.5</v>
      </c>
      <c r="E324">
        <v>10.697</v>
      </c>
      <c r="F324">
        <v>-238</v>
      </c>
      <c r="G324">
        <v>159.1</v>
      </c>
      <c r="I324">
        <f t="shared" ref="I324:I387" si="15">FLOOR(E324,0.05)</f>
        <v>10.65</v>
      </c>
      <c r="J324">
        <f t="shared" ref="J324:J387" si="16">F324+203</f>
        <v>-35</v>
      </c>
      <c r="K324">
        <f t="shared" si="14"/>
        <v>-150</v>
      </c>
    </row>
    <row r="325" spans="1:11">
      <c r="A325">
        <v>10.764</v>
      </c>
      <c r="B325">
        <v>-218</v>
      </c>
      <c r="C325">
        <v>155.8</v>
      </c>
      <c r="E325">
        <v>10.73</v>
      </c>
      <c r="F325">
        <v>-227.7</v>
      </c>
      <c r="G325">
        <v>156.5</v>
      </c>
      <c r="I325">
        <f t="shared" si="15"/>
        <v>10.7</v>
      </c>
      <c r="J325">
        <f t="shared" si="16"/>
        <v>-24.7</v>
      </c>
      <c r="K325">
        <f t="shared" ref="K325:K388" si="17">IF(G325&lt;230,-150,100)</f>
        <v>-150</v>
      </c>
    </row>
    <row r="326" spans="1:11">
      <c r="A326">
        <v>10.797</v>
      </c>
      <c r="B326">
        <v>-208.3</v>
      </c>
      <c r="C326">
        <v>153.5</v>
      </c>
      <c r="E326">
        <v>10.764</v>
      </c>
      <c r="F326">
        <v>-218</v>
      </c>
      <c r="G326">
        <v>155.8</v>
      </c>
      <c r="I326">
        <f t="shared" si="15"/>
        <v>10.75</v>
      </c>
      <c r="J326">
        <f t="shared" si="16"/>
        <v>-15</v>
      </c>
      <c r="K326">
        <f t="shared" si="17"/>
        <v>-150</v>
      </c>
    </row>
    <row r="327" spans="1:11">
      <c r="A327">
        <v>10.831</v>
      </c>
      <c r="B327">
        <v>-198.6</v>
      </c>
      <c r="C327">
        <v>151.9</v>
      </c>
      <c r="E327">
        <v>10.797</v>
      </c>
      <c r="F327">
        <v>-208.3</v>
      </c>
      <c r="G327">
        <v>153.5</v>
      </c>
      <c r="I327">
        <f t="shared" si="15"/>
        <v>10.75</v>
      </c>
      <c r="J327">
        <f t="shared" si="16"/>
        <v>-5.30000000000001</v>
      </c>
      <c r="K327">
        <f t="shared" si="17"/>
        <v>-150</v>
      </c>
    </row>
    <row r="328" spans="1:11">
      <c r="A328">
        <v>10.864</v>
      </c>
      <c r="B328">
        <v>-190.4</v>
      </c>
      <c r="C328">
        <v>149.5</v>
      </c>
      <c r="E328">
        <v>10.831</v>
      </c>
      <c r="F328">
        <v>-198.6</v>
      </c>
      <c r="G328">
        <v>151.9</v>
      </c>
      <c r="I328">
        <f t="shared" si="15"/>
        <v>10.8</v>
      </c>
      <c r="J328">
        <f t="shared" si="16"/>
        <v>4.40000000000001</v>
      </c>
      <c r="K328">
        <f t="shared" si="17"/>
        <v>-150</v>
      </c>
    </row>
    <row r="329" spans="1:11">
      <c r="A329">
        <v>10.898</v>
      </c>
      <c r="B329">
        <v>-181.5</v>
      </c>
      <c r="C329">
        <v>148.2</v>
      </c>
      <c r="E329">
        <v>10.864</v>
      </c>
      <c r="F329">
        <v>-190.4</v>
      </c>
      <c r="G329">
        <v>149.5</v>
      </c>
      <c r="I329">
        <f t="shared" si="15"/>
        <v>10.85</v>
      </c>
      <c r="J329">
        <f t="shared" si="16"/>
        <v>12.6</v>
      </c>
      <c r="K329">
        <f t="shared" si="17"/>
        <v>-150</v>
      </c>
    </row>
    <row r="330" spans="1:11">
      <c r="A330">
        <v>10.931</v>
      </c>
      <c r="B330">
        <v>-175.2</v>
      </c>
      <c r="C330">
        <v>146.6</v>
      </c>
      <c r="E330">
        <v>10.898</v>
      </c>
      <c r="F330">
        <v>-181.5</v>
      </c>
      <c r="G330">
        <v>148.2</v>
      </c>
      <c r="I330">
        <f t="shared" si="15"/>
        <v>10.85</v>
      </c>
      <c r="J330">
        <f t="shared" si="16"/>
        <v>21.5</v>
      </c>
      <c r="K330">
        <f t="shared" si="17"/>
        <v>-150</v>
      </c>
    </row>
    <row r="331" spans="1:11">
      <c r="A331">
        <v>10.964</v>
      </c>
      <c r="B331">
        <v>-169.3</v>
      </c>
      <c r="C331">
        <v>144.6</v>
      </c>
      <c r="E331">
        <v>10.931</v>
      </c>
      <c r="F331">
        <v>-175.2</v>
      </c>
      <c r="G331">
        <v>146.6</v>
      </c>
      <c r="I331">
        <f t="shared" si="15"/>
        <v>10.9</v>
      </c>
      <c r="J331">
        <f t="shared" si="16"/>
        <v>27.8</v>
      </c>
      <c r="K331">
        <f t="shared" si="17"/>
        <v>-150</v>
      </c>
    </row>
    <row r="332" spans="1:11">
      <c r="A332">
        <v>10.998</v>
      </c>
      <c r="B332">
        <v>-164.2</v>
      </c>
      <c r="C332">
        <v>142.2</v>
      </c>
      <c r="E332">
        <v>10.964</v>
      </c>
      <c r="F332">
        <v>-169.3</v>
      </c>
      <c r="G332">
        <v>144.6</v>
      </c>
      <c r="I332">
        <f t="shared" si="15"/>
        <v>10.95</v>
      </c>
      <c r="J332">
        <f t="shared" si="16"/>
        <v>33.7</v>
      </c>
      <c r="K332">
        <f t="shared" si="17"/>
        <v>-150</v>
      </c>
    </row>
    <row r="333" spans="1:11">
      <c r="A333">
        <v>11.031</v>
      </c>
      <c r="B333">
        <v>-159.6</v>
      </c>
      <c r="C333">
        <v>140.7</v>
      </c>
      <c r="E333">
        <v>10.998</v>
      </c>
      <c r="F333">
        <v>-164.2</v>
      </c>
      <c r="G333">
        <v>142.2</v>
      </c>
      <c r="I333">
        <f t="shared" si="15"/>
        <v>10.95</v>
      </c>
      <c r="J333">
        <f t="shared" si="16"/>
        <v>38.8</v>
      </c>
      <c r="K333">
        <f t="shared" si="17"/>
        <v>-150</v>
      </c>
    </row>
    <row r="334" spans="1:11">
      <c r="A334">
        <v>11.065</v>
      </c>
      <c r="B334">
        <v>-157.1</v>
      </c>
      <c r="C334">
        <v>138.1</v>
      </c>
      <c r="E334">
        <v>11.031</v>
      </c>
      <c r="F334">
        <v>-159.6</v>
      </c>
      <c r="G334">
        <v>140.7</v>
      </c>
      <c r="I334">
        <f t="shared" si="15"/>
        <v>11</v>
      </c>
      <c r="J334">
        <f t="shared" si="16"/>
        <v>43.4</v>
      </c>
      <c r="K334">
        <f t="shared" si="17"/>
        <v>-150</v>
      </c>
    </row>
    <row r="335" spans="1:11">
      <c r="A335">
        <v>11.098</v>
      </c>
      <c r="B335">
        <v>-155.3</v>
      </c>
      <c r="C335">
        <v>136.3</v>
      </c>
      <c r="E335">
        <v>11.065</v>
      </c>
      <c r="F335">
        <v>-157.1</v>
      </c>
      <c r="G335">
        <v>138.1</v>
      </c>
      <c r="I335">
        <f t="shared" si="15"/>
        <v>11.05</v>
      </c>
      <c r="J335">
        <f t="shared" si="16"/>
        <v>45.9</v>
      </c>
      <c r="K335">
        <f t="shared" si="17"/>
        <v>-150</v>
      </c>
    </row>
    <row r="336" spans="1:11">
      <c r="A336">
        <v>11.132</v>
      </c>
      <c r="B336">
        <v>-154.4</v>
      </c>
      <c r="C336">
        <v>135.3</v>
      </c>
      <c r="E336">
        <v>11.098</v>
      </c>
      <c r="F336">
        <v>-155.3</v>
      </c>
      <c r="G336">
        <v>136.3</v>
      </c>
      <c r="I336">
        <f t="shared" si="15"/>
        <v>11.05</v>
      </c>
      <c r="J336">
        <f t="shared" si="16"/>
        <v>47.7</v>
      </c>
      <c r="K336">
        <f t="shared" si="17"/>
        <v>-150</v>
      </c>
    </row>
    <row r="337" spans="1:11">
      <c r="A337">
        <v>11.165</v>
      </c>
      <c r="B337">
        <v>-155</v>
      </c>
      <c r="C337">
        <v>132.9</v>
      </c>
      <c r="E337">
        <v>11.132</v>
      </c>
      <c r="F337">
        <v>-154.4</v>
      </c>
      <c r="G337">
        <v>135.3</v>
      </c>
      <c r="I337">
        <f t="shared" si="15"/>
        <v>11.1</v>
      </c>
      <c r="J337">
        <f t="shared" si="16"/>
        <v>48.6</v>
      </c>
      <c r="K337">
        <f t="shared" si="17"/>
        <v>-150</v>
      </c>
    </row>
    <row r="338" spans="1:11">
      <c r="A338">
        <v>11.198</v>
      </c>
      <c r="B338">
        <v>-156.6</v>
      </c>
      <c r="C338">
        <v>129.9</v>
      </c>
      <c r="E338">
        <v>11.165</v>
      </c>
      <c r="F338">
        <v>-155</v>
      </c>
      <c r="G338">
        <v>132.9</v>
      </c>
      <c r="I338">
        <f t="shared" si="15"/>
        <v>11.15</v>
      </c>
      <c r="J338">
        <f t="shared" si="16"/>
        <v>48</v>
      </c>
      <c r="K338">
        <f t="shared" si="17"/>
        <v>-150</v>
      </c>
    </row>
    <row r="339" spans="1:11">
      <c r="A339">
        <v>11.232</v>
      </c>
      <c r="B339">
        <v>-158.9</v>
      </c>
      <c r="C339">
        <v>128.5</v>
      </c>
      <c r="E339">
        <v>11.198</v>
      </c>
      <c r="F339">
        <v>-156.6</v>
      </c>
      <c r="G339">
        <v>129.9</v>
      </c>
      <c r="I339">
        <f t="shared" si="15"/>
        <v>11.15</v>
      </c>
      <c r="J339">
        <f t="shared" si="16"/>
        <v>46.4</v>
      </c>
      <c r="K339">
        <f t="shared" si="17"/>
        <v>-150</v>
      </c>
    </row>
    <row r="340" spans="1:11">
      <c r="A340">
        <v>11.265</v>
      </c>
      <c r="B340">
        <v>-163.1</v>
      </c>
      <c r="C340">
        <v>127.3</v>
      </c>
      <c r="E340">
        <v>11.232</v>
      </c>
      <c r="F340">
        <v>-158.9</v>
      </c>
      <c r="G340">
        <v>128.5</v>
      </c>
      <c r="I340">
        <f t="shared" si="15"/>
        <v>11.2</v>
      </c>
      <c r="J340">
        <f t="shared" si="16"/>
        <v>44.1</v>
      </c>
      <c r="K340">
        <f t="shared" si="17"/>
        <v>-150</v>
      </c>
    </row>
    <row r="341" spans="1:11">
      <c r="A341">
        <v>11.299</v>
      </c>
      <c r="B341">
        <v>-168.5</v>
      </c>
      <c r="C341">
        <v>124.1</v>
      </c>
      <c r="E341">
        <v>11.265</v>
      </c>
      <c r="F341">
        <v>-163.1</v>
      </c>
      <c r="G341">
        <v>127.3</v>
      </c>
      <c r="I341">
        <f t="shared" si="15"/>
        <v>11.25</v>
      </c>
      <c r="J341">
        <f t="shared" si="16"/>
        <v>39.9</v>
      </c>
      <c r="K341">
        <f t="shared" si="17"/>
        <v>-150</v>
      </c>
    </row>
    <row r="342" spans="1:11">
      <c r="A342">
        <v>11.332</v>
      </c>
      <c r="B342">
        <v>-173.7</v>
      </c>
      <c r="C342">
        <v>218.3</v>
      </c>
      <c r="E342">
        <v>11.299</v>
      </c>
      <c r="F342">
        <v>-168.5</v>
      </c>
      <c r="G342">
        <v>124.1</v>
      </c>
      <c r="I342">
        <f t="shared" si="15"/>
        <v>11.25</v>
      </c>
      <c r="J342">
        <f t="shared" si="16"/>
        <v>34.5</v>
      </c>
      <c r="K342">
        <f t="shared" si="17"/>
        <v>-150</v>
      </c>
    </row>
    <row r="343" spans="1:11">
      <c r="A343">
        <v>11.366</v>
      </c>
      <c r="B343">
        <v>-180.2</v>
      </c>
      <c r="C343">
        <v>238.4</v>
      </c>
      <c r="E343">
        <v>11.332</v>
      </c>
      <c r="F343">
        <v>-173.7</v>
      </c>
      <c r="G343">
        <v>218.3</v>
      </c>
      <c r="I343">
        <f t="shared" si="15"/>
        <v>11.3</v>
      </c>
      <c r="J343">
        <f t="shared" si="16"/>
        <v>29.3</v>
      </c>
      <c r="K343">
        <f t="shared" si="17"/>
        <v>-150</v>
      </c>
    </row>
    <row r="344" spans="1:11">
      <c r="A344">
        <v>11.399</v>
      </c>
      <c r="B344">
        <v>-188.2</v>
      </c>
      <c r="C344">
        <v>238.4</v>
      </c>
      <c r="E344">
        <v>11.366</v>
      </c>
      <c r="F344">
        <v>-180.2</v>
      </c>
      <c r="G344">
        <v>238.4</v>
      </c>
      <c r="I344">
        <f t="shared" si="15"/>
        <v>11.35</v>
      </c>
      <c r="J344">
        <f t="shared" si="16"/>
        <v>22.8</v>
      </c>
      <c r="K344">
        <f t="shared" si="17"/>
        <v>100</v>
      </c>
    </row>
    <row r="345" spans="1:11">
      <c r="A345">
        <v>11.432</v>
      </c>
      <c r="B345">
        <v>-196.3</v>
      </c>
      <c r="C345">
        <v>238.4</v>
      </c>
      <c r="E345">
        <v>11.399</v>
      </c>
      <c r="F345">
        <v>-188.2</v>
      </c>
      <c r="G345">
        <v>238.4</v>
      </c>
      <c r="I345">
        <f t="shared" si="15"/>
        <v>11.35</v>
      </c>
      <c r="J345">
        <f t="shared" si="16"/>
        <v>14.8</v>
      </c>
      <c r="K345">
        <f t="shared" si="17"/>
        <v>100</v>
      </c>
    </row>
    <row r="346" spans="1:11">
      <c r="A346">
        <v>11.466</v>
      </c>
      <c r="B346">
        <v>-205.5</v>
      </c>
      <c r="C346">
        <v>238.4</v>
      </c>
      <c r="E346">
        <v>11.432</v>
      </c>
      <c r="F346">
        <v>-196.3</v>
      </c>
      <c r="G346">
        <v>238.4</v>
      </c>
      <c r="I346">
        <f t="shared" si="15"/>
        <v>11.4</v>
      </c>
      <c r="J346">
        <f t="shared" si="16"/>
        <v>6.69999999999999</v>
      </c>
      <c r="K346">
        <f t="shared" si="17"/>
        <v>100</v>
      </c>
    </row>
    <row r="347" spans="1:11">
      <c r="A347">
        <v>11.499</v>
      </c>
      <c r="B347">
        <v>-214.1</v>
      </c>
      <c r="C347">
        <v>238.4</v>
      </c>
      <c r="E347">
        <v>11.466</v>
      </c>
      <c r="F347">
        <v>-205.5</v>
      </c>
      <c r="G347">
        <v>238.4</v>
      </c>
      <c r="I347">
        <f t="shared" si="15"/>
        <v>11.45</v>
      </c>
      <c r="J347">
        <f t="shared" si="16"/>
        <v>-2.5</v>
      </c>
      <c r="K347">
        <f t="shared" si="17"/>
        <v>100</v>
      </c>
    </row>
    <row r="348" spans="1:11">
      <c r="A348">
        <v>11.533</v>
      </c>
      <c r="B348">
        <v>-224.5</v>
      </c>
      <c r="C348" s="2">
        <v>238.4</v>
      </c>
      <c r="D348" s="2"/>
      <c r="E348">
        <v>11.499</v>
      </c>
      <c r="F348">
        <v>-214.1</v>
      </c>
      <c r="G348">
        <v>238.4</v>
      </c>
      <c r="I348">
        <f t="shared" si="15"/>
        <v>11.45</v>
      </c>
      <c r="J348">
        <f t="shared" si="16"/>
        <v>-11.1</v>
      </c>
      <c r="K348">
        <f t="shared" si="17"/>
        <v>100</v>
      </c>
    </row>
    <row r="349" spans="1:11">
      <c r="A349">
        <v>11.566</v>
      </c>
      <c r="B349">
        <v>-234.7</v>
      </c>
      <c r="C349" s="2">
        <v>238.4</v>
      </c>
      <c r="D349" s="2"/>
      <c r="E349">
        <v>11.533</v>
      </c>
      <c r="F349">
        <v>-224.5</v>
      </c>
      <c r="G349" s="2">
        <v>238.4</v>
      </c>
      <c r="I349">
        <f t="shared" si="15"/>
        <v>11.5</v>
      </c>
      <c r="J349">
        <f t="shared" si="16"/>
        <v>-21.5</v>
      </c>
      <c r="K349">
        <f t="shared" si="17"/>
        <v>100</v>
      </c>
    </row>
    <row r="350" spans="1:11">
      <c r="A350">
        <v>11.6</v>
      </c>
      <c r="B350">
        <v>-244.6</v>
      </c>
      <c r="C350" s="2">
        <v>238.4</v>
      </c>
      <c r="D350" s="2"/>
      <c r="E350">
        <v>11.566</v>
      </c>
      <c r="F350">
        <v>-234.7</v>
      </c>
      <c r="G350" s="2">
        <v>238.4</v>
      </c>
      <c r="I350">
        <f t="shared" si="15"/>
        <v>11.55</v>
      </c>
      <c r="J350">
        <f t="shared" si="16"/>
        <v>-31.7</v>
      </c>
      <c r="K350">
        <f t="shared" si="17"/>
        <v>100</v>
      </c>
    </row>
    <row r="351" spans="1:11">
      <c r="A351">
        <v>11.633</v>
      </c>
      <c r="B351">
        <v>-255</v>
      </c>
      <c r="C351" s="2">
        <v>238.4</v>
      </c>
      <c r="D351" s="2"/>
      <c r="E351">
        <v>11.6</v>
      </c>
      <c r="F351">
        <v>-244.6</v>
      </c>
      <c r="G351" s="2">
        <v>238.4</v>
      </c>
      <c r="I351">
        <f t="shared" si="15"/>
        <v>11.6</v>
      </c>
      <c r="J351">
        <f t="shared" si="16"/>
        <v>-41.6</v>
      </c>
      <c r="K351">
        <f t="shared" si="17"/>
        <v>100</v>
      </c>
    </row>
    <row r="352" spans="1:11">
      <c r="A352">
        <v>11.666</v>
      </c>
      <c r="B352">
        <v>-266.5</v>
      </c>
      <c r="C352" s="2">
        <v>238.4</v>
      </c>
      <c r="D352" s="2"/>
      <c r="E352">
        <v>11.633</v>
      </c>
      <c r="F352">
        <v>-255</v>
      </c>
      <c r="G352" s="2">
        <v>238.4</v>
      </c>
      <c r="I352">
        <f t="shared" si="15"/>
        <v>11.6</v>
      </c>
      <c r="J352">
        <f t="shared" si="16"/>
        <v>-52</v>
      </c>
      <c r="K352">
        <f t="shared" si="17"/>
        <v>100</v>
      </c>
    </row>
    <row r="353" spans="1:11">
      <c r="A353">
        <v>11.7</v>
      </c>
      <c r="B353">
        <v>-276.5</v>
      </c>
      <c r="C353" s="2">
        <v>238.4</v>
      </c>
      <c r="D353" s="2"/>
      <c r="E353">
        <v>11.666</v>
      </c>
      <c r="F353">
        <v>-266.5</v>
      </c>
      <c r="G353" s="2">
        <v>238.4</v>
      </c>
      <c r="I353">
        <f t="shared" si="15"/>
        <v>11.65</v>
      </c>
      <c r="J353">
        <f t="shared" si="16"/>
        <v>-63.5</v>
      </c>
      <c r="K353">
        <f t="shared" si="17"/>
        <v>100</v>
      </c>
    </row>
    <row r="354" spans="1:11">
      <c r="A354">
        <v>11.733</v>
      </c>
      <c r="B354">
        <v>-287.7</v>
      </c>
      <c r="C354" s="2">
        <v>238.4</v>
      </c>
      <c r="D354" s="2"/>
      <c r="E354">
        <v>11.7</v>
      </c>
      <c r="F354">
        <v>-276.5</v>
      </c>
      <c r="G354" s="2">
        <v>238.4</v>
      </c>
      <c r="I354">
        <f t="shared" si="15"/>
        <v>11.7</v>
      </c>
      <c r="J354">
        <f t="shared" si="16"/>
        <v>-73.5</v>
      </c>
      <c r="K354">
        <f t="shared" si="17"/>
        <v>100</v>
      </c>
    </row>
    <row r="355" spans="1:11">
      <c r="A355">
        <v>11.767</v>
      </c>
      <c r="B355">
        <v>-298.1</v>
      </c>
      <c r="C355" s="2">
        <v>238.4</v>
      </c>
      <c r="D355" s="2"/>
      <c r="E355">
        <v>11.733</v>
      </c>
      <c r="F355">
        <v>-287.7</v>
      </c>
      <c r="G355" s="2">
        <v>238.4</v>
      </c>
      <c r="I355">
        <f t="shared" si="15"/>
        <v>11.7</v>
      </c>
      <c r="J355">
        <f t="shared" si="16"/>
        <v>-84.7</v>
      </c>
      <c r="K355">
        <f t="shared" si="17"/>
        <v>100</v>
      </c>
    </row>
    <row r="356" spans="1:11">
      <c r="A356">
        <v>11.8</v>
      </c>
      <c r="B356">
        <v>-307.8</v>
      </c>
      <c r="C356" s="2">
        <v>238.4</v>
      </c>
      <c r="D356" s="2"/>
      <c r="E356">
        <v>11.767</v>
      </c>
      <c r="F356">
        <v>-298.1</v>
      </c>
      <c r="G356" s="2">
        <v>238.4</v>
      </c>
      <c r="I356">
        <f t="shared" si="15"/>
        <v>11.75</v>
      </c>
      <c r="J356">
        <f t="shared" si="16"/>
        <v>-95.1</v>
      </c>
      <c r="K356">
        <f t="shared" si="17"/>
        <v>100</v>
      </c>
    </row>
    <row r="357" spans="1:11">
      <c r="A357">
        <v>11.834</v>
      </c>
      <c r="B357">
        <v>-316.4</v>
      </c>
      <c r="C357" s="2">
        <v>238.4</v>
      </c>
      <c r="D357" s="2"/>
      <c r="E357">
        <v>11.8</v>
      </c>
      <c r="F357">
        <v>-307.8</v>
      </c>
      <c r="G357" s="2">
        <v>238.4</v>
      </c>
      <c r="I357">
        <f t="shared" si="15"/>
        <v>11.8</v>
      </c>
      <c r="J357">
        <f t="shared" si="16"/>
        <v>-104.8</v>
      </c>
      <c r="K357">
        <f t="shared" si="17"/>
        <v>100</v>
      </c>
    </row>
    <row r="358" spans="1:11">
      <c r="A358">
        <v>11.867</v>
      </c>
      <c r="B358">
        <v>-324.9</v>
      </c>
      <c r="C358" s="2">
        <v>238.4</v>
      </c>
      <c r="D358" s="2"/>
      <c r="E358">
        <v>11.834</v>
      </c>
      <c r="F358">
        <v>-316.4</v>
      </c>
      <c r="G358" s="2">
        <v>238.4</v>
      </c>
      <c r="I358">
        <f t="shared" si="15"/>
        <v>11.8</v>
      </c>
      <c r="J358">
        <f t="shared" si="16"/>
        <v>-113.4</v>
      </c>
      <c r="K358">
        <f t="shared" si="17"/>
        <v>100</v>
      </c>
    </row>
    <row r="359" spans="1:11">
      <c r="A359">
        <v>11.9</v>
      </c>
      <c r="B359">
        <v>-332.4</v>
      </c>
      <c r="C359" s="2">
        <v>238.4</v>
      </c>
      <c r="D359" s="2"/>
      <c r="E359">
        <v>11.867</v>
      </c>
      <c r="F359">
        <v>-324.9</v>
      </c>
      <c r="G359" s="2">
        <v>238.4</v>
      </c>
      <c r="I359">
        <f t="shared" si="15"/>
        <v>11.85</v>
      </c>
      <c r="J359">
        <f t="shared" si="16"/>
        <v>-121.9</v>
      </c>
      <c r="K359">
        <f t="shared" si="17"/>
        <v>100</v>
      </c>
    </row>
    <row r="360" spans="1:11">
      <c r="A360">
        <v>11.934</v>
      </c>
      <c r="B360">
        <v>-338</v>
      </c>
      <c r="C360" s="2">
        <v>238.4</v>
      </c>
      <c r="D360" s="2"/>
      <c r="E360">
        <v>11.9</v>
      </c>
      <c r="F360">
        <v>-332.4</v>
      </c>
      <c r="G360" s="2">
        <v>238.4</v>
      </c>
      <c r="I360">
        <f t="shared" si="15"/>
        <v>11.9</v>
      </c>
      <c r="J360">
        <f t="shared" si="16"/>
        <v>-129.4</v>
      </c>
      <c r="K360">
        <f t="shared" si="17"/>
        <v>100</v>
      </c>
    </row>
    <row r="361" spans="1:11">
      <c r="A361">
        <v>11.967</v>
      </c>
      <c r="B361">
        <v>-341.4</v>
      </c>
      <c r="C361" s="2">
        <v>238.4</v>
      </c>
      <c r="D361" s="2"/>
      <c r="E361">
        <v>11.934</v>
      </c>
      <c r="F361">
        <v>-338</v>
      </c>
      <c r="G361" s="2">
        <v>238.4</v>
      </c>
      <c r="I361">
        <f t="shared" si="15"/>
        <v>11.9</v>
      </c>
      <c r="J361">
        <f t="shared" si="16"/>
        <v>-135</v>
      </c>
      <c r="K361">
        <f t="shared" si="17"/>
        <v>100</v>
      </c>
    </row>
    <row r="362" spans="1:11">
      <c r="A362">
        <v>12.001</v>
      </c>
      <c r="B362">
        <v>-343.1</v>
      </c>
      <c r="C362">
        <v>238.4</v>
      </c>
      <c r="E362">
        <v>11.967</v>
      </c>
      <c r="F362">
        <v>-341.4</v>
      </c>
      <c r="G362" s="2">
        <v>238.4</v>
      </c>
      <c r="I362">
        <f t="shared" si="15"/>
        <v>11.95</v>
      </c>
      <c r="J362">
        <f t="shared" si="16"/>
        <v>-138.4</v>
      </c>
      <c r="K362">
        <f t="shared" si="17"/>
        <v>100</v>
      </c>
    </row>
    <row r="363" spans="1:11">
      <c r="A363">
        <v>12.034</v>
      </c>
      <c r="B363">
        <v>-347.4</v>
      </c>
      <c r="C363">
        <v>238.3</v>
      </c>
      <c r="E363">
        <v>12.001</v>
      </c>
      <c r="F363">
        <v>-343.1</v>
      </c>
      <c r="G363">
        <v>238.4</v>
      </c>
      <c r="I363">
        <f t="shared" si="15"/>
        <v>12</v>
      </c>
      <c r="J363">
        <f t="shared" si="16"/>
        <v>-140.1</v>
      </c>
      <c r="K363">
        <f t="shared" si="17"/>
        <v>100</v>
      </c>
    </row>
    <row r="364" spans="1:11">
      <c r="A364">
        <v>12.067</v>
      </c>
      <c r="B364">
        <v>-350.2</v>
      </c>
      <c r="C364">
        <v>238.3</v>
      </c>
      <c r="E364">
        <v>12.034</v>
      </c>
      <c r="F364">
        <v>-347.4</v>
      </c>
      <c r="G364">
        <v>238.3</v>
      </c>
      <c r="I364">
        <f t="shared" si="15"/>
        <v>12</v>
      </c>
      <c r="J364">
        <f t="shared" si="16"/>
        <v>-144.4</v>
      </c>
      <c r="K364">
        <f t="shared" si="17"/>
        <v>100</v>
      </c>
    </row>
    <row r="365" spans="1:11">
      <c r="A365">
        <v>12.101</v>
      </c>
      <c r="B365">
        <v>-351.3</v>
      </c>
      <c r="C365">
        <v>229.5</v>
      </c>
      <c r="E365">
        <v>12.067</v>
      </c>
      <c r="F365">
        <v>-350.2</v>
      </c>
      <c r="G365">
        <v>238.3</v>
      </c>
      <c r="I365">
        <f t="shared" si="15"/>
        <v>12.05</v>
      </c>
      <c r="J365">
        <f t="shared" si="16"/>
        <v>-147.2</v>
      </c>
      <c r="K365">
        <f t="shared" si="17"/>
        <v>100</v>
      </c>
    </row>
    <row r="366" spans="1:11">
      <c r="A366">
        <v>12.134</v>
      </c>
      <c r="B366">
        <v>-351.3</v>
      </c>
      <c r="C366">
        <v>150.4</v>
      </c>
      <c r="E366">
        <v>12.101</v>
      </c>
      <c r="F366">
        <v>-351.3</v>
      </c>
      <c r="G366">
        <v>229.5</v>
      </c>
      <c r="I366">
        <f t="shared" si="15"/>
        <v>12.1</v>
      </c>
      <c r="J366">
        <f t="shared" si="16"/>
        <v>-148.3</v>
      </c>
      <c r="K366">
        <f t="shared" si="17"/>
        <v>-150</v>
      </c>
    </row>
    <row r="367" spans="1:11">
      <c r="A367">
        <v>12.168</v>
      </c>
      <c r="B367">
        <v>-351</v>
      </c>
      <c r="C367">
        <v>162.3</v>
      </c>
      <c r="E367">
        <v>12.134</v>
      </c>
      <c r="F367">
        <v>-351.3</v>
      </c>
      <c r="G367">
        <v>150.4</v>
      </c>
      <c r="I367">
        <f t="shared" si="15"/>
        <v>12.1</v>
      </c>
      <c r="J367">
        <f t="shared" si="16"/>
        <v>-148.3</v>
      </c>
      <c r="K367">
        <f t="shared" si="17"/>
        <v>-150</v>
      </c>
    </row>
    <row r="368" spans="1:11">
      <c r="A368">
        <v>12.201</v>
      </c>
      <c r="B368">
        <v>-349.4</v>
      </c>
      <c r="C368">
        <v>159.8</v>
      </c>
      <c r="E368">
        <v>12.168</v>
      </c>
      <c r="F368">
        <v>-351</v>
      </c>
      <c r="G368">
        <v>162.3</v>
      </c>
      <c r="I368">
        <f t="shared" si="15"/>
        <v>12.15</v>
      </c>
      <c r="J368">
        <f t="shared" si="16"/>
        <v>-148</v>
      </c>
      <c r="K368">
        <f t="shared" si="17"/>
        <v>-150</v>
      </c>
    </row>
    <row r="369" spans="1:11">
      <c r="A369">
        <v>12.235</v>
      </c>
      <c r="B369">
        <v>-344.8</v>
      </c>
      <c r="C369">
        <v>159.1</v>
      </c>
      <c r="E369">
        <v>12.201</v>
      </c>
      <c r="F369">
        <v>-349.4</v>
      </c>
      <c r="G369">
        <v>159.8</v>
      </c>
      <c r="I369">
        <f t="shared" si="15"/>
        <v>12.2</v>
      </c>
      <c r="J369">
        <f t="shared" si="16"/>
        <v>-146.4</v>
      </c>
      <c r="K369">
        <f t="shared" si="17"/>
        <v>-150</v>
      </c>
    </row>
    <row r="370" spans="1:11">
      <c r="A370">
        <v>12.268</v>
      </c>
      <c r="B370">
        <v>-342.2</v>
      </c>
      <c r="C370">
        <v>156.8</v>
      </c>
      <c r="E370">
        <v>12.235</v>
      </c>
      <c r="F370">
        <v>-344.8</v>
      </c>
      <c r="G370">
        <v>159.1</v>
      </c>
      <c r="I370">
        <f t="shared" si="15"/>
        <v>12.2</v>
      </c>
      <c r="J370">
        <f t="shared" si="16"/>
        <v>-141.8</v>
      </c>
      <c r="K370">
        <f t="shared" si="17"/>
        <v>-150</v>
      </c>
    </row>
    <row r="371" spans="1:11">
      <c r="A371">
        <v>12.301</v>
      </c>
      <c r="B371">
        <v>-340</v>
      </c>
      <c r="C371">
        <v>155.2</v>
      </c>
      <c r="E371">
        <v>12.268</v>
      </c>
      <c r="F371">
        <v>-342.2</v>
      </c>
      <c r="G371">
        <v>156.8</v>
      </c>
      <c r="I371">
        <f t="shared" si="15"/>
        <v>12.25</v>
      </c>
      <c r="J371">
        <f t="shared" si="16"/>
        <v>-139.2</v>
      </c>
      <c r="K371">
        <f t="shared" si="17"/>
        <v>-150</v>
      </c>
    </row>
    <row r="372" spans="1:11">
      <c r="A372">
        <v>12.335</v>
      </c>
      <c r="B372">
        <v>-334.9</v>
      </c>
      <c r="C372">
        <v>154.3</v>
      </c>
      <c r="E372">
        <v>12.301</v>
      </c>
      <c r="F372">
        <v>-340</v>
      </c>
      <c r="G372">
        <v>155.2</v>
      </c>
      <c r="I372">
        <f t="shared" si="15"/>
        <v>12.3</v>
      </c>
      <c r="J372">
        <f t="shared" si="16"/>
        <v>-137</v>
      </c>
      <c r="K372">
        <f t="shared" si="17"/>
        <v>-150</v>
      </c>
    </row>
    <row r="373" spans="1:11">
      <c r="A373">
        <v>12.368</v>
      </c>
      <c r="B373">
        <v>-328.3</v>
      </c>
      <c r="C373">
        <v>151.9</v>
      </c>
      <c r="E373">
        <v>12.335</v>
      </c>
      <c r="F373">
        <v>-334.9</v>
      </c>
      <c r="G373">
        <v>154.3</v>
      </c>
      <c r="I373">
        <f t="shared" si="15"/>
        <v>12.3</v>
      </c>
      <c r="J373">
        <f t="shared" si="16"/>
        <v>-131.9</v>
      </c>
      <c r="K373">
        <f t="shared" si="17"/>
        <v>-150</v>
      </c>
    </row>
    <row r="374" spans="1:11">
      <c r="A374">
        <v>12.402</v>
      </c>
      <c r="B374">
        <v>-320.6</v>
      </c>
      <c r="C374">
        <v>150.7</v>
      </c>
      <c r="E374">
        <v>12.368</v>
      </c>
      <c r="F374">
        <v>-328.3</v>
      </c>
      <c r="G374">
        <v>151.9</v>
      </c>
      <c r="I374">
        <f t="shared" si="15"/>
        <v>12.35</v>
      </c>
      <c r="J374">
        <f t="shared" si="16"/>
        <v>-125.3</v>
      </c>
      <c r="K374">
        <f t="shared" si="17"/>
        <v>-150</v>
      </c>
    </row>
    <row r="375" spans="1:11">
      <c r="A375">
        <v>12.435</v>
      </c>
      <c r="B375">
        <v>-311.9</v>
      </c>
      <c r="C375">
        <v>148.6</v>
      </c>
      <c r="E375">
        <v>12.402</v>
      </c>
      <c r="F375">
        <v>-320.6</v>
      </c>
      <c r="G375">
        <v>150.7</v>
      </c>
      <c r="I375">
        <f t="shared" si="15"/>
        <v>12.4</v>
      </c>
      <c r="J375">
        <f t="shared" si="16"/>
        <v>-117.6</v>
      </c>
      <c r="K375">
        <f t="shared" si="17"/>
        <v>-150</v>
      </c>
    </row>
    <row r="376" spans="1:11">
      <c r="A376">
        <v>12.469</v>
      </c>
      <c r="B376">
        <v>-303.4</v>
      </c>
      <c r="C376">
        <v>146.3</v>
      </c>
      <c r="E376">
        <v>12.435</v>
      </c>
      <c r="F376">
        <v>-311.9</v>
      </c>
      <c r="G376">
        <v>148.6</v>
      </c>
      <c r="I376">
        <f t="shared" si="15"/>
        <v>12.4</v>
      </c>
      <c r="J376">
        <f t="shared" si="16"/>
        <v>-108.9</v>
      </c>
      <c r="K376">
        <f t="shared" si="17"/>
        <v>-150</v>
      </c>
    </row>
    <row r="377" spans="1:11">
      <c r="A377">
        <v>12.502</v>
      </c>
      <c r="B377">
        <v>-293.5</v>
      </c>
      <c r="C377">
        <v>144.8</v>
      </c>
      <c r="E377">
        <v>12.469</v>
      </c>
      <c r="F377">
        <v>-303.4</v>
      </c>
      <c r="G377">
        <v>146.3</v>
      </c>
      <c r="I377">
        <f t="shared" si="15"/>
        <v>12.45</v>
      </c>
      <c r="J377">
        <f t="shared" si="16"/>
        <v>-100.4</v>
      </c>
      <c r="K377">
        <f t="shared" si="17"/>
        <v>-150</v>
      </c>
    </row>
    <row r="378" spans="1:11">
      <c r="A378">
        <v>12.535</v>
      </c>
      <c r="B378">
        <v>-284</v>
      </c>
      <c r="C378">
        <v>143.3</v>
      </c>
      <c r="E378">
        <v>12.502</v>
      </c>
      <c r="F378">
        <v>-293.5</v>
      </c>
      <c r="G378">
        <v>144.8</v>
      </c>
      <c r="I378">
        <f t="shared" si="15"/>
        <v>12.5</v>
      </c>
      <c r="J378">
        <f t="shared" si="16"/>
        <v>-90.5</v>
      </c>
      <c r="K378">
        <f t="shared" si="17"/>
        <v>-150</v>
      </c>
    </row>
    <row r="379" spans="1:11">
      <c r="A379">
        <v>12.569</v>
      </c>
      <c r="B379">
        <v>-273.6</v>
      </c>
      <c r="C379">
        <v>140.9</v>
      </c>
      <c r="E379">
        <v>12.535</v>
      </c>
      <c r="F379">
        <v>-284</v>
      </c>
      <c r="G379">
        <v>143.3</v>
      </c>
      <c r="I379">
        <f t="shared" si="15"/>
        <v>12.5</v>
      </c>
      <c r="J379">
        <f t="shared" si="16"/>
        <v>-81</v>
      </c>
      <c r="K379">
        <f t="shared" si="17"/>
        <v>-150</v>
      </c>
    </row>
    <row r="380" spans="1:11">
      <c r="A380">
        <v>12.602</v>
      </c>
      <c r="B380">
        <v>-263.5</v>
      </c>
      <c r="C380">
        <v>139.8</v>
      </c>
      <c r="E380">
        <v>12.569</v>
      </c>
      <c r="F380">
        <v>-273.6</v>
      </c>
      <c r="G380">
        <v>140.9</v>
      </c>
      <c r="I380">
        <f t="shared" si="15"/>
        <v>12.55</v>
      </c>
      <c r="J380">
        <f t="shared" si="16"/>
        <v>-70.6</v>
      </c>
      <c r="K380">
        <f t="shared" si="17"/>
        <v>-150</v>
      </c>
    </row>
    <row r="381" spans="1:11">
      <c r="A381">
        <v>12.636</v>
      </c>
      <c r="B381">
        <v>-252.4</v>
      </c>
      <c r="C381">
        <v>137.2</v>
      </c>
      <c r="E381">
        <v>12.602</v>
      </c>
      <c r="F381">
        <v>-263.5</v>
      </c>
      <c r="G381">
        <v>139.8</v>
      </c>
      <c r="I381">
        <f t="shared" si="15"/>
        <v>12.6</v>
      </c>
      <c r="J381">
        <f t="shared" si="16"/>
        <v>-60.5</v>
      </c>
      <c r="K381">
        <f t="shared" si="17"/>
        <v>-150</v>
      </c>
    </row>
    <row r="382" spans="1:11">
      <c r="A382">
        <v>12.669</v>
      </c>
      <c r="B382">
        <v>-242.5</v>
      </c>
      <c r="C382">
        <v>135.8</v>
      </c>
      <c r="E382">
        <v>12.636</v>
      </c>
      <c r="F382">
        <v>-252.4</v>
      </c>
      <c r="G382">
        <v>137.2</v>
      </c>
      <c r="I382">
        <f t="shared" si="15"/>
        <v>12.6</v>
      </c>
      <c r="J382">
        <f t="shared" si="16"/>
        <v>-49.4</v>
      </c>
      <c r="K382">
        <f t="shared" si="17"/>
        <v>-150</v>
      </c>
    </row>
    <row r="383" spans="1:11">
      <c r="A383">
        <v>12.703</v>
      </c>
      <c r="B383">
        <v>-233.4</v>
      </c>
      <c r="C383">
        <v>133.8</v>
      </c>
      <c r="E383">
        <v>12.669</v>
      </c>
      <c r="F383">
        <v>-242.5</v>
      </c>
      <c r="G383">
        <v>135.8</v>
      </c>
      <c r="I383">
        <f t="shared" si="15"/>
        <v>12.65</v>
      </c>
      <c r="J383">
        <f t="shared" si="16"/>
        <v>-39.5</v>
      </c>
      <c r="K383">
        <f t="shared" si="17"/>
        <v>-150</v>
      </c>
    </row>
    <row r="384" spans="1:11">
      <c r="A384">
        <v>12.736</v>
      </c>
      <c r="B384">
        <v>-223.8</v>
      </c>
      <c r="C384">
        <v>130.6</v>
      </c>
      <c r="E384">
        <v>12.703</v>
      </c>
      <c r="F384">
        <v>-233.4</v>
      </c>
      <c r="G384">
        <v>133.8</v>
      </c>
      <c r="I384">
        <f t="shared" si="15"/>
        <v>12.7</v>
      </c>
      <c r="J384">
        <f t="shared" si="16"/>
        <v>-30.4</v>
      </c>
      <c r="K384">
        <f t="shared" si="17"/>
        <v>-150</v>
      </c>
    </row>
    <row r="385" spans="1:11">
      <c r="A385">
        <v>12.769</v>
      </c>
      <c r="B385">
        <v>-214.4</v>
      </c>
      <c r="C385">
        <v>128.9</v>
      </c>
      <c r="E385">
        <v>12.736</v>
      </c>
      <c r="F385">
        <v>-223.8</v>
      </c>
      <c r="G385">
        <v>130.6</v>
      </c>
      <c r="I385">
        <f t="shared" si="15"/>
        <v>12.7</v>
      </c>
      <c r="J385">
        <f t="shared" si="16"/>
        <v>-20.8</v>
      </c>
      <c r="K385">
        <f t="shared" si="17"/>
        <v>-150</v>
      </c>
    </row>
    <row r="386" spans="1:11">
      <c r="A386">
        <v>12.803</v>
      </c>
      <c r="B386">
        <v>-206.8</v>
      </c>
      <c r="C386">
        <v>127.2</v>
      </c>
      <c r="E386">
        <v>12.769</v>
      </c>
      <c r="F386">
        <v>-214.4</v>
      </c>
      <c r="G386">
        <v>128.9</v>
      </c>
      <c r="I386">
        <f t="shared" si="15"/>
        <v>12.75</v>
      </c>
      <c r="J386">
        <f t="shared" si="16"/>
        <v>-11.4</v>
      </c>
      <c r="K386">
        <f t="shared" si="17"/>
        <v>-150</v>
      </c>
    </row>
    <row r="387" spans="1:11">
      <c r="A387">
        <v>12.836</v>
      </c>
      <c r="B387">
        <v>-199.3</v>
      </c>
      <c r="C387">
        <v>226</v>
      </c>
      <c r="E387">
        <v>12.803</v>
      </c>
      <c r="F387">
        <v>-206.8</v>
      </c>
      <c r="G387">
        <v>127.2</v>
      </c>
      <c r="I387">
        <f t="shared" si="15"/>
        <v>12.8</v>
      </c>
      <c r="J387">
        <f t="shared" si="16"/>
        <v>-3.80000000000001</v>
      </c>
      <c r="K387">
        <f t="shared" si="17"/>
        <v>-150</v>
      </c>
    </row>
    <row r="388" spans="1:11">
      <c r="A388">
        <v>12.87</v>
      </c>
      <c r="B388">
        <v>-191.9</v>
      </c>
      <c r="C388">
        <v>238.3</v>
      </c>
      <c r="E388">
        <v>12.836</v>
      </c>
      <c r="F388">
        <v>-199.3</v>
      </c>
      <c r="G388">
        <v>226</v>
      </c>
      <c r="I388">
        <f t="shared" ref="I388:I451" si="18">FLOOR(E388,0.05)</f>
        <v>12.8</v>
      </c>
      <c r="J388">
        <f t="shared" ref="J388:J451" si="19">F388+203</f>
        <v>3.69999999999999</v>
      </c>
      <c r="K388">
        <f t="shared" si="17"/>
        <v>-150</v>
      </c>
    </row>
    <row r="389" spans="1:11">
      <c r="A389">
        <v>12.903</v>
      </c>
      <c r="B389">
        <v>-185.3</v>
      </c>
      <c r="C389">
        <v>238.3</v>
      </c>
      <c r="E389">
        <v>12.87</v>
      </c>
      <c r="F389">
        <v>-191.9</v>
      </c>
      <c r="G389">
        <v>238.3</v>
      </c>
      <c r="I389">
        <f t="shared" si="18"/>
        <v>12.85</v>
      </c>
      <c r="J389">
        <f t="shared" si="19"/>
        <v>11.1</v>
      </c>
      <c r="K389">
        <f t="shared" ref="K389:K452" si="20">IF(G389&lt;230,-150,100)</f>
        <v>100</v>
      </c>
    </row>
    <row r="390" spans="1:11">
      <c r="A390">
        <v>12.937</v>
      </c>
      <c r="B390">
        <v>-179.9</v>
      </c>
      <c r="C390">
        <v>238.3</v>
      </c>
      <c r="E390">
        <v>12.903</v>
      </c>
      <c r="F390">
        <v>-185.3</v>
      </c>
      <c r="G390">
        <v>238.3</v>
      </c>
      <c r="I390">
        <f t="shared" si="18"/>
        <v>12.9</v>
      </c>
      <c r="J390">
        <f t="shared" si="19"/>
        <v>17.7</v>
      </c>
      <c r="K390">
        <f t="shared" si="20"/>
        <v>100</v>
      </c>
    </row>
    <row r="391" spans="1:11">
      <c r="A391">
        <v>12.97</v>
      </c>
      <c r="B391">
        <v>-175.2</v>
      </c>
      <c r="C391">
        <v>238.3</v>
      </c>
      <c r="E391">
        <v>12.937</v>
      </c>
      <c r="F391">
        <v>-179.9</v>
      </c>
      <c r="G391">
        <v>238.3</v>
      </c>
      <c r="I391">
        <f t="shared" si="18"/>
        <v>12.9</v>
      </c>
      <c r="J391">
        <f t="shared" si="19"/>
        <v>23.1</v>
      </c>
      <c r="K391">
        <f t="shared" si="20"/>
        <v>100</v>
      </c>
    </row>
    <row r="392" spans="1:11">
      <c r="A392">
        <v>13.003</v>
      </c>
      <c r="B392">
        <v>-171.8</v>
      </c>
      <c r="C392">
        <v>238.3</v>
      </c>
      <c r="E392">
        <v>12.97</v>
      </c>
      <c r="F392">
        <v>-175.2</v>
      </c>
      <c r="G392">
        <v>238.3</v>
      </c>
      <c r="I392">
        <f t="shared" si="18"/>
        <v>12.95</v>
      </c>
      <c r="J392">
        <f t="shared" si="19"/>
        <v>27.8</v>
      </c>
      <c r="K392">
        <f t="shared" si="20"/>
        <v>100</v>
      </c>
    </row>
    <row r="393" spans="1:11">
      <c r="A393">
        <v>13.037</v>
      </c>
      <c r="B393">
        <v>-169.2</v>
      </c>
      <c r="C393">
        <v>238.3</v>
      </c>
      <c r="E393">
        <v>13.003</v>
      </c>
      <c r="F393">
        <v>-171.8</v>
      </c>
      <c r="G393">
        <v>238.3</v>
      </c>
      <c r="I393">
        <f t="shared" si="18"/>
        <v>13</v>
      </c>
      <c r="J393">
        <f t="shared" si="19"/>
        <v>31.2</v>
      </c>
      <c r="K393">
        <f t="shared" si="20"/>
        <v>100</v>
      </c>
    </row>
    <row r="394" spans="1:11">
      <c r="A394">
        <v>13.07</v>
      </c>
      <c r="B394">
        <v>-167.8</v>
      </c>
      <c r="C394" s="2">
        <v>238.3</v>
      </c>
      <c r="D394" s="2"/>
      <c r="E394">
        <v>13.037</v>
      </c>
      <c r="F394">
        <v>-169.2</v>
      </c>
      <c r="G394">
        <v>238.3</v>
      </c>
      <c r="I394">
        <f t="shared" si="18"/>
        <v>13</v>
      </c>
      <c r="J394">
        <f t="shared" si="19"/>
        <v>33.8</v>
      </c>
      <c r="K394">
        <f t="shared" si="20"/>
        <v>100</v>
      </c>
    </row>
    <row r="395" spans="1:11">
      <c r="A395">
        <v>13.104</v>
      </c>
      <c r="B395">
        <v>-167</v>
      </c>
      <c r="C395" s="2">
        <v>238.3</v>
      </c>
      <c r="D395" s="2"/>
      <c r="E395">
        <v>13.07</v>
      </c>
      <c r="F395">
        <v>-167.8</v>
      </c>
      <c r="G395" s="2">
        <v>238.3</v>
      </c>
      <c r="I395">
        <f t="shared" si="18"/>
        <v>13.05</v>
      </c>
      <c r="J395">
        <f t="shared" si="19"/>
        <v>35.2</v>
      </c>
      <c r="K395">
        <f t="shared" si="20"/>
        <v>100</v>
      </c>
    </row>
    <row r="396" spans="1:11">
      <c r="A396">
        <v>13.137</v>
      </c>
      <c r="B396">
        <v>-167</v>
      </c>
      <c r="C396" s="2">
        <v>238.3</v>
      </c>
      <c r="D396" s="2"/>
      <c r="E396">
        <v>13.104</v>
      </c>
      <c r="F396">
        <v>-167</v>
      </c>
      <c r="G396" s="2">
        <v>238.3</v>
      </c>
      <c r="I396">
        <f t="shared" si="18"/>
        <v>13.1</v>
      </c>
      <c r="J396">
        <f t="shared" si="19"/>
        <v>36</v>
      </c>
      <c r="K396">
        <f t="shared" si="20"/>
        <v>100</v>
      </c>
    </row>
    <row r="397" spans="1:11">
      <c r="A397">
        <v>13.171</v>
      </c>
      <c r="B397">
        <v>-168</v>
      </c>
      <c r="C397" s="2">
        <v>238.3</v>
      </c>
      <c r="D397" s="2"/>
      <c r="E397">
        <v>13.137</v>
      </c>
      <c r="F397">
        <v>-167</v>
      </c>
      <c r="G397" s="2">
        <v>238.3</v>
      </c>
      <c r="I397">
        <f t="shared" si="18"/>
        <v>13.1</v>
      </c>
      <c r="J397">
        <f t="shared" si="19"/>
        <v>36</v>
      </c>
      <c r="K397">
        <f t="shared" si="20"/>
        <v>100</v>
      </c>
    </row>
    <row r="398" spans="1:11">
      <c r="A398">
        <v>13.204</v>
      </c>
      <c r="B398">
        <v>-169.8</v>
      </c>
      <c r="C398" s="2">
        <v>238.4</v>
      </c>
      <c r="D398" s="2"/>
      <c r="E398">
        <v>13.171</v>
      </c>
      <c r="F398">
        <v>-168</v>
      </c>
      <c r="G398" s="2">
        <v>238.3</v>
      </c>
      <c r="I398">
        <f t="shared" si="18"/>
        <v>13.15</v>
      </c>
      <c r="J398">
        <f t="shared" si="19"/>
        <v>35</v>
      </c>
      <c r="K398">
        <f t="shared" si="20"/>
        <v>100</v>
      </c>
    </row>
    <row r="399" spans="1:11">
      <c r="A399">
        <v>13.237</v>
      </c>
      <c r="B399">
        <v>-173.1</v>
      </c>
      <c r="C399" s="2">
        <v>238.4</v>
      </c>
      <c r="D399" s="2"/>
      <c r="E399">
        <v>13.204</v>
      </c>
      <c r="F399">
        <v>-169.8</v>
      </c>
      <c r="G399" s="2">
        <v>238.4</v>
      </c>
      <c r="I399">
        <f t="shared" si="18"/>
        <v>13.2</v>
      </c>
      <c r="J399">
        <f t="shared" si="19"/>
        <v>33.2</v>
      </c>
      <c r="K399">
        <f t="shared" si="20"/>
        <v>100</v>
      </c>
    </row>
    <row r="400" spans="1:11">
      <c r="A400">
        <v>13.271</v>
      </c>
      <c r="B400">
        <v>-176.2</v>
      </c>
      <c r="C400" s="2">
        <v>238.3</v>
      </c>
      <c r="D400" s="2"/>
      <c r="E400">
        <v>13.237</v>
      </c>
      <c r="F400">
        <v>-173.1</v>
      </c>
      <c r="G400" s="2">
        <v>238.4</v>
      </c>
      <c r="I400">
        <f t="shared" si="18"/>
        <v>13.2</v>
      </c>
      <c r="J400">
        <f t="shared" si="19"/>
        <v>29.9</v>
      </c>
      <c r="K400">
        <f t="shared" si="20"/>
        <v>100</v>
      </c>
    </row>
    <row r="401" spans="1:11">
      <c r="A401">
        <v>13.304</v>
      </c>
      <c r="B401">
        <v>-181.6</v>
      </c>
      <c r="C401" s="2">
        <v>238.4</v>
      </c>
      <c r="D401" s="2"/>
      <c r="E401">
        <v>13.271</v>
      </c>
      <c r="F401">
        <v>-176.2</v>
      </c>
      <c r="G401" s="2">
        <v>238.3</v>
      </c>
      <c r="I401">
        <f t="shared" si="18"/>
        <v>13.25</v>
      </c>
      <c r="J401">
        <f t="shared" si="19"/>
        <v>26.8</v>
      </c>
      <c r="K401">
        <f t="shared" si="20"/>
        <v>100</v>
      </c>
    </row>
    <row r="402" spans="1:11">
      <c r="A402">
        <v>13.338</v>
      </c>
      <c r="B402">
        <v>-186.8</v>
      </c>
      <c r="C402" s="2">
        <v>238.4</v>
      </c>
      <c r="D402" s="2"/>
      <c r="E402">
        <v>13.304</v>
      </c>
      <c r="F402">
        <v>-181.6</v>
      </c>
      <c r="G402" s="2">
        <v>238.4</v>
      </c>
      <c r="I402">
        <f t="shared" si="18"/>
        <v>13.3</v>
      </c>
      <c r="J402">
        <f t="shared" si="19"/>
        <v>21.4</v>
      </c>
      <c r="K402">
        <f t="shared" si="20"/>
        <v>100</v>
      </c>
    </row>
    <row r="403" spans="1:11">
      <c r="A403">
        <v>13.371</v>
      </c>
      <c r="B403">
        <v>-193.8</v>
      </c>
      <c r="C403" s="2">
        <v>238.4</v>
      </c>
      <c r="D403" s="2"/>
      <c r="E403">
        <v>13.338</v>
      </c>
      <c r="F403">
        <v>-186.8</v>
      </c>
      <c r="G403" s="2">
        <v>238.4</v>
      </c>
      <c r="I403">
        <f t="shared" si="18"/>
        <v>13.3</v>
      </c>
      <c r="J403">
        <f t="shared" si="19"/>
        <v>16.2</v>
      </c>
      <c r="K403">
        <f t="shared" si="20"/>
        <v>100</v>
      </c>
    </row>
    <row r="404" spans="1:11">
      <c r="A404">
        <v>13.405</v>
      </c>
      <c r="B404">
        <v>-201.1</v>
      </c>
      <c r="C404" s="2">
        <v>238.4</v>
      </c>
      <c r="D404" s="2"/>
      <c r="E404">
        <v>13.371</v>
      </c>
      <c r="F404">
        <v>-193.8</v>
      </c>
      <c r="G404" s="2">
        <v>238.4</v>
      </c>
      <c r="I404">
        <f t="shared" si="18"/>
        <v>13.35</v>
      </c>
      <c r="J404">
        <f t="shared" si="19"/>
        <v>9.19999999999999</v>
      </c>
      <c r="K404">
        <f t="shared" si="20"/>
        <v>100</v>
      </c>
    </row>
    <row r="405" spans="1:11">
      <c r="A405">
        <v>13.438</v>
      </c>
      <c r="B405">
        <v>-208.2</v>
      </c>
      <c r="C405" s="2">
        <v>238.3</v>
      </c>
      <c r="D405" s="2"/>
      <c r="E405">
        <v>13.405</v>
      </c>
      <c r="F405">
        <v>-201.1</v>
      </c>
      <c r="G405" s="2">
        <v>238.4</v>
      </c>
      <c r="I405">
        <f t="shared" si="18"/>
        <v>13.4</v>
      </c>
      <c r="J405">
        <f t="shared" si="19"/>
        <v>1.90000000000001</v>
      </c>
      <c r="K405">
        <f t="shared" si="20"/>
        <v>100</v>
      </c>
    </row>
    <row r="406" spans="1:11">
      <c r="A406">
        <v>13.471</v>
      </c>
      <c r="B406">
        <v>-216.2</v>
      </c>
      <c r="C406" s="2">
        <v>238.3</v>
      </c>
      <c r="D406" s="2"/>
      <c r="E406">
        <v>13.438</v>
      </c>
      <c r="F406">
        <v>-208.2</v>
      </c>
      <c r="G406" s="2">
        <v>238.3</v>
      </c>
      <c r="I406">
        <f t="shared" si="18"/>
        <v>13.4</v>
      </c>
      <c r="J406">
        <f t="shared" si="19"/>
        <v>-5.19999999999999</v>
      </c>
      <c r="K406">
        <f t="shared" si="20"/>
        <v>100</v>
      </c>
    </row>
    <row r="407" spans="1:11">
      <c r="A407">
        <v>13.505</v>
      </c>
      <c r="B407">
        <v>-224.6</v>
      </c>
      <c r="C407" s="2">
        <v>238.3</v>
      </c>
      <c r="D407" s="2"/>
      <c r="E407">
        <v>13.471</v>
      </c>
      <c r="F407">
        <v>-216.2</v>
      </c>
      <c r="G407" s="2">
        <v>238.3</v>
      </c>
      <c r="I407">
        <f t="shared" si="18"/>
        <v>13.45</v>
      </c>
      <c r="J407">
        <f t="shared" si="19"/>
        <v>-13.2</v>
      </c>
      <c r="K407">
        <f t="shared" si="20"/>
        <v>100</v>
      </c>
    </row>
    <row r="408" spans="1:11">
      <c r="A408">
        <v>13.538</v>
      </c>
      <c r="B408">
        <v>-233.2</v>
      </c>
      <c r="C408">
        <v>238.3</v>
      </c>
      <c r="E408">
        <v>13.505</v>
      </c>
      <c r="F408">
        <v>-224.6</v>
      </c>
      <c r="G408" s="2">
        <v>238.3</v>
      </c>
      <c r="I408">
        <f t="shared" si="18"/>
        <v>13.5</v>
      </c>
      <c r="J408">
        <f t="shared" si="19"/>
        <v>-21.6</v>
      </c>
      <c r="K408">
        <f t="shared" si="20"/>
        <v>100</v>
      </c>
    </row>
    <row r="409" spans="1:11">
      <c r="A409">
        <v>13.572</v>
      </c>
      <c r="B409">
        <v>-242.4</v>
      </c>
      <c r="C409">
        <v>238.4</v>
      </c>
      <c r="E409">
        <v>13.538</v>
      </c>
      <c r="F409">
        <v>-233.2</v>
      </c>
      <c r="G409">
        <v>238.3</v>
      </c>
      <c r="I409">
        <f t="shared" si="18"/>
        <v>13.5</v>
      </c>
      <c r="J409">
        <f t="shared" si="19"/>
        <v>-30.2</v>
      </c>
      <c r="K409">
        <f t="shared" si="20"/>
        <v>100</v>
      </c>
    </row>
    <row r="410" spans="1:11">
      <c r="A410">
        <v>13.605</v>
      </c>
      <c r="B410">
        <v>-250.7</v>
      </c>
      <c r="C410">
        <v>221.1</v>
      </c>
      <c r="E410">
        <v>13.572</v>
      </c>
      <c r="F410">
        <v>-242.4</v>
      </c>
      <c r="G410">
        <v>238.4</v>
      </c>
      <c r="I410">
        <f t="shared" si="18"/>
        <v>13.55</v>
      </c>
      <c r="J410">
        <f t="shared" si="19"/>
        <v>-39.4</v>
      </c>
      <c r="K410">
        <f t="shared" si="20"/>
        <v>100</v>
      </c>
    </row>
    <row r="411" spans="1:11">
      <c r="A411">
        <v>13.639</v>
      </c>
      <c r="B411">
        <v>-261.8</v>
      </c>
      <c r="C411">
        <v>155</v>
      </c>
      <c r="E411">
        <v>13.605</v>
      </c>
      <c r="F411">
        <v>-250.7</v>
      </c>
      <c r="G411">
        <v>221.1</v>
      </c>
      <c r="I411">
        <f t="shared" si="18"/>
        <v>13.6</v>
      </c>
      <c r="J411">
        <f t="shared" si="19"/>
        <v>-47.7</v>
      </c>
      <c r="K411">
        <f t="shared" si="20"/>
        <v>-150</v>
      </c>
    </row>
    <row r="412" spans="1:11">
      <c r="A412">
        <v>13.672</v>
      </c>
      <c r="B412">
        <v>-271.6</v>
      </c>
      <c r="C412">
        <v>162.4</v>
      </c>
      <c r="E412">
        <v>13.639</v>
      </c>
      <c r="F412">
        <v>-261.8</v>
      </c>
      <c r="G412">
        <v>155</v>
      </c>
      <c r="I412">
        <f t="shared" si="18"/>
        <v>13.6</v>
      </c>
      <c r="J412">
        <f t="shared" si="19"/>
        <v>-58.8</v>
      </c>
      <c r="K412">
        <f t="shared" si="20"/>
        <v>-150</v>
      </c>
    </row>
    <row r="413" spans="1:11">
      <c r="A413">
        <v>13.705</v>
      </c>
      <c r="B413">
        <v>-281.4</v>
      </c>
      <c r="C413">
        <v>160.1</v>
      </c>
      <c r="E413">
        <v>13.672</v>
      </c>
      <c r="F413">
        <v>-271.6</v>
      </c>
      <c r="G413">
        <v>162.4</v>
      </c>
      <c r="I413">
        <f t="shared" si="18"/>
        <v>13.65</v>
      </c>
      <c r="J413">
        <f t="shared" si="19"/>
        <v>-68.6</v>
      </c>
      <c r="K413">
        <f t="shared" si="20"/>
        <v>-150</v>
      </c>
    </row>
    <row r="414" spans="1:11">
      <c r="A414">
        <v>13.739</v>
      </c>
      <c r="B414">
        <v>-289.3</v>
      </c>
      <c r="C414">
        <v>159.3</v>
      </c>
      <c r="E414">
        <v>13.705</v>
      </c>
      <c r="F414">
        <v>-281.4</v>
      </c>
      <c r="G414">
        <v>160.1</v>
      </c>
      <c r="I414">
        <f t="shared" si="18"/>
        <v>13.7</v>
      </c>
      <c r="J414">
        <f t="shared" si="19"/>
        <v>-78.4</v>
      </c>
      <c r="K414">
        <f t="shared" si="20"/>
        <v>-150</v>
      </c>
    </row>
    <row r="415" spans="1:11">
      <c r="A415">
        <v>13.772</v>
      </c>
      <c r="B415">
        <v>-298</v>
      </c>
      <c r="C415">
        <v>158.5</v>
      </c>
      <c r="E415">
        <v>13.739</v>
      </c>
      <c r="F415">
        <v>-289.3</v>
      </c>
      <c r="G415">
        <v>159.3</v>
      </c>
      <c r="I415">
        <f t="shared" si="18"/>
        <v>13.7</v>
      </c>
      <c r="J415">
        <f t="shared" si="19"/>
        <v>-86.3</v>
      </c>
      <c r="K415">
        <f t="shared" si="20"/>
        <v>-150</v>
      </c>
    </row>
    <row r="416" spans="1:11">
      <c r="A416">
        <v>13.806</v>
      </c>
      <c r="B416">
        <v>-305.5</v>
      </c>
      <c r="C416">
        <v>156.3</v>
      </c>
      <c r="E416">
        <v>13.772</v>
      </c>
      <c r="F416">
        <v>-298</v>
      </c>
      <c r="G416">
        <v>158.5</v>
      </c>
      <c r="I416">
        <f t="shared" si="18"/>
        <v>13.75</v>
      </c>
      <c r="J416">
        <f t="shared" si="19"/>
        <v>-95</v>
      </c>
      <c r="K416">
        <f t="shared" si="20"/>
        <v>-150</v>
      </c>
    </row>
    <row r="417" spans="1:11">
      <c r="A417">
        <v>13.839</v>
      </c>
      <c r="B417">
        <v>-312.4</v>
      </c>
      <c r="C417">
        <v>155</v>
      </c>
      <c r="E417">
        <v>13.806</v>
      </c>
      <c r="F417">
        <v>-305.5</v>
      </c>
      <c r="G417">
        <v>156.3</v>
      </c>
      <c r="I417">
        <f t="shared" si="18"/>
        <v>13.8</v>
      </c>
      <c r="J417">
        <f t="shared" si="19"/>
        <v>-102.5</v>
      </c>
      <c r="K417">
        <f t="shared" si="20"/>
        <v>-150</v>
      </c>
    </row>
    <row r="418" spans="1:11">
      <c r="A418">
        <v>13.873</v>
      </c>
      <c r="B418">
        <v>-319.2</v>
      </c>
      <c r="C418">
        <v>153.4</v>
      </c>
      <c r="E418">
        <v>13.839</v>
      </c>
      <c r="F418">
        <v>-312.4</v>
      </c>
      <c r="G418">
        <v>155</v>
      </c>
      <c r="I418">
        <f t="shared" si="18"/>
        <v>13.8</v>
      </c>
      <c r="J418">
        <f t="shared" si="19"/>
        <v>-109.4</v>
      </c>
      <c r="K418">
        <f t="shared" si="20"/>
        <v>-150</v>
      </c>
    </row>
    <row r="419" spans="1:11">
      <c r="A419">
        <v>13.906</v>
      </c>
      <c r="B419">
        <v>-325.3</v>
      </c>
      <c r="C419">
        <v>151.3</v>
      </c>
      <c r="E419">
        <v>13.873</v>
      </c>
      <c r="F419">
        <v>-319.2</v>
      </c>
      <c r="G419">
        <v>153.4</v>
      </c>
      <c r="I419">
        <f t="shared" si="18"/>
        <v>13.85</v>
      </c>
      <c r="J419">
        <f t="shared" si="19"/>
        <v>-116.2</v>
      </c>
      <c r="K419">
        <f t="shared" si="20"/>
        <v>-150</v>
      </c>
    </row>
    <row r="420" spans="1:11">
      <c r="A420">
        <v>13.939</v>
      </c>
      <c r="B420">
        <v>-330.2</v>
      </c>
      <c r="C420">
        <v>149.8</v>
      </c>
      <c r="E420">
        <v>13.906</v>
      </c>
      <c r="F420">
        <v>-325.3</v>
      </c>
      <c r="G420">
        <v>151.3</v>
      </c>
      <c r="I420">
        <f t="shared" si="18"/>
        <v>13.9</v>
      </c>
      <c r="J420">
        <f t="shared" si="19"/>
        <v>-122.3</v>
      </c>
      <c r="K420">
        <f t="shared" si="20"/>
        <v>-150</v>
      </c>
    </row>
    <row r="421" spans="1:11">
      <c r="A421">
        <v>13.973</v>
      </c>
      <c r="B421">
        <v>-334.9</v>
      </c>
      <c r="C421">
        <v>148.6</v>
      </c>
      <c r="E421">
        <v>13.939</v>
      </c>
      <c r="F421">
        <v>-330.2</v>
      </c>
      <c r="G421">
        <v>149.8</v>
      </c>
      <c r="I421">
        <f t="shared" si="18"/>
        <v>13.9</v>
      </c>
      <c r="J421">
        <f t="shared" si="19"/>
        <v>-127.2</v>
      </c>
      <c r="K421">
        <f t="shared" si="20"/>
        <v>-150</v>
      </c>
    </row>
    <row r="422" spans="1:11">
      <c r="A422">
        <v>14.006</v>
      </c>
      <c r="C422">
        <v>145.2</v>
      </c>
      <c r="E422">
        <v>13.973</v>
      </c>
      <c r="F422">
        <v>-334.9</v>
      </c>
      <c r="G422">
        <v>148.6</v>
      </c>
      <c r="I422">
        <f t="shared" si="18"/>
        <v>13.95</v>
      </c>
      <c r="J422">
        <f t="shared" si="19"/>
        <v>-131.9</v>
      </c>
      <c r="K422">
        <f t="shared" si="20"/>
        <v>-150</v>
      </c>
    </row>
    <row r="423" spans="1:11">
      <c r="A423">
        <v>14.04</v>
      </c>
      <c r="C423">
        <v>144.2</v>
      </c>
      <c r="E423">
        <v>14.006</v>
      </c>
      <c r="F423">
        <v>-333.9</v>
      </c>
      <c r="G423">
        <v>145.2</v>
      </c>
      <c r="I423">
        <f t="shared" si="18"/>
        <v>14</v>
      </c>
      <c r="J423">
        <f t="shared" si="19"/>
        <v>-130.9</v>
      </c>
      <c r="K423">
        <f t="shared" si="20"/>
        <v>-150</v>
      </c>
    </row>
    <row r="424" spans="1:11">
      <c r="A424">
        <v>14.073</v>
      </c>
      <c r="C424">
        <v>143</v>
      </c>
      <c r="E424">
        <v>14.04</v>
      </c>
      <c r="F424">
        <v>-332.9</v>
      </c>
      <c r="G424">
        <v>144.2</v>
      </c>
      <c r="I424">
        <f t="shared" si="18"/>
        <v>14</v>
      </c>
      <c r="J424">
        <f t="shared" si="19"/>
        <v>-129.9</v>
      </c>
      <c r="K424">
        <f t="shared" si="20"/>
        <v>-150</v>
      </c>
    </row>
    <row r="425" spans="1:11">
      <c r="A425">
        <v>14.107</v>
      </c>
      <c r="B425">
        <v>-342.6</v>
      </c>
      <c r="C425">
        <v>140.1</v>
      </c>
      <c r="E425">
        <v>14.073</v>
      </c>
      <c r="F425">
        <v>-331.9</v>
      </c>
      <c r="G425">
        <v>143</v>
      </c>
      <c r="I425">
        <f t="shared" si="18"/>
        <v>14.05</v>
      </c>
      <c r="J425">
        <f t="shared" si="19"/>
        <v>-128.9</v>
      </c>
      <c r="K425">
        <f t="shared" si="20"/>
        <v>-150</v>
      </c>
    </row>
    <row r="426" spans="1:11">
      <c r="A426">
        <v>14.14</v>
      </c>
      <c r="B426">
        <v>-341.9</v>
      </c>
      <c r="C426">
        <v>138.5</v>
      </c>
      <c r="E426">
        <v>14.107</v>
      </c>
      <c r="F426">
        <v>-342.6</v>
      </c>
      <c r="G426">
        <v>140.1</v>
      </c>
      <c r="I426">
        <f t="shared" si="18"/>
        <v>14.1</v>
      </c>
      <c r="J426">
        <f t="shared" si="19"/>
        <v>-139.6</v>
      </c>
      <c r="K426">
        <f t="shared" si="20"/>
        <v>-150</v>
      </c>
    </row>
    <row r="427" spans="1:11">
      <c r="A427">
        <v>14.173</v>
      </c>
      <c r="C427">
        <v>136.3</v>
      </c>
      <c r="E427">
        <v>14.14</v>
      </c>
      <c r="F427">
        <v>-341.9</v>
      </c>
      <c r="G427">
        <v>138.5</v>
      </c>
      <c r="I427">
        <f t="shared" si="18"/>
        <v>14.1</v>
      </c>
      <c r="J427">
        <f t="shared" si="19"/>
        <v>-138.9</v>
      </c>
      <c r="K427">
        <f t="shared" si="20"/>
        <v>-150</v>
      </c>
    </row>
    <row r="428" spans="1:11">
      <c r="A428">
        <v>14.207</v>
      </c>
      <c r="C428">
        <v>134.9</v>
      </c>
      <c r="E428">
        <v>14.173</v>
      </c>
      <c r="F428">
        <v>-340.9</v>
      </c>
      <c r="G428">
        <v>136.3</v>
      </c>
      <c r="I428">
        <f t="shared" si="18"/>
        <v>14.15</v>
      </c>
      <c r="J428">
        <f t="shared" si="19"/>
        <v>-137.9</v>
      </c>
      <c r="K428">
        <f t="shared" si="20"/>
        <v>-150</v>
      </c>
    </row>
    <row r="429" spans="1:11">
      <c r="A429">
        <v>14.24</v>
      </c>
      <c r="B429">
        <v>-334.4</v>
      </c>
      <c r="C429">
        <v>131.7</v>
      </c>
      <c r="E429">
        <v>14.207</v>
      </c>
      <c r="F429">
        <v>-339.9</v>
      </c>
      <c r="G429">
        <v>134.9</v>
      </c>
      <c r="I429">
        <f t="shared" si="18"/>
        <v>14.2</v>
      </c>
      <c r="J429">
        <f t="shared" si="19"/>
        <v>-136.9</v>
      </c>
      <c r="K429">
        <f t="shared" si="20"/>
        <v>-150</v>
      </c>
    </row>
    <row r="430" spans="1:11">
      <c r="A430">
        <v>14.274</v>
      </c>
      <c r="B430">
        <v>-329.7</v>
      </c>
      <c r="C430">
        <v>131.2</v>
      </c>
      <c r="E430">
        <v>14.24</v>
      </c>
      <c r="F430">
        <v>-334.4</v>
      </c>
      <c r="G430">
        <v>131.7</v>
      </c>
      <c r="I430">
        <f t="shared" si="18"/>
        <v>14.2</v>
      </c>
      <c r="J430">
        <f t="shared" si="19"/>
        <v>-131.4</v>
      </c>
      <c r="K430">
        <f t="shared" si="20"/>
        <v>-150</v>
      </c>
    </row>
    <row r="431" spans="1:11">
      <c r="A431">
        <v>14.307</v>
      </c>
      <c r="B431">
        <v>-324.9</v>
      </c>
      <c r="C431">
        <v>128.2</v>
      </c>
      <c r="E431">
        <v>14.274</v>
      </c>
      <c r="F431">
        <v>-329.7</v>
      </c>
      <c r="G431">
        <v>131.2</v>
      </c>
      <c r="I431">
        <f t="shared" si="18"/>
        <v>14.25</v>
      </c>
      <c r="J431">
        <f t="shared" si="19"/>
        <v>-126.7</v>
      </c>
      <c r="K431">
        <f t="shared" si="20"/>
        <v>-150</v>
      </c>
    </row>
    <row r="432" spans="1:11">
      <c r="A432">
        <v>14.341</v>
      </c>
      <c r="B432">
        <v>-318.8</v>
      </c>
      <c r="C432">
        <v>233.5</v>
      </c>
      <c r="E432">
        <v>14.307</v>
      </c>
      <c r="F432">
        <v>-324.9</v>
      </c>
      <c r="G432">
        <v>128.2</v>
      </c>
      <c r="I432">
        <f t="shared" si="18"/>
        <v>14.3</v>
      </c>
      <c r="J432">
        <f t="shared" si="19"/>
        <v>-121.9</v>
      </c>
      <c r="K432">
        <f t="shared" si="20"/>
        <v>-150</v>
      </c>
    </row>
    <row r="433" spans="1:11">
      <c r="A433">
        <v>14.374</v>
      </c>
      <c r="B433">
        <v>-312.5</v>
      </c>
      <c r="C433">
        <v>238.4</v>
      </c>
      <c r="E433">
        <v>14.341</v>
      </c>
      <c r="F433">
        <v>-318.8</v>
      </c>
      <c r="G433">
        <v>233.5</v>
      </c>
      <c r="I433">
        <f t="shared" si="18"/>
        <v>14.3</v>
      </c>
      <c r="J433">
        <f t="shared" si="19"/>
        <v>-115.8</v>
      </c>
      <c r="K433">
        <f t="shared" si="20"/>
        <v>100</v>
      </c>
    </row>
    <row r="434" spans="1:11">
      <c r="A434">
        <v>14.407</v>
      </c>
      <c r="B434">
        <v>-305.4</v>
      </c>
      <c r="C434">
        <v>238.4</v>
      </c>
      <c r="E434">
        <v>14.374</v>
      </c>
      <c r="F434">
        <v>-312.5</v>
      </c>
      <c r="G434">
        <v>238.4</v>
      </c>
      <c r="I434">
        <f t="shared" si="18"/>
        <v>14.35</v>
      </c>
      <c r="J434">
        <f t="shared" si="19"/>
        <v>-109.5</v>
      </c>
      <c r="K434">
        <f t="shared" si="20"/>
        <v>100</v>
      </c>
    </row>
    <row r="435" spans="1:11">
      <c r="A435">
        <v>14.441</v>
      </c>
      <c r="B435">
        <v>-298.1</v>
      </c>
      <c r="C435">
        <v>238.4</v>
      </c>
      <c r="E435">
        <v>14.407</v>
      </c>
      <c r="F435">
        <v>-305.4</v>
      </c>
      <c r="G435">
        <v>238.4</v>
      </c>
      <c r="I435">
        <f t="shared" si="18"/>
        <v>14.4</v>
      </c>
      <c r="J435">
        <f t="shared" si="19"/>
        <v>-102.4</v>
      </c>
      <c r="K435">
        <f t="shared" si="20"/>
        <v>100</v>
      </c>
    </row>
    <row r="436" spans="1:11">
      <c r="A436">
        <v>14.474</v>
      </c>
      <c r="B436">
        <v>-289.5</v>
      </c>
      <c r="C436">
        <v>238.4</v>
      </c>
      <c r="E436">
        <v>14.441</v>
      </c>
      <c r="F436">
        <v>-298.1</v>
      </c>
      <c r="G436">
        <v>238.4</v>
      </c>
      <c r="I436">
        <f t="shared" si="18"/>
        <v>14.4</v>
      </c>
      <c r="J436">
        <f t="shared" si="19"/>
        <v>-95.1</v>
      </c>
      <c r="K436">
        <f t="shared" si="20"/>
        <v>100</v>
      </c>
    </row>
    <row r="437" spans="1:11">
      <c r="A437">
        <v>14.508</v>
      </c>
      <c r="B437">
        <v>-282.3</v>
      </c>
      <c r="C437">
        <v>238.4</v>
      </c>
      <c r="E437">
        <v>14.474</v>
      </c>
      <c r="F437">
        <v>-289.5</v>
      </c>
      <c r="G437">
        <v>238.4</v>
      </c>
      <c r="I437">
        <f t="shared" si="18"/>
        <v>14.45</v>
      </c>
      <c r="J437">
        <f t="shared" si="19"/>
        <v>-86.5</v>
      </c>
      <c r="K437">
        <f t="shared" si="20"/>
        <v>100</v>
      </c>
    </row>
    <row r="438" spans="1:11">
      <c r="A438">
        <v>14.541</v>
      </c>
      <c r="B438">
        <v>-272.8</v>
      </c>
      <c r="C438">
        <v>238.4</v>
      </c>
      <c r="E438">
        <v>14.508</v>
      </c>
      <c r="F438">
        <v>-282.3</v>
      </c>
      <c r="G438">
        <v>238.4</v>
      </c>
      <c r="I438">
        <f t="shared" si="18"/>
        <v>14.5</v>
      </c>
      <c r="J438">
        <f t="shared" si="19"/>
        <v>-79.3</v>
      </c>
      <c r="K438">
        <f t="shared" si="20"/>
        <v>100</v>
      </c>
    </row>
    <row r="439" spans="1:11">
      <c r="A439">
        <v>14.575</v>
      </c>
      <c r="B439">
        <v>-264.5</v>
      </c>
      <c r="C439">
        <v>238.4</v>
      </c>
      <c r="E439">
        <v>14.541</v>
      </c>
      <c r="F439">
        <v>-272.8</v>
      </c>
      <c r="G439">
        <v>238.4</v>
      </c>
      <c r="I439">
        <f t="shared" si="18"/>
        <v>14.5</v>
      </c>
      <c r="J439">
        <f t="shared" si="19"/>
        <v>-69.8</v>
      </c>
      <c r="K439">
        <f t="shared" si="20"/>
        <v>100</v>
      </c>
    </row>
    <row r="440" spans="1:11">
      <c r="A440">
        <v>14.608</v>
      </c>
      <c r="B440">
        <v>-255.6</v>
      </c>
      <c r="C440" s="2">
        <v>238.4</v>
      </c>
      <c r="D440" s="2"/>
      <c r="E440">
        <v>14.575</v>
      </c>
      <c r="F440">
        <v>-264.5</v>
      </c>
      <c r="G440">
        <v>238.4</v>
      </c>
      <c r="I440">
        <f t="shared" si="18"/>
        <v>14.55</v>
      </c>
      <c r="J440">
        <f t="shared" si="19"/>
        <v>-61.5</v>
      </c>
      <c r="K440">
        <f t="shared" si="20"/>
        <v>100</v>
      </c>
    </row>
    <row r="441" spans="1:11">
      <c r="A441">
        <v>14.641</v>
      </c>
      <c r="B441">
        <v>-246.9</v>
      </c>
      <c r="C441" s="2">
        <v>238.4</v>
      </c>
      <c r="D441" s="2"/>
      <c r="E441">
        <v>14.608</v>
      </c>
      <c r="F441">
        <v>-255.6</v>
      </c>
      <c r="G441" s="2">
        <v>238.4</v>
      </c>
      <c r="I441">
        <f t="shared" si="18"/>
        <v>14.6</v>
      </c>
      <c r="J441">
        <f t="shared" si="19"/>
        <v>-52.6</v>
      </c>
      <c r="K441">
        <f t="shared" si="20"/>
        <v>100</v>
      </c>
    </row>
    <row r="442" spans="1:11">
      <c r="A442">
        <v>14.675</v>
      </c>
      <c r="B442">
        <v>-239.6</v>
      </c>
      <c r="C442" s="2">
        <v>238.4</v>
      </c>
      <c r="D442" s="2"/>
      <c r="E442">
        <v>14.641</v>
      </c>
      <c r="F442">
        <v>-246.9</v>
      </c>
      <c r="G442" s="2">
        <v>238.4</v>
      </c>
      <c r="I442">
        <f t="shared" si="18"/>
        <v>14.6</v>
      </c>
      <c r="J442">
        <f t="shared" si="19"/>
        <v>-43.9</v>
      </c>
      <c r="K442">
        <f t="shared" si="20"/>
        <v>100</v>
      </c>
    </row>
    <row r="443" spans="1:11">
      <c r="A443">
        <v>14.708</v>
      </c>
      <c r="B443">
        <v>-231.5</v>
      </c>
      <c r="C443" s="2">
        <v>238.4</v>
      </c>
      <c r="D443" s="2"/>
      <c r="E443">
        <v>14.675</v>
      </c>
      <c r="F443">
        <v>-239.6</v>
      </c>
      <c r="G443" s="2">
        <v>238.4</v>
      </c>
      <c r="I443">
        <f t="shared" si="18"/>
        <v>14.65</v>
      </c>
      <c r="J443">
        <f t="shared" si="19"/>
        <v>-36.6</v>
      </c>
      <c r="K443">
        <f t="shared" si="20"/>
        <v>100</v>
      </c>
    </row>
    <row r="444" spans="1:11">
      <c r="A444">
        <v>14.742</v>
      </c>
      <c r="B444">
        <v>-224.4</v>
      </c>
      <c r="C444" s="2">
        <v>238.4</v>
      </c>
      <c r="D444" s="2"/>
      <c r="E444">
        <v>14.708</v>
      </c>
      <c r="F444">
        <v>-231.5</v>
      </c>
      <c r="G444" s="2">
        <v>238.4</v>
      </c>
      <c r="I444">
        <f t="shared" si="18"/>
        <v>14.7</v>
      </c>
      <c r="J444">
        <f t="shared" si="19"/>
        <v>-28.5</v>
      </c>
      <c r="K444">
        <f t="shared" si="20"/>
        <v>100</v>
      </c>
    </row>
    <row r="445" spans="1:11">
      <c r="A445">
        <v>14.775</v>
      </c>
      <c r="B445">
        <v>-217.7</v>
      </c>
      <c r="C445" s="2">
        <v>238.4</v>
      </c>
      <c r="D445" s="2"/>
      <c r="E445">
        <v>14.742</v>
      </c>
      <c r="F445">
        <v>-224.4</v>
      </c>
      <c r="G445" s="2">
        <v>238.4</v>
      </c>
      <c r="I445">
        <f t="shared" si="18"/>
        <v>14.7</v>
      </c>
      <c r="J445">
        <f t="shared" si="19"/>
        <v>-21.4</v>
      </c>
      <c r="K445">
        <f t="shared" si="20"/>
        <v>100</v>
      </c>
    </row>
    <row r="446" spans="1:11">
      <c r="A446">
        <v>14.809</v>
      </c>
      <c r="B446">
        <v>-211.7</v>
      </c>
      <c r="C446" s="2">
        <v>238.4</v>
      </c>
      <c r="D446" s="2"/>
      <c r="E446">
        <v>14.775</v>
      </c>
      <c r="F446">
        <v>-217.7</v>
      </c>
      <c r="G446" s="2">
        <v>238.4</v>
      </c>
      <c r="I446">
        <f t="shared" si="18"/>
        <v>14.75</v>
      </c>
      <c r="J446">
        <f t="shared" si="19"/>
        <v>-14.7</v>
      </c>
      <c r="K446">
        <f t="shared" si="20"/>
        <v>100</v>
      </c>
    </row>
    <row r="447" spans="1:11">
      <c r="A447">
        <v>14.842</v>
      </c>
      <c r="B447">
        <v>-205.8</v>
      </c>
      <c r="C447" s="2">
        <v>238.4</v>
      </c>
      <c r="D447" s="2"/>
      <c r="E447">
        <v>14.809</v>
      </c>
      <c r="F447">
        <v>-211.7</v>
      </c>
      <c r="G447" s="2">
        <v>238.4</v>
      </c>
      <c r="I447">
        <f t="shared" si="18"/>
        <v>14.8</v>
      </c>
      <c r="J447">
        <f t="shared" si="19"/>
        <v>-8.69999999999999</v>
      </c>
      <c r="K447">
        <f t="shared" si="20"/>
        <v>100</v>
      </c>
    </row>
    <row r="448" spans="1:11">
      <c r="A448">
        <v>14.875</v>
      </c>
      <c r="B448">
        <v>-201.2</v>
      </c>
      <c r="C448" s="2">
        <v>238.4</v>
      </c>
      <c r="D448" s="2"/>
      <c r="E448">
        <v>14.842</v>
      </c>
      <c r="F448">
        <v>-205.8</v>
      </c>
      <c r="G448" s="2">
        <v>238.4</v>
      </c>
      <c r="I448">
        <f t="shared" si="18"/>
        <v>14.8</v>
      </c>
      <c r="J448">
        <f t="shared" si="19"/>
        <v>-2.80000000000001</v>
      </c>
      <c r="K448">
        <f t="shared" si="20"/>
        <v>100</v>
      </c>
    </row>
    <row r="449" spans="1:11">
      <c r="A449">
        <v>14.909</v>
      </c>
      <c r="B449">
        <v>-196</v>
      </c>
      <c r="C449" s="2">
        <v>238.4</v>
      </c>
      <c r="D449" s="2"/>
      <c r="E449">
        <v>14.875</v>
      </c>
      <c r="F449">
        <v>-201.2</v>
      </c>
      <c r="G449" s="2">
        <v>238.4</v>
      </c>
      <c r="I449">
        <f t="shared" si="18"/>
        <v>14.85</v>
      </c>
      <c r="J449">
        <f t="shared" si="19"/>
        <v>1.80000000000001</v>
      </c>
      <c r="K449">
        <f t="shared" si="20"/>
        <v>100</v>
      </c>
    </row>
    <row r="450" spans="1:11">
      <c r="A450">
        <v>14.942</v>
      </c>
      <c r="B450">
        <v>-192.7</v>
      </c>
      <c r="C450" s="2">
        <v>238.4</v>
      </c>
      <c r="D450" s="2"/>
      <c r="E450">
        <v>14.909</v>
      </c>
      <c r="F450">
        <v>-196</v>
      </c>
      <c r="G450" s="2">
        <v>238.4</v>
      </c>
      <c r="I450">
        <f t="shared" si="18"/>
        <v>14.9</v>
      </c>
      <c r="J450">
        <f t="shared" si="19"/>
        <v>7</v>
      </c>
      <c r="K450">
        <f t="shared" si="20"/>
        <v>100</v>
      </c>
    </row>
    <row r="451" spans="1:11">
      <c r="A451">
        <v>14.976</v>
      </c>
      <c r="B451">
        <v>-190.1</v>
      </c>
      <c r="C451">
        <v>238.4</v>
      </c>
      <c r="E451">
        <v>14.942</v>
      </c>
      <c r="F451">
        <v>-192.7</v>
      </c>
      <c r="G451" s="2">
        <v>238.4</v>
      </c>
      <c r="I451">
        <f t="shared" si="18"/>
        <v>14.9</v>
      </c>
      <c r="J451">
        <f t="shared" si="19"/>
        <v>10.3</v>
      </c>
      <c r="K451">
        <f t="shared" si="20"/>
        <v>100</v>
      </c>
    </row>
    <row r="452" spans="1:11">
      <c r="A452">
        <v>15.009</v>
      </c>
      <c r="B452">
        <v>-187.3</v>
      </c>
      <c r="C452">
        <v>238.4</v>
      </c>
      <c r="E452">
        <v>14.976</v>
      </c>
      <c r="F452">
        <v>-190.1</v>
      </c>
      <c r="G452">
        <v>238.4</v>
      </c>
      <c r="I452">
        <f t="shared" ref="I452:I515" si="21">FLOOR(E452,0.05)</f>
        <v>14.95</v>
      </c>
      <c r="J452">
        <f t="shared" ref="J452:J515" si="22">F452+203</f>
        <v>12.9</v>
      </c>
      <c r="K452">
        <f t="shared" si="20"/>
        <v>100</v>
      </c>
    </row>
    <row r="453" spans="1:11">
      <c r="A453">
        <v>15.043</v>
      </c>
      <c r="B453">
        <v>-186.1</v>
      </c>
      <c r="C453">
        <v>238.2</v>
      </c>
      <c r="E453">
        <v>15.009</v>
      </c>
      <c r="F453">
        <v>-187.3</v>
      </c>
      <c r="G453">
        <v>238.4</v>
      </c>
      <c r="I453">
        <f t="shared" si="21"/>
        <v>15</v>
      </c>
      <c r="J453">
        <f t="shared" si="22"/>
        <v>15.7</v>
      </c>
      <c r="K453">
        <f t="shared" ref="K453:K516" si="23">IF(G453&lt;230,-150,100)</f>
        <v>100</v>
      </c>
    </row>
    <row r="454" spans="1:11">
      <c r="A454">
        <v>15.076</v>
      </c>
      <c r="B454">
        <v>-186</v>
      </c>
      <c r="C454">
        <v>238.2</v>
      </c>
      <c r="E454">
        <v>15.043</v>
      </c>
      <c r="F454">
        <v>-186.1</v>
      </c>
      <c r="G454">
        <v>238.2</v>
      </c>
      <c r="I454">
        <f t="shared" si="21"/>
        <v>15</v>
      </c>
      <c r="J454">
        <f t="shared" si="22"/>
        <v>16.9</v>
      </c>
      <c r="K454">
        <f t="shared" si="23"/>
        <v>100</v>
      </c>
    </row>
    <row r="455" spans="1:11">
      <c r="A455">
        <v>15.109</v>
      </c>
      <c r="B455">
        <v>-186.3</v>
      </c>
      <c r="C455">
        <v>183.8</v>
      </c>
      <c r="E455">
        <v>15.076</v>
      </c>
      <c r="F455">
        <v>-186</v>
      </c>
      <c r="G455">
        <v>238.2</v>
      </c>
      <c r="I455">
        <f t="shared" si="21"/>
        <v>15.05</v>
      </c>
      <c r="J455">
        <f t="shared" si="22"/>
        <v>17</v>
      </c>
      <c r="K455">
        <f t="shared" si="23"/>
        <v>100</v>
      </c>
    </row>
    <row r="456" spans="1:11">
      <c r="A456">
        <v>15.143</v>
      </c>
      <c r="B456">
        <v>-187</v>
      </c>
      <c r="C456">
        <v>159.2</v>
      </c>
      <c r="E456">
        <v>15.109</v>
      </c>
      <c r="F456">
        <v>-186.3</v>
      </c>
      <c r="G456">
        <v>183.8</v>
      </c>
      <c r="I456">
        <f t="shared" si="21"/>
        <v>15.1</v>
      </c>
      <c r="J456">
        <f t="shared" si="22"/>
        <v>16.7</v>
      </c>
      <c r="K456">
        <f t="shared" si="23"/>
        <v>-150</v>
      </c>
    </row>
    <row r="457" spans="1:11">
      <c r="A457">
        <v>15.176</v>
      </c>
      <c r="B457">
        <v>-189.8</v>
      </c>
      <c r="C457">
        <v>163.3</v>
      </c>
      <c r="E457">
        <v>15.143</v>
      </c>
      <c r="F457">
        <v>-187</v>
      </c>
      <c r="G457">
        <v>159.2</v>
      </c>
      <c r="I457">
        <f t="shared" si="21"/>
        <v>15.1</v>
      </c>
      <c r="J457">
        <f t="shared" si="22"/>
        <v>16</v>
      </c>
      <c r="K457">
        <f t="shared" si="23"/>
        <v>-150</v>
      </c>
    </row>
    <row r="458" spans="1:11">
      <c r="A458">
        <v>15.21</v>
      </c>
      <c r="B458">
        <v>-193.2</v>
      </c>
      <c r="C458">
        <v>161.5</v>
      </c>
      <c r="E458">
        <v>15.176</v>
      </c>
      <c r="F458">
        <v>-189.8</v>
      </c>
      <c r="G458">
        <v>163.3</v>
      </c>
      <c r="I458">
        <f t="shared" si="21"/>
        <v>15.15</v>
      </c>
      <c r="J458">
        <f t="shared" si="22"/>
        <v>13.2</v>
      </c>
      <c r="K458">
        <f t="shared" si="23"/>
        <v>-150</v>
      </c>
    </row>
    <row r="459" spans="1:11">
      <c r="A459">
        <v>15.243</v>
      </c>
      <c r="B459">
        <v>-196.6</v>
      </c>
      <c r="C459">
        <v>159.6</v>
      </c>
      <c r="E459">
        <v>15.21</v>
      </c>
      <c r="F459">
        <v>-193.2</v>
      </c>
      <c r="G459">
        <v>161.5</v>
      </c>
      <c r="I459">
        <f t="shared" si="21"/>
        <v>15.2</v>
      </c>
      <c r="J459">
        <f t="shared" si="22"/>
        <v>9.80000000000001</v>
      </c>
      <c r="K459">
        <f t="shared" si="23"/>
        <v>-150</v>
      </c>
    </row>
    <row r="460" spans="1:11">
      <c r="A460">
        <v>15.277</v>
      </c>
      <c r="B460">
        <v>-201.4</v>
      </c>
      <c r="C460">
        <v>157.9</v>
      </c>
      <c r="E460">
        <v>15.243</v>
      </c>
      <c r="F460">
        <v>-196.6</v>
      </c>
      <c r="G460">
        <v>159.6</v>
      </c>
      <c r="I460">
        <f t="shared" si="21"/>
        <v>15.2</v>
      </c>
      <c r="J460">
        <f t="shared" si="22"/>
        <v>6.40000000000001</v>
      </c>
      <c r="K460">
        <f t="shared" si="23"/>
        <v>-150</v>
      </c>
    </row>
    <row r="461" spans="1:11">
      <c r="A461">
        <v>15.31</v>
      </c>
      <c r="B461">
        <v>-206.1</v>
      </c>
      <c r="C461">
        <v>156.1</v>
      </c>
      <c r="E461">
        <v>15.277</v>
      </c>
      <c r="F461">
        <v>-201.4</v>
      </c>
      <c r="G461">
        <v>157.9</v>
      </c>
      <c r="I461">
        <f t="shared" si="21"/>
        <v>15.25</v>
      </c>
      <c r="J461">
        <f t="shared" si="22"/>
        <v>1.59999999999999</v>
      </c>
      <c r="K461">
        <f t="shared" si="23"/>
        <v>-150</v>
      </c>
    </row>
    <row r="462" spans="1:11">
      <c r="A462">
        <v>15.343</v>
      </c>
      <c r="B462">
        <v>-212.1</v>
      </c>
      <c r="C462">
        <v>155.5</v>
      </c>
      <c r="E462">
        <v>15.31</v>
      </c>
      <c r="F462">
        <v>-206.1</v>
      </c>
      <c r="G462">
        <v>156.1</v>
      </c>
      <c r="I462">
        <f t="shared" si="21"/>
        <v>15.3</v>
      </c>
      <c r="J462">
        <f t="shared" si="22"/>
        <v>-3.09999999999999</v>
      </c>
      <c r="K462">
        <f t="shared" si="23"/>
        <v>-150</v>
      </c>
    </row>
    <row r="463" spans="1:11">
      <c r="A463">
        <v>15.377</v>
      </c>
      <c r="B463">
        <v>-218.4</v>
      </c>
      <c r="C463">
        <v>153.6</v>
      </c>
      <c r="E463">
        <v>15.343</v>
      </c>
      <c r="F463">
        <v>-212.1</v>
      </c>
      <c r="G463">
        <v>155.5</v>
      </c>
      <c r="I463">
        <f t="shared" si="21"/>
        <v>15.3</v>
      </c>
      <c r="J463">
        <f t="shared" si="22"/>
        <v>-9.09999999999999</v>
      </c>
      <c r="K463">
        <f t="shared" si="23"/>
        <v>-150</v>
      </c>
    </row>
    <row r="464" spans="1:11">
      <c r="A464">
        <v>15.41</v>
      </c>
      <c r="B464">
        <v>-225</v>
      </c>
      <c r="C464">
        <v>151.9</v>
      </c>
      <c r="E464">
        <v>15.377</v>
      </c>
      <c r="F464">
        <v>-218.4</v>
      </c>
      <c r="G464">
        <v>153.6</v>
      </c>
      <c r="I464">
        <f t="shared" si="21"/>
        <v>15.35</v>
      </c>
      <c r="J464">
        <f t="shared" si="22"/>
        <v>-15.4</v>
      </c>
      <c r="K464">
        <f t="shared" si="23"/>
        <v>-150</v>
      </c>
    </row>
    <row r="465" spans="1:11">
      <c r="A465">
        <v>15.444</v>
      </c>
      <c r="B465">
        <v>-232</v>
      </c>
      <c r="C465">
        <v>149.7</v>
      </c>
      <c r="E465">
        <v>15.41</v>
      </c>
      <c r="F465">
        <v>-225</v>
      </c>
      <c r="G465">
        <v>151.9</v>
      </c>
      <c r="I465">
        <f t="shared" si="21"/>
        <v>15.4</v>
      </c>
      <c r="J465">
        <f t="shared" si="22"/>
        <v>-22</v>
      </c>
      <c r="K465">
        <f t="shared" si="23"/>
        <v>-150</v>
      </c>
    </row>
    <row r="466" spans="1:11">
      <c r="A466">
        <v>15.477</v>
      </c>
      <c r="B466">
        <v>-239.8</v>
      </c>
      <c r="C466">
        <v>148.4</v>
      </c>
      <c r="E466">
        <v>15.444</v>
      </c>
      <c r="F466">
        <v>-232</v>
      </c>
      <c r="G466">
        <v>149.7</v>
      </c>
      <c r="I466">
        <f t="shared" si="21"/>
        <v>15.4</v>
      </c>
      <c r="J466">
        <f t="shared" si="22"/>
        <v>-29</v>
      </c>
      <c r="K466">
        <f t="shared" si="23"/>
        <v>-150</v>
      </c>
    </row>
    <row r="467" spans="1:11">
      <c r="A467">
        <v>15.511</v>
      </c>
      <c r="B467">
        <v>-247.1</v>
      </c>
      <c r="C467">
        <v>146.6</v>
      </c>
      <c r="E467">
        <v>15.477</v>
      </c>
      <c r="F467">
        <v>-239.8</v>
      </c>
      <c r="G467">
        <v>148.4</v>
      </c>
      <c r="I467">
        <f t="shared" si="21"/>
        <v>15.45</v>
      </c>
      <c r="J467">
        <f t="shared" si="22"/>
        <v>-36.8</v>
      </c>
      <c r="K467">
        <f t="shared" si="23"/>
        <v>-150</v>
      </c>
    </row>
    <row r="468" spans="1:11">
      <c r="A468">
        <v>15.544</v>
      </c>
      <c r="B468">
        <v>-255.3</v>
      </c>
      <c r="C468">
        <v>144.5</v>
      </c>
      <c r="E468">
        <v>15.511</v>
      </c>
      <c r="F468">
        <v>-247.1</v>
      </c>
      <c r="G468">
        <v>146.6</v>
      </c>
      <c r="I468">
        <f t="shared" si="21"/>
        <v>15.5</v>
      </c>
      <c r="J468">
        <f t="shared" si="22"/>
        <v>-44.1</v>
      </c>
      <c r="K468">
        <f t="shared" si="23"/>
        <v>-150</v>
      </c>
    </row>
    <row r="469" spans="1:11">
      <c r="A469">
        <v>15.577</v>
      </c>
      <c r="B469">
        <v>-262.3</v>
      </c>
      <c r="C469">
        <v>142.8</v>
      </c>
      <c r="E469">
        <v>15.544</v>
      </c>
      <c r="F469">
        <v>-255.3</v>
      </c>
      <c r="G469">
        <v>144.5</v>
      </c>
      <c r="I469">
        <f t="shared" si="21"/>
        <v>15.5</v>
      </c>
      <c r="J469">
        <f t="shared" si="22"/>
        <v>-52.3</v>
      </c>
      <c r="K469">
        <f t="shared" si="23"/>
        <v>-150</v>
      </c>
    </row>
    <row r="470" spans="1:11">
      <c r="A470">
        <v>15.611</v>
      </c>
      <c r="B470">
        <v>-271.8</v>
      </c>
      <c r="C470">
        <v>140.5</v>
      </c>
      <c r="E470">
        <v>15.577</v>
      </c>
      <c r="F470">
        <v>-262.3</v>
      </c>
      <c r="G470">
        <v>142.8</v>
      </c>
      <c r="I470">
        <f t="shared" si="21"/>
        <v>15.55</v>
      </c>
      <c r="J470">
        <f t="shared" si="22"/>
        <v>-59.3</v>
      </c>
      <c r="K470">
        <f t="shared" si="23"/>
        <v>-150</v>
      </c>
    </row>
    <row r="471" spans="1:11">
      <c r="A471">
        <v>15.644</v>
      </c>
      <c r="B471">
        <v>-279.6</v>
      </c>
      <c r="C471">
        <v>138.5</v>
      </c>
      <c r="E471">
        <v>15.611</v>
      </c>
      <c r="F471">
        <v>-271.8</v>
      </c>
      <c r="G471">
        <v>140.5</v>
      </c>
      <c r="I471">
        <f t="shared" si="21"/>
        <v>15.6</v>
      </c>
      <c r="J471">
        <f t="shared" si="22"/>
        <v>-68.8</v>
      </c>
      <c r="K471">
        <f t="shared" si="23"/>
        <v>-150</v>
      </c>
    </row>
    <row r="472" spans="1:11">
      <c r="A472">
        <v>15.678</v>
      </c>
      <c r="B472">
        <v>-287</v>
      </c>
      <c r="C472">
        <v>137</v>
      </c>
      <c r="E472">
        <v>15.644</v>
      </c>
      <c r="F472">
        <v>-279.6</v>
      </c>
      <c r="G472">
        <v>138.5</v>
      </c>
      <c r="I472">
        <f t="shared" si="21"/>
        <v>15.6</v>
      </c>
      <c r="J472">
        <f t="shared" si="22"/>
        <v>-76.6</v>
      </c>
      <c r="K472">
        <f t="shared" si="23"/>
        <v>-150</v>
      </c>
    </row>
    <row r="473" spans="1:11">
      <c r="A473">
        <v>15.711</v>
      </c>
      <c r="B473">
        <v>-293.9</v>
      </c>
      <c r="C473">
        <v>136</v>
      </c>
      <c r="E473">
        <v>15.678</v>
      </c>
      <c r="F473">
        <v>-287</v>
      </c>
      <c r="G473">
        <v>137</v>
      </c>
      <c r="I473">
        <f t="shared" si="21"/>
        <v>15.65</v>
      </c>
      <c r="J473">
        <f t="shared" si="22"/>
        <v>-84</v>
      </c>
      <c r="K473">
        <f t="shared" si="23"/>
        <v>-150</v>
      </c>
    </row>
    <row r="474" spans="1:11">
      <c r="A474">
        <v>15.745</v>
      </c>
      <c r="B474">
        <v>-300.5</v>
      </c>
      <c r="C474">
        <v>133</v>
      </c>
      <c r="E474">
        <v>15.711</v>
      </c>
      <c r="F474">
        <v>-293.9</v>
      </c>
      <c r="G474">
        <v>136</v>
      </c>
      <c r="I474">
        <f t="shared" si="21"/>
        <v>15.7</v>
      </c>
      <c r="J474">
        <f t="shared" si="22"/>
        <v>-90.9</v>
      </c>
      <c r="K474">
        <f t="shared" si="23"/>
        <v>-150</v>
      </c>
    </row>
    <row r="475" spans="1:11">
      <c r="A475">
        <v>15.778</v>
      </c>
      <c r="B475">
        <v>-306.7</v>
      </c>
      <c r="C475">
        <v>130.8</v>
      </c>
      <c r="E475">
        <v>15.745</v>
      </c>
      <c r="F475">
        <v>-300.5</v>
      </c>
      <c r="G475">
        <v>133</v>
      </c>
      <c r="I475">
        <f t="shared" si="21"/>
        <v>15.7</v>
      </c>
      <c r="J475">
        <f t="shared" si="22"/>
        <v>-97.5</v>
      </c>
      <c r="K475">
        <f t="shared" si="23"/>
        <v>-150</v>
      </c>
    </row>
    <row r="476" spans="1:11">
      <c r="A476">
        <v>15.811</v>
      </c>
      <c r="B476">
        <v>-312</v>
      </c>
      <c r="C476">
        <v>128.9</v>
      </c>
      <c r="E476">
        <v>15.778</v>
      </c>
      <c r="F476">
        <v>-306.7</v>
      </c>
      <c r="G476">
        <v>130.8</v>
      </c>
      <c r="I476">
        <f t="shared" si="21"/>
        <v>15.75</v>
      </c>
      <c r="J476">
        <f t="shared" si="22"/>
        <v>-103.7</v>
      </c>
      <c r="K476">
        <f t="shared" si="23"/>
        <v>-150</v>
      </c>
    </row>
    <row r="477" spans="1:11">
      <c r="A477">
        <v>15.845</v>
      </c>
      <c r="B477">
        <v>-316.9</v>
      </c>
      <c r="C477">
        <v>237.9</v>
      </c>
      <c r="E477">
        <v>15.811</v>
      </c>
      <c r="F477">
        <v>-312</v>
      </c>
      <c r="G477">
        <v>128.9</v>
      </c>
      <c r="I477">
        <f t="shared" si="21"/>
        <v>15.8</v>
      </c>
      <c r="J477">
        <f t="shared" si="22"/>
        <v>-109</v>
      </c>
      <c r="K477">
        <f t="shared" si="23"/>
        <v>-150</v>
      </c>
    </row>
    <row r="478" spans="1:11">
      <c r="A478">
        <v>15.878</v>
      </c>
      <c r="B478">
        <v>-320.9</v>
      </c>
      <c r="C478">
        <v>238.4</v>
      </c>
      <c r="E478">
        <v>15.845</v>
      </c>
      <c r="F478">
        <v>-316.9</v>
      </c>
      <c r="G478">
        <v>237.9</v>
      </c>
      <c r="I478">
        <f t="shared" si="21"/>
        <v>15.8</v>
      </c>
      <c r="J478">
        <f t="shared" si="22"/>
        <v>-113.9</v>
      </c>
      <c r="K478">
        <f t="shared" si="23"/>
        <v>100</v>
      </c>
    </row>
    <row r="479" spans="1:11">
      <c r="A479">
        <v>15.912</v>
      </c>
      <c r="B479">
        <v>-325.2</v>
      </c>
      <c r="C479">
        <v>238.4</v>
      </c>
      <c r="E479">
        <v>15.878</v>
      </c>
      <c r="F479">
        <v>-320.9</v>
      </c>
      <c r="G479">
        <v>238.4</v>
      </c>
      <c r="I479">
        <f t="shared" si="21"/>
        <v>15.85</v>
      </c>
      <c r="J479">
        <f t="shared" si="22"/>
        <v>-117.9</v>
      </c>
      <c r="K479">
        <f t="shared" si="23"/>
        <v>100</v>
      </c>
    </row>
    <row r="480" spans="1:11">
      <c r="A480">
        <v>15.945</v>
      </c>
      <c r="B480">
        <v>-327.3</v>
      </c>
      <c r="C480">
        <v>238.4</v>
      </c>
      <c r="E480">
        <v>15.912</v>
      </c>
      <c r="F480">
        <v>-325.2</v>
      </c>
      <c r="G480">
        <v>238.4</v>
      </c>
      <c r="I480">
        <f t="shared" si="21"/>
        <v>15.9</v>
      </c>
      <c r="J480">
        <f t="shared" si="22"/>
        <v>-122.2</v>
      </c>
      <c r="K480">
        <f t="shared" si="23"/>
        <v>100</v>
      </c>
    </row>
    <row r="481" spans="1:11">
      <c r="A481">
        <v>15.979</v>
      </c>
      <c r="B481">
        <v>-328.9</v>
      </c>
      <c r="C481">
        <v>238.4</v>
      </c>
      <c r="E481">
        <v>15.945</v>
      </c>
      <c r="F481">
        <v>-327.3</v>
      </c>
      <c r="G481">
        <v>238.4</v>
      </c>
      <c r="I481">
        <f t="shared" si="21"/>
        <v>15.9</v>
      </c>
      <c r="J481">
        <f t="shared" si="22"/>
        <v>-124.3</v>
      </c>
      <c r="K481">
        <f t="shared" si="23"/>
        <v>100</v>
      </c>
    </row>
    <row r="482" spans="1:11">
      <c r="A482">
        <v>16.012</v>
      </c>
      <c r="B482">
        <v>-330.2</v>
      </c>
      <c r="C482">
        <v>238.4</v>
      </c>
      <c r="E482">
        <v>15.979</v>
      </c>
      <c r="F482">
        <v>-328.9</v>
      </c>
      <c r="G482">
        <v>238.4</v>
      </c>
      <c r="I482">
        <f t="shared" si="21"/>
        <v>15.95</v>
      </c>
      <c r="J482">
        <f t="shared" si="22"/>
        <v>-125.9</v>
      </c>
      <c r="K482">
        <f t="shared" si="23"/>
        <v>100</v>
      </c>
    </row>
    <row r="483" spans="1:11">
      <c r="A483">
        <v>16.045</v>
      </c>
      <c r="B483">
        <v>-330.6</v>
      </c>
      <c r="C483">
        <v>238.5</v>
      </c>
      <c r="E483">
        <v>16.012</v>
      </c>
      <c r="F483">
        <v>-330.2</v>
      </c>
      <c r="G483">
        <v>238.4</v>
      </c>
      <c r="I483">
        <f t="shared" si="21"/>
        <v>16</v>
      </c>
      <c r="J483">
        <f t="shared" si="22"/>
        <v>-127.2</v>
      </c>
      <c r="K483">
        <f t="shared" si="23"/>
        <v>100</v>
      </c>
    </row>
    <row r="484" spans="1:11">
      <c r="A484">
        <v>16.079</v>
      </c>
      <c r="B484">
        <v>-330.1</v>
      </c>
      <c r="C484">
        <v>238.5</v>
      </c>
      <c r="E484">
        <v>16.045</v>
      </c>
      <c r="F484">
        <v>-330.6</v>
      </c>
      <c r="G484">
        <v>238.5</v>
      </c>
      <c r="I484">
        <f t="shared" si="21"/>
        <v>16</v>
      </c>
      <c r="J484">
        <f t="shared" si="22"/>
        <v>-127.6</v>
      </c>
      <c r="K484">
        <f t="shared" si="23"/>
        <v>100</v>
      </c>
    </row>
    <row r="485" spans="1:11">
      <c r="A485">
        <v>16.112</v>
      </c>
      <c r="B485">
        <v>-328.4</v>
      </c>
      <c r="C485">
        <v>238.5</v>
      </c>
      <c r="E485">
        <v>16.079</v>
      </c>
      <c r="F485">
        <v>-330.1</v>
      </c>
      <c r="G485">
        <v>238.5</v>
      </c>
      <c r="I485">
        <f t="shared" si="21"/>
        <v>16.05</v>
      </c>
      <c r="J485">
        <f t="shared" si="22"/>
        <v>-127.1</v>
      </c>
      <c r="K485">
        <f t="shared" si="23"/>
        <v>100</v>
      </c>
    </row>
    <row r="486" spans="1:11">
      <c r="A486">
        <v>16.146</v>
      </c>
      <c r="B486">
        <v>-326.6</v>
      </c>
      <c r="C486">
        <v>238.5</v>
      </c>
      <c r="E486">
        <v>16.112</v>
      </c>
      <c r="F486">
        <v>-328.4</v>
      </c>
      <c r="G486">
        <v>238.5</v>
      </c>
      <c r="I486">
        <f t="shared" si="21"/>
        <v>16.1</v>
      </c>
      <c r="J486">
        <f t="shared" si="22"/>
        <v>-125.4</v>
      </c>
      <c r="K486">
        <f t="shared" si="23"/>
        <v>100</v>
      </c>
    </row>
    <row r="487" spans="1:11">
      <c r="A487">
        <v>16.179</v>
      </c>
      <c r="B487">
        <v>-323.8</v>
      </c>
      <c r="C487">
        <v>238.5</v>
      </c>
      <c r="E487">
        <v>16.146</v>
      </c>
      <c r="F487">
        <v>-326.6</v>
      </c>
      <c r="G487">
        <v>238.5</v>
      </c>
      <c r="I487">
        <f t="shared" si="21"/>
        <v>16.1</v>
      </c>
      <c r="J487">
        <f t="shared" si="22"/>
        <v>-123.6</v>
      </c>
      <c r="K487">
        <f t="shared" si="23"/>
        <v>100</v>
      </c>
    </row>
    <row r="488" spans="1:11">
      <c r="A488">
        <v>16.213</v>
      </c>
      <c r="B488">
        <v>-320</v>
      </c>
      <c r="C488" s="2">
        <v>238.5</v>
      </c>
      <c r="D488" s="2"/>
      <c r="E488">
        <v>16.179</v>
      </c>
      <c r="F488">
        <v>-323.8</v>
      </c>
      <c r="G488">
        <v>238.5</v>
      </c>
      <c r="I488">
        <f t="shared" si="21"/>
        <v>16.15</v>
      </c>
      <c r="J488">
        <f t="shared" si="22"/>
        <v>-120.8</v>
      </c>
      <c r="K488">
        <f t="shared" si="23"/>
        <v>100</v>
      </c>
    </row>
    <row r="489" spans="1:11">
      <c r="A489">
        <v>16.246</v>
      </c>
      <c r="B489">
        <v>-315.6</v>
      </c>
      <c r="C489">
        <v>238.5</v>
      </c>
      <c r="E489">
        <v>16.213</v>
      </c>
      <c r="F489">
        <v>-320</v>
      </c>
      <c r="G489" s="2">
        <v>238.5</v>
      </c>
      <c r="I489">
        <f t="shared" si="21"/>
        <v>16.2</v>
      </c>
      <c r="J489">
        <f t="shared" si="22"/>
        <v>-117</v>
      </c>
      <c r="K489">
        <f t="shared" si="23"/>
        <v>100</v>
      </c>
    </row>
    <row r="490" spans="1:11">
      <c r="A490">
        <v>16.279</v>
      </c>
      <c r="B490">
        <v>-310.1</v>
      </c>
      <c r="C490">
        <v>238.5</v>
      </c>
      <c r="E490">
        <v>16.246</v>
      </c>
      <c r="F490">
        <v>-315.6</v>
      </c>
      <c r="G490">
        <v>238.5</v>
      </c>
      <c r="I490">
        <f t="shared" si="21"/>
        <v>16.2</v>
      </c>
      <c r="J490">
        <f t="shared" si="22"/>
        <v>-112.6</v>
      </c>
      <c r="K490">
        <f t="shared" si="23"/>
        <v>100</v>
      </c>
    </row>
    <row r="491" spans="1:11">
      <c r="A491">
        <v>16.313</v>
      </c>
      <c r="B491">
        <v>-304.5</v>
      </c>
      <c r="C491">
        <v>238.5</v>
      </c>
      <c r="E491">
        <v>16.279</v>
      </c>
      <c r="F491">
        <v>-310.1</v>
      </c>
      <c r="G491">
        <v>238.5</v>
      </c>
      <c r="I491">
        <f t="shared" si="21"/>
        <v>16.25</v>
      </c>
      <c r="J491">
        <f t="shared" si="22"/>
        <v>-107.1</v>
      </c>
      <c r="K491">
        <f t="shared" si="23"/>
        <v>100</v>
      </c>
    </row>
    <row r="492" spans="1:11">
      <c r="A492">
        <v>16.346</v>
      </c>
      <c r="B492">
        <v>-298.3</v>
      </c>
      <c r="C492">
        <v>238.5</v>
      </c>
      <c r="E492">
        <v>16.313</v>
      </c>
      <c r="F492">
        <v>-304.5</v>
      </c>
      <c r="G492">
        <v>238.5</v>
      </c>
      <c r="I492">
        <f t="shared" si="21"/>
        <v>16.3</v>
      </c>
      <c r="J492">
        <f t="shared" si="22"/>
        <v>-101.5</v>
      </c>
      <c r="K492">
        <f t="shared" si="23"/>
        <v>100</v>
      </c>
    </row>
    <row r="493" spans="1:11">
      <c r="A493">
        <v>16.38</v>
      </c>
      <c r="B493">
        <v>-291.9</v>
      </c>
      <c r="C493">
        <v>238.5</v>
      </c>
      <c r="E493">
        <v>16.346</v>
      </c>
      <c r="F493">
        <v>-298.3</v>
      </c>
      <c r="G493">
        <v>238.5</v>
      </c>
      <c r="I493">
        <f t="shared" si="21"/>
        <v>16.3</v>
      </c>
      <c r="J493">
        <f t="shared" si="22"/>
        <v>-95.3</v>
      </c>
      <c r="K493">
        <f t="shared" si="23"/>
        <v>100</v>
      </c>
    </row>
    <row r="494" spans="1:11">
      <c r="A494">
        <v>16.413</v>
      </c>
      <c r="B494">
        <v>-285</v>
      </c>
      <c r="C494">
        <v>238.5</v>
      </c>
      <c r="E494">
        <v>16.38</v>
      </c>
      <c r="F494">
        <v>-291.9</v>
      </c>
      <c r="G494">
        <v>238.5</v>
      </c>
      <c r="I494">
        <f t="shared" si="21"/>
        <v>16.35</v>
      </c>
      <c r="J494">
        <f t="shared" si="22"/>
        <v>-88.9</v>
      </c>
      <c r="K494">
        <f t="shared" si="23"/>
        <v>100</v>
      </c>
    </row>
    <row r="495" spans="1:11">
      <c r="A495">
        <v>16.447</v>
      </c>
      <c r="B495">
        <v>-278</v>
      </c>
      <c r="C495">
        <v>238.5</v>
      </c>
      <c r="E495">
        <v>16.413</v>
      </c>
      <c r="F495">
        <v>-285</v>
      </c>
      <c r="G495">
        <v>238.5</v>
      </c>
      <c r="I495">
        <f t="shared" si="21"/>
        <v>16.4</v>
      </c>
      <c r="J495">
        <f t="shared" si="22"/>
        <v>-82</v>
      </c>
      <c r="K495">
        <f t="shared" si="23"/>
        <v>100</v>
      </c>
    </row>
    <row r="496" spans="1:11">
      <c r="A496">
        <v>16.48</v>
      </c>
      <c r="B496">
        <v>-270.9</v>
      </c>
      <c r="C496">
        <v>238.5</v>
      </c>
      <c r="E496">
        <v>16.447</v>
      </c>
      <c r="F496">
        <v>-278</v>
      </c>
      <c r="G496">
        <v>238.5</v>
      </c>
      <c r="I496">
        <f t="shared" si="21"/>
        <v>16.4</v>
      </c>
      <c r="J496">
        <f t="shared" si="22"/>
        <v>-75</v>
      </c>
      <c r="K496">
        <f t="shared" si="23"/>
        <v>100</v>
      </c>
    </row>
    <row r="497" spans="1:11">
      <c r="A497">
        <v>16.513</v>
      </c>
      <c r="B497">
        <v>-263.6</v>
      </c>
      <c r="C497">
        <v>238.5</v>
      </c>
      <c r="E497">
        <v>16.48</v>
      </c>
      <c r="F497">
        <v>-270.9</v>
      </c>
      <c r="G497">
        <v>238.5</v>
      </c>
      <c r="I497">
        <f t="shared" si="21"/>
        <v>16.45</v>
      </c>
      <c r="J497">
        <f t="shared" si="22"/>
        <v>-67.9</v>
      </c>
      <c r="K497">
        <f t="shared" si="23"/>
        <v>100</v>
      </c>
    </row>
    <row r="498" spans="1:11">
      <c r="A498">
        <v>16.547</v>
      </c>
      <c r="B498">
        <v>-256.2</v>
      </c>
      <c r="C498">
        <v>238.5</v>
      </c>
      <c r="E498">
        <v>16.513</v>
      </c>
      <c r="F498">
        <v>-263.6</v>
      </c>
      <c r="G498">
        <v>238.5</v>
      </c>
      <c r="I498">
        <f t="shared" si="21"/>
        <v>16.5</v>
      </c>
      <c r="J498">
        <f t="shared" si="22"/>
        <v>-60.6</v>
      </c>
      <c r="K498">
        <f t="shared" si="23"/>
        <v>100</v>
      </c>
    </row>
    <row r="499" spans="1:11">
      <c r="A499">
        <v>16.58</v>
      </c>
      <c r="B499">
        <v>-248.8</v>
      </c>
      <c r="C499">
        <v>238.5</v>
      </c>
      <c r="E499">
        <v>16.547</v>
      </c>
      <c r="F499">
        <v>-256.2</v>
      </c>
      <c r="G499">
        <v>238.5</v>
      </c>
      <c r="I499">
        <f t="shared" si="21"/>
        <v>16.5</v>
      </c>
      <c r="J499">
        <f t="shared" si="22"/>
        <v>-53.2</v>
      </c>
      <c r="K499">
        <f t="shared" si="23"/>
        <v>100</v>
      </c>
    </row>
    <row r="500" spans="1:11">
      <c r="A500">
        <v>16.614</v>
      </c>
      <c r="B500">
        <v>-242.6</v>
      </c>
      <c r="C500">
        <v>149.9</v>
      </c>
      <c r="E500">
        <v>16.58</v>
      </c>
      <c r="F500">
        <v>-248.8</v>
      </c>
      <c r="G500">
        <v>238.5</v>
      </c>
      <c r="I500">
        <f t="shared" si="21"/>
        <v>16.55</v>
      </c>
      <c r="J500">
        <f t="shared" si="22"/>
        <v>-45.8</v>
      </c>
      <c r="K500">
        <f t="shared" si="23"/>
        <v>100</v>
      </c>
    </row>
    <row r="501" spans="1:11">
      <c r="A501">
        <v>16.647</v>
      </c>
      <c r="B501">
        <v>-236.3</v>
      </c>
      <c r="C501">
        <v>164.3</v>
      </c>
      <c r="E501">
        <v>16.614</v>
      </c>
      <c r="F501">
        <v>-242.6</v>
      </c>
      <c r="G501">
        <v>149.9</v>
      </c>
      <c r="I501">
        <f t="shared" si="21"/>
        <v>16.6</v>
      </c>
      <c r="J501">
        <f t="shared" si="22"/>
        <v>-39.6</v>
      </c>
      <c r="K501">
        <f t="shared" si="23"/>
        <v>-150</v>
      </c>
    </row>
    <row r="502" spans="1:11">
      <c r="A502">
        <v>16.681</v>
      </c>
      <c r="B502">
        <v>-229.6</v>
      </c>
      <c r="C502">
        <v>162.9</v>
      </c>
      <c r="E502">
        <v>16.647</v>
      </c>
      <c r="F502">
        <v>-236.3</v>
      </c>
      <c r="G502">
        <v>164.3</v>
      </c>
      <c r="I502">
        <f t="shared" si="21"/>
        <v>16.6</v>
      </c>
      <c r="J502">
        <f t="shared" si="22"/>
        <v>-33.3</v>
      </c>
      <c r="K502">
        <f t="shared" si="23"/>
        <v>-150</v>
      </c>
    </row>
    <row r="503" spans="1:11">
      <c r="A503">
        <v>16.714</v>
      </c>
      <c r="B503">
        <v>-224.4</v>
      </c>
      <c r="C503">
        <v>161.4</v>
      </c>
      <c r="E503">
        <v>16.681</v>
      </c>
      <c r="F503">
        <v>-229.6</v>
      </c>
      <c r="G503">
        <v>162.9</v>
      </c>
      <c r="I503">
        <f t="shared" si="21"/>
        <v>16.65</v>
      </c>
      <c r="J503">
        <f t="shared" si="22"/>
        <v>-26.6</v>
      </c>
      <c r="K503">
        <f t="shared" si="23"/>
        <v>-150</v>
      </c>
    </row>
    <row r="504" spans="1:11">
      <c r="A504">
        <v>16.747</v>
      </c>
      <c r="B504">
        <v>-219.4</v>
      </c>
      <c r="C504">
        <v>160.1</v>
      </c>
      <c r="E504">
        <v>16.714</v>
      </c>
      <c r="F504">
        <v>-224.4</v>
      </c>
      <c r="G504">
        <v>161.4</v>
      </c>
      <c r="I504">
        <f t="shared" si="21"/>
        <v>16.7</v>
      </c>
      <c r="J504">
        <f t="shared" si="22"/>
        <v>-21.4</v>
      </c>
      <c r="K504">
        <f t="shared" si="23"/>
        <v>-150</v>
      </c>
    </row>
    <row r="505" spans="1:11">
      <c r="A505">
        <v>16.781</v>
      </c>
      <c r="B505">
        <v>-214.7</v>
      </c>
      <c r="C505">
        <v>159</v>
      </c>
      <c r="E505">
        <v>16.747</v>
      </c>
      <c r="F505">
        <v>-219.4</v>
      </c>
      <c r="G505">
        <v>160.1</v>
      </c>
      <c r="I505">
        <f t="shared" si="21"/>
        <v>16.7</v>
      </c>
      <c r="J505">
        <f t="shared" si="22"/>
        <v>-16.4</v>
      </c>
      <c r="K505">
        <f t="shared" si="23"/>
        <v>-150</v>
      </c>
    </row>
    <row r="506" spans="1:11">
      <c r="A506">
        <v>16.814</v>
      </c>
      <c r="B506">
        <v>-210.6</v>
      </c>
      <c r="C506">
        <v>156.5</v>
      </c>
      <c r="E506">
        <v>16.781</v>
      </c>
      <c r="F506">
        <v>-214.7</v>
      </c>
      <c r="G506">
        <v>159</v>
      </c>
      <c r="I506">
        <f t="shared" si="21"/>
        <v>16.75</v>
      </c>
      <c r="J506">
        <f t="shared" si="22"/>
        <v>-11.7</v>
      </c>
      <c r="K506">
        <f t="shared" si="23"/>
        <v>-150</v>
      </c>
    </row>
    <row r="507" spans="1:11">
      <c r="A507">
        <v>16.848</v>
      </c>
      <c r="B507">
        <v>-207.6</v>
      </c>
      <c r="C507">
        <v>154.8</v>
      </c>
      <c r="E507">
        <v>16.814</v>
      </c>
      <c r="F507">
        <v>-210.6</v>
      </c>
      <c r="G507">
        <v>156.5</v>
      </c>
      <c r="I507">
        <f t="shared" si="21"/>
        <v>16.8</v>
      </c>
      <c r="J507">
        <f t="shared" si="22"/>
        <v>-7.59999999999999</v>
      </c>
      <c r="K507">
        <f t="shared" si="23"/>
        <v>-150</v>
      </c>
    </row>
    <row r="508" spans="1:11">
      <c r="A508">
        <v>16.881</v>
      </c>
      <c r="B508">
        <v>-205.2</v>
      </c>
      <c r="C508">
        <v>153.7</v>
      </c>
      <c r="E508">
        <v>16.848</v>
      </c>
      <c r="F508">
        <v>-207.6</v>
      </c>
      <c r="G508">
        <v>154.8</v>
      </c>
      <c r="I508">
        <f t="shared" si="21"/>
        <v>16.8</v>
      </c>
      <c r="J508">
        <f t="shared" si="22"/>
        <v>-4.59999999999999</v>
      </c>
      <c r="K508">
        <f t="shared" si="23"/>
        <v>-150</v>
      </c>
    </row>
    <row r="509" spans="1:11">
      <c r="A509">
        <v>16.915</v>
      </c>
      <c r="B509">
        <v>-203.6</v>
      </c>
      <c r="C509">
        <v>151.3</v>
      </c>
      <c r="E509">
        <v>16.881</v>
      </c>
      <c r="F509">
        <v>-205.2</v>
      </c>
      <c r="G509">
        <v>153.7</v>
      </c>
      <c r="I509">
        <f t="shared" si="21"/>
        <v>16.85</v>
      </c>
      <c r="J509">
        <f t="shared" si="22"/>
        <v>-2.19999999999999</v>
      </c>
      <c r="K509">
        <f t="shared" si="23"/>
        <v>-150</v>
      </c>
    </row>
    <row r="510" spans="1:11">
      <c r="A510">
        <v>16.948</v>
      </c>
      <c r="B510">
        <v>-202.6</v>
      </c>
      <c r="C510">
        <v>150</v>
      </c>
      <c r="E510">
        <v>16.915</v>
      </c>
      <c r="F510">
        <v>-203.6</v>
      </c>
      <c r="G510">
        <v>151.3</v>
      </c>
      <c r="I510">
        <f t="shared" si="21"/>
        <v>16.9</v>
      </c>
      <c r="J510">
        <f t="shared" si="22"/>
        <v>-0.599999999999994</v>
      </c>
      <c r="K510">
        <f t="shared" si="23"/>
        <v>-150</v>
      </c>
    </row>
    <row r="511" spans="1:11">
      <c r="A511">
        <v>16.981</v>
      </c>
      <c r="B511">
        <v>-201.9</v>
      </c>
      <c r="C511">
        <v>147.7</v>
      </c>
      <c r="E511">
        <v>16.948</v>
      </c>
      <c r="F511">
        <v>-202.6</v>
      </c>
      <c r="G511">
        <v>150</v>
      </c>
      <c r="I511">
        <f t="shared" si="21"/>
        <v>16.9</v>
      </c>
      <c r="J511">
        <f t="shared" si="22"/>
        <v>0.400000000000006</v>
      </c>
      <c r="K511">
        <f t="shared" si="23"/>
        <v>-150</v>
      </c>
    </row>
    <row r="512" spans="1:11">
      <c r="A512">
        <v>17.015</v>
      </c>
      <c r="B512">
        <v>-202.2</v>
      </c>
      <c r="C512">
        <v>146.4</v>
      </c>
      <c r="E512">
        <v>16.981</v>
      </c>
      <c r="F512">
        <v>-201.9</v>
      </c>
      <c r="G512">
        <v>147.7</v>
      </c>
      <c r="I512">
        <f t="shared" si="21"/>
        <v>16.95</v>
      </c>
      <c r="J512">
        <f t="shared" si="22"/>
        <v>1.09999999999999</v>
      </c>
      <c r="K512">
        <f t="shared" si="23"/>
        <v>-150</v>
      </c>
    </row>
    <row r="513" spans="1:11">
      <c r="A513">
        <v>17.048</v>
      </c>
      <c r="B513">
        <v>-202.6</v>
      </c>
      <c r="C513">
        <v>144.6</v>
      </c>
      <c r="E513">
        <v>17.015</v>
      </c>
      <c r="F513">
        <v>-202.2</v>
      </c>
      <c r="G513">
        <v>146.4</v>
      </c>
      <c r="I513">
        <f t="shared" si="21"/>
        <v>17</v>
      </c>
      <c r="J513">
        <f t="shared" si="22"/>
        <v>0.800000000000011</v>
      </c>
      <c r="K513">
        <f t="shared" si="23"/>
        <v>-150</v>
      </c>
    </row>
    <row r="514" spans="1:11">
      <c r="A514">
        <v>17.082</v>
      </c>
      <c r="B514">
        <v>-204.1</v>
      </c>
      <c r="C514">
        <v>143.3</v>
      </c>
      <c r="E514">
        <v>17.048</v>
      </c>
      <c r="F514">
        <v>-202.6</v>
      </c>
      <c r="G514">
        <v>144.6</v>
      </c>
      <c r="I514">
        <f t="shared" si="21"/>
        <v>17</v>
      </c>
      <c r="J514">
        <f t="shared" si="22"/>
        <v>0.400000000000006</v>
      </c>
      <c r="K514">
        <f t="shared" si="23"/>
        <v>-150</v>
      </c>
    </row>
    <row r="515" spans="1:11">
      <c r="A515">
        <v>17.115</v>
      </c>
      <c r="B515">
        <v>-205.9</v>
      </c>
      <c r="C515">
        <v>140.5</v>
      </c>
      <c r="E515">
        <v>17.082</v>
      </c>
      <c r="F515">
        <v>-204.1</v>
      </c>
      <c r="G515">
        <v>143.3</v>
      </c>
      <c r="I515">
        <f t="shared" si="21"/>
        <v>17.05</v>
      </c>
      <c r="J515">
        <f t="shared" si="22"/>
        <v>-1.09999999999999</v>
      </c>
      <c r="K515">
        <f t="shared" si="23"/>
        <v>-150</v>
      </c>
    </row>
    <row r="516" spans="1:11">
      <c r="A516">
        <v>17.149</v>
      </c>
      <c r="B516">
        <v>-209.4</v>
      </c>
      <c r="C516">
        <v>139.3</v>
      </c>
      <c r="E516">
        <v>17.115</v>
      </c>
      <c r="F516">
        <v>-205.9</v>
      </c>
      <c r="G516">
        <v>140.5</v>
      </c>
      <c r="I516">
        <f t="shared" ref="I516:I579" si="24">FLOOR(E516,0.05)</f>
        <v>17.1</v>
      </c>
      <c r="J516">
        <f t="shared" ref="J516:J579" si="25">F516+203</f>
        <v>-2.90000000000001</v>
      </c>
      <c r="K516">
        <f t="shared" si="23"/>
        <v>-150</v>
      </c>
    </row>
    <row r="517" spans="1:11">
      <c r="A517">
        <v>17.182</v>
      </c>
      <c r="B517">
        <v>-212.8</v>
      </c>
      <c r="C517">
        <v>136.8</v>
      </c>
      <c r="E517">
        <v>17.149</v>
      </c>
      <c r="F517">
        <v>-209.4</v>
      </c>
      <c r="G517">
        <v>139.3</v>
      </c>
      <c r="I517">
        <f t="shared" si="24"/>
        <v>17.1</v>
      </c>
      <c r="J517">
        <f t="shared" si="25"/>
        <v>-6.40000000000001</v>
      </c>
      <c r="K517">
        <f t="shared" ref="K517:K580" si="26">IF(G517&lt;230,-150,100)</f>
        <v>-150</v>
      </c>
    </row>
    <row r="518" spans="1:11">
      <c r="A518">
        <v>17.215</v>
      </c>
      <c r="B518">
        <v>-217.2</v>
      </c>
      <c r="C518">
        <v>134.5</v>
      </c>
      <c r="E518">
        <v>17.182</v>
      </c>
      <c r="F518">
        <v>-212.8</v>
      </c>
      <c r="G518">
        <v>136.8</v>
      </c>
      <c r="I518">
        <f t="shared" si="24"/>
        <v>17.15</v>
      </c>
      <c r="J518">
        <f t="shared" si="25"/>
        <v>-9.80000000000001</v>
      </c>
      <c r="K518">
        <f t="shared" si="26"/>
        <v>-150</v>
      </c>
    </row>
    <row r="519" spans="1:11">
      <c r="A519">
        <v>17.249</v>
      </c>
      <c r="B519">
        <v>-222</v>
      </c>
      <c r="C519">
        <v>133.2</v>
      </c>
      <c r="E519">
        <v>17.215</v>
      </c>
      <c r="F519">
        <v>-217.2</v>
      </c>
      <c r="G519">
        <v>134.5</v>
      </c>
      <c r="I519">
        <f t="shared" si="24"/>
        <v>17.2</v>
      </c>
      <c r="J519">
        <f t="shared" si="25"/>
        <v>-14.2</v>
      </c>
      <c r="K519">
        <f t="shared" si="26"/>
        <v>-150</v>
      </c>
    </row>
    <row r="520" spans="1:11">
      <c r="A520">
        <v>17.282</v>
      </c>
      <c r="B520">
        <v>-227.2</v>
      </c>
      <c r="C520">
        <v>132.4</v>
      </c>
      <c r="E520">
        <v>17.249</v>
      </c>
      <c r="F520">
        <v>-222</v>
      </c>
      <c r="G520">
        <v>133.2</v>
      </c>
      <c r="I520">
        <f t="shared" si="24"/>
        <v>17.2</v>
      </c>
      <c r="J520">
        <f t="shared" si="25"/>
        <v>-19</v>
      </c>
      <c r="K520">
        <f t="shared" si="26"/>
        <v>-150</v>
      </c>
    </row>
    <row r="521" spans="1:11">
      <c r="A521">
        <v>17.316</v>
      </c>
      <c r="B521">
        <v>-233</v>
      </c>
      <c r="C521">
        <v>129</v>
      </c>
      <c r="E521">
        <v>17.282</v>
      </c>
      <c r="F521">
        <v>-227.2</v>
      </c>
      <c r="G521">
        <v>132.4</v>
      </c>
      <c r="I521">
        <f t="shared" si="24"/>
        <v>17.25</v>
      </c>
      <c r="J521">
        <f t="shared" si="25"/>
        <v>-24.2</v>
      </c>
      <c r="K521">
        <f t="shared" si="26"/>
        <v>-150</v>
      </c>
    </row>
    <row r="522" spans="1:11">
      <c r="A522">
        <v>17.349</v>
      </c>
      <c r="B522">
        <v>-239.3</v>
      </c>
      <c r="C522">
        <v>238.3</v>
      </c>
      <c r="E522">
        <v>17.316</v>
      </c>
      <c r="F522">
        <v>-233</v>
      </c>
      <c r="G522">
        <v>129</v>
      </c>
      <c r="I522">
        <f t="shared" si="24"/>
        <v>17.3</v>
      </c>
      <c r="J522">
        <f t="shared" si="25"/>
        <v>-30</v>
      </c>
      <c r="K522">
        <f t="shared" si="26"/>
        <v>-150</v>
      </c>
    </row>
    <row r="523" spans="1:11">
      <c r="A523">
        <v>17.383</v>
      </c>
      <c r="B523">
        <v>-245.3</v>
      </c>
      <c r="C523">
        <v>238.5</v>
      </c>
      <c r="E523">
        <v>17.349</v>
      </c>
      <c r="F523">
        <v>-239.3</v>
      </c>
      <c r="G523">
        <v>238.3</v>
      </c>
      <c r="I523">
        <f t="shared" si="24"/>
        <v>17.3</v>
      </c>
      <c r="J523">
        <f t="shared" si="25"/>
        <v>-36.3</v>
      </c>
      <c r="K523">
        <f t="shared" si="26"/>
        <v>100</v>
      </c>
    </row>
    <row r="524" spans="1:11">
      <c r="A524">
        <v>17.416</v>
      </c>
      <c r="B524">
        <v>-251.9</v>
      </c>
      <c r="C524">
        <v>238.5</v>
      </c>
      <c r="E524">
        <v>17.383</v>
      </c>
      <c r="F524">
        <v>-245.3</v>
      </c>
      <c r="G524">
        <v>238.5</v>
      </c>
      <c r="I524">
        <f t="shared" si="24"/>
        <v>17.35</v>
      </c>
      <c r="J524">
        <f t="shared" si="25"/>
        <v>-42.3</v>
      </c>
      <c r="K524">
        <f t="shared" si="26"/>
        <v>100</v>
      </c>
    </row>
    <row r="525" spans="1:11">
      <c r="A525">
        <v>17.449</v>
      </c>
      <c r="B525">
        <v>-258.8</v>
      </c>
      <c r="C525">
        <v>238.5</v>
      </c>
      <c r="E525">
        <v>17.416</v>
      </c>
      <c r="F525">
        <v>-251.9</v>
      </c>
      <c r="G525">
        <v>238.5</v>
      </c>
      <c r="I525">
        <f t="shared" si="24"/>
        <v>17.4</v>
      </c>
      <c r="J525">
        <f t="shared" si="25"/>
        <v>-48.9</v>
      </c>
      <c r="K525">
        <f t="shared" si="26"/>
        <v>100</v>
      </c>
    </row>
    <row r="526" spans="1:11">
      <c r="A526">
        <v>17.483</v>
      </c>
      <c r="B526">
        <v>-265.9</v>
      </c>
      <c r="C526">
        <v>238.5</v>
      </c>
      <c r="E526">
        <v>17.449</v>
      </c>
      <c r="F526">
        <v>-258.8</v>
      </c>
      <c r="G526">
        <v>238.5</v>
      </c>
      <c r="I526">
        <f t="shared" si="24"/>
        <v>17.4</v>
      </c>
      <c r="J526">
        <f t="shared" si="25"/>
        <v>-55.8</v>
      </c>
      <c r="K526">
        <f t="shared" si="26"/>
        <v>100</v>
      </c>
    </row>
    <row r="527" spans="1:11">
      <c r="A527">
        <v>17.516</v>
      </c>
      <c r="B527">
        <v>-273.2</v>
      </c>
      <c r="C527">
        <v>238.5</v>
      </c>
      <c r="E527">
        <v>17.483</v>
      </c>
      <c r="F527">
        <v>-265.9</v>
      </c>
      <c r="G527">
        <v>238.5</v>
      </c>
      <c r="I527">
        <f t="shared" si="24"/>
        <v>17.45</v>
      </c>
      <c r="J527">
        <f t="shared" si="25"/>
        <v>-62.9</v>
      </c>
      <c r="K527">
        <f t="shared" si="26"/>
        <v>100</v>
      </c>
    </row>
    <row r="528" spans="1:11">
      <c r="A528">
        <v>17.55</v>
      </c>
      <c r="B528">
        <v>-280.8</v>
      </c>
      <c r="C528">
        <v>238.5</v>
      </c>
      <c r="E528">
        <v>17.516</v>
      </c>
      <c r="F528">
        <v>-273.2</v>
      </c>
      <c r="G528">
        <v>238.5</v>
      </c>
      <c r="I528">
        <f t="shared" si="24"/>
        <v>17.5</v>
      </c>
      <c r="J528">
        <f t="shared" si="25"/>
        <v>-70.2</v>
      </c>
      <c r="K528">
        <f t="shared" si="26"/>
        <v>100</v>
      </c>
    </row>
    <row r="529" spans="1:11">
      <c r="A529">
        <v>17.583</v>
      </c>
      <c r="B529">
        <v>-287.3</v>
      </c>
      <c r="C529">
        <v>238.5</v>
      </c>
      <c r="E529">
        <v>17.55</v>
      </c>
      <c r="F529">
        <v>-280.8</v>
      </c>
      <c r="G529">
        <v>238.5</v>
      </c>
      <c r="I529">
        <f t="shared" si="24"/>
        <v>17.55</v>
      </c>
      <c r="J529">
        <f t="shared" si="25"/>
        <v>-77.8</v>
      </c>
      <c r="K529">
        <f t="shared" si="26"/>
        <v>100</v>
      </c>
    </row>
    <row r="530" spans="1:11">
      <c r="A530">
        <v>17.617</v>
      </c>
      <c r="B530">
        <v>-293.4</v>
      </c>
      <c r="C530">
        <v>238.5</v>
      </c>
      <c r="E530">
        <v>17.583</v>
      </c>
      <c r="F530">
        <v>-287.3</v>
      </c>
      <c r="G530">
        <v>238.5</v>
      </c>
      <c r="I530">
        <f t="shared" si="24"/>
        <v>17.55</v>
      </c>
      <c r="J530">
        <f t="shared" si="25"/>
        <v>-84.3</v>
      </c>
      <c r="K530">
        <f t="shared" si="26"/>
        <v>100</v>
      </c>
    </row>
    <row r="531" spans="1:11">
      <c r="A531">
        <v>17.65</v>
      </c>
      <c r="B531">
        <v>-298.9</v>
      </c>
      <c r="C531">
        <v>238.5</v>
      </c>
      <c r="E531">
        <v>17.617</v>
      </c>
      <c r="F531">
        <v>-293.4</v>
      </c>
      <c r="G531">
        <v>238.5</v>
      </c>
      <c r="I531">
        <f t="shared" si="24"/>
        <v>17.6</v>
      </c>
      <c r="J531">
        <f t="shared" si="25"/>
        <v>-90.4</v>
      </c>
      <c r="K531">
        <f t="shared" si="26"/>
        <v>100</v>
      </c>
    </row>
    <row r="532" spans="1:11">
      <c r="A532">
        <v>17.683</v>
      </c>
      <c r="B532">
        <v>-304.9</v>
      </c>
      <c r="C532">
        <v>238.5</v>
      </c>
      <c r="E532">
        <v>17.65</v>
      </c>
      <c r="F532">
        <v>-298.9</v>
      </c>
      <c r="G532">
        <v>238.5</v>
      </c>
      <c r="I532">
        <f t="shared" si="24"/>
        <v>17.65</v>
      </c>
      <c r="J532">
        <f t="shared" si="25"/>
        <v>-95.9</v>
      </c>
      <c r="K532">
        <f t="shared" si="26"/>
        <v>100</v>
      </c>
    </row>
    <row r="533" spans="1:11">
      <c r="A533">
        <v>17.717</v>
      </c>
      <c r="B533">
        <v>-309.9</v>
      </c>
      <c r="C533">
        <v>238.5</v>
      </c>
      <c r="E533">
        <v>17.683</v>
      </c>
      <c r="F533">
        <v>-304.9</v>
      </c>
      <c r="G533">
        <v>238.5</v>
      </c>
      <c r="I533">
        <f t="shared" si="24"/>
        <v>17.65</v>
      </c>
      <c r="J533">
        <f t="shared" si="25"/>
        <v>-101.9</v>
      </c>
      <c r="K533">
        <f t="shared" si="26"/>
        <v>100</v>
      </c>
    </row>
    <row r="534" spans="1:11">
      <c r="A534">
        <v>17.75</v>
      </c>
      <c r="B534">
        <v>-314.1</v>
      </c>
      <c r="C534">
        <v>238.5</v>
      </c>
      <c r="E534">
        <v>17.717</v>
      </c>
      <c r="F534">
        <v>-309.9</v>
      </c>
      <c r="G534">
        <v>238.5</v>
      </c>
      <c r="I534">
        <f t="shared" si="24"/>
        <v>17.7</v>
      </c>
      <c r="J534">
        <f t="shared" si="25"/>
        <v>-106.9</v>
      </c>
      <c r="K534">
        <f t="shared" si="26"/>
        <v>100</v>
      </c>
    </row>
    <row r="535" spans="1:11">
      <c r="A535">
        <v>17.784</v>
      </c>
      <c r="B535">
        <v>-318</v>
      </c>
      <c r="C535">
        <v>238.5</v>
      </c>
      <c r="E535">
        <v>17.75</v>
      </c>
      <c r="F535">
        <v>-314.1</v>
      </c>
      <c r="G535">
        <v>238.5</v>
      </c>
      <c r="I535">
        <f t="shared" si="24"/>
        <v>17.75</v>
      </c>
      <c r="J535">
        <f t="shared" si="25"/>
        <v>-111.1</v>
      </c>
      <c r="K535">
        <f t="shared" si="26"/>
        <v>100</v>
      </c>
    </row>
    <row r="536" spans="1:11">
      <c r="A536">
        <v>17.817</v>
      </c>
      <c r="B536">
        <v>-321.3</v>
      </c>
      <c r="C536">
        <v>238.5</v>
      </c>
      <c r="E536">
        <v>17.784</v>
      </c>
      <c r="F536">
        <v>-318</v>
      </c>
      <c r="G536">
        <v>238.5</v>
      </c>
      <c r="I536">
        <f t="shared" si="24"/>
        <v>17.75</v>
      </c>
      <c r="J536">
        <f t="shared" si="25"/>
        <v>-115</v>
      </c>
      <c r="K536">
        <f t="shared" si="26"/>
        <v>100</v>
      </c>
    </row>
    <row r="537" spans="1:11">
      <c r="A537">
        <v>17.851</v>
      </c>
      <c r="B537">
        <v>-323.9</v>
      </c>
      <c r="C537">
        <v>238.5</v>
      </c>
      <c r="E537">
        <v>17.817</v>
      </c>
      <c r="F537">
        <v>-321.3</v>
      </c>
      <c r="G537">
        <v>238.5</v>
      </c>
      <c r="I537">
        <f t="shared" si="24"/>
        <v>17.8</v>
      </c>
      <c r="J537">
        <f t="shared" si="25"/>
        <v>-118.3</v>
      </c>
      <c r="K537">
        <f t="shared" si="26"/>
        <v>100</v>
      </c>
    </row>
    <row r="538" spans="1:11">
      <c r="A538">
        <v>17.884</v>
      </c>
      <c r="B538">
        <v>-325.5</v>
      </c>
      <c r="C538">
        <v>238.5</v>
      </c>
      <c r="E538">
        <v>17.851</v>
      </c>
      <c r="F538">
        <v>-323.9</v>
      </c>
      <c r="G538">
        <v>238.5</v>
      </c>
      <c r="I538">
        <f t="shared" si="24"/>
        <v>17.85</v>
      </c>
      <c r="J538">
        <f t="shared" si="25"/>
        <v>-120.9</v>
      </c>
      <c r="K538">
        <f t="shared" si="26"/>
        <v>100</v>
      </c>
    </row>
    <row r="539" spans="1:11">
      <c r="A539">
        <v>17.917</v>
      </c>
      <c r="B539">
        <v>-326.1</v>
      </c>
      <c r="C539">
        <v>238.5</v>
      </c>
      <c r="E539">
        <v>17.884</v>
      </c>
      <c r="F539">
        <v>-325.5</v>
      </c>
      <c r="G539">
        <v>238.5</v>
      </c>
      <c r="I539">
        <f t="shared" si="24"/>
        <v>17.85</v>
      </c>
      <c r="J539">
        <f t="shared" si="25"/>
        <v>-122.5</v>
      </c>
      <c r="K539">
        <f t="shared" si="26"/>
        <v>100</v>
      </c>
    </row>
    <row r="540" spans="1:11">
      <c r="A540">
        <v>17.951</v>
      </c>
      <c r="B540">
        <v>-326.2</v>
      </c>
      <c r="C540">
        <v>238.5</v>
      </c>
      <c r="E540">
        <v>17.917</v>
      </c>
      <c r="F540">
        <v>-326.1</v>
      </c>
      <c r="G540">
        <v>238.5</v>
      </c>
      <c r="I540">
        <f t="shared" si="24"/>
        <v>17.9</v>
      </c>
      <c r="J540">
        <f t="shared" si="25"/>
        <v>-123.1</v>
      </c>
      <c r="K540">
        <f t="shared" si="26"/>
        <v>100</v>
      </c>
    </row>
    <row r="541" spans="1:11">
      <c r="A541">
        <v>17.984</v>
      </c>
      <c r="B541">
        <v>-325.6</v>
      </c>
      <c r="C541">
        <v>238.5</v>
      </c>
      <c r="E541">
        <v>17.951</v>
      </c>
      <c r="F541">
        <v>-326.2</v>
      </c>
      <c r="G541">
        <v>238.5</v>
      </c>
      <c r="I541">
        <f t="shared" si="24"/>
        <v>17.95</v>
      </c>
      <c r="J541">
        <f t="shared" si="25"/>
        <v>-123.2</v>
      </c>
      <c r="K541">
        <f t="shared" si="26"/>
        <v>100</v>
      </c>
    </row>
    <row r="542" spans="1:11">
      <c r="A542">
        <v>18.018</v>
      </c>
      <c r="B542">
        <v>-323.7</v>
      </c>
      <c r="C542">
        <v>238.5</v>
      </c>
      <c r="E542">
        <v>17.984</v>
      </c>
      <c r="F542">
        <v>-325.6</v>
      </c>
      <c r="G542">
        <v>238.5</v>
      </c>
      <c r="I542">
        <f t="shared" si="24"/>
        <v>17.95</v>
      </c>
      <c r="J542">
        <f t="shared" si="25"/>
        <v>-122.6</v>
      </c>
      <c r="K542">
        <f t="shared" si="26"/>
        <v>100</v>
      </c>
    </row>
    <row r="543" spans="1:11">
      <c r="A543">
        <v>18.051</v>
      </c>
      <c r="B543">
        <v>-320.9</v>
      </c>
      <c r="C543">
        <v>238.4</v>
      </c>
      <c r="E543">
        <v>18.018</v>
      </c>
      <c r="F543">
        <v>-323.7</v>
      </c>
      <c r="G543">
        <v>238.5</v>
      </c>
      <c r="I543">
        <f t="shared" si="24"/>
        <v>18</v>
      </c>
      <c r="J543">
        <f t="shared" si="25"/>
        <v>-120.7</v>
      </c>
      <c r="K543">
        <f t="shared" si="26"/>
        <v>100</v>
      </c>
    </row>
    <row r="544" spans="1:11">
      <c r="A544">
        <v>18.085</v>
      </c>
      <c r="B544">
        <v>-317.7</v>
      </c>
      <c r="C544">
        <v>238.4</v>
      </c>
      <c r="E544">
        <v>18.051</v>
      </c>
      <c r="F544">
        <v>-320.9</v>
      </c>
      <c r="G544">
        <v>238.4</v>
      </c>
      <c r="I544">
        <f t="shared" si="24"/>
        <v>18.05</v>
      </c>
      <c r="J544">
        <f t="shared" si="25"/>
        <v>-117.9</v>
      </c>
      <c r="K544">
        <f t="shared" si="26"/>
        <v>100</v>
      </c>
    </row>
    <row r="545" spans="1:11">
      <c r="A545">
        <v>18.118</v>
      </c>
      <c r="B545">
        <v>-313.7</v>
      </c>
      <c r="C545">
        <v>149.3</v>
      </c>
      <c r="E545">
        <v>18.085</v>
      </c>
      <c r="F545">
        <v>-317.7</v>
      </c>
      <c r="G545">
        <v>238.4</v>
      </c>
      <c r="I545">
        <f t="shared" si="24"/>
        <v>18.05</v>
      </c>
      <c r="J545">
        <f t="shared" si="25"/>
        <v>-114.7</v>
      </c>
      <c r="K545">
        <f t="shared" si="26"/>
        <v>100</v>
      </c>
    </row>
    <row r="546" spans="1:11">
      <c r="A546">
        <v>18.151</v>
      </c>
      <c r="B546">
        <v>-309.3</v>
      </c>
      <c r="C546">
        <v>164.6</v>
      </c>
      <c r="E546">
        <v>18.118</v>
      </c>
      <c r="F546">
        <v>-313.7</v>
      </c>
      <c r="G546">
        <v>149.3</v>
      </c>
      <c r="I546">
        <f t="shared" si="24"/>
        <v>18.1</v>
      </c>
      <c r="J546">
        <f t="shared" si="25"/>
        <v>-110.7</v>
      </c>
      <c r="K546">
        <f t="shared" si="26"/>
        <v>-150</v>
      </c>
    </row>
    <row r="547" spans="1:11">
      <c r="A547">
        <v>18.185</v>
      </c>
      <c r="B547">
        <v>-303.8</v>
      </c>
      <c r="C547">
        <v>163.3</v>
      </c>
      <c r="E547">
        <v>18.151</v>
      </c>
      <c r="F547">
        <v>-309.3</v>
      </c>
      <c r="G547">
        <v>164.6</v>
      </c>
      <c r="I547">
        <f t="shared" si="24"/>
        <v>18.15</v>
      </c>
      <c r="J547">
        <f t="shared" si="25"/>
        <v>-106.3</v>
      </c>
      <c r="K547">
        <f t="shared" si="26"/>
        <v>-150</v>
      </c>
    </row>
    <row r="548" spans="1:11">
      <c r="A548">
        <v>18.218</v>
      </c>
      <c r="B548">
        <v>-298.3</v>
      </c>
      <c r="C548">
        <v>161.3</v>
      </c>
      <c r="E548">
        <v>18.185</v>
      </c>
      <c r="F548">
        <v>-303.8</v>
      </c>
      <c r="G548">
        <v>163.3</v>
      </c>
      <c r="I548">
        <f t="shared" si="24"/>
        <v>18.15</v>
      </c>
      <c r="J548">
        <f t="shared" si="25"/>
        <v>-100.8</v>
      </c>
      <c r="K548">
        <f t="shared" si="26"/>
        <v>-150</v>
      </c>
    </row>
    <row r="549" spans="1:11">
      <c r="A549">
        <v>18.252</v>
      </c>
      <c r="B549">
        <v>-292</v>
      </c>
      <c r="C549">
        <v>159.7</v>
      </c>
      <c r="E549">
        <v>18.218</v>
      </c>
      <c r="F549">
        <v>-298.3</v>
      </c>
      <c r="G549">
        <v>161.3</v>
      </c>
      <c r="I549">
        <f t="shared" si="24"/>
        <v>18.2</v>
      </c>
      <c r="J549">
        <f t="shared" si="25"/>
        <v>-95.3</v>
      </c>
      <c r="K549">
        <f t="shared" si="26"/>
        <v>-150</v>
      </c>
    </row>
    <row r="550" spans="1:11">
      <c r="A550">
        <v>18.285</v>
      </c>
      <c r="B550">
        <v>-284.9</v>
      </c>
      <c r="C550">
        <v>158.8</v>
      </c>
      <c r="E550">
        <v>18.252</v>
      </c>
      <c r="F550">
        <v>-292</v>
      </c>
      <c r="G550">
        <v>159.7</v>
      </c>
      <c r="I550">
        <f t="shared" si="24"/>
        <v>18.25</v>
      </c>
      <c r="J550">
        <f t="shared" si="25"/>
        <v>-89</v>
      </c>
      <c r="K550">
        <f t="shared" si="26"/>
        <v>-150</v>
      </c>
    </row>
    <row r="551" spans="1:11">
      <c r="A551">
        <v>18.319</v>
      </c>
      <c r="B551">
        <v>-278.7</v>
      </c>
      <c r="C551">
        <v>156.3</v>
      </c>
      <c r="E551">
        <v>18.285</v>
      </c>
      <c r="F551">
        <v>-284.9</v>
      </c>
      <c r="G551">
        <v>158.8</v>
      </c>
      <c r="I551">
        <f t="shared" si="24"/>
        <v>18.25</v>
      </c>
      <c r="J551">
        <f t="shared" si="25"/>
        <v>-81.9</v>
      </c>
      <c r="K551">
        <f t="shared" si="26"/>
        <v>-150</v>
      </c>
    </row>
    <row r="552" spans="1:11">
      <c r="A552">
        <v>18.352</v>
      </c>
      <c r="B552">
        <v>-271.8</v>
      </c>
      <c r="C552">
        <v>154.8</v>
      </c>
      <c r="E552">
        <v>18.319</v>
      </c>
      <c r="F552">
        <v>-278.7</v>
      </c>
      <c r="G552">
        <v>156.3</v>
      </c>
      <c r="I552">
        <f t="shared" si="24"/>
        <v>18.3</v>
      </c>
      <c r="J552">
        <f t="shared" si="25"/>
        <v>-75.7</v>
      </c>
      <c r="K552">
        <f t="shared" si="26"/>
        <v>-150</v>
      </c>
    </row>
    <row r="553" spans="1:11">
      <c r="A553">
        <v>18.385</v>
      </c>
      <c r="B553">
        <v>-264.5</v>
      </c>
      <c r="C553">
        <v>152.9</v>
      </c>
      <c r="E553">
        <v>18.352</v>
      </c>
      <c r="F553">
        <v>-271.8</v>
      </c>
      <c r="G553">
        <v>154.8</v>
      </c>
      <c r="I553">
        <f t="shared" si="24"/>
        <v>18.35</v>
      </c>
      <c r="J553">
        <f t="shared" si="25"/>
        <v>-68.8</v>
      </c>
      <c r="K553">
        <f t="shared" si="26"/>
        <v>-150</v>
      </c>
    </row>
    <row r="554" spans="1:11">
      <c r="A554">
        <v>18.419</v>
      </c>
      <c r="B554">
        <v>-257.1</v>
      </c>
      <c r="C554">
        <v>152.4</v>
      </c>
      <c r="E554">
        <v>18.385</v>
      </c>
      <c r="F554">
        <v>-264.5</v>
      </c>
      <c r="G554">
        <v>152.9</v>
      </c>
      <c r="I554">
        <f t="shared" si="24"/>
        <v>18.35</v>
      </c>
      <c r="J554">
        <f t="shared" si="25"/>
        <v>-61.5</v>
      </c>
      <c r="K554">
        <f t="shared" si="26"/>
        <v>-150</v>
      </c>
    </row>
    <row r="555" spans="1:11">
      <c r="A555">
        <v>18.452</v>
      </c>
      <c r="B555">
        <v>-249.6</v>
      </c>
      <c r="C555">
        <v>149.3</v>
      </c>
      <c r="E555">
        <v>18.419</v>
      </c>
      <c r="F555">
        <v>-257.1</v>
      </c>
      <c r="G555">
        <v>152.4</v>
      </c>
      <c r="I555">
        <f t="shared" si="24"/>
        <v>18.4</v>
      </c>
      <c r="J555">
        <f t="shared" si="25"/>
        <v>-54.1</v>
      </c>
      <c r="K555">
        <f t="shared" si="26"/>
        <v>-150</v>
      </c>
    </row>
    <row r="556" spans="1:11">
      <c r="A556">
        <v>18.486</v>
      </c>
      <c r="B556">
        <v>-243.4</v>
      </c>
      <c r="C556">
        <v>148.2</v>
      </c>
      <c r="E556">
        <v>18.452</v>
      </c>
      <c r="F556">
        <v>-249.6</v>
      </c>
      <c r="G556">
        <v>149.3</v>
      </c>
      <c r="I556">
        <f t="shared" si="24"/>
        <v>18.45</v>
      </c>
      <c r="J556">
        <f t="shared" si="25"/>
        <v>-46.6</v>
      </c>
      <c r="K556">
        <f t="shared" si="26"/>
        <v>-150</v>
      </c>
    </row>
    <row r="557" spans="1:11">
      <c r="A557">
        <v>18.519</v>
      </c>
      <c r="B557">
        <v>-237.3</v>
      </c>
      <c r="C557">
        <v>146.1</v>
      </c>
      <c r="E557">
        <v>18.486</v>
      </c>
      <c r="F557">
        <v>-243.4</v>
      </c>
      <c r="G557">
        <v>148.2</v>
      </c>
      <c r="I557">
        <f t="shared" si="24"/>
        <v>18.45</v>
      </c>
      <c r="J557">
        <f t="shared" si="25"/>
        <v>-40.4</v>
      </c>
      <c r="K557">
        <f t="shared" si="26"/>
        <v>-150</v>
      </c>
    </row>
    <row r="558" spans="1:11">
      <c r="A558">
        <v>18.553</v>
      </c>
      <c r="B558">
        <v>-230.9</v>
      </c>
      <c r="C558">
        <v>144.6</v>
      </c>
      <c r="E558">
        <v>18.519</v>
      </c>
      <c r="F558">
        <v>-237.3</v>
      </c>
      <c r="G558">
        <v>146.1</v>
      </c>
      <c r="I558">
        <f t="shared" si="24"/>
        <v>18.5</v>
      </c>
      <c r="J558">
        <f t="shared" si="25"/>
        <v>-34.3</v>
      </c>
      <c r="K558">
        <f t="shared" si="26"/>
        <v>-150</v>
      </c>
    </row>
    <row r="559" spans="1:11">
      <c r="A559">
        <v>18.586</v>
      </c>
      <c r="B559">
        <v>-225.5</v>
      </c>
      <c r="C559">
        <v>143</v>
      </c>
      <c r="E559">
        <v>18.553</v>
      </c>
      <c r="F559">
        <v>-230.9</v>
      </c>
      <c r="G559">
        <v>144.6</v>
      </c>
      <c r="I559">
        <f t="shared" si="24"/>
        <v>18.55</v>
      </c>
      <c r="J559">
        <f t="shared" si="25"/>
        <v>-27.9</v>
      </c>
      <c r="K559">
        <f t="shared" si="26"/>
        <v>-150</v>
      </c>
    </row>
    <row r="560" spans="1:11">
      <c r="A560">
        <v>18.619</v>
      </c>
      <c r="B560">
        <v>-221</v>
      </c>
      <c r="C560">
        <v>141.5</v>
      </c>
      <c r="E560">
        <v>18.586</v>
      </c>
      <c r="F560">
        <v>-225.5</v>
      </c>
      <c r="G560">
        <v>143</v>
      </c>
      <c r="I560">
        <f t="shared" si="24"/>
        <v>18.55</v>
      </c>
      <c r="J560">
        <f t="shared" si="25"/>
        <v>-22.5</v>
      </c>
      <c r="K560">
        <f t="shared" si="26"/>
        <v>-150</v>
      </c>
    </row>
    <row r="561" spans="1:11">
      <c r="A561">
        <v>18.653</v>
      </c>
      <c r="B561">
        <v>-216.5</v>
      </c>
      <c r="C561">
        <v>138.4</v>
      </c>
      <c r="E561">
        <v>18.619</v>
      </c>
      <c r="F561">
        <v>-221</v>
      </c>
      <c r="G561">
        <v>141.5</v>
      </c>
      <c r="I561">
        <f t="shared" si="24"/>
        <v>18.6</v>
      </c>
      <c r="J561">
        <f t="shared" si="25"/>
        <v>-18</v>
      </c>
      <c r="K561">
        <f t="shared" si="26"/>
        <v>-150</v>
      </c>
    </row>
    <row r="562" spans="1:11">
      <c r="A562">
        <v>18.686</v>
      </c>
      <c r="B562">
        <v>-212.7</v>
      </c>
      <c r="C562">
        <v>137.8</v>
      </c>
      <c r="E562">
        <v>18.653</v>
      </c>
      <c r="F562">
        <v>-216.5</v>
      </c>
      <c r="G562">
        <v>138.4</v>
      </c>
      <c r="I562">
        <f t="shared" si="24"/>
        <v>18.65</v>
      </c>
      <c r="J562">
        <f t="shared" si="25"/>
        <v>-13.5</v>
      </c>
      <c r="K562">
        <f t="shared" si="26"/>
        <v>-150</v>
      </c>
    </row>
    <row r="563" spans="1:11">
      <c r="A563">
        <v>18.72</v>
      </c>
      <c r="B563">
        <v>-209.6</v>
      </c>
      <c r="C563">
        <v>134.6</v>
      </c>
      <c r="E563">
        <v>18.686</v>
      </c>
      <c r="F563">
        <v>-212.7</v>
      </c>
      <c r="G563">
        <v>137.8</v>
      </c>
      <c r="I563">
        <f t="shared" si="24"/>
        <v>18.65</v>
      </c>
      <c r="J563">
        <f t="shared" si="25"/>
        <v>-9.69999999999999</v>
      </c>
      <c r="K563">
        <f t="shared" si="26"/>
        <v>-150</v>
      </c>
    </row>
    <row r="564" spans="1:11">
      <c r="A564">
        <v>18.753</v>
      </c>
      <c r="B564">
        <v>-206.8</v>
      </c>
      <c r="C564">
        <v>133</v>
      </c>
      <c r="E564">
        <v>18.72</v>
      </c>
      <c r="F564">
        <v>-209.6</v>
      </c>
      <c r="G564">
        <v>134.6</v>
      </c>
      <c r="I564">
        <f t="shared" si="24"/>
        <v>18.7</v>
      </c>
      <c r="J564">
        <f t="shared" si="25"/>
        <v>-6.59999999999999</v>
      </c>
      <c r="K564">
        <f t="shared" si="26"/>
        <v>-150</v>
      </c>
    </row>
    <row r="565" spans="1:11">
      <c r="A565">
        <v>18.787</v>
      </c>
      <c r="B565">
        <v>-205.7</v>
      </c>
      <c r="C565">
        <v>130.8</v>
      </c>
      <c r="E565">
        <v>18.753</v>
      </c>
      <c r="F565">
        <v>-206.8</v>
      </c>
      <c r="G565">
        <v>133</v>
      </c>
      <c r="I565">
        <f t="shared" si="24"/>
        <v>18.75</v>
      </c>
      <c r="J565">
        <f t="shared" si="25"/>
        <v>-3.80000000000001</v>
      </c>
      <c r="K565">
        <f t="shared" si="26"/>
        <v>-150</v>
      </c>
    </row>
    <row r="566" spans="1:11">
      <c r="A566">
        <v>18.82</v>
      </c>
      <c r="B566">
        <v>-204.5</v>
      </c>
      <c r="C566">
        <v>129.6</v>
      </c>
      <c r="E566">
        <v>18.787</v>
      </c>
      <c r="F566">
        <v>-205.7</v>
      </c>
      <c r="G566">
        <v>130.8</v>
      </c>
      <c r="I566">
        <f t="shared" si="24"/>
        <v>18.75</v>
      </c>
      <c r="J566">
        <f t="shared" si="25"/>
        <v>-2.69999999999999</v>
      </c>
      <c r="K566">
        <f t="shared" si="26"/>
        <v>-150</v>
      </c>
    </row>
    <row r="567" spans="1:11">
      <c r="A567">
        <v>18.853</v>
      </c>
      <c r="B567">
        <v>-203.9</v>
      </c>
      <c r="C567">
        <v>238.4</v>
      </c>
      <c r="E567">
        <v>18.82</v>
      </c>
      <c r="F567">
        <v>-204.5</v>
      </c>
      <c r="G567">
        <v>129.6</v>
      </c>
      <c r="I567">
        <f t="shared" si="24"/>
        <v>18.8</v>
      </c>
      <c r="J567">
        <f t="shared" si="25"/>
        <v>-1.5</v>
      </c>
      <c r="K567">
        <f t="shared" si="26"/>
        <v>-150</v>
      </c>
    </row>
    <row r="568" spans="1:11">
      <c r="A568">
        <v>18.887</v>
      </c>
      <c r="B568">
        <v>-204.1</v>
      </c>
      <c r="C568">
        <v>238.4</v>
      </c>
      <c r="E568">
        <v>18.853</v>
      </c>
      <c r="F568">
        <v>-203.9</v>
      </c>
      <c r="G568">
        <v>238.4</v>
      </c>
      <c r="I568">
        <f t="shared" si="24"/>
        <v>18.85</v>
      </c>
      <c r="J568">
        <f t="shared" si="25"/>
        <v>-0.900000000000006</v>
      </c>
      <c r="K568">
        <f t="shared" si="26"/>
        <v>100</v>
      </c>
    </row>
    <row r="569" spans="1:11">
      <c r="A569">
        <v>18.92</v>
      </c>
      <c r="B569">
        <v>-204.9</v>
      </c>
      <c r="C569">
        <v>238.4</v>
      </c>
      <c r="E569">
        <v>18.887</v>
      </c>
      <c r="F569">
        <v>-204.1</v>
      </c>
      <c r="G569">
        <v>238.4</v>
      </c>
      <c r="I569">
        <f t="shared" si="24"/>
        <v>18.85</v>
      </c>
      <c r="J569">
        <f t="shared" si="25"/>
        <v>-1.09999999999999</v>
      </c>
      <c r="K569">
        <f t="shared" si="26"/>
        <v>100</v>
      </c>
    </row>
    <row r="570" spans="1:11">
      <c r="A570">
        <v>18.954</v>
      </c>
      <c r="B570">
        <v>-206.3</v>
      </c>
      <c r="C570">
        <v>238.4</v>
      </c>
      <c r="E570">
        <v>18.92</v>
      </c>
      <c r="F570">
        <v>-204.9</v>
      </c>
      <c r="G570">
        <v>238.4</v>
      </c>
      <c r="I570">
        <f t="shared" si="24"/>
        <v>18.9</v>
      </c>
      <c r="J570">
        <f t="shared" si="25"/>
        <v>-1.90000000000001</v>
      </c>
      <c r="K570">
        <f t="shared" si="26"/>
        <v>100</v>
      </c>
    </row>
    <row r="571" spans="1:11">
      <c r="A571">
        <v>18.987</v>
      </c>
      <c r="B571">
        <v>-208.8</v>
      </c>
      <c r="C571">
        <v>238.4</v>
      </c>
      <c r="E571">
        <v>18.954</v>
      </c>
      <c r="F571">
        <v>-206.3</v>
      </c>
      <c r="G571">
        <v>238.4</v>
      </c>
      <c r="I571">
        <f t="shared" si="24"/>
        <v>18.95</v>
      </c>
      <c r="J571">
        <f t="shared" si="25"/>
        <v>-3.30000000000001</v>
      </c>
      <c r="K571">
        <f t="shared" si="26"/>
        <v>100</v>
      </c>
    </row>
    <row r="572" spans="1:11">
      <c r="A572">
        <v>19.021</v>
      </c>
      <c r="B572">
        <v>-211.3</v>
      </c>
      <c r="C572">
        <v>238.4</v>
      </c>
      <c r="E572">
        <v>18.987</v>
      </c>
      <c r="F572">
        <v>-208.8</v>
      </c>
      <c r="G572">
        <v>238.4</v>
      </c>
      <c r="I572">
        <f t="shared" si="24"/>
        <v>18.95</v>
      </c>
      <c r="J572">
        <f t="shared" si="25"/>
        <v>-5.80000000000001</v>
      </c>
      <c r="K572">
        <f t="shared" si="26"/>
        <v>100</v>
      </c>
    </row>
    <row r="573" spans="1:11">
      <c r="A573">
        <v>19.054</v>
      </c>
      <c r="B573">
        <v>-215.3</v>
      </c>
      <c r="C573">
        <v>238.3</v>
      </c>
      <c r="E573">
        <v>19.021</v>
      </c>
      <c r="F573">
        <v>-211.3</v>
      </c>
      <c r="G573">
        <v>238.4</v>
      </c>
      <c r="I573">
        <f t="shared" si="24"/>
        <v>19</v>
      </c>
      <c r="J573">
        <f t="shared" si="25"/>
        <v>-8.30000000000001</v>
      </c>
      <c r="K573">
        <f t="shared" si="26"/>
        <v>100</v>
      </c>
    </row>
    <row r="574" spans="1:11">
      <c r="A574">
        <v>19.087</v>
      </c>
      <c r="B574">
        <v>-219.2</v>
      </c>
      <c r="C574">
        <v>238.3</v>
      </c>
      <c r="E574">
        <v>19.054</v>
      </c>
      <c r="F574">
        <v>-215.3</v>
      </c>
      <c r="G574">
        <v>238.3</v>
      </c>
      <c r="I574">
        <f t="shared" si="24"/>
        <v>19.05</v>
      </c>
      <c r="J574">
        <f t="shared" si="25"/>
        <v>-12.3</v>
      </c>
      <c r="K574">
        <f t="shared" si="26"/>
        <v>100</v>
      </c>
    </row>
    <row r="575" spans="1:11">
      <c r="A575">
        <v>19.121</v>
      </c>
      <c r="B575">
        <v>-223.8</v>
      </c>
      <c r="C575">
        <v>238.3</v>
      </c>
      <c r="E575">
        <v>19.087</v>
      </c>
      <c r="F575">
        <v>-219.2</v>
      </c>
      <c r="G575">
        <v>238.3</v>
      </c>
      <c r="I575">
        <f t="shared" si="24"/>
        <v>19.05</v>
      </c>
      <c r="J575">
        <f t="shared" si="25"/>
        <v>-16.2</v>
      </c>
      <c r="K575">
        <f t="shared" si="26"/>
        <v>100</v>
      </c>
    </row>
    <row r="576" spans="1:11">
      <c r="A576">
        <v>19.154</v>
      </c>
      <c r="B576">
        <v>-228.7</v>
      </c>
      <c r="C576">
        <v>238.3</v>
      </c>
      <c r="E576">
        <v>19.121</v>
      </c>
      <c r="F576">
        <v>-223.8</v>
      </c>
      <c r="G576">
        <v>238.3</v>
      </c>
      <c r="I576">
        <f t="shared" si="24"/>
        <v>19.1</v>
      </c>
      <c r="J576">
        <f t="shared" si="25"/>
        <v>-20.8</v>
      </c>
      <c r="K576">
        <f t="shared" si="26"/>
        <v>100</v>
      </c>
    </row>
    <row r="577" spans="1:11">
      <c r="A577">
        <v>19.188</v>
      </c>
      <c r="B577">
        <v>-234.6</v>
      </c>
      <c r="C577">
        <v>238.3</v>
      </c>
      <c r="E577">
        <v>19.154</v>
      </c>
      <c r="F577">
        <v>-228.7</v>
      </c>
      <c r="G577">
        <v>238.3</v>
      </c>
      <c r="I577">
        <f t="shared" si="24"/>
        <v>19.15</v>
      </c>
      <c r="J577">
        <f t="shared" si="25"/>
        <v>-25.7</v>
      </c>
      <c r="K577">
        <f t="shared" si="26"/>
        <v>100</v>
      </c>
    </row>
    <row r="578" spans="1:11">
      <c r="A578">
        <v>19.221</v>
      </c>
      <c r="B578">
        <v>-240.4</v>
      </c>
      <c r="C578">
        <v>238.3</v>
      </c>
      <c r="E578">
        <v>19.188</v>
      </c>
      <c r="F578">
        <v>-234.6</v>
      </c>
      <c r="G578">
        <v>238.3</v>
      </c>
      <c r="I578">
        <f t="shared" si="24"/>
        <v>19.15</v>
      </c>
      <c r="J578">
        <f t="shared" si="25"/>
        <v>-31.6</v>
      </c>
      <c r="K578">
        <f t="shared" si="26"/>
        <v>100</v>
      </c>
    </row>
    <row r="579" spans="1:11">
      <c r="A579">
        <v>19.255</v>
      </c>
      <c r="B579">
        <v>-246.2</v>
      </c>
      <c r="C579">
        <v>238.3</v>
      </c>
      <c r="E579">
        <v>19.221</v>
      </c>
      <c r="F579">
        <v>-240.4</v>
      </c>
      <c r="G579">
        <v>238.3</v>
      </c>
      <c r="I579">
        <f t="shared" si="24"/>
        <v>19.2</v>
      </c>
      <c r="J579">
        <f t="shared" si="25"/>
        <v>-37.4</v>
      </c>
      <c r="K579">
        <f t="shared" si="26"/>
        <v>100</v>
      </c>
    </row>
    <row r="580" spans="1:11">
      <c r="A580">
        <v>19.288</v>
      </c>
      <c r="B580">
        <v>-253.1</v>
      </c>
      <c r="C580">
        <v>238.3</v>
      </c>
      <c r="E580">
        <v>19.255</v>
      </c>
      <c r="F580">
        <v>-246.2</v>
      </c>
      <c r="G580">
        <v>238.3</v>
      </c>
      <c r="I580">
        <f t="shared" ref="I580:I643" si="27">FLOOR(E580,0.05)</f>
        <v>19.25</v>
      </c>
      <c r="J580">
        <f t="shared" ref="J580:J643" si="28">F580+203</f>
        <v>-43.2</v>
      </c>
      <c r="K580">
        <f t="shared" si="26"/>
        <v>100</v>
      </c>
    </row>
    <row r="581" spans="1:11">
      <c r="A581">
        <v>19.321</v>
      </c>
      <c r="B581">
        <v>-259.7</v>
      </c>
      <c r="C581">
        <v>238.3</v>
      </c>
      <c r="E581">
        <v>19.288</v>
      </c>
      <c r="F581">
        <v>-253.1</v>
      </c>
      <c r="G581">
        <v>238.3</v>
      </c>
      <c r="I581">
        <f t="shared" si="27"/>
        <v>19.25</v>
      </c>
      <c r="J581">
        <f t="shared" si="28"/>
        <v>-50.1</v>
      </c>
      <c r="K581">
        <f t="shared" ref="K581:K644" si="29">IF(G581&lt;230,-150,100)</f>
        <v>100</v>
      </c>
    </row>
    <row r="582" spans="1:11">
      <c r="A582">
        <v>19.355</v>
      </c>
      <c r="B582">
        <v>-266.3</v>
      </c>
      <c r="C582">
        <v>238.3</v>
      </c>
      <c r="E582">
        <v>19.321</v>
      </c>
      <c r="F582">
        <v>-259.7</v>
      </c>
      <c r="G582">
        <v>238.3</v>
      </c>
      <c r="I582">
        <f t="shared" si="27"/>
        <v>19.3</v>
      </c>
      <c r="J582">
        <f t="shared" si="28"/>
        <v>-56.7</v>
      </c>
      <c r="K582">
        <f t="shared" si="29"/>
        <v>100</v>
      </c>
    </row>
    <row r="583" spans="1:11">
      <c r="A583">
        <v>19.388</v>
      </c>
      <c r="B583">
        <v>-273.4</v>
      </c>
      <c r="C583">
        <v>238.3</v>
      </c>
      <c r="E583">
        <v>19.355</v>
      </c>
      <c r="F583">
        <v>-266.3</v>
      </c>
      <c r="G583">
        <v>238.3</v>
      </c>
      <c r="I583">
        <f t="shared" si="27"/>
        <v>19.35</v>
      </c>
      <c r="J583">
        <f t="shared" si="28"/>
        <v>-63.3</v>
      </c>
      <c r="K583">
        <f t="shared" si="29"/>
        <v>100</v>
      </c>
    </row>
    <row r="584" spans="1:11">
      <c r="A584">
        <v>19.422</v>
      </c>
      <c r="B584">
        <v>-280.3</v>
      </c>
      <c r="C584">
        <v>238.3</v>
      </c>
      <c r="E584">
        <v>19.388</v>
      </c>
      <c r="F584">
        <v>-273.4</v>
      </c>
      <c r="G584">
        <v>238.3</v>
      </c>
      <c r="I584">
        <f t="shared" si="27"/>
        <v>19.35</v>
      </c>
      <c r="J584">
        <f t="shared" si="28"/>
        <v>-70.4</v>
      </c>
      <c r="K584">
        <f t="shared" si="29"/>
        <v>100</v>
      </c>
    </row>
    <row r="585" spans="1:11">
      <c r="A585">
        <v>19.455</v>
      </c>
      <c r="B585">
        <v>-286.6</v>
      </c>
      <c r="C585">
        <v>238.3</v>
      </c>
      <c r="E585">
        <v>19.422</v>
      </c>
      <c r="F585">
        <v>-280.3</v>
      </c>
      <c r="G585">
        <v>238.3</v>
      </c>
      <c r="I585">
        <f t="shared" si="27"/>
        <v>19.4</v>
      </c>
      <c r="J585">
        <f t="shared" si="28"/>
        <v>-77.3</v>
      </c>
      <c r="K585">
        <f t="shared" si="29"/>
        <v>100</v>
      </c>
    </row>
    <row r="586" spans="1:11">
      <c r="A586">
        <v>19.489</v>
      </c>
      <c r="B586">
        <v>-292.6</v>
      </c>
      <c r="C586">
        <v>238.3</v>
      </c>
      <c r="E586">
        <v>19.455</v>
      </c>
      <c r="F586">
        <v>-286.6</v>
      </c>
      <c r="G586">
        <v>238.3</v>
      </c>
      <c r="I586">
        <f t="shared" si="27"/>
        <v>19.45</v>
      </c>
      <c r="J586">
        <f t="shared" si="28"/>
        <v>-83.6</v>
      </c>
      <c r="K586">
        <f t="shared" si="29"/>
        <v>100</v>
      </c>
    </row>
    <row r="587" spans="1:11">
      <c r="A587">
        <v>19.522</v>
      </c>
      <c r="B587">
        <v>-298.2</v>
      </c>
      <c r="C587">
        <v>238.3</v>
      </c>
      <c r="E587">
        <v>19.489</v>
      </c>
      <c r="F587">
        <v>-292.6</v>
      </c>
      <c r="G587">
        <v>238.3</v>
      </c>
      <c r="I587">
        <f t="shared" si="27"/>
        <v>19.45</v>
      </c>
      <c r="J587">
        <f t="shared" si="28"/>
        <v>-89.6</v>
      </c>
      <c r="K587">
        <f t="shared" si="29"/>
        <v>100</v>
      </c>
    </row>
    <row r="588" spans="1:11">
      <c r="A588">
        <v>19.555</v>
      </c>
      <c r="B588">
        <v>-303.5</v>
      </c>
      <c r="C588">
        <v>238.3</v>
      </c>
      <c r="E588">
        <v>19.522</v>
      </c>
      <c r="F588">
        <v>-298.2</v>
      </c>
      <c r="G588">
        <v>238.3</v>
      </c>
      <c r="I588">
        <f t="shared" si="27"/>
        <v>19.5</v>
      </c>
      <c r="J588">
        <f t="shared" si="28"/>
        <v>-95.2</v>
      </c>
      <c r="K588">
        <f t="shared" si="29"/>
        <v>100</v>
      </c>
    </row>
    <row r="589" spans="1:11">
      <c r="A589">
        <v>19.589</v>
      </c>
      <c r="B589">
        <v>-308.4</v>
      </c>
      <c r="C589">
        <v>238.2</v>
      </c>
      <c r="E589">
        <v>19.555</v>
      </c>
      <c r="F589">
        <v>-303.5</v>
      </c>
      <c r="G589">
        <v>238.3</v>
      </c>
      <c r="I589">
        <f t="shared" si="27"/>
        <v>19.55</v>
      </c>
      <c r="J589">
        <f t="shared" si="28"/>
        <v>-100.5</v>
      </c>
      <c r="K589">
        <f t="shared" si="29"/>
        <v>100</v>
      </c>
    </row>
    <row r="590" spans="1:11">
      <c r="A590">
        <v>19.622</v>
      </c>
      <c r="B590">
        <v>-312.6</v>
      </c>
      <c r="C590">
        <v>149.3</v>
      </c>
      <c r="E590">
        <v>19.589</v>
      </c>
      <c r="F590">
        <v>-308.4</v>
      </c>
      <c r="G590">
        <v>238.2</v>
      </c>
      <c r="I590">
        <f t="shared" si="27"/>
        <v>19.55</v>
      </c>
      <c r="J590">
        <f t="shared" si="28"/>
        <v>-105.4</v>
      </c>
      <c r="K590">
        <f t="shared" si="29"/>
        <v>100</v>
      </c>
    </row>
    <row r="591" spans="1:11">
      <c r="A591">
        <v>19.656</v>
      </c>
      <c r="B591">
        <v>-316.7</v>
      </c>
      <c r="C591">
        <v>164.3</v>
      </c>
      <c r="E591">
        <v>19.622</v>
      </c>
      <c r="F591">
        <v>-312.6</v>
      </c>
      <c r="G591">
        <v>149.3</v>
      </c>
      <c r="I591">
        <f t="shared" si="27"/>
        <v>19.6</v>
      </c>
      <c r="J591">
        <f t="shared" si="28"/>
        <v>-109.6</v>
      </c>
      <c r="K591">
        <f t="shared" si="29"/>
        <v>-150</v>
      </c>
    </row>
    <row r="592" spans="1:11">
      <c r="A592">
        <v>19.689</v>
      </c>
      <c r="B592">
        <v>-319.5</v>
      </c>
      <c r="C592">
        <v>163.4</v>
      </c>
      <c r="E592">
        <v>19.656</v>
      </c>
      <c r="F592">
        <v>-316.7</v>
      </c>
      <c r="G592">
        <v>164.3</v>
      </c>
      <c r="I592">
        <f t="shared" si="27"/>
        <v>19.65</v>
      </c>
      <c r="J592">
        <f t="shared" si="28"/>
        <v>-113.7</v>
      </c>
      <c r="K592">
        <f t="shared" si="29"/>
        <v>-150</v>
      </c>
    </row>
    <row r="593" spans="1:11">
      <c r="A593">
        <v>19.723</v>
      </c>
      <c r="B593">
        <v>-321.9</v>
      </c>
      <c r="C593">
        <v>161.7</v>
      </c>
      <c r="E593">
        <v>19.689</v>
      </c>
      <c r="F593">
        <v>-319.5</v>
      </c>
      <c r="G593">
        <v>163.4</v>
      </c>
      <c r="I593">
        <f t="shared" si="27"/>
        <v>19.65</v>
      </c>
      <c r="J593">
        <f t="shared" si="28"/>
        <v>-116.5</v>
      </c>
      <c r="K593">
        <f t="shared" si="29"/>
        <v>-150</v>
      </c>
    </row>
    <row r="594" spans="1:11">
      <c r="A594">
        <v>19.756</v>
      </c>
      <c r="B594">
        <v>-323.6</v>
      </c>
      <c r="C594">
        <v>159.8</v>
      </c>
      <c r="E594">
        <v>19.723</v>
      </c>
      <c r="F594">
        <v>-321.9</v>
      </c>
      <c r="G594">
        <v>161.7</v>
      </c>
      <c r="I594">
        <f t="shared" si="27"/>
        <v>19.7</v>
      </c>
      <c r="J594">
        <f t="shared" si="28"/>
        <v>-118.9</v>
      </c>
      <c r="K594">
        <f t="shared" si="29"/>
        <v>-150</v>
      </c>
    </row>
    <row r="595" spans="1:11">
      <c r="A595">
        <v>19.789</v>
      </c>
      <c r="B595">
        <v>-324</v>
      </c>
      <c r="C595">
        <v>158.1</v>
      </c>
      <c r="E595">
        <v>19.756</v>
      </c>
      <c r="F595">
        <v>-323.6</v>
      </c>
      <c r="G595">
        <v>159.8</v>
      </c>
      <c r="I595">
        <f t="shared" si="27"/>
        <v>19.75</v>
      </c>
      <c r="J595">
        <f t="shared" si="28"/>
        <v>-120.6</v>
      </c>
      <c r="K595">
        <f t="shared" si="29"/>
        <v>-150</v>
      </c>
    </row>
    <row r="596" spans="1:11">
      <c r="A596">
        <v>19.823</v>
      </c>
      <c r="B596">
        <v>-324</v>
      </c>
      <c r="C596">
        <v>156.2</v>
      </c>
      <c r="E596">
        <v>19.789</v>
      </c>
      <c r="F596">
        <v>-324</v>
      </c>
      <c r="G596">
        <v>158.1</v>
      </c>
      <c r="I596">
        <f t="shared" si="27"/>
        <v>19.75</v>
      </c>
      <c r="J596">
        <f t="shared" si="28"/>
        <v>-121</v>
      </c>
      <c r="K596">
        <f t="shared" si="29"/>
        <v>-150</v>
      </c>
    </row>
    <row r="597" spans="1:11">
      <c r="A597">
        <v>19.856</v>
      </c>
      <c r="B597">
        <v>-323</v>
      </c>
      <c r="C597">
        <v>154.8</v>
      </c>
      <c r="E597">
        <v>19.823</v>
      </c>
      <c r="F597">
        <v>-324</v>
      </c>
      <c r="G597">
        <v>156.2</v>
      </c>
      <c r="I597">
        <f t="shared" si="27"/>
        <v>19.8</v>
      </c>
      <c r="J597">
        <f t="shared" si="28"/>
        <v>-121</v>
      </c>
      <c r="K597">
        <f t="shared" si="29"/>
        <v>-150</v>
      </c>
    </row>
    <row r="598" spans="1:11">
      <c r="A598">
        <v>19.89</v>
      </c>
      <c r="B598">
        <v>-321.4</v>
      </c>
      <c r="C598">
        <v>153.5</v>
      </c>
      <c r="E598">
        <v>19.856</v>
      </c>
      <c r="F598">
        <v>-323</v>
      </c>
      <c r="G598">
        <v>154.8</v>
      </c>
      <c r="I598">
        <f t="shared" si="27"/>
        <v>19.85</v>
      </c>
      <c r="J598">
        <f t="shared" si="28"/>
        <v>-120</v>
      </c>
      <c r="K598">
        <f t="shared" si="29"/>
        <v>-150</v>
      </c>
    </row>
    <row r="599" spans="1:11">
      <c r="A599">
        <v>19.923</v>
      </c>
      <c r="B599">
        <v>-318.2</v>
      </c>
      <c r="C599">
        <v>151</v>
      </c>
      <c r="E599">
        <v>19.89</v>
      </c>
      <c r="F599">
        <v>-321.4</v>
      </c>
      <c r="G599">
        <v>153.5</v>
      </c>
      <c r="I599">
        <f t="shared" si="27"/>
        <v>19.85</v>
      </c>
      <c r="J599">
        <f t="shared" si="28"/>
        <v>-118.4</v>
      </c>
      <c r="K599">
        <f t="shared" si="29"/>
        <v>-150</v>
      </c>
    </row>
    <row r="600" spans="1:11">
      <c r="A600">
        <v>19.956</v>
      </c>
      <c r="B600">
        <v>-314.9</v>
      </c>
      <c r="C600">
        <v>151.1</v>
      </c>
      <c r="E600">
        <v>19.923</v>
      </c>
      <c r="F600">
        <v>-318.2</v>
      </c>
      <c r="G600">
        <v>151</v>
      </c>
      <c r="I600">
        <f t="shared" si="27"/>
        <v>19.9</v>
      </c>
      <c r="J600">
        <f t="shared" si="28"/>
        <v>-115.2</v>
      </c>
      <c r="K600">
        <f t="shared" si="29"/>
        <v>-150</v>
      </c>
    </row>
    <row r="601" spans="1:11">
      <c r="A601">
        <v>19.99</v>
      </c>
      <c r="B601">
        <v>-311</v>
      </c>
      <c r="C601">
        <v>147.8</v>
      </c>
      <c r="E601">
        <v>19.956</v>
      </c>
      <c r="F601">
        <v>-314.9</v>
      </c>
      <c r="G601">
        <v>151.1</v>
      </c>
      <c r="I601">
        <f t="shared" si="27"/>
        <v>19.95</v>
      </c>
      <c r="J601">
        <f t="shared" si="28"/>
        <v>-111.9</v>
      </c>
      <c r="K601">
        <f t="shared" si="29"/>
        <v>-150</v>
      </c>
    </row>
    <row r="602" spans="1:11">
      <c r="A602">
        <v>20.023</v>
      </c>
      <c r="B602">
        <v>-306.2</v>
      </c>
      <c r="C602">
        <v>146.2</v>
      </c>
      <c r="E602">
        <v>19.99</v>
      </c>
      <c r="F602">
        <v>-311</v>
      </c>
      <c r="G602">
        <v>147.8</v>
      </c>
      <c r="I602">
        <f t="shared" si="27"/>
        <v>19.95</v>
      </c>
      <c r="J602">
        <f t="shared" si="28"/>
        <v>-108</v>
      </c>
      <c r="K602">
        <f t="shared" si="29"/>
        <v>-150</v>
      </c>
    </row>
    <row r="603" spans="1:11">
      <c r="A603">
        <v>20.057</v>
      </c>
      <c r="B603">
        <v>-301</v>
      </c>
      <c r="C603">
        <v>143.4</v>
      </c>
      <c r="E603">
        <v>20.023</v>
      </c>
      <c r="F603">
        <v>-306.2</v>
      </c>
      <c r="G603">
        <v>146.2</v>
      </c>
      <c r="I603">
        <f t="shared" si="27"/>
        <v>20</v>
      </c>
      <c r="J603">
        <f t="shared" si="28"/>
        <v>-103.2</v>
      </c>
      <c r="K603">
        <f t="shared" si="29"/>
        <v>-150</v>
      </c>
    </row>
    <row r="604" spans="1:11">
      <c r="A604">
        <v>20.09</v>
      </c>
      <c r="B604">
        <v>-295.7</v>
      </c>
      <c r="C604">
        <v>142.9</v>
      </c>
      <c r="E604">
        <v>20.057</v>
      </c>
      <c r="F604">
        <v>-301</v>
      </c>
      <c r="G604">
        <v>143.4</v>
      </c>
      <c r="I604">
        <f t="shared" si="27"/>
        <v>20.05</v>
      </c>
      <c r="J604">
        <f t="shared" si="28"/>
        <v>-98</v>
      </c>
      <c r="K604">
        <f t="shared" si="29"/>
        <v>-150</v>
      </c>
    </row>
    <row r="605" spans="1:11">
      <c r="A605">
        <v>20.124</v>
      </c>
      <c r="B605">
        <v>-289.5</v>
      </c>
      <c r="C605">
        <v>140.5</v>
      </c>
      <c r="E605">
        <v>20.09</v>
      </c>
      <c r="F605">
        <v>-295.7</v>
      </c>
      <c r="G605">
        <v>142.9</v>
      </c>
      <c r="I605">
        <f t="shared" si="27"/>
        <v>20.05</v>
      </c>
      <c r="J605">
        <f t="shared" si="28"/>
        <v>-92.7</v>
      </c>
      <c r="K605">
        <f t="shared" si="29"/>
        <v>-150</v>
      </c>
    </row>
    <row r="606" spans="1:11">
      <c r="A606">
        <v>20.157</v>
      </c>
      <c r="B606">
        <v>-282.7</v>
      </c>
      <c r="C606">
        <v>139</v>
      </c>
      <c r="E606">
        <v>20.124</v>
      </c>
      <c r="F606">
        <v>-289.5</v>
      </c>
      <c r="G606">
        <v>140.5</v>
      </c>
      <c r="I606">
        <f t="shared" si="27"/>
        <v>20.1</v>
      </c>
      <c r="J606">
        <f t="shared" si="28"/>
        <v>-86.5</v>
      </c>
      <c r="K606">
        <f t="shared" si="29"/>
        <v>-150</v>
      </c>
    </row>
    <row r="607" spans="1:11">
      <c r="A607">
        <v>20.19</v>
      </c>
      <c r="B607">
        <v>-276.1</v>
      </c>
      <c r="C607">
        <v>135.8</v>
      </c>
      <c r="E607">
        <v>20.157</v>
      </c>
      <c r="F607">
        <v>-282.7</v>
      </c>
      <c r="G607">
        <v>139</v>
      </c>
      <c r="I607">
        <f t="shared" si="27"/>
        <v>20.15</v>
      </c>
      <c r="J607">
        <f t="shared" si="28"/>
        <v>-79.7</v>
      </c>
      <c r="K607">
        <f t="shared" si="29"/>
        <v>-150</v>
      </c>
    </row>
    <row r="608" spans="1:11">
      <c r="A608">
        <v>20.224</v>
      </c>
      <c r="B608">
        <v>-269.2</v>
      </c>
      <c r="C608">
        <v>135</v>
      </c>
      <c r="E608">
        <v>20.19</v>
      </c>
      <c r="F608">
        <v>-276.1</v>
      </c>
      <c r="G608">
        <v>135.8</v>
      </c>
      <c r="I608">
        <f t="shared" si="27"/>
        <v>20.15</v>
      </c>
      <c r="J608">
        <f t="shared" si="28"/>
        <v>-73.1</v>
      </c>
      <c r="K608">
        <f t="shared" si="29"/>
        <v>-150</v>
      </c>
    </row>
    <row r="609" spans="1:11">
      <c r="A609">
        <v>20.257</v>
      </c>
      <c r="B609">
        <v>-261.5</v>
      </c>
      <c r="C609">
        <v>132.7</v>
      </c>
      <c r="E609">
        <v>20.224</v>
      </c>
      <c r="F609">
        <v>-269.2</v>
      </c>
      <c r="G609">
        <v>135</v>
      </c>
      <c r="I609">
        <f t="shared" si="27"/>
        <v>20.2</v>
      </c>
      <c r="J609">
        <f t="shared" si="28"/>
        <v>-66.2</v>
      </c>
      <c r="K609">
        <f t="shared" si="29"/>
        <v>-150</v>
      </c>
    </row>
    <row r="610" spans="1:11">
      <c r="A610">
        <v>20.291</v>
      </c>
      <c r="B610">
        <v>-255.5</v>
      </c>
      <c r="C610">
        <v>131.8</v>
      </c>
      <c r="E610">
        <v>20.257</v>
      </c>
      <c r="F610">
        <v>-261.5</v>
      </c>
      <c r="G610">
        <v>132.7</v>
      </c>
      <c r="I610">
        <f t="shared" si="27"/>
        <v>20.25</v>
      </c>
      <c r="J610">
        <f t="shared" si="28"/>
        <v>-58.5</v>
      </c>
      <c r="K610">
        <f t="shared" si="29"/>
        <v>-150</v>
      </c>
    </row>
    <row r="611" spans="1:11">
      <c r="A611">
        <v>20.324</v>
      </c>
      <c r="B611">
        <v>-248.2</v>
      </c>
      <c r="C611">
        <v>127.9</v>
      </c>
      <c r="E611">
        <v>20.291</v>
      </c>
      <c r="F611">
        <v>-255.5</v>
      </c>
      <c r="G611">
        <v>131.8</v>
      </c>
      <c r="I611">
        <f t="shared" si="27"/>
        <v>20.25</v>
      </c>
      <c r="J611">
        <f t="shared" si="28"/>
        <v>-52.5</v>
      </c>
      <c r="K611">
        <f t="shared" si="29"/>
        <v>-150</v>
      </c>
    </row>
    <row r="612" spans="1:11">
      <c r="A612">
        <v>20.358</v>
      </c>
      <c r="B612">
        <v>-241.8</v>
      </c>
      <c r="C612">
        <v>238.2</v>
      </c>
      <c r="E612">
        <v>20.324</v>
      </c>
      <c r="F612">
        <v>-248.2</v>
      </c>
      <c r="G612">
        <v>127.9</v>
      </c>
      <c r="I612">
        <f t="shared" si="27"/>
        <v>20.3</v>
      </c>
      <c r="J612">
        <f t="shared" si="28"/>
        <v>-45.2</v>
      </c>
      <c r="K612">
        <f t="shared" si="29"/>
        <v>-150</v>
      </c>
    </row>
    <row r="613" spans="1:11">
      <c r="A613">
        <v>20.391</v>
      </c>
      <c r="B613">
        <v>-236.2</v>
      </c>
      <c r="C613">
        <v>238.3</v>
      </c>
      <c r="E613">
        <v>20.358</v>
      </c>
      <c r="F613">
        <v>-241.8</v>
      </c>
      <c r="G613">
        <v>238.2</v>
      </c>
      <c r="I613">
        <f t="shared" si="27"/>
        <v>20.35</v>
      </c>
      <c r="J613">
        <f t="shared" si="28"/>
        <v>-38.8</v>
      </c>
      <c r="K613">
        <f t="shared" si="29"/>
        <v>100</v>
      </c>
    </row>
    <row r="614" spans="1:11">
      <c r="A614">
        <v>20.424</v>
      </c>
      <c r="B614">
        <v>-230</v>
      </c>
      <c r="C614">
        <v>238.3</v>
      </c>
      <c r="E614">
        <v>20.391</v>
      </c>
      <c r="F614">
        <v>-236.2</v>
      </c>
      <c r="G614">
        <v>238.3</v>
      </c>
      <c r="I614">
        <f t="shared" si="27"/>
        <v>20.35</v>
      </c>
      <c r="J614">
        <f t="shared" si="28"/>
        <v>-33.2</v>
      </c>
      <c r="K614">
        <f t="shared" si="29"/>
        <v>100</v>
      </c>
    </row>
    <row r="615" spans="1:11">
      <c r="A615">
        <v>20.458</v>
      </c>
      <c r="B615">
        <v>-225.1</v>
      </c>
      <c r="C615">
        <v>238.3</v>
      </c>
      <c r="E615">
        <v>20.424</v>
      </c>
      <c r="F615">
        <v>-230</v>
      </c>
      <c r="G615">
        <v>238.3</v>
      </c>
      <c r="I615">
        <f t="shared" si="27"/>
        <v>20.4</v>
      </c>
      <c r="J615">
        <f t="shared" si="28"/>
        <v>-27</v>
      </c>
      <c r="K615">
        <f t="shared" si="29"/>
        <v>100</v>
      </c>
    </row>
    <row r="616" spans="1:11">
      <c r="A616">
        <v>20.491</v>
      </c>
      <c r="B616">
        <v>-220.8</v>
      </c>
      <c r="C616">
        <v>238.3</v>
      </c>
      <c r="E616">
        <v>20.458</v>
      </c>
      <c r="F616">
        <v>-225.1</v>
      </c>
      <c r="G616">
        <v>238.3</v>
      </c>
      <c r="I616">
        <f t="shared" si="27"/>
        <v>20.45</v>
      </c>
      <c r="J616">
        <f t="shared" si="28"/>
        <v>-22.1</v>
      </c>
      <c r="K616">
        <f t="shared" si="29"/>
        <v>100</v>
      </c>
    </row>
    <row r="617" spans="1:11">
      <c r="A617">
        <v>20.525</v>
      </c>
      <c r="B617">
        <v>-216.7</v>
      </c>
      <c r="C617">
        <v>238.3</v>
      </c>
      <c r="E617">
        <v>20.491</v>
      </c>
      <c r="F617">
        <v>-220.8</v>
      </c>
      <c r="G617">
        <v>238.3</v>
      </c>
      <c r="I617">
        <f t="shared" si="27"/>
        <v>20.45</v>
      </c>
      <c r="J617">
        <f t="shared" si="28"/>
        <v>-17.8</v>
      </c>
      <c r="K617">
        <f t="shared" si="29"/>
        <v>100</v>
      </c>
    </row>
    <row r="618" spans="1:11">
      <c r="A618">
        <v>20.558</v>
      </c>
      <c r="B618">
        <v>-213.4</v>
      </c>
      <c r="C618">
        <v>238.2</v>
      </c>
      <c r="E618">
        <v>20.525</v>
      </c>
      <c r="F618">
        <v>-216.7</v>
      </c>
      <c r="G618">
        <v>238.3</v>
      </c>
      <c r="I618">
        <f t="shared" si="27"/>
        <v>20.5</v>
      </c>
      <c r="J618">
        <f t="shared" si="28"/>
        <v>-13.7</v>
      </c>
      <c r="K618">
        <f t="shared" si="29"/>
        <v>100</v>
      </c>
    </row>
    <row r="619" spans="1:11">
      <c r="A619">
        <v>20.592</v>
      </c>
      <c r="B619">
        <v>-210.4</v>
      </c>
      <c r="C619">
        <v>238.2</v>
      </c>
      <c r="E619">
        <v>20.558</v>
      </c>
      <c r="F619">
        <v>-213.4</v>
      </c>
      <c r="G619">
        <v>238.2</v>
      </c>
      <c r="I619">
        <f t="shared" si="27"/>
        <v>20.55</v>
      </c>
      <c r="J619">
        <f t="shared" si="28"/>
        <v>-10.4</v>
      </c>
      <c r="K619">
        <f t="shared" si="29"/>
        <v>100</v>
      </c>
    </row>
    <row r="620" spans="1:11">
      <c r="A620">
        <v>20.625</v>
      </c>
      <c r="B620">
        <v>-207.8</v>
      </c>
      <c r="C620">
        <v>238.2</v>
      </c>
      <c r="E620">
        <v>20.592</v>
      </c>
      <c r="F620">
        <v>-210.4</v>
      </c>
      <c r="G620">
        <v>238.2</v>
      </c>
      <c r="I620">
        <f t="shared" si="27"/>
        <v>20.55</v>
      </c>
      <c r="J620">
        <f t="shared" si="28"/>
        <v>-7.40000000000001</v>
      </c>
      <c r="K620">
        <f t="shared" si="29"/>
        <v>100</v>
      </c>
    </row>
    <row r="621" spans="1:11">
      <c r="A621">
        <v>20.658</v>
      </c>
      <c r="B621">
        <v>-206.7</v>
      </c>
      <c r="C621">
        <v>238.2</v>
      </c>
      <c r="E621">
        <v>20.625</v>
      </c>
      <c r="F621">
        <v>-207.8</v>
      </c>
      <c r="G621">
        <v>238.2</v>
      </c>
      <c r="I621">
        <f t="shared" si="27"/>
        <v>20.6</v>
      </c>
      <c r="J621">
        <f t="shared" si="28"/>
        <v>-4.80000000000001</v>
      </c>
      <c r="K621">
        <f t="shared" si="29"/>
        <v>100</v>
      </c>
    </row>
    <row r="622" spans="1:11">
      <c r="A622">
        <v>20.692</v>
      </c>
      <c r="B622">
        <v>-205.9</v>
      </c>
      <c r="C622">
        <v>238.2</v>
      </c>
      <c r="E622">
        <v>20.658</v>
      </c>
      <c r="F622">
        <v>-206.7</v>
      </c>
      <c r="G622">
        <v>238.2</v>
      </c>
      <c r="I622">
        <f t="shared" si="27"/>
        <v>20.65</v>
      </c>
      <c r="J622">
        <f t="shared" si="28"/>
        <v>-3.69999999999999</v>
      </c>
      <c r="K622">
        <f t="shared" si="29"/>
        <v>100</v>
      </c>
    </row>
    <row r="623" spans="1:11">
      <c r="A623">
        <v>20.725</v>
      </c>
      <c r="B623">
        <v>-205.7</v>
      </c>
      <c r="C623">
        <v>238.3</v>
      </c>
      <c r="E623">
        <v>20.692</v>
      </c>
      <c r="F623">
        <v>-205.9</v>
      </c>
      <c r="G623">
        <v>238.2</v>
      </c>
      <c r="I623">
        <f t="shared" si="27"/>
        <v>20.65</v>
      </c>
      <c r="J623">
        <f t="shared" si="28"/>
        <v>-2.90000000000001</v>
      </c>
      <c r="K623">
        <f t="shared" si="29"/>
        <v>100</v>
      </c>
    </row>
    <row r="624" spans="1:11">
      <c r="A624">
        <v>20.759</v>
      </c>
      <c r="B624">
        <v>-205.9</v>
      </c>
      <c r="C624">
        <v>238.3</v>
      </c>
      <c r="E624">
        <v>20.725</v>
      </c>
      <c r="F624">
        <v>-205.7</v>
      </c>
      <c r="G624">
        <v>238.3</v>
      </c>
      <c r="I624">
        <f t="shared" si="27"/>
        <v>20.7</v>
      </c>
      <c r="J624">
        <f t="shared" si="28"/>
        <v>-2.69999999999999</v>
      </c>
      <c r="K624">
        <f t="shared" si="29"/>
        <v>100</v>
      </c>
    </row>
    <row r="625" spans="1:11">
      <c r="A625">
        <v>20.792</v>
      </c>
      <c r="B625">
        <v>-207.1</v>
      </c>
      <c r="C625">
        <v>238.3</v>
      </c>
      <c r="E625">
        <v>20.759</v>
      </c>
      <c r="F625">
        <v>-205.9</v>
      </c>
      <c r="G625">
        <v>238.3</v>
      </c>
      <c r="I625">
        <f t="shared" si="27"/>
        <v>20.75</v>
      </c>
      <c r="J625">
        <f t="shared" si="28"/>
        <v>-2.90000000000001</v>
      </c>
      <c r="K625">
        <f t="shared" si="29"/>
        <v>100</v>
      </c>
    </row>
    <row r="626" spans="1:11">
      <c r="A626">
        <v>20.826</v>
      </c>
      <c r="B626">
        <v>-208</v>
      </c>
      <c r="C626">
        <v>238.3</v>
      </c>
      <c r="E626">
        <v>20.792</v>
      </c>
      <c r="F626">
        <v>-207.1</v>
      </c>
      <c r="G626">
        <v>238.3</v>
      </c>
      <c r="I626">
        <f t="shared" si="27"/>
        <v>20.75</v>
      </c>
      <c r="J626">
        <f t="shared" si="28"/>
        <v>-4.09999999999999</v>
      </c>
      <c r="K626">
        <f t="shared" si="29"/>
        <v>100</v>
      </c>
    </row>
    <row r="627" spans="1:11">
      <c r="A627">
        <v>20.859</v>
      </c>
      <c r="B627">
        <v>-210.8</v>
      </c>
      <c r="C627">
        <v>238.2</v>
      </c>
      <c r="E627">
        <v>20.826</v>
      </c>
      <c r="F627">
        <v>-208</v>
      </c>
      <c r="G627">
        <v>238.3</v>
      </c>
      <c r="I627">
        <f t="shared" si="27"/>
        <v>20.8</v>
      </c>
      <c r="J627">
        <f t="shared" si="28"/>
        <v>-5</v>
      </c>
      <c r="K627">
        <f t="shared" si="29"/>
        <v>100</v>
      </c>
    </row>
    <row r="628" spans="1:11">
      <c r="A628">
        <v>20.892</v>
      </c>
      <c r="B628">
        <v>-214</v>
      </c>
      <c r="C628">
        <v>238.2</v>
      </c>
      <c r="E628">
        <v>20.859</v>
      </c>
      <c r="F628">
        <v>-210.8</v>
      </c>
      <c r="G628">
        <v>238.2</v>
      </c>
      <c r="I628">
        <f t="shared" si="27"/>
        <v>20.85</v>
      </c>
      <c r="J628">
        <f t="shared" si="28"/>
        <v>-7.80000000000001</v>
      </c>
      <c r="K628">
        <f t="shared" si="29"/>
        <v>100</v>
      </c>
    </row>
    <row r="629" spans="1:11">
      <c r="A629">
        <v>20.926</v>
      </c>
      <c r="B629">
        <v>-217.5</v>
      </c>
      <c r="C629">
        <v>238.3</v>
      </c>
      <c r="E629">
        <v>20.892</v>
      </c>
      <c r="F629">
        <v>-214</v>
      </c>
      <c r="G629">
        <v>238.2</v>
      </c>
      <c r="I629">
        <f t="shared" si="27"/>
        <v>20.85</v>
      </c>
      <c r="J629">
        <f t="shared" si="28"/>
        <v>-11</v>
      </c>
      <c r="K629">
        <f t="shared" si="29"/>
        <v>100</v>
      </c>
    </row>
    <row r="630" spans="1:11">
      <c r="A630">
        <v>20.959</v>
      </c>
      <c r="B630">
        <v>-221.5</v>
      </c>
      <c r="C630">
        <v>238.3</v>
      </c>
      <c r="E630">
        <v>20.926</v>
      </c>
      <c r="F630">
        <v>-217.5</v>
      </c>
      <c r="G630">
        <v>238.3</v>
      </c>
      <c r="I630">
        <f t="shared" si="27"/>
        <v>20.9</v>
      </c>
      <c r="J630">
        <f t="shared" si="28"/>
        <v>-14.5</v>
      </c>
      <c r="K630">
        <f t="shared" si="29"/>
        <v>100</v>
      </c>
    </row>
    <row r="631" spans="1:11">
      <c r="A631">
        <v>20.993</v>
      </c>
      <c r="B631">
        <v>-225.7</v>
      </c>
      <c r="C631">
        <v>238.3</v>
      </c>
      <c r="E631">
        <v>20.959</v>
      </c>
      <c r="F631">
        <v>-221.5</v>
      </c>
      <c r="G631">
        <v>238.3</v>
      </c>
      <c r="I631">
        <f t="shared" si="27"/>
        <v>20.95</v>
      </c>
      <c r="J631">
        <f t="shared" si="28"/>
        <v>-18.5</v>
      </c>
      <c r="K631">
        <f t="shared" si="29"/>
        <v>100</v>
      </c>
    </row>
    <row r="632" spans="1:11">
      <c r="A632">
        <v>21.026</v>
      </c>
      <c r="B632">
        <v>-230.8</v>
      </c>
      <c r="C632">
        <v>238.3</v>
      </c>
      <c r="E632">
        <v>20.993</v>
      </c>
      <c r="F632">
        <v>-225.7</v>
      </c>
      <c r="G632">
        <v>238.3</v>
      </c>
      <c r="I632">
        <f t="shared" si="27"/>
        <v>20.95</v>
      </c>
      <c r="J632">
        <f t="shared" si="28"/>
        <v>-22.7</v>
      </c>
      <c r="K632">
        <f t="shared" si="29"/>
        <v>100</v>
      </c>
    </row>
    <row r="633" spans="1:11">
      <c r="A633">
        <v>21.06</v>
      </c>
      <c r="B633">
        <v>-236.9</v>
      </c>
      <c r="C633">
        <v>238.4</v>
      </c>
      <c r="E633">
        <v>21.026</v>
      </c>
      <c r="F633">
        <v>-230.8</v>
      </c>
      <c r="G633">
        <v>238.3</v>
      </c>
      <c r="I633">
        <f t="shared" si="27"/>
        <v>21</v>
      </c>
      <c r="J633">
        <f t="shared" si="28"/>
        <v>-27.8</v>
      </c>
      <c r="K633">
        <f t="shared" si="29"/>
        <v>100</v>
      </c>
    </row>
    <row r="634" spans="1:11">
      <c r="A634">
        <v>21.093</v>
      </c>
      <c r="B634">
        <v>-242.6</v>
      </c>
      <c r="C634">
        <v>238.3</v>
      </c>
      <c r="E634">
        <v>21.06</v>
      </c>
      <c r="F634">
        <v>-236.9</v>
      </c>
      <c r="G634">
        <v>238.4</v>
      </c>
      <c r="I634">
        <f t="shared" si="27"/>
        <v>21.05</v>
      </c>
      <c r="J634">
        <f t="shared" si="28"/>
        <v>-33.9</v>
      </c>
      <c r="K634">
        <f t="shared" si="29"/>
        <v>100</v>
      </c>
    </row>
    <row r="635" spans="1:11">
      <c r="A635">
        <v>21.126</v>
      </c>
      <c r="B635">
        <v>-248.3</v>
      </c>
      <c r="C635">
        <v>148.8</v>
      </c>
      <c r="E635">
        <v>21.093</v>
      </c>
      <c r="F635">
        <v>-242.6</v>
      </c>
      <c r="G635">
        <v>238.3</v>
      </c>
      <c r="I635">
        <f t="shared" si="27"/>
        <v>21.05</v>
      </c>
      <c r="J635">
        <f t="shared" si="28"/>
        <v>-39.6</v>
      </c>
      <c r="K635">
        <f t="shared" si="29"/>
        <v>100</v>
      </c>
    </row>
    <row r="636" spans="1:11">
      <c r="A636">
        <v>21.16</v>
      </c>
      <c r="B636">
        <v>-255.6</v>
      </c>
      <c r="C636">
        <v>164</v>
      </c>
      <c r="E636">
        <v>21.126</v>
      </c>
      <c r="F636">
        <v>-248.3</v>
      </c>
      <c r="G636">
        <v>148.8</v>
      </c>
      <c r="I636">
        <f t="shared" si="27"/>
        <v>21.1</v>
      </c>
      <c r="J636">
        <f t="shared" si="28"/>
        <v>-45.3</v>
      </c>
      <c r="K636">
        <f t="shared" si="29"/>
        <v>-150</v>
      </c>
    </row>
    <row r="637" spans="1:11">
      <c r="A637">
        <v>21.193</v>
      </c>
      <c r="B637">
        <v>-261.5</v>
      </c>
      <c r="C637">
        <v>162</v>
      </c>
      <c r="E637">
        <v>21.16</v>
      </c>
      <c r="F637">
        <v>-255.6</v>
      </c>
      <c r="G637">
        <v>164</v>
      </c>
      <c r="I637">
        <f t="shared" si="27"/>
        <v>21.15</v>
      </c>
      <c r="J637">
        <f t="shared" si="28"/>
        <v>-52.6</v>
      </c>
      <c r="K637">
        <f t="shared" si="29"/>
        <v>-150</v>
      </c>
    </row>
    <row r="638" spans="1:11">
      <c r="A638">
        <v>21.227</v>
      </c>
      <c r="B638">
        <v>-268.5</v>
      </c>
      <c r="C638">
        <v>160.4</v>
      </c>
      <c r="E638">
        <v>21.193</v>
      </c>
      <c r="F638">
        <v>-261.5</v>
      </c>
      <c r="G638">
        <v>162</v>
      </c>
      <c r="I638">
        <f t="shared" si="27"/>
        <v>21.15</v>
      </c>
      <c r="J638">
        <f t="shared" si="28"/>
        <v>-58.5</v>
      </c>
      <c r="K638">
        <f t="shared" si="29"/>
        <v>-150</v>
      </c>
    </row>
    <row r="639" spans="1:11">
      <c r="A639">
        <v>21.26</v>
      </c>
      <c r="B639">
        <v>-275.1</v>
      </c>
      <c r="C639">
        <v>158.9</v>
      </c>
      <c r="E639">
        <v>21.227</v>
      </c>
      <c r="F639">
        <v>-268.5</v>
      </c>
      <c r="G639">
        <v>160.4</v>
      </c>
      <c r="I639">
        <f t="shared" si="27"/>
        <v>21.2</v>
      </c>
      <c r="J639">
        <f t="shared" si="28"/>
        <v>-65.5</v>
      </c>
      <c r="K639">
        <f t="shared" si="29"/>
        <v>-150</v>
      </c>
    </row>
    <row r="640" spans="1:11">
      <c r="A640">
        <v>21.294</v>
      </c>
      <c r="B640">
        <v>-281.9</v>
      </c>
      <c r="C640">
        <v>158.7</v>
      </c>
      <c r="E640">
        <v>21.26</v>
      </c>
      <c r="F640">
        <v>-275.1</v>
      </c>
      <c r="G640">
        <v>158.9</v>
      </c>
      <c r="I640">
        <f t="shared" si="27"/>
        <v>21.25</v>
      </c>
      <c r="J640">
        <f t="shared" si="28"/>
        <v>-72.1</v>
      </c>
      <c r="K640">
        <f t="shared" si="29"/>
        <v>-150</v>
      </c>
    </row>
    <row r="641" spans="1:11">
      <c r="A641">
        <v>21.327</v>
      </c>
      <c r="B641">
        <v>-287.5</v>
      </c>
      <c r="C641">
        <v>155.7</v>
      </c>
      <c r="E641">
        <v>21.294</v>
      </c>
      <c r="F641">
        <v>-281.9</v>
      </c>
      <c r="G641">
        <v>158.7</v>
      </c>
      <c r="I641">
        <f t="shared" si="27"/>
        <v>21.25</v>
      </c>
      <c r="J641">
        <f t="shared" si="28"/>
        <v>-78.9</v>
      </c>
      <c r="K641">
        <f t="shared" si="29"/>
        <v>-150</v>
      </c>
    </row>
    <row r="642" spans="1:11">
      <c r="A642">
        <v>21.36</v>
      </c>
      <c r="B642">
        <v>-293.6</v>
      </c>
      <c r="C642">
        <v>153.5</v>
      </c>
      <c r="E642">
        <v>21.327</v>
      </c>
      <c r="F642">
        <v>-287.5</v>
      </c>
      <c r="G642">
        <v>155.7</v>
      </c>
      <c r="I642">
        <f t="shared" si="27"/>
        <v>21.3</v>
      </c>
      <c r="J642">
        <f t="shared" si="28"/>
        <v>-84.5</v>
      </c>
      <c r="K642">
        <f t="shared" si="29"/>
        <v>-150</v>
      </c>
    </row>
    <row r="643" spans="1:11">
      <c r="A643">
        <v>21.394</v>
      </c>
      <c r="B643">
        <v>-298.4</v>
      </c>
      <c r="C643">
        <v>152</v>
      </c>
      <c r="E643">
        <v>21.36</v>
      </c>
      <c r="F643">
        <v>-293.6</v>
      </c>
      <c r="G643">
        <v>153.5</v>
      </c>
      <c r="I643">
        <f t="shared" si="27"/>
        <v>21.35</v>
      </c>
      <c r="J643">
        <f t="shared" si="28"/>
        <v>-90.6</v>
      </c>
      <c r="K643">
        <f t="shared" si="29"/>
        <v>-150</v>
      </c>
    </row>
    <row r="644" spans="1:11">
      <c r="A644">
        <v>21.427</v>
      </c>
      <c r="B644">
        <v>-303</v>
      </c>
      <c r="C644">
        <v>151.1</v>
      </c>
      <c r="E644">
        <v>21.394</v>
      </c>
      <c r="F644">
        <v>-298.4</v>
      </c>
      <c r="G644">
        <v>152</v>
      </c>
      <c r="I644">
        <f t="shared" ref="I644:I707" si="30">FLOOR(E644,0.05)</f>
        <v>21.35</v>
      </c>
      <c r="J644">
        <f t="shared" ref="J644:J707" si="31">F644+203</f>
        <v>-95.4</v>
      </c>
      <c r="K644">
        <f t="shared" si="29"/>
        <v>-150</v>
      </c>
    </row>
    <row r="645" spans="1:11">
      <c r="A645">
        <v>21.461</v>
      </c>
      <c r="B645">
        <v>-307.1</v>
      </c>
      <c r="C645">
        <v>149.4</v>
      </c>
      <c r="E645">
        <v>21.427</v>
      </c>
      <c r="F645">
        <v>-303</v>
      </c>
      <c r="G645">
        <v>151.1</v>
      </c>
      <c r="I645">
        <f t="shared" si="30"/>
        <v>21.4</v>
      </c>
      <c r="J645">
        <f t="shared" si="31"/>
        <v>-100</v>
      </c>
      <c r="K645">
        <f t="shared" ref="K645:K708" si="32">IF(G645&lt;230,-150,100)</f>
        <v>-150</v>
      </c>
    </row>
    <row r="646" spans="1:11">
      <c r="A646">
        <v>21.494</v>
      </c>
      <c r="B646">
        <v>-311</v>
      </c>
      <c r="C646">
        <v>147.9</v>
      </c>
      <c r="E646">
        <v>21.461</v>
      </c>
      <c r="F646">
        <v>-307.1</v>
      </c>
      <c r="G646">
        <v>149.4</v>
      </c>
      <c r="I646">
        <f t="shared" si="30"/>
        <v>21.45</v>
      </c>
      <c r="J646">
        <f t="shared" si="31"/>
        <v>-104.1</v>
      </c>
      <c r="K646">
        <f t="shared" si="32"/>
        <v>-150</v>
      </c>
    </row>
    <row r="647" spans="1:11">
      <c r="A647">
        <v>21.528</v>
      </c>
      <c r="B647">
        <v>-313.8</v>
      </c>
      <c r="C647">
        <v>144.7</v>
      </c>
      <c r="E647">
        <v>21.494</v>
      </c>
      <c r="F647">
        <v>-311</v>
      </c>
      <c r="G647">
        <v>147.9</v>
      </c>
      <c r="I647">
        <f t="shared" si="30"/>
        <v>21.45</v>
      </c>
      <c r="J647">
        <f t="shared" si="31"/>
        <v>-108</v>
      </c>
      <c r="K647">
        <f t="shared" si="32"/>
        <v>-150</v>
      </c>
    </row>
    <row r="648" spans="1:11">
      <c r="A648">
        <v>21.561</v>
      </c>
      <c r="B648">
        <v>-316.5</v>
      </c>
      <c r="C648">
        <v>142.3</v>
      </c>
      <c r="E648">
        <v>21.528</v>
      </c>
      <c r="F648">
        <v>-313.8</v>
      </c>
      <c r="G648">
        <v>144.7</v>
      </c>
      <c r="I648">
        <f t="shared" si="30"/>
        <v>21.5</v>
      </c>
      <c r="J648">
        <f t="shared" si="31"/>
        <v>-110.8</v>
      </c>
      <c r="K648">
        <f t="shared" si="32"/>
        <v>-150</v>
      </c>
    </row>
    <row r="649" spans="1:11">
      <c r="A649">
        <v>21.594</v>
      </c>
      <c r="B649">
        <v>-318.1</v>
      </c>
      <c r="C649">
        <v>141.8</v>
      </c>
      <c r="E649">
        <v>21.561</v>
      </c>
      <c r="F649">
        <v>-316.5</v>
      </c>
      <c r="G649">
        <v>142.3</v>
      </c>
      <c r="I649">
        <f t="shared" si="30"/>
        <v>21.55</v>
      </c>
      <c r="J649">
        <f t="shared" si="31"/>
        <v>-113.5</v>
      </c>
      <c r="K649">
        <f t="shared" si="32"/>
        <v>-150</v>
      </c>
    </row>
    <row r="650" spans="1:11">
      <c r="A650">
        <v>21.628</v>
      </c>
      <c r="B650">
        <v>-319.4</v>
      </c>
      <c r="C650">
        <v>140.5</v>
      </c>
      <c r="E650">
        <v>21.594</v>
      </c>
      <c r="F650">
        <v>-318.1</v>
      </c>
      <c r="G650">
        <v>141.8</v>
      </c>
      <c r="I650">
        <f t="shared" si="30"/>
        <v>21.55</v>
      </c>
      <c r="J650">
        <f t="shared" si="31"/>
        <v>-115.1</v>
      </c>
      <c r="K650">
        <f t="shared" si="32"/>
        <v>-150</v>
      </c>
    </row>
    <row r="651" spans="1:11">
      <c r="A651">
        <v>21.661</v>
      </c>
      <c r="B651">
        <v>-319.2</v>
      </c>
      <c r="C651">
        <v>138.6</v>
      </c>
      <c r="E651">
        <v>21.628</v>
      </c>
      <c r="F651">
        <v>-319.4</v>
      </c>
      <c r="G651">
        <v>140.5</v>
      </c>
      <c r="I651">
        <f t="shared" si="30"/>
        <v>21.6</v>
      </c>
      <c r="J651">
        <f t="shared" si="31"/>
        <v>-116.4</v>
      </c>
      <c r="K651">
        <f t="shared" si="32"/>
        <v>-150</v>
      </c>
    </row>
    <row r="652" spans="1:11">
      <c r="A652">
        <v>21.695</v>
      </c>
      <c r="B652">
        <v>-318.6</v>
      </c>
      <c r="C652">
        <v>135.4</v>
      </c>
      <c r="E652">
        <v>21.661</v>
      </c>
      <c r="F652">
        <v>-319.2</v>
      </c>
      <c r="G652">
        <v>138.6</v>
      </c>
      <c r="I652">
        <f t="shared" si="30"/>
        <v>21.65</v>
      </c>
      <c r="J652">
        <f t="shared" si="31"/>
        <v>-116.2</v>
      </c>
      <c r="K652">
        <f t="shared" si="32"/>
        <v>-150</v>
      </c>
    </row>
    <row r="653" spans="1:11">
      <c r="A653">
        <v>21.728</v>
      </c>
      <c r="B653">
        <v>-316.8</v>
      </c>
      <c r="C653">
        <v>134.1</v>
      </c>
      <c r="E653">
        <v>21.695</v>
      </c>
      <c r="F653">
        <v>-318.6</v>
      </c>
      <c r="G653">
        <v>135.4</v>
      </c>
      <c r="I653">
        <f t="shared" si="30"/>
        <v>21.65</v>
      </c>
      <c r="J653">
        <f t="shared" si="31"/>
        <v>-115.6</v>
      </c>
      <c r="K653">
        <f t="shared" si="32"/>
        <v>-150</v>
      </c>
    </row>
    <row r="654" spans="1:11">
      <c r="A654">
        <v>21.762</v>
      </c>
      <c r="B654">
        <v>-315.3</v>
      </c>
      <c r="C654">
        <v>132.2</v>
      </c>
      <c r="E654">
        <v>21.728</v>
      </c>
      <c r="F654">
        <v>-316.8</v>
      </c>
      <c r="G654">
        <v>134.1</v>
      </c>
      <c r="I654">
        <f t="shared" si="30"/>
        <v>21.7</v>
      </c>
      <c r="J654">
        <f t="shared" si="31"/>
        <v>-113.8</v>
      </c>
      <c r="K654">
        <f t="shared" si="32"/>
        <v>-150</v>
      </c>
    </row>
    <row r="655" spans="1:11">
      <c r="A655">
        <v>21.795</v>
      </c>
      <c r="B655">
        <v>-312.3</v>
      </c>
      <c r="C655">
        <v>130.8</v>
      </c>
      <c r="E655">
        <v>21.762</v>
      </c>
      <c r="F655">
        <v>-315.3</v>
      </c>
      <c r="G655">
        <v>132.2</v>
      </c>
      <c r="I655">
        <f t="shared" si="30"/>
        <v>21.75</v>
      </c>
      <c r="J655">
        <f t="shared" si="31"/>
        <v>-112.3</v>
      </c>
      <c r="K655">
        <f t="shared" si="32"/>
        <v>-150</v>
      </c>
    </row>
    <row r="656" spans="1:11">
      <c r="A656">
        <v>21.828</v>
      </c>
      <c r="B656">
        <v>-308.8</v>
      </c>
      <c r="C656">
        <v>136.8</v>
      </c>
      <c r="E656">
        <v>21.795</v>
      </c>
      <c r="F656">
        <v>-312.3</v>
      </c>
      <c r="G656">
        <v>130.8</v>
      </c>
      <c r="I656">
        <f t="shared" si="30"/>
        <v>21.75</v>
      </c>
      <c r="J656">
        <f t="shared" si="31"/>
        <v>-109.3</v>
      </c>
      <c r="K656">
        <f t="shared" si="32"/>
        <v>-150</v>
      </c>
    </row>
    <row r="657" spans="1:11">
      <c r="A657">
        <v>21.862</v>
      </c>
      <c r="B657">
        <v>-305.2</v>
      </c>
      <c r="C657">
        <v>238.4</v>
      </c>
      <c r="E657">
        <v>21.828</v>
      </c>
      <c r="F657">
        <v>-308.8</v>
      </c>
      <c r="G657">
        <v>136.8</v>
      </c>
      <c r="I657">
        <f t="shared" si="30"/>
        <v>21.8</v>
      </c>
      <c r="J657">
        <f t="shared" si="31"/>
        <v>-105.8</v>
      </c>
      <c r="K657">
        <f t="shared" si="32"/>
        <v>-150</v>
      </c>
    </row>
    <row r="658" spans="1:11">
      <c r="A658">
        <v>21.895</v>
      </c>
      <c r="B658">
        <v>-300.3</v>
      </c>
      <c r="C658">
        <v>238.4</v>
      </c>
      <c r="E658">
        <v>21.862</v>
      </c>
      <c r="F658">
        <v>-305.2</v>
      </c>
      <c r="G658">
        <v>238.4</v>
      </c>
      <c r="I658">
        <f t="shared" si="30"/>
        <v>21.85</v>
      </c>
      <c r="J658">
        <f t="shared" si="31"/>
        <v>-102.2</v>
      </c>
      <c r="K658">
        <f t="shared" si="32"/>
        <v>100</v>
      </c>
    </row>
    <row r="659" spans="1:11">
      <c r="A659">
        <v>21.929</v>
      </c>
      <c r="B659">
        <v>-296.2</v>
      </c>
      <c r="C659">
        <v>238.4</v>
      </c>
      <c r="E659">
        <v>21.895</v>
      </c>
      <c r="F659">
        <v>-300.3</v>
      </c>
      <c r="G659">
        <v>238.4</v>
      </c>
      <c r="I659">
        <f t="shared" si="30"/>
        <v>21.85</v>
      </c>
      <c r="J659">
        <f t="shared" si="31"/>
        <v>-97.3</v>
      </c>
      <c r="K659">
        <f t="shared" si="32"/>
        <v>100</v>
      </c>
    </row>
    <row r="660" spans="1:11">
      <c r="A660">
        <v>21.962</v>
      </c>
      <c r="B660">
        <v>-291.4</v>
      </c>
      <c r="C660">
        <v>238.4</v>
      </c>
      <c r="E660">
        <v>21.929</v>
      </c>
      <c r="F660">
        <v>-296.2</v>
      </c>
      <c r="G660">
        <v>238.4</v>
      </c>
      <c r="I660">
        <f t="shared" si="30"/>
        <v>21.9</v>
      </c>
      <c r="J660">
        <f t="shared" si="31"/>
        <v>-93.2</v>
      </c>
      <c r="K660">
        <f t="shared" si="32"/>
        <v>100</v>
      </c>
    </row>
    <row r="661" spans="1:11">
      <c r="A661">
        <v>21.996</v>
      </c>
      <c r="B661">
        <v>-285.3</v>
      </c>
      <c r="C661">
        <v>238.4</v>
      </c>
      <c r="E661">
        <v>21.962</v>
      </c>
      <c r="F661">
        <v>-291.4</v>
      </c>
      <c r="G661">
        <v>238.4</v>
      </c>
      <c r="I661">
        <f t="shared" si="30"/>
        <v>21.95</v>
      </c>
      <c r="J661">
        <f t="shared" si="31"/>
        <v>-88.4</v>
      </c>
      <c r="K661">
        <f t="shared" si="32"/>
        <v>100</v>
      </c>
    </row>
    <row r="662" spans="1:11">
      <c r="A662">
        <v>22.029</v>
      </c>
      <c r="B662">
        <v>-280.5</v>
      </c>
      <c r="C662">
        <v>238.4</v>
      </c>
      <c r="E662">
        <v>21.996</v>
      </c>
      <c r="F662">
        <v>-285.3</v>
      </c>
      <c r="G662">
        <v>238.4</v>
      </c>
      <c r="I662">
        <f t="shared" si="30"/>
        <v>21.95</v>
      </c>
      <c r="J662">
        <f t="shared" si="31"/>
        <v>-82.3</v>
      </c>
      <c r="K662">
        <f t="shared" si="32"/>
        <v>100</v>
      </c>
    </row>
    <row r="663" spans="1:11">
      <c r="A663">
        <v>22.062</v>
      </c>
      <c r="B663">
        <v>-274.2</v>
      </c>
      <c r="C663">
        <v>238.5</v>
      </c>
      <c r="E663">
        <v>22.029</v>
      </c>
      <c r="F663">
        <v>-280.5</v>
      </c>
      <c r="G663">
        <v>238.4</v>
      </c>
      <c r="I663">
        <f t="shared" si="30"/>
        <v>22</v>
      </c>
      <c r="J663">
        <f t="shared" si="31"/>
        <v>-77.5</v>
      </c>
      <c r="K663">
        <f t="shared" si="32"/>
        <v>100</v>
      </c>
    </row>
    <row r="664" spans="1:11">
      <c r="A664">
        <v>22.096</v>
      </c>
      <c r="B664">
        <v>-267.9</v>
      </c>
      <c r="C664">
        <v>238.5</v>
      </c>
      <c r="E664">
        <v>22.062</v>
      </c>
      <c r="F664">
        <v>-274.2</v>
      </c>
      <c r="G664">
        <v>238.5</v>
      </c>
      <c r="I664">
        <f t="shared" si="30"/>
        <v>22.05</v>
      </c>
      <c r="J664">
        <f t="shared" si="31"/>
        <v>-71.2</v>
      </c>
      <c r="K664">
        <f t="shared" si="32"/>
        <v>100</v>
      </c>
    </row>
    <row r="665" spans="1:11">
      <c r="A665">
        <v>22.129</v>
      </c>
      <c r="B665">
        <v>-261.9</v>
      </c>
      <c r="C665">
        <v>238.5</v>
      </c>
      <c r="E665">
        <v>22.096</v>
      </c>
      <c r="F665">
        <v>-267.9</v>
      </c>
      <c r="G665">
        <v>238.5</v>
      </c>
      <c r="I665">
        <f t="shared" si="30"/>
        <v>22.05</v>
      </c>
      <c r="J665">
        <f t="shared" si="31"/>
        <v>-64.9</v>
      </c>
      <c r="K665">
        <f t="shared" si="32"/>
        <v>100</v>
      </c>
    </row>
    <row r="666" spans="1:11">
      <c r="A666">
        <v>22.163</v>
      </c>
      <c r="B666">
        <v>-256.7</v>
      </c>
      <c r="C666">
        <v>238.5</v>
      </c>
      <c r="E666">
        <v>22.129</v>
      </c>
      <c r="F666">
        <v>-261.9</v>
      </c>
      <c r="G666">
        <v>238.5</v>
      </c>
      <c r="I666">
        <f t="shared" si="30"/>
        <v>22.1</v>
      </c>
      <c r="J666">
        <f t="shared" si="31"/>
        <v>-58.9</v>
      </c>
      <c r="K666">
        <f t="shared" si="32"/>
        <v>100</v>
      </c>
    </row>
    <row r="667" spans="1:11">
      <c r="A667">
        <v>22.196</v>
      </c>
      <c r="B667">
        <v>-250.4</v>
      </c>
      <c r="C667">
        <v>238.5</v>
      </c>
      <c r="E667">
        <v>22.163</v>
      </c>
      <c r="F667">
        <v>-256.7</v>
      </c>
      <c r="G667">
        <v>238.5</v>
      </c>
      <c r="I667">
        <f t="shared" si="30"/>
        <v>22.15</v>
      </c>
      <c r="J667">
        <f t="shared" si="31"/>
        <v>-53.7</v>
      </c>
      <c r="K667">
        <f t="shared" si="32"/>
        <v>100</v>
      </c>
    </row>
    <row r="668" spans="1:11">
      <c r="A668">
        <v>22.23</v>
      </c>
      <c r="B668">
        <v>-245.2</v>
      </c>
      <c r="C668">
        <v>238.5</v>
      </c>
      <c r="E668">
        <v>22.196</v>
      </c>
      <c r="F668">
        <v>-250.4</v>
      </c>
      <c r="G668">
        <v>238.5</v>
      </c>
      <c r="I668">
        <f t="shared" si="30"/>
        <v>22.15</v>
      </c>
      <c r="J668">
        <f t="shared" si="31"/>
        <v>-47.4</v>
      </c>
      <c r="K668">
        <f t="shared" si="32"/>
        <v>100</v>
      </c>
    </row>
    <row r="669" spans="1:11">
      <c r="A669">
        <v>22.263</v>
      </c>
      <c r="B669">
        <v>-240.7</v>
      </c>
      <c r="C669">
        <v>238.5</v>
      </c>
      <c r="E669">
        <v>22.23</v>
      </c>
      <c r="F669">
        <v>-245.2</v>
      </c>
      <c r="G669">
        <v>238.5</v>
      </c>
      <c r="I669">
        <f t="shared" si="30"/>
        <v>22.2</v>
      </c>
      <c r="J669">
        <f t="shared" si="31"/>
        <v>-42.2</v>
      </c>
      <c r="K669">
        <f t="shared" si="32"/>
        <v>100</v>
      </c>
    </row>
    <row r="670" spans="1:11">
      <c r="A670">
        <v>22.296</v>
      </c>
      <c r="B670">
        <v>-236.2</v>
      </c>
      <c r="C670">
        <v>238.5</v>
      </c>
      <c r="E670">
        <v>22.263</v>
      </c>
      <c r="F670">
        <v>-240.7</v>
      </c>
      <c r="G670">
        <v>238.5</v>
      </c>
      <c r="I670">
        <f t="shared" si="30"/>
        <v>22.25</v>
      </c>
      <c r="J670">
        <f t="shared" si="31"/>
        <v>-37.7</v>
      </c>
      <c r="K670">
        <f t="shared" si="32"/>
        <v>100</v>
      </c>
    </row>
    <row r="671" spans="1:11">
      <c r="A671">
        <v>22.33</v>
      </c>
      <c r="B671">
        <v>-231.4</v>
      </c>
      <c r="C671">
        <v>238.5</v>
      </c>
      <c r="E671">
        <v>22.296</v>
      </c>
      <c r="F671">
        <v>-236.2</v>
      </c>
      <c r="G671">
        <v>238.5</v>
      </c>
      <c r="I671">
        <f t="shared" si="30"/>
        <v>22.25</v>
      </c>
      <c r="J671">
        <f t="shared" si="31"/>
        <v>-33.2</v>
      </c>
      <c r="K671">
        <f t="shared" si="32"/>
        <v>100</v>
      </c>
    </row>
    <row r="672" spans="1:11">
      <c r="A672">
        <v>22.363</v>
      </c>
      <c r="B672">
        <v>-227.8</v>
      </c>
      <c r="C672">
        <v>238.5</v>
      </c>
      <c r="E672">
        <v>22.33</v>
      </c>
      <c r="F672">
        <v>-231.4</v>
      </c>
      <c r="G672">
        <v>238.5</v>
      </c>
      <c r="I672">
        <f t="shared" si="30"/>
        <v>22.3</v>
      </c>
      <c r="J672">
        <f t="shared" si="31"/>
        <v>-28.4</v>
      </c>
      <c r="K672">
        <f t="shared" si="32"/>
        <v>100</v>
      </c>
    </row>
    <row r="673" spans="1:11">
      <c r="A673">
        <v>22.397</v>
      </c>
      <c r="B673">
        <v>-224.8</v>
      </c>
      <c r="C673">
        <v>238.5</v>
      </c>
      <c r="E673">
        <v>22.363</v>
      </c>
      <c r="F673">
        <v>-227.8</v>
      </c>
      <c r="G673">
        <v>238.5</v>
      </c>
      <c r="I673">
        <f t="shared" si="30"/>
        <v>22.35</v>
      </c>
      <c r="J673">
        <f t="shared" si="31"/>
        <v>-24.8</v>
      </c>
      <c r="K673">
        <f t="shared" si="32"/>
        <v>100</v>
      </c>
    </row>
    <row r="674" spans="1:11">
      <c r="A674">
        <v>22.43</v>
      </c>
      <c r="B674">
        <v>-221.8</v>
      </c>
      <c r="C674">
        <v>238.5</v>
      </c>
      <c r="E674">
        <v>22.397</v>
      </c>
      <c r="F674">
        <v>-224.8</v>
      </c>
      <c r="G674">
        <v>238.5</v>
      </c>
      <c r="I674">
        <f t="shared" si="30"/>
        <v>22.35</v>
      </c>
      <c r="J674">
        <f t="shared" si="31"/>
        <v>-21.8</v>
      </c>
      <c r="K674">
        <f t="shared" si="32"/>
        <v>100</v>
      </c>
    </row>
    <row r="675" spans="1:11">
      <c r="A675">
        <v>22.464</v>
      </c>
      <c r="B675">
        <v>-219.7</v>
      </c>
      <c r="C675">
        <v>238.5</v>
      </c>
      <c r="E675">
        <v>22.43</v>
      </c>
      <c r="F675">
        <v>-221.8</v>
      </c>
      <c r="G675">
        <v>238.5</v>
      </c>
      <c r="I675">
        <f t="shared" si="30"/>
        <v>22.4</v>
      </c>
      <c r="J675">
        <f t="shared" si="31"/>
        <v>-18.8</v>
      </c>
      <c r="K675">
        <f t="shared" si="32"/>
        <v>100</v>
      </c>
    </row>
    <row r="676" spans="1:11">
      <c r="A676">
        <v>22.497</v>
      </c>
      <c r="B676">
        <v>-217.4</v>
      </c>
      <c r="C676">
        <v>238.5</v>
      </c>
      <c r="E676">
        <v>22.464</v>
      </c>
      <c r="F676">
        <v>-219.7</v>
      </c>
      <c r="G676">
        <v>238.5</v>
      </c>
      <c r="I676">
        <f t="shared" si="30"/>
        <v>22.45</v>
      </c>
      <c r="J676">
        <f t="shared" si="31"/>
        <v>-16.7</v>
      </c>
      <c r="K676">
        <f t="shared" si="32"/>
        <v>100</v>
      </c>
    </row>
    <row r="677" spans="1:11">
      <c r="A677">
        <v>22.53</v>
      </c>
      <c r="B677">
        <v>-215.9</v>
      </c>
      <c r="C677">
        <v>238.5</v>
      </c>
      <c r="E677">
        <v>22.497</v>
      </c>
      <c r="F677">
        <v>-217.4</v>
      </c>
      <c r="G677">
        <v>238.5</v>
      </c>
      <c r="I677">
        <f t="shared" si="30"/>
        <v>22.45</v>
      </c>
      <c r="J677">
        <f t="shared" si="31"/>
        <v>-14.4</v>
      </c>
      <c r="K677">
        <f t="shared" si="32"/>
        <v>100</v>
      </c>
    </row>
    <row r="678" spans="1:11">
      <c r="A678">
        <v>22.564</v>
      </c>
      <c r="B678">
        <v>-215.3</v>
      </c>
      <c r="C678">
        <v>238.5</v>
      </c>
      <c r="E678">
        <v>22.53</v>
      </c>
      <c r="F678">
        <v>-215.9</v>
      </c>
      <c r="G678">
        <v>238.5</v>
      </c>
      <c r="I678">
        <f t="shared" si="30"/>
        <v>22.5</v>
      </c>
      <c r="J678">
        <f t="shared" si="31"/>
        <v>-12.9</v>
      </c>
      <c r="K678">
        <f t="shared" si="32"/>
        <v>100</v>
      </c>
    </row>
    <row r="679" spans="1:11">
      <c r="A679">
        <v>22.597</v>
      </c>
      <c r="B679">
        <v>-215</v>
      </c>
      <c r="C679">
        <v>238.2</v>
      </c>
      <c r="E679">
        <v>22.564</v>
      </c>
      <c r="F679">
        <v>-215.3</v>
      </c>
      <c r="G679">
        <v>238.5</v>
      </c>
      <c r="I679">
        <f t="shared" si="30"/>
        <v>22.55</v>
      </c>
      <c r="J679">
        <f t="shared" si="31"/>
        <v>-12.3</v>
      </c>
      <c r="K679">
        <f t="shared" si="32"/>
        <v>100</v>
      </c>
    </row>
    <row r="680" spans="1:11">
      <c r="A680">
        <v>22.631</v>
      </c>
      <c r="B680">
        <v>-215.3</v>
      </c>
      <c r="C680">
        <v>148.6</v>
      </c>
      <c r="E680">
        <v>22.597</v>
      </c>
      <c r="F680">
        <v>-215</v>
      </c>
      <c r="G680">
        <v>238.2</v>
      </c>
      <c r="I680">
        <f t="shared" si="30"/>
        <v>22.55</v>
      </c>
      <c r="J680">
        <f t="shared" si="31"/>
        <v>-12</v>
      </c>
      <c r="K680">
        <f t="shared" si="32"/>
        <v>100</v>
      </c>
    </row>
    <row r="681" spans="1:11">
      <c r="A681">
        <v>22.664</v>
      </c>
      <c r="B681">
        <v>-216.3</v>
      </c>
      <c r="C681">
        <v>162.9</v>
      </c>
      <c r="E681">
        <v>22.631</v>
      </c>
      <c r="F681">
        <v>-215.3</v>
      </c>
      <c r="G681">
        <v>148.6</v>
      </c>
      <c r="I681">
        <f t="shared" si="30"/>
        <v>22.6</v>
      </c>
      <c r="J681">
        <f t="shared" si="31"/>
        <v>-12.3</v>
      </c>
      <c r="K681">
        <f t="shared" si="32"/>
        <v>-150</v>
      </c>
    </row>
    <row r="682" spans="1:11">
      <c r="A682">
        <v>22.698</v>
      </c>
      <c r="B682">
        <v>-218</v>
      </c>
      <c r="C682">
        <v>162.3</v>
      </c>
      <c r="E682">
        <v>22.664</v>
      </c>
      <c r="F682">
        <v>-216.3</v>
      </c>
      <c r="G682">
        <v>162.9</v>
      </c>
      <c r="I682">
        <f t="shared" si="30"/>
        <v>22.65</v>
      </c>
      <c r="J682">
        <f t="shared" si="31"/>
        <v>-13.3</v>
      </c>
      <c r="K682">
        <f t="shared" si="32"/>
        <v>-150</v>
      </c>
    </row>
    <row r="683" spans="1:11">
      <c r="A683">
        <v>22.731</v>
      </c>
      <c r="B683">
        <v>-220.2</v>
      </c>
      <c r="C683">
        <v>159.9</v>
      </c>
      <c r="E683">
        <v>22.698</v>
      </c>
      <c r="F683">
        <v>-218</v>
      </c>
      <c r="G683">
        <v>162.3</v>
      </c>
      <c r="I683">
        <f t="shared" si="30"/>
        <v>22.65</v>
      </c>
      <c r="J683">
        <f t="shared" si="31"/>
        <v>-15</v>
      </c>
      <c r="K683">
        <f t="shared" si="32"/>
        <v>-150</v>
      </c>
    </row>
    <row r="684" spans="1:11">
      <c r="A684">
        <v>22.764</v>
      </c>
      <c r="B684">
        <v>-222.9</v>
      </c>
      <c r="C684">
        <v>158.5</v>
      </c>
      <c r="E684">
        <v>22.731</v>
      </c>
      <c r="F684">
        <v>-220.2</v>
      </c>
      <c r="G684">
        <v>159.9</v>
      </c>
      <c r="I684">
        <f t="shared" si="30"/>
        <v>22.7</v>
      </c>
      <c r="J684">
        <f t="shared" si="31"/>
        <v>-17.2</v>
      </c>
      <c r="K684">
        <f t="shared" si="32"/>
        <v>-150</v>
      </c>
    </row>
    <row r="685" spans="1:11">
      <c r="A685">
        <v>22.798</v>
      </c>
      <c r="B685">
        <v>-226</v>
      </c>
      <c r="C685">
        <v>156.1</v>
      </c>
      <c r="E685">
        <v>22.764</v>
      </c>
      <c r="F685">
        <v>-222.9</v>
      </c>
      <c r="G685">
        <v>158.5</v>
      </c>
      <c r="I685">
        <f t="shared" si="30"/>
        <v>22.75</v>
      </c>
      <c r="J685">
        <f t="shared" si="31"/>
        <v>-19.9</v>
      </c>
      <c r="K685">
        <f t="shared" si="32"/>
        <v>-150</v>
      </c>
    </row>
    <row r="686" spans="1:11">
      <c r="A686">
        <v>22.831</v>
      </c>
      <c r="B686">
        <v>-229.8</v>
      </c>
      <c r="C686">
        <v>155.1</v>
      </c>
      <c r="E686">
        <v>22.798</v>
      </c>
      <c r="F686">
        <v>-226</v>
      </c>
      <c r="G686">
        <v>156.1</v>
      </c>
      <c r="I686">
        <f t="shared" si="30"/>
        <v>22.75</v>
      </c>
      <c r="J686">
        <f t="shared" si="31"/>
        <v>-23</v>
      </c>
      <c r="K686">
        <f t="shared" si="32"/>
        <v>-150</v>
      </c>
    </row>
    <row r="687" spans="1:11">
      <c r="A687">
        <v>22.865</v>
      </c>
      <c r="B687">
        <v>-234.2</v>
      </c>
      <c r="C687">
        <v>153.4</v>
      </c>
      <c r="E687">
        <v>22.831</v>
      </c>
      <c r="F687">
        <v>-229.8</v>
      </c>
      <c r="G687">
        <v>155.1</v>
      </c>
      <c r="I687">
        <f t="shared" si="30"/>
        <v>22.8</v>
      </c>
      <c r="J687">
        <f t="shared" si="31"/>
        <v>-26.8</v>
      </c>
      <c r="K687">
        <f t="shared" si="32"/>
        <v>-150</v>
      </c>
    </row>
    <row r="688" spans="1:11">
      <c r="A688">
        <v>22.898</v>
      </c>
      <c r="B688">
        <v>-239.3</v>
      </c>
      <c r="C688">
        <v>152.1</v>
      </c>
      <c r="E688">
        <v>22.865</v>
      </c>
      <c r="F688">
        <v>-234.2</v>
      </c>
      <c r="G688">
        <v>153.4</v>
      </c>
      <c r="I688">
        <f t="shared" si="30"/>
        <v>22.85</v>
      </c>
      <c r="J688">
        <f t="shared" si="31"/>
        <v>-31.2</v>
      </c>
      <c r="K688">
        <f t="shared" si="32"/>
        <v>-150</v>
      </c>
    </row>
    <row r="689" spans="1:11">
      <c r="A689">
        <v>22.932</v>
      </c>
      <c r="B689">
        <v>-243.6</v>
      </c>
      <c r="C689">
        <v>150.1</v>
      </c>
      <c r="E689">
        <v>22.898</v>
      </c>
      <c r="F689">
        <v>-239.3</v>
      </c>
      <c r="G689">
        <v>152.1</v>
      </c>
      <c r="I689">
        <f t="shared" si="30"/>
        <v>22.85</v>
      </c>
      <c r="J689">
        <f t="shared" si="31"/>
        <v>-36.3</v>
      </c>
      <c r="K689">
        <f t="shared" si="32"/>
        <v>-150</v>
      </c>
    </row>
    <row r="690" spans="1:11">
      <c r="A690">
        <v>22.965</v>
      </c>
      <c r="B690">
        <v>-248.8</v>
      </c>
      <c r="C690">
        <v>148.9</v>
      </c>
      <c r="E690">
        <v>22.932</v>
      </c>
      <c r="F690">
        <v>-243.6</v>
      </c>
      <c r="G690">
        <v>150.1</v>
      </c>
      <c r="I690">
        <f t="shared" si="30"/>
        <v>22.9</v>
      </c>
      <c r="J690">
        <f t="shared" si="31"/>
        <v>-40.6</v>
      </c>
      <c r="K690">
        <f t="shared" si="32"/>
        <v>-150</v>
      </c>
    </row>
    <row r="691" spans="1:11">
      <c r="A691">
        <v>22.998</v>
      </c>
      <c r="B691">
        <v>-254.8</v>
      </c>
      <c r="C691">
        <v>146.1</v>
      </c>
      <c r="E691">
        <v>22.965</v>
      </c>
      <c r="F691">
        <v>-248.8</v>
      </c>
      <c r="G691">
        <v>148.9</v>
      </c>
      <c r="I691">
        <f t="shared" si="30"/>
        <v>22.95</v>
      </c>
      <c r="J691">
        <f t="shared" si="31"/>
        <v>-45.8</v>
      </c>
      <c r="K691">
        <f t="shared" si="32"/>
        <v>-150</v>
      </c>
    </row>
    <row r="692" spans="1:11">
      <c r="A692">
        <v>23.032</v>
      </c>
      <c r="B692">
        <v>-260.3</v>
      </c>
      <c r="C692">
        <v>145</v>
      </c>
      <c r="E692">
        <v>22.998</v>
      </c>
      <c r="F692">
        <v>-254.8</v>
      </c>
      <c r="G692">
        <v>146.1</v>
      </c>
      <c r="I692">
        <f t="shared" si="30"/>
        <v>22.95</v>
      </c>
      <c r="J692">
        <f t="shared" si="31"/>
        <v>-51.8</v>
      </c>
      <c r="K692">
        <f t="shared" si="32"/>
        <v>-150</v>
      </c>
    </row>
    <row r="693" spans="1:11">
      <c r="A693">
        <v>23.065</v>
      </c>
      <c r="B693">
        <v>-265.9</v>
      </c>
      <c r="C693">
        <v>143</v>
      </c>
      <c r="E693">
        <v>23.032</v>
      </c>
      <c r="F693">
        <v>-260.3</v>
      </c>
      <c r="G693">
        <v>145</v>
      </c>
      <c r="I693">
        <f t="shared" si="30"/>
        <v>23</v>
      </c>
      <c r="J693">
        <f t="shared" si="31"/>
        <v>-57.3</v>
      </c>
      <c r="K693">
        <f t="shared" si="32"/>
        <v>-150</v>
      </c>
    </row>
    <row r="694" spans="1:11">
      <c r="A694">
        <v>23.099</v>
      </c>
      <c r="B694">
        <v>-272.1</v>
      </c>
      <c r="C694">
        <v>142</v>
      </c>
      <c r="E694">
        <v>23.065</v>
      </c>
      <c r="F694">
        <v>-265.9</v>
      </c>
      <c r="G694">
        <v>143</v>
      </c>
      <c r="I694">
        <f t="shared" si="30"/>
        <v>23.05</v>
      </c>
      <c r="J694">
        <f t="shared" si="31"/>
        <v>-62.9</v>
      </c>
      <c r="K694">
        <f t="shared" si="32"/>
        <v>-150</v>
      </c>
    </row>
    <row r="695" spans="1:11">
      <c r="A695">
        <v>23.132</v>
      </c>
      <c r="B695">
        <v>-277.2</v>
      </c>
      <c r="C695">
        <v>139.8</v>
      </c>
      <c r="E695">
        <v>23.099</v>
      </c>
      <c r="F695">
        <v>-272.1</v>
      </c>
      <c r="G695">
        <v>142</v>
      </c>
      <c r="I695">
        <f t="shared" si="30"/>
        <v>23.05</v>
      </c>
      <c r="J695">
        <f t="shared" si="31"/>
        <v>-69.1</v>
      </c>
      <c r="K695">
        <f t="shared" si="32"/>
        <v>-150</v>
      </c>
    </row>
    <row r="696" spans="1:11">
      <c r="A696">
        <v>23.166</v>
      </c>
      <c r="B696">
        <v>-282.8</v>
      </c>
      <c r="C696">
        <v>137.6</v>
      </c>
      <c r="E696">
        <v>23.132</v>
      </c>
      <c r="F696">
        <v>-277.2</v>
      </c>
      <c r="G696">
        <v>139.8</v>
      </c>
      <c r="I696">
        <f t="shared" si="30"/>
        <v>23.1</v>
      </c>
      <c r="J696">
        <f t="shared" si="31"/>
        <v>-74.2</v>
      </c>
      <c r="K696">
        <f t="shared" si="32"/>
        <v>-150</v>
      </c>
    </row>
    <row r="697" spans="1:11">
      <c r="A697">
        <v>23.199</v>
      </c>
      <c r="B697">
        <v>-287.9</v>
      </c>
      <c r="C697">
        <v>135.7</v>
      </c>
      <c r="E697">
        <v>23.166</v>
      </c>
      <c r="F697">
        <v>-282.8</v>
      </c>
      <c r="G697">
        <v>137.6</v>
      </c>
      <c r="I697">
        <f t="shared" si="30"/>
        <v>23.15</v>
      </c>
      <c r="J697">
        <f t="shared" si="31"/>
        <v>-79.8</v>
      </c>
      <c r="K697">
        <f t="shared" si="32"/>
        <v>-150</v>
      </c>
    </row>
    <row r="698" spans="1:11">
      <c r="A698">
        <v>23.232</v>
      </c>
      <c r="B698">
        <v>-292.9</v>
      </c>
      <c r="C698">
        <v>134.1</v>
      </c>
      <c r="E698">
        <v>23.199</v>
      </c>
      <c r="F698">
        <v>-287.9</v>
      </c>
      <c r="G698">
        <v>135.7</v>
      </c>
      <c r="I698">
        <f t="shared" si="30"/>
        <v>23.15</v>
      </c>
      <c r="J698">
        <f t="shared" si="31"/>
        <v>-84.9</v>
      </c>
      <c r="K698">
        <f t="shared" si="32"/>
        <v>-150</v>
      </c>
    </row>
    <row r="699" spans="1:11">
      <c r="A699">
        <v>23.266</v>
      </c>
      <c r="B699">
        <v>-297.1</v>
      </c>
      <c r="C699">
        <v>131.7</v>
      </c>
      <c r="E699">
        <v>23.232</v>
      </c>
      <c r="F699">
        <v>-292.9</v>
      </c>
      <c r="G699">
        <v>134.1</v>
      </c>
      <c r="I699">
        <f t="shared" si="30"/>
        <v>23.2</v>
      </c>
      <c r="J699">
        <f t="shared" si="31"/>
        <v>-89.9</v>
      </c>
      <c r="K699">
        <f t="shared" si="32"/>
        <v>-150</v>
      </c>
    </row>
    <row r="700" spans="1:11">
      <c r="A700">
        <v>23.299</v>
      </c>
      <c r="B700">
        <v>-300.2</v>
      </c>
      <c r="C700">
        <v>129.8</v>
      </c>
      <c r="E700">
        <v>23.266</v>
      </c>
      <c r="F700">
        <v>-297.1</v>
      </c>
      <c r="G700">
        <v>131.7</v>
      </c>
      <c r="I700">
        <f t="shared" si="30"/>
        <v>23.25</v>
      </c>
      <c r="J700">
        <f t="shared" si="31"/>
        <v>-94.1</v>
      </c>
      <c r="K700">
        <f t="shared" si="32"/>
        <v>-150</v>
      </c>
    </row>
    <row r="701" spans="1:11">
      <c r="A701">
        <v>23.333</v>
      </c>
      <c r="B701">
        <v>-303.2</v>
      </c>
      <c r="C701">
        <v>184.6</v>
      </c>
      <c r="E701">
        <v>23.299</v>
      </c>
      <c r="F701">
        <v>-300.2</v>
      </c>
      <c r="G701">
        <v>129.8</v>
      </c>
      <c r="I701">
        <f t="shared" si="30"/>
        <v>23.25</v>
      </c>
      <c r="J701">
        <f t="shared" si="31"/>
        <v>-97.2</v>
      </c>
      <c r="K701">
        <f t="shared" si="32"/>
        <v>-150</v>
      </c>
    </row>
    <row r="702" spans="1:11">
      <c r="A702">
        <v>23.366</v>
      </c>
      <c r="B702">
        <v>-306.5</v>
      </c>
      <c r="C702">
        <v>238.4</v>
      </c>
      <c r="E702">
        <v>23.333</v>
      </c>
      <c r="F702">
        <v>-303.2</v>
      </c>
      <c r="G702">
        <v>184.6</v>
      </c>
      <c r="I702">
        <f t="shared" si="30"/>
        <v>23.3</v>
      </c>
      <c r="J702">
        <f t="shared" si="31"/>
        <v>-100.2</v>
      </c>
      <c r="K702">
        <f t="shared" si="32"/>
        <v>-150</v>
      </c>
    </row>
    <row r="703" spans="1:11">
      <c r="A703">
        <v>23.4</v>
      </c>
      <c r="B703">
        <v>-308.8</v>
      </c>
      <c r="C703">
        <v>238.4</v>
      </c>
      <c r="E703">
        <v>23.366</v>
      </c>
      <c r="F703">
        <v>-306.5</v>
      </c>
      <c r="G703">
        <v>238.4</v>
      </c>
      <c r="I703">
        <f t="shared" si="30"/>
        <v>23.35</v>
      </c>
      <c r="J703">
        <f t="shared" si="31"/>
        <v>-103.5</v>
      </c>
      <c r="K703">
        <f t="shared" si="32"/>
        <v>100</v>
      </c>
    </row>
    <row r="704" spans="1:11">
      <c r="A704">
        <v>23.433</v>
      </c>
      <c r="B704">
        <v>-311</v>
      </c>
      <c r="C704">
        <v>238.4</v>
      </c>
      <c r="E704">
        <v>23.4</v>
      </c>
      <c r="F704">
        <v>-308.8</v>
      </c>
      <c r="G704">
        <v>238.4</v>
      </c>
      <c r="I704">
        <f t="shared" si="30"/>
        <v>23.4</v>
      </c>
      <c r="J704">
        <f t="shared" si="31"/>
        <v>-105.8</v>
      </c>
      <c r="K704">
        <f t="shared" si="32"/>
        <v>100</v>
      </c>
    </row>
    <row r="705" spans="1:11">
      <c r="A705">
        <v>23.466</v>
      </c>
      <c r="B705">
        <v>-312.7</v>
      </c>
      <c r="C705">
        <v>238.4</v>
      </c>
      <c r="E705">
        <v>23.433</v>
      </c>
      <c r="F705">
        <v>-311</v>
      </c>
      <c r="G705">
        <v>238.4</v>
      </c>
      <c r="I705">
        <f t="shared" si="30"/>
        <v>23.4</v>
      </c>
      <c r="J705">
        <f t="shared" si="31"/>
        <v>-108</v>
      </c>
      <c r="K705">
        <f t="shared" si="32"/>
        <v>100</v>
      </c>
    </row>
    <row r="706" spans="1:11">
      <c r="A706">
        <v>23.5</v>
      </c>
      <c r="B706">
        <v>-313.5</v>
      </c>
      <c r="C706">
        <v>238.4</v>
      </c>
      <c r="E706">
        <v>23.466</v>
      </c>
      <c r="F706">
        <v>-312.7</v>
      </c>
      <c r="G706">
        <v>238.4</v>
      </c>
      <c r="I706">
        <f t="shared" si="30"/>
        <v>23.45</v>
      </c>
      <c r="J706">
        <f t="shared" si="31"/>
        <v>-109.7</v>
      </c>
      <c r="K706">
        <f t="shared" si="32"/>
        <v>100</v>
      </c>
    </row>
    <row r="707" spans="1:11">
      <c r="A707">
        <v>23.533</v>
      </c>
      <c r="B707">
        <v>-313.7</v>
      </c>
      <c r="C707">
        <v>238.4</v>
      </c>
      <c r="E707">
        <v>23.5</v>
      </c>
      <c r="F707">
        <v>-313.5</v>
      </c>
      <c r="G707">
        <v>238.4</v>
      </c>
      <c r="I707">
        <f t="shared" si="30"/>
        <v>23.5</v>
      </c>
      <c r="J707">
        <f t="shared" si="31"/>
        <v>-110.5</v>
      </c>
      <c r="K707">
        <f t="shared" si="32"/>
        <v>100</v>
      </c>
    </row>
    <row r="708" spans="1:11">
      <c r="A708">
        <v>23.567</v>
      </c>
      <c r="B708">
        <v>-313.7</v>
      </c>
      <c r="C708">
        <v>238.4</v>
      </c>
      <c r="E708">
        <v>23.533</v>
      </c>
      <c r="F708">
        <v>-313.7</v>
      </c>
      <c r="G708">
        <v>238.4</v>
      </c>
      <c r="I708">
        <f t="shared" ref="I708:I771" si="33">FLOOR(E708,0.05)</f>
        <v>23.5</v>
      </c>
      <c r="J708">
        <f t="shared" ref="J708:J771" si="34">F708+203</f>
        <v>-110.7</v>
      </c>
      <c r="K708">
        <f t="shared" si="32"/>
        <v>100</v>
      </c>
    </row>
    <row r="709" spans="1:11">
      <c r="A709">
        <v>23.6</v>
      </c>
      <c r="B709">
        <v>-313.4</v>
      </c>
      <c r="C709">
        <v>238.4</v>
      </c>
      <c r="E709">
        <v>23.567</v>
      </c>
      <c r="F709">
        <v>-313.7</v>
      </c>
      <c r="G709">
        <v>238.4</v>
      </c>
      <c r="I709">
        <f t="shared" si="33"/>
        <v>23.55</v>
      </c>
      <c r="J709">
        <f t="shared" si="34"/>
        <v>-110.7</v>
      </c>
      <c r="K709">
        <f t="shared" ref="K709:K772" si="35">IF(G709&lt;230,-150,100)</f>
        <v>100</v>
      </c>
    </row>
    <row r="710" spans="1:11">
      <c r="A710">
        <v>23.634</v>
      </c>
      <c r="B710">
        <v>-312.3</v>
      </c>
      <c r="C710">
        <v>238.4</v>
      </c>
      <c r="E710">
        <v>23.6</v>
      </c>
      <c r="F710">
        <v>-313.4</v>
      </c>
      <c r="G710">
        <v>238.4</v>
      </c>
      <c r="I710">
        <f t="shared" si="33"/>
        <v>23.6</v>
      </c>
      <c r="J710">
        <f t="shared" si="34"/>
        <v>-110.4</v>
      </c>
      <c r="K710">
        <f t="shared" si="35"/>
        <v>100</v>
      </c>
    </row>
    <row r="711" spans="1:11">
      <c r="A711">
        <v>23.667</v>
      </c>
      <c r="B711">
        <v>-310.6</v>
      </c>
      <c r="C711">
        <v>238.3</v>
      </c>
      <c r="E711">
        <v>23.634</v>
      </c>
      <c r="F711">
        <v>-312.3</v>
      </c>
      <c r="G711">
        <v>238.4</v>
      </c>
      <c r="I711">
        <f t="shared" si="33"/>
        <v>23.6</v>
      </c>
      <c r="J711">
        <f t="shared" si="34"/>
        <v>-109.3</v>
      </c>
      <c r="K711">
        <f t="shared" si="35"/>
        <v>100</v>
      </c>
    </row>
    <row r="712" spans="1:11">
      <c r="A712">
        <v>23.7</v>
      </c>
      <c r="B712">
        <v>-308</v>
      </c>
      <c r="C712">
        <v>238.4</v>
      </c>
      <c r="E712">
        <v>23.667</v>
      </c>
      <c r="F712">
        <v>-310.6</v>
      </c>
      <c r="G712">
        <v>238.3</v>
      </c>
      <c r="I712">
        <f t="shared" si="33"/>
        <v>23.65</v>
      </c>
      <c r="J712">
        <f t="shared" si="34"/>
        <v>-107.6</v>
      </c>
      <c r="K712">
        <f t="shared" si="35"/>
        <v>100</v>
      </c>
    </row>
    <row r="713" spans="1:11">
      <c r="A713">
        <v>23.734</v>
      </c>
      <c r="B713">
        <v>-305.7</v>
      </c>
      <c r="C713">
        <v>238.4</v>
      </c>
      <c r="E713">
        <v>23.7</v>
      </c>
      <c r="F713">
        <v>-308</v>
      </c>
      <c r="G713">
        <v>238.4</v>
      </c>
      <c r="I713">
        <f t="shared" si="33"/>
        <v>23.7</v>
      </c>
      <c r="J713">
        <f t="shared" si="34"/>
        <v>-105</v>
      </c>
      <c r="K713">
        <f t="shared" si="35"/>
        <v>100</v>
      </c>
    </row>
    <row r="714" spans="1:11">
      <c r="A714">
        <v>23.767</v>
      </c>
      <c r="B714">
        <v>-302.7</v>
      </c>
      <c r="C714">
        <v>238.4</v>
      </c>
      <c r="E714">
        <v>23.734</v>
      </c>
      <c r="F714">
        <v>-305.7</v>
      </c>
      <c r="G714">
        <v>238.4</v>
      </c>
      <c r="I714">
        <f t="shared" si="33"/>
        <v>23.7</v>
      </c>
      <c r="J714">
        <f t="shared" si="34"/>
        <v>-102.7</v>
      </c>
      <c r="K714">
        <f t="shared" si="35"/>
        <v>100</v>
      </c>
    </row>
    <row r="715" spans="1:11">
      <c r="A715">
        <v>23.801</v>
      </c>
      <c r="B715">
        <v>-299.2</v>
      </c>
      <c r="C715">
        <v>238.4</v>
      </c>
      <c r="E715">
        <v>23.767</v>
      </c>
      <c r="F715">
        <v>-302.7</v>
      </c>
      <c r="G715">
        <v>238.4</v>
      </c>
      <c r="I715">
        <f t="shared" si="33"/>
        <v>23.75</v>
      </c>
      <c r="J715">
        <f t="shared" si="34"/>
        <v>-99.7</v>
      </c>
      <c r="K715">
        <f t="shared" si="35"/>
        <v>100</v>
      </c>
    </row>
    <row r="716" spans="1:11">
      <c r="A716">
        <v>23.834</v>
      </c>
      <c r="B716">
        <v>-296.1</v>
      </c>
      <c r="C716">
        <v>238.4</v>
      </c>
      <c r="E716">
        <v>23.801</v>
      </c>
      <c r="F716">
        <v>-299.2</v>
      </c>
      <c r="G716">
        <v>238.4</v>
      </c>
      <c r="I716">
        <f t="shared" si="33"/>
        <v>23.8</v>
      </c>
      <c r="J716">
        <f t="shared" si="34"/>
        <v>-96.2</v>
      </c>
      <c r="K716">
        <f t="shared" si="35"/>
        <v>100</v>
      </c>
    </row>
    <row r="717" spans="1:11">
      <c r="A717">
        <v>23.868</v>
      </c>
      <c r="B717">
        <v>-291.7</v>
      </c>
      <c r="C717">
        <v>238.4</v>
      </c>
      <c r="E717">
        <v>23.834</v>
      </c>
      <c r="F717">
        <v>-296.1</v>
      </c>
      <c r="G717">
        <v>238.4</v>
      </c>
      <c r="I717">
        <f t="shared" si="33"/>
        <v>23.8</v>
      </c>
      <c r="J717">
        <f t="shared" si="34"/>
        <v>-93.1</v>
      </c>
      <c r="K717">
        <f t="shared" si="35"/>
        <v>100</v>
      </c>
    </row>
    <row r="718" spans="1:11">
      <c r="A718">
        <v>23.901</v>
      </c>
      <c r="B718">
        <v>-287.3</v>
      </c>
      <c r="C718">
        <v>238.4</v>
      </c>
      <c r="E718">
        <v>23.868</v>
      </c>
      <c r="F718">
        <v>-291.7</v>
      </c>
      <c r="G718">
        <v>238.4</v>
      </c>
      <c r="I718">
        <f t="shared" si="33"/>
        <v>23.85</v>
      </c>
      <c r="J718">
        <f t="shared" si="34"/>
        <v>-88.7</v>
      </c>
      <c r="K718">
        <f t="shared" si="35"/>
        <v>100</v>
      </c>
    </row>
    <row r="719" spans="1:11">
      <c r="A719">
        <v>23.934</v>
      </c>
      <c r="B719">
        <v>-282.9</v>
      </c>
      <c r="C719">
        <v>238.3</v>
      </c>
      <c r="E719">
        <v>23.901</v>
      </c>
      <c r="F719">
        <v>-287.3</v>
      </c>
      <c r="G719">
        <v>238.4</v>
      </c>
      <c r="I719">
        <f t="shared" si="33"/>
        <v>23.9</v>
      </c>
      <c r="J719">
        <f t="shared" si="34"/>
        <v>-84.3</v>
      </c>
      <c r="K719">
        <f t="shared" si="35"/>
        <v>100</v>
      </c>
    </row>
    <row r="720" spans="1:11">
      <c r="A720">
        <v>23.968</v>
      </c>
      <c r="B720">
        <v>-278.2</v>
      </c>
      <c r="C720">
        <v>238.3</v>
      </c>
      <c r="E720">
        <v>23.934</v>
      </c>
      <c r="F720">
        <v>-282.9</v>
      </c>
      <c r="G720">
        <v>238.3</v>
      </c>
      <c r="I720">
        <f t="shared" si="33"/>
        <v>23.9</v>
      </c>
      <c r="J720">
        <f t="shared" si="34"/>
        <v>-79.9</v>
      </c>
      <c r="K720">
        <f t="shared" si="35"/>
        <v>100</v>
      </c>
    </row>
    <row r="721" spans="1:11">
      <c r="A721">
        <v>24.001</v>
      </c>
      <c r="B721">
        <v>-273.4</v>
      </c>
      <c r="C721">
        <v>238.3</v>
      </c>
      <c r="E721">
        <v>23.968</v>
      </c>
      <c r="F721">
        <v>-278.2</v>
      </c>
      <c r="G721">
        <v>238.3</v>
      </c>
      <c r="I721">
        <f t="shared" si="33"/>
        <v>23.95</v>
      </c>
      <c r="J721">
        <f t="shared" si="34"/>
        <v>-75.2</v>
      </c>
      <c r="K721">
        <f t="shared" si="35"/>
        <v>100</v>
      </c>
    </row>
    <row r="722" spans="1:11">
      <c r="A722">
        <v>24.035</v>
      </c>
      <c r="B722">
        <v>-268.3</v>
      </c>
      <c r="C722">
        <v>238.3</v>
      </c>
      <c r="E722">
        <v>24.001</v>
      </c>
      <c r="F722">
        <v>-273.4</v>
      </c>
      <c r="G722">
        <v>238.3</v>
      </c>
      <c r="I722">
        <f t="shared" si="33"/>
        <v>24</v>
      </c>
      <c r="J722">
        <f t="shared" si="34"/>
        <v>-70.4</v>
      </c>
      <c r="K722">
        <f t="shared" si="35"/>
        <v>100</v>
      </c>
    </row>
    <row r="723" spans="1:11">
      <c r="A723">
        <v>24.068</v>
      </c>
      <c r="B723">
        <v>-263.1</v>
      </c>
      <c r="C723">
        <v>238.1</v>
      </c>
      <c r="E723">
        <v>24.035</v>
      </c>
      <c r="F723">
        <v>-268.3</v>
      </c>
      <c r="G723">
        <v>238.3</v>
      </c>
      <c r="I723">
        <f t="shared" si="33"/>
        <v>24</v>
      </c>
      <c r="J723">
        <f t="shared" si="34"/>
        <v>-65.3</v>
      </c>
      <c r="K723">
        <f t="shared" si="35"/>
        <v>100</v>
      </c>
    </row>
    <row r="724" spans="1:11">
      <c r="A724">
        <v>24.102</v>
      </c>
      <c r="B724">
        <v>-258.8</v>
      </c>
      <c r="C724">
        <v>236.6</v>
      </c>
      <c r="E724">
        <v>24.068</v>
      </c>
      <c r="F724">
        <v>-263.1</v>
      </c>
      <c r="G724">
        <v>238.1</v>
      </c>
      <c r="I724">
        <f t="shared" si="33"/>
        <v>24.05</v>
      </c>
      <c r="J724">
        <f t="shared" si="34"/>
        <v>-60.1</v>
      </c>
      <c r="K724">
        <f t="shared" si="35"/>
        <v>100</v>
      </c>
    </row>
    <row r="725" spans="1:11">
      <c r="A725">
        <v>24.135</v>
      </c>
      <c r="B725">
        <v>-254.4</v>
      </c>
      <c r="C725">
        <v>148.2</v>
      </c>
      <c r="E725">
        <v>24.102</v>
      </c>
      <c r="F725">
        <v>-258.8</v>
      </c>
      <c r="G725">
        <v>236.6</v>
      </c>
      <c r="I725">
        <f t="shared" si="33"/>
        <v>24.1</v>
      </c>
      <c r="J725">
        <f t="shared" si="34"/>
        <v>-55.8</v>
      </c>
      <c r="K725">
        <f t="shared" si="35"/>
        <v>100</v>
      </c>
    </row>
    <row r="726" spans="1:11">
      <c r="A726">
        <v>24.168</v>
      </c>
      <c r="B726">
        <v>-249.5</v>
      </c>
      <c r="C726">
        <v>164.4</v>
      </c>
      <c r="E726">
        <v>24.135</v>
      </c>
      <c r="F726">
        <v>-254.4</v>
      </c>
      <c r="G726">
        <v>148.2</v>
      </c>
      <c r="I726">
        <f t="shared" si="33"/>
        <v>24.1</v>
      </c>
      <c r="J726">
        <f t="shared" si="34"/>
        <v>-51.4</v>
      </c>
      <c r="K726">
        <f t="shared" si="35"/>
        <v>-150</v>
      </c>
    </row>
    <row r="727" spans="1:11">
      <c r="A727">
        <v>24.202</v>
      </c>
      <c r="B727">
        <v>-245.4</v>
      </c>
      <c r="C727">
        <v>162.4</v>
      </c>
      <c r="E727">
        <v>24.168</v>
      </c>
      <c r="F727">
        <v>-249.5</v>
      </c>
      <c r="G727">
        <v>164.4</v>
      </c>
      <c r="I727">
        <f t="shared" si="33"/>
        <v>24.15</v>
      </c>
      <c r="J727">
        <f t="shared" si="34"/>
        <v>-46.5</v>
      </c>
      <c r="K727">
        <f t="shared" si="35"/>
        <v>-150</v>
      </c>
    </row>
    <row r="728" spans="1:11">
      <c r="A728">
        <v>24.235</v>
      </c>
      <c r="B728">
        <v>-241.9</v>
      </c>
      <c r="C728">
        <v>159.1</v>
      </c>
      <c r="E728">
        <v>24.202</v>
      </c>
      <c r="F728">
        <v>-245.4</v>
      </c>
      <c r="G728">
        <v>162.4</v>
      </c>
      <c r="I728">
        <f t="shared" si="33"/>
        <v>24.2</v>
      </c>
      <c r="J728">
        <f t="shared" si="34"/>
        <v>-42.4</v>
      </c>
      <c r="K728">
        <f t="shared" si="35"/>
        <v>-150</v>
      </c>
    </row>
    <row r="729" spans="1:11">
      <c r="A729">
        <v>24.269</v>
      </c>
      <c r="B729">
        <v>-238.6</v>
      </c>
      <c r="C729">
        <v>157.9</v>
      </c>
      <c r="E729">
        <v>24.235</v>
      </c>
      <c r="F729">
        <v>-241.9</v>
      </c>
      <c r="G729">
        <v>159.1</v>
      </c>
      <c r="I729">
        <f t="shared" si="33"/>
        <v>24.2</v>
      </c>
      <c r="J729">
        <f t="shared" si="34"/>
        <v>-38.9</v>
      </c>
      <c r="K729">
        <f t="shared" si="35"/>
        <v>-150</v>
      </c>
    </row>
    <row r="730" spans="1:11">
      <c r="A730">
        <v>24.302</v>
      </c>
      <c r="B730">
        <v>-235.7</v>
      </c>
      <c r="C730">
        <v>157.2</v>
      </c>
      <c r="E730">
        <v>24.269</v>
      </c>
      <c r="F730">
        <v>-238.6</v>
      </c>
      <c r="G730">
        <v>157.9</v>
      </c>
      <c r="I730">
        <f t="shared" si="33"/>
        <v>24.25</v>
      </c>
      <c r="J730">
        <f t="shared" si="34"/>
        <v>-35.6</v>
      </c>
      <c r="K730">
        <f t="shared" si="35"/>
        <v>-150</v>
      </c>
    </row>
    <row r="731" spans="1:11">
      <c r="A731">
        <v>24.336</v>
      </c>
      <c r="B731">
        <v>-232.6</v>
      </c>
      <c r="C731">
        <v>153.7</v>
      </c>
      <c r="E731">
        <v>24.302</v>
      </c>
      <c r="F731">
        <v>-235.7</v>
      </c>
      <c r="G731">
        <v>157.2</v>
      </c>
      <c r="I731">
        <f t="shared" si="33"/>
        <v>24.3</v>
      </c>
      <c r="J731">
        <f t="shared" si="34"/>
        <v>-32.7</v>
      </c>
      <c r="K731">
        <f t="shared" si="35"/>
        <v>-150</v>
      </c>
    </row>
    <row r="732" spans="1:11">
      <c r="A732">
        <v>24.369</v>
      </c>
      <c r="B732">
        <v>-230.9</v>
      </c>
      <c r="C732">
        <v>153.2</v>
      </c>
      <c r="E732">
        <v>24.336</v>
      </c>
      <c r="F732">
        <v>-232.6</v>
      </c>
      <c r="G732">
        <v>153.7</v>
      </c>
      <c r="I732">
        <f t="shared" si="33"/>
        <v>24.3</v>
      </c>
      <c r="J732">
        <f t="shared" si="34"/>
        <v>-29.6</v>
      </c>
      <c r="K732">
        <f t="shared" si="35"/>
        <v>-150</v>
      </c>
    </row>
    <row r="733" spans="1:11">
      <c r="A733">
        <v>24.402</v>
      </c>
      <c r="B733">
        <v>-229.4</v>
      </c>
      <c r="C733">
        <v>151.9</v>
      </c>
      <c r="E733">
        <v>24.369</v>
      </c>
      <c r="F733">
        <v>-230.9</v>
      </c>
      <c r="G733">
        <v>153.2</v>
      </c>
      <c r="I733">
        <f t="shared" si="33"/>
        <v>24.35</v>
      </c>
      <c r="J733">
        <f t="shared" si="34"/>
        <v>-27.9</v>
      </c>
      <c r="K733">
        <f t="shared" si="35"/>
        <v>-150</v>
      </c>
    </row>
    <row r="734" spans="1:11">
      <c r="A734">
        <v>24.436</v>
      </c>
      <c r="B734">
        <v>-228.3</v>
      </c>
      <c r="C734">
        <v>149.5</v>
      </c>
      <c r="E734">
        <v>24.402</v>
      </c>
      <c r="F734">
        <v>-229.4</v>
      </c>
      <c r="G734">
        <v>151.9</v>
      </c>
      <c r="I734">
        <f t="shared" si="33"/>
        <v>24.4</v>
      </c>
      <c r="J734">
        <f t="shared" si="34"/>
        <v>-26.4</v>
      </c>
      <c r="K734">
        <f t="shared" si="35"/>
        <v>-150</v>
      </c>
    </row>
    <row r="735" spans="1:11">
      <c r="A735">
        <v>24.469</v>
      </c>
      <c r="B735">
        <v>-227.3</v>
      </c>
      <c r="C735">
        <v>147.5</v>
      </c>
      <c r="E735">
        <v>24.436</v>
      </c>
      <c r="F735">
        <v>-228.3</v>
      </c>
      <c r="G735">
        <v>149.5</v>
      </c>
      <c r="I735">
        <f t="shared" si="33"/>
        <v>24.4</v>
      </c>
      <c r="J735">
        <f t="shared" si="34"/>
        <v>-25.3</v>
      </c>
      <c r="K735">
        <f t="shared" si="35"/>
        <v>-150</v>
      </c>
    </row>
    <row r="736" spans="1:11">
      <c r="A736">
        <v>24.503</v>
      </c>
      <c r="B736">
        <v>-227.1</v>
      </c>
      <c r="C736">
        <v>146.8</v>
      </c>
      <c r="E736">
        <v>24.469</v>
      </c>
      <c r="F736">
        <v>-227.3</v>
      </c>
      <c r="G736">
        <v>147.5</v>
      </c>
      <c r="I736">
        <f t="shared" si="33"/>
        <v>24.45</v>
      </c>
      <c r="J736">
        <f t="shared" si="34"/>
        <v>-24.3</v>
      </c>
      <c r="K736">
        <f t="shared" si="35"/>
        <v>-150</v>
      </c>
    </row>
    <row r="737" spans="1:11">
      <c r="A737">
        <v>24.536</v>
      </c>
      <c r="B737">
        <v>-227.3</v>
      </c>
      <c r="C737">
        <v>144.5</v>
      </c>
      <c r="E737">
        <v>24.503</v>
      </c>
      <c r="F737">
        <v>-227.1</v>
      </c>
      <c r="G737">
        <v>146.8</v>
      </c>
      <c r="I737">
        <f t="shared" si="33"/>
        <v>24.5</v>
      </c>
      <c r="J737">
        <f t="shared" si="34"/>
        <v>-24.1</v>
      </c>
      <c r="K737">
        <f t="shared" si="35"/>
        <v>-150</v>
      </c>
    </row>
    <row r="738" spans="1:11">
      <c r="A738">
        <v>24.57</v>
      </c>
      <c r="B738">
        <v>-228.3</v>
      </c>
      <c r="C738">
        <v>142.9</v>
      </c>
      <c r="E738">
        <v>24.536</v>
      </c>
      <c r="F738">
        <v>-227.3</v>
      </c>
      <c r="G738">
        <v>144.5</v>
      </c>
      <c r="I738">
        <f t="shared" si="33"/>
        <v>24.5</v>
      </c>
      <c r="J738">
        <f t="shared" si="34"/>
        <v>-24.3</v>
      </c>
      <c r="K738">
        <f t="shared" si="35"/>
        <v>-150</v>
      </c>
    </row>
    <row r="739" spans="1:11">
      <c r="A739">
        <v>24.603</v>
      </c>
      <c r="B739">
        <v>-229.1</v>
      </c>
      <c r="C739">
        <v>140.8</v>
      </c>
      <c r="E739">
        <v>24.57</v>
      </c>
      <c r="F739">
        <v>-228.3</v>
      </c>
      <c r="G739">
        <v>142.9</v>
      </c>
      <c r="I739">
        <f t="shared" si="33"/>
        <v>24.55</v>
      </c>
      <c r="J739">
        <f t="shared" si="34"/>
        <v>-25.3</v>
      </c>
      <c r="K739">
        <f t="shared" si="35"/>
        <v>-150</v>
      </c>
    </row>
    <row r="740" spans="1:11">
      <c r="A740">
        <v>24.636</v>
      </c>
      <c r="B740">
        <v>-231.3</v>
      </c>
      <c r="C740">
        <v>138.1</v>
      </c>
      <c r="E740">
        <v>24.603</v>
      </c>
      <c r="F740">
        <v>-229.1</v>
      </c>
      <c r="G740">
        <v>140.8</v>
      </c>
      <c r="I740">
        <f t="shared" si="33"/>
        <v>24.6</v>
      </c>
      <c r="J740">
        <f t="shared" si="34"/>
        <v>-26.1</v>
      </c>
      <c r="K740">
        <f t="shared" si="35"/>
        <v>-150</v>
      </c>
    </row>
    <row r="741" spans="1:11">
      <c r="A741">
        <v>24.67</v>
      </c>
      <c r="B741">
        <v>-233.2</v>
      </c>
      <c r="C741">
        <v>137.3</v>
      </c>
      <c r="E741">
        <v>24.636</v>
      </c>
      <c r="F741">
        <v>-231.3</v>
      </c>
      <c r="G741">
        <v>138.1</v>
      </c>
      <c r="I741">
        <f t="shared" si="33"/>
        <v>24.6</v>
      </c>
      <c r="J741">
        <f t="shared" si="34"/>
        <v>-28.3</v>
      </c>
      <c r="K741">
        <f t="shared" si="35"/>
        <v>-150</v>
      </c>
    </row>
    <row r="742" spans="1:11">
      <c r="A742">
        <v>24.703</v>
      </c>
      <c r="B742">
        <v>-236.3</v>
      </c>
      <c r="C742">
        <v>135.8</v>
      </c>
      <c r="E742">
        <v>24.67</v>
      </c>
      <c r="F742">
        <v>-233.2</v>
      </c>
      <c r="G742">
        <v>137.3</v>
      </c>
      <c r="I742">
        <f t="shared" si="33"/>
        <v>24.65</v>
      </c>
      <c r="J742">
        <f t="shared" si="34"/>
        <v>-30.2</v>
      </c>
      <c r="K742">
        <f t="shared" si="35"/>
        <v>-150</v>
      </c>
    </row>
    <row r="743" spans="1:11">
      <c r="A743">
        <v>24.737</v>
      </c>
      <c r="B743">
        <v>-239.3</v>
      </c>
      <c r="C743">
        <v>132.6</v>
      </c>
      <c r="E743">
        <v>24.703</v>
      </c>
      <c r="F743">
        <v>-236.3</v>
      </c>
      <c r="G743">
        <v>135.8</v>
      </c>
      <c r="I743">
        <f t="shared" si="33"/>
        <v>24.7</v>
      </c>
      <c r="J743">
        <f t="shared" si="34"/>
        <v>-33.3</v>
      </c>
      <c r="K743">
        <f t="shared" si="35"/>
        <v>-150</v>
      </c>
    </row>
    <row r="744" spans="1:11">
      <c r="A744">
        <v>24.77</v>
      </c>
      <c r="B744">
        <v>-242.2</v>
      </c>
      <c r="C744">
        <v>131.4</v>
      </c>
      <c r="E744">
        <v>24.737</v>
      </c>
      <c r="F744">
        <v>-239.3</v>
      </c>
      <c r="G744">
        <v>132.6</v>
      </c>
      <c r="I744">
        <f t="shared" si="33"/>
        <v>24.7</v>
      </c>
      <c r="J744">
        <f t="shared" si="34"/>
        <v>-36.3</v>
      </c>
      <c r="K744">
        <f t="shared" si="35"/>
        <v>-150</v>
      </c>
    </row>
    <row r="745" spans="1:11">
      <c r="A745">
        <v>24.804</v>
      </c>
      <c r="B745">
        <v>-245.5</v>
      </c>
      <c r="C745">
        <v>129.4</v>
      </c>
      <c r="E745">
        <v>24.77</v>
      </c>
      <c r="F745">
        <v>-242.2</v>
      </c>
      <c r="G745">
        <v>131.4</v>
      </c>
      <c r="I745">
        <f t="shared" si="33"/>
        <v>24.75</v>
      </c>
      <c r="J745">
        <f t="shared" si="34"/>
        <v>-39.2</v>
      </c>
      <c r="K745">
        <f t="shared" si="35"/>
        <v>-150</v>
      </c>
    </row>
    <row r="746" spans="1:11">
      <c r="A746">
        <v>24.837</v>
      </c>
      <c r="B746">
        <v>-249.8</v>
      </c>
      <c r="C746">
        <v>212.7</v>
      </c>
      <c r="E746">
        <v>24.804</v>
      </c>
      <c r="F746">
        <v>-245.5</v>
      </c>
      <c r="G746">
        <v>129.4</v>
      </c>
      <c r="I746">
        <f t="shared" si="33"/>
        <v>24.8</v>
      </c>
      <c r="J746">
        <f t="shared" si="34"/>
        <v>-42.5</v>
      </c>
      <c r="K746">
        <f t="shared" si="35"/>
        <v>-150</v>
      </c>
    </row>
    <row r="747" spans="1:11">
      <c r="A747">
        <v>24.87</v>
      </c>
      <c r="B747">
        <v>-254.1</v>
      </c>
      <c r="C747">
        <v>238.2</v>
      </c>
      <c r="E747">
        <v>24.837</v>
      </c>
      <c r="F747">
        <v>-249.8</v>
      </c>
      <c r="G747">
        <v>212.7</v>
      </c>
      <c r="I747">
        <f t="shared" si="33"/>
        <v>24.8</v>
      </c>
      <c r="J747">
        <f t="shared" si="34"/>
        <v>-46.8</v>
      </c>
      <c r="K747">
        <f t="shared" si="35"/>
        <v>-150</v>
      </c>
    </row>
    <row r="748" spans="1:11">
      <c r="A748">
        <v>24.904</v>
      </c>
      <c r="B748">
        <v>-258.7</v>
      </c>
      <c r="C748">
        <v>238.2</v>
      </c>
      <c r="E748">
        <v>24.87</v>
      </c>
      <c r="F748">
        <v>-254.1</v>
      </c>
      <c r="G748">
        <v>238.2</v>
      </c>
      <c r="I748">
        <f t="shared" si="33"/>
        <v>24.85</v>
      </c>
      <c r="J748">
        <f t="shared" si="34"/>
        <v>-51.1</v>
      </c>
      <c r="K748">
        <f t="shared" si="35"/>
        <v>100</v>
      </c>
    </row>
    <row r="749" spans="1:11">
      <c r="A749">
        <v>24.937</v>
      </c>
      <c r="B749">
        <v>-262.9</v>
      </c>
      <c r="C749">
        <v>238.2</v>
      </c>
      <c r="E749">
        <v>24.904</v>
      </c>
      <c r="F749">
        <v>-258.7</v>
      </c>
      <c r="G749">
        <v>238.2</v>
      </c>
      <c r="I749">
        <f t="shared" si="33"/>
        <v>24.9</v>
      </c>
      <c r="J749">
        <f t="shared" si="34"/>
        <v>-55.7</v>
      </c>
      <c r="K749">
        <f t="shared" si="35"/>
        <v>100</v>
      </c>
    </row>
    <row r="750" spans="1:11">
      <c r="A750">
        <v>24.971</v>
      </c>
      <c r="B750">
        <v>-268.1</v>
      </c>
      <c r="C750">
        <v>238.2</v>
      </c>
      <c r="E750">
        <v>24.937</v>
      </c>
      <c r="F750">
        <v>-262.9</v>
      </c>
      <c r="G750">
        <v>238.2</v>
      </c>
      <c r="I750">
        <f t="shared" si="33"/>
        <v>24.9</v>
      </c>
      <c r="J750">
        <f t="shared" si="34"/>
        <v>-59.9</v>
      </c>
      <c r="K750">
        <f t="shared" si="35"/>
        <v>100</v>
      </c>
    </row>
    <row r="751" spans="1:11">
      <c r="A751">
        <v>25.004</v>
      </c>
      <c r="B751">
        <v>-273.5</v>
      </c>
      <c r="C751">
        <v>238.2</v>
      </c>
      <c r="E751">
        <v>24.971</v>
      </c>
      <c r="F751">
        <v>-268.1</v>
      </c>
      <c r="G751">
        <v>238.2</v>
      </c>
      <c r="I751">
        <f t="shared" si="33"/>
        <v>24.95</v>
      </c>
      <c r="J751">
        <f t="shared" si="34"/>
        <v>-65.1</v>
      </c>
      <c r="K751">
        <f t="shared" si="35"/>
        <v>100</v>
      </c>
    </row>
    <row r="752" spans="1:11">
      <c r="A752">
        <v>25.038</v>
      </c>
      <c r="B752">
        <v>-276.8</v>
      </c>
      <c r="C752">
        <v>238.2</v>
      </c>
      <c r="E752">
        <v>25.004</v>
      </c>
      <c r="F752">
        <v>-273.5</v>
      </c>
      <c r="G752">
        <v>238.2</v>
      </c>
      <c r="I752">
        <f t="shared" si="33"/>
        <v>25</v>
      </c>
      <c r="J752">
        <f t="shared" si="34"/>
        <v>-70.5</v>
      </c>
      <c r="K752">
        <f t="shared" si="35"/>
        <v>100</v>
      </c>
    </row>
    <row r="753" spans="1:11">
      <c r="A753">
        <v>25.071</v>
      </c>
      <c r="B753">
        <v>-282</v>
      </c>
      <c r="C753">
        <v>238.2</v>
      </c>
      <c r="E753">
        <v>25.038</v>
      </c>
      <c r="F753">
        <v>-276.8</v>
      </c>
      <c r="G753">
        <v>238.2</v>
      </c>
      <c r="I753">
        <f t="shared" si="33"/>
        <v>25</v>
      </c>
      <c r="J753">
        <f t="shared" si="34"/>
        <v>-73.8</v>
      </c>
      <c r="K753">
        <f t="shared" si="35"/>
        <v>100</v>
      </c>
    </row>
    <row r="754" spans="1:11">
      <c r="A754">
        <v>25.104</v>
      </c>
      <c r="B754">
        <v>-286.5</v>
      </c>
      <c r="C754">
        <v>238.2</v>
      </c>
      <c r="E754">
        <v>25.071</v>
      </c>
      <c r="F754">
        <v>-282</v>
      </c>
      <c r="G754">
        <v>238.2</v>
      </c>
      <c r="I754">
        <f t="shared" si="33"/>
        <v>25.05</v>
      </c>
      <c r="J754">
        <f t="shared" si="34"/>
        <v>-79</v>
      </c>
      <c r="K754">
        <f t="shared" si="35"/>
        <v>100</v>
      </c>
    </row>
    <row r="755" spans="1:11">
      <c r="A755">
        <v>25.138</v>
      </c>
      <c r="B755">
        <v>-290.3</v>
      </c>
      <c r="C755">
        <v>238.2</v>
      </c>
      <c r="E755">
        <v>25.104</v>
      </c>
      <c r="F755">
        <v>-286.5</v>
      </c>
      <c r="G755">
        <v>238.2</v>
      </c>
      <c r="I755">
        <f t="shared" si="33"/>
        <v>25.1</v>
      </c>
      <c r="J755">
        <f t="shared" si="34"/>
        <v>-83.5</v>
      </c>
      <c r="K755">
        <f t="shared" si="35"/>
        <v>100</v>
      </c>
    </row>
    <row r="756" spans="1:11">
      <c r="A756">
        <v>25.171</v>
      </c>
      <c r="B756">
        <v>-294.1</v>
      </c>
      <c r="C756">
        <v>238.2</v>
      </c>
      <c r="E756">
        <v>25.138</v>
      </c>
      <c r="F756">
        <v>-290.3</v>
      </c>
      <c r="G756">
        <v>238.2</v>
      </c>
      <c r="I756">
        <f t="shared" si="33"/>
        <v>25.1</v>
      </c>
      <c r="J756">
        <f t="shared" si="34"/>
        <v>-87.3</v>
      </c>
      <c r="K756">
        <f t="shared" si="35"/>
        <v>100</v>
      </c>
    </row>
    <row r="757" spans="1:11">
      <c r="A757">
        <v>25.205</v>
      </c>
      <c r="B757">
        <v>-297.8</v>
      </c>
      <c r="C757">
        <v>238.2</v>
      </c>
      <c r="E757">
        <v>25.171</v>
      </c>
      <c r="F757">
        <v>-294.1</v>
      </c>
      <c r="G757">
        <v>238.2</v>
      </c>
      <c r="I757">
        <f t="shared" si="33"/>
        <v>25.15</v>
      </c>
      <c r="J757">
        <f t="shared" si="34"/>
        <v>-91.1</v>
      </c>
      <c r="K757">
        <f t="shared" si="35"/>
        <v>100</v>
      </c>
    </row>
    <row r="758" spans="1:11">
      <c r="A758">
        <v>25.238</v>
      </c>
      <c r="B758">
        <v>-300.9</v>
      </c>
      <c r="C758">
        <v>238.2</v>
      </c>
      <c r="E758">
        <v>25.205</v>
      </c>
      <c r="F758">
        <v>-297.8</v>
      </c>
      <c r="G758">
        <v>238.2</v>
      </c>
      <c r="I758">
        <f t="shared" si="33"/>
        <v>25.2</v>
      </c>
      <c r="J758">
        <f t="shared" si="34"/>
        <v>-94.8</v>
      </c>
      <c r="K758">
        <f t="shared" si="35"/>
        <v>100</v>
      </c>
    </row>
    <row r="759" spans="1:11">
      <c r="A759">
        <v>25.272</v>
      </c>
      <c r="B759">
        <v>-303.4</v>
      </c>
      <c r="C759">
        <v>238.2</v>
      </c>
      <c r="E759">
        <v>25.238</v>
      </c>
      <c r="F759">
        <v>-300.9</v>
      </c>
      <c r="G759">
        <v>238.2</v>
      </c>
      <c r="I759">
        <f t="shared" si="33"/>
        <v>25.2</v>
      </c>
      <c r="J759">
        <f t="shared" si="34"/>
        <v>-97.9</v>
      </c>
      <c r="K759">
        <f t="shared" si="35"/>
        <v>100</v>
      </c>
    </row>
    <row r="760" spans="1:11">
      <c r="A760">
        <v>25.305</v>
      </c>
      <c r="B760">
        <v>-305.9</v>
      </c>
      <c r="C760">
        <v>238.2</v>
      </c>
      <c r="E760">
        <v>25.272</v>
      </c>
      <c r="F760">
        <v>-303.4</v>
      </c>
      <c r="G760">
        <v>238.2</v>
      </c>
      <c r="I760">
        <f t="shared" si="33"/>
        <v>25.25</v>
      </c>
      <c r="J760">
        <f t="shared" si="34"/>
        <v>-100.4</v>
      </c>
      <c r="K760">
        <f t="shared" si="35"/>
        <v>100</v>
      </c>
    </row>
    <row r="761" spans="1:11">
      <c r="A761">
        <v>25.338</v>
      </c>
      <c r="B761">
        <v>-307.6</v>
      </c>
      <c r="C761">
        <v>238.2</v>
      </c>
      <c r="E761">
        <v>25.305</v>
      </c>
      <c r="F761">
        <v>-305.9</v>
      </c>
      <c r="G761">
        <v>238.2</v>
      </c>
      <c r="I761">
        <f t="shared" si="33"/>
        <v>25.3</v>
      </c>
      <c r="J761">
        <f t="shared" si="34"/>
        <v>-102.9</v>
      </c>
      <c r="K761">
        <f t="shared" si="35"/>
        <v>100</v>
      </c>
    </row>
    <row r="762" spans="1:11">
      <c r="A762">
        <v>25.372</v>
      </c>
      <c r="B762">
        <v>-309.2</v>
      </c>
      <c r="C762">
        <v>238.2</v>
      </c>
      <c r="E762">
        <v>25.338</v>
      </c>
      <c r="F762">
        <v>-307.6</v>
      </c>
      <c r="G762">
        <v>238.2</v>
      </c>
      <c r="I762">
        <f t="shared" si="33"/>
        <v>25.3</v>
      </c>
      <c r="J762">
        <f t="shared" si="34"/>
        <v>-104.6</v>
      </c>
      <c r="K762">
        <f t="shared" si="35"/>
        <v>100</v>
      </c>
    </row>
    <row r="763" spans="1:11">
      <c r="A763">
        <v>25.405</v>
      </c>
      <c r="B763">
        <v>-310.3</v>
      </c>
      <c r="C763">
        <v>238.2</v>
      </c>
      <c r="E763">
        <v>25.372</v>
      </c>
      <c r="F763">
        <v>-309.2</v>
      </c>
      <c r="G763">
        <v>238.2</v>
      </c>
      <c r="I763">
        <f t="shared" si="33"/>
        <v>25.35</v>
      </c>
      <c r="J763">
        <f t="shared" si="34"/>
        <v>-106.2</v>
      </c>
      <c r="K763">
        <f t="shared" si="35"/>
        <v>100</v>
      </c>
    </row>
    <row r="764" spans="1:11">
      <c r="A764">
        <v>25.439</v>
      </c>
      <c r="B764">
        <v>-310.5</v>
      </c>
      <c r="C764">
        <v>238.2</v>
      </c>
      <c r="E764">
        <v>25.405</v>
      </c>
      <c r="F764">
        <v>-310.3</v>
      </c>
      <c r="G764">
        <v>238.2</v>
      </c>
      <c r="I764">
        <f t="shared" si="33"/>
        <v>25.4</v>
      </c>
      <c r="J764">
        <f t="shared" si="34"/>
        <v>-107.3</v>
      </c>
      <c r="K764">
        <f t="shared" si="35"/>
        <v>100</v>
      </c>
    </row>
    <row r="765" spans="1:11">
      <c r="A765">
        <v>25.472</v>
      </c>
      <c r="B765">
        <v>-310.2</v>
      </c>
      <c r="C765">
        <v>238.2</v>
      </c>
      <c r="E765">
        <v>25.439</v>
      </c>
      <c r="F765">
        <v>-310.5</v>
      </c>
      <c r="G765">
        <v>238.2</v>
      </c>
      <c r="I765">
        <f t="shared" si="33"/>
        <v>25.4</v>
      </c>
      <c r="J765">
        <f t="shared" si="34"/>
        <v>-107.5</v>
      </c>
      <c r="K765">
        <f t="shared" si="35"/>
        <v>100</v>
      </c>
    </row>
    <row r="766" spans="1:11">
      <c r="A766">
        <v>25.506</v>
      </c>
      <c r="B766">
        <v>-309.6</v>
      </c>
      <c r="C766">
        <v>238.2</v>
      </c>
      <c r="E766">
        <v>25.472</v>
      </c>
      <c r="F766">
        <v>-310.2</v>
      </c>
      <c r="G766">
        <v>238.2</v>
      </c>
      <c r="I766">
        <f t="shared" si="33"/>
        <v>25.45</v>
      </c>
      <c r="J766">
        <f t="shared" si="34"/>
        <v>-107.2</v>
      </c>
      <c r="K766">
        <f t="shared" si="35"/>
        <v>100</v>
      </c>
    </row>
    <row r="767" spans="1:11">
      <c r="A767">
        <v>25.539</v>
      </c>
      <c r="B767">
        <v>-308.1</v>
      </c>
      <c r="C767">
        <v>238.2</v>
      </c>
      <c r="E767">
        <v>25.506</v>
      </c>
      <c r="F767">
        <v>-309.6</v>
      </c>
      <c r="G767">
        <v>238.2</v>
      </c>
      <c r="I767">
        <f t="shared" si="33"/>
        <v>25.5</v>
      </c>
      <c r="J767">
        <f t="shared" si="34"/>
        <v>-106.6</v>
      </c>
      <c r="K767">
        <f t="shared" si="35"/>
        <v>100</v>
      </c>
    </row>
    <row r="768" spans="1:11">
      <c r="A768">
        <v>25.572</v>
      </c>
      <c r="B768">
        <v>-306.4</v>
      </c>
      <c r="C768">
        <v>238.2</v>
      </c>
      <c r="E768">
        <v>25.539</v>
      </c>
      <c r="F768">
        <v>-308.1</v>
      </c>
      <c r="G768">
        <v>238.2</v>
      </c>
      <c r="I768">
        <f t="shared" si="33"/>
        <v>25.5</v>
      </c>
      <c r="J768">
        <f t="shared" si="34"/>
        <v>-105.1</v>
      </c>
      <c r="K768">
        <f t="shared" si="35"/>
        <v>100</v>
      </c>
    </row>
    <row r="769" spans="1:11">
      <c r="A769">
        <v>25.606</v>
      </c>
      <c r="B769">
        <v>-303.9</v>
      </c>
      <c r="C769">
        <v>231.5</v>
      </c>
      <c r="E769">
        <v>25.572</v>
      </c>
      <c r="F769">
        <v>-306.4</v>
      </c>
      <c r="G769">
        <v>238.2</v>
      </c>
      <c r="I769">
        <f t="shared" si="33"/>
        <v>25.55</v>
      </c>
      <c r="J769">
        <f t="shared" si="34"/>
        <v>-103.4</v>
      </c>
      <c r="K769">
        <f t="shared" si="35"/>
        <v>100</v>
      </c>
    </row>
    <row r="770" spans="1:11">
      <c r="A770">
        <v>25.639</v>
      </c>
      <c r="B770">
        <v>-301.3</v>
      </c>
      <c r="C770">
        <v>151</v>
      </c>
      <c r="E770">
        <v>25.606</v>
      </c>
      <c r="F770">
        <v>-303.9</v>
      </c>
      <c r="G770">
        <v>231.5</v>
      </c>
      <c r="I770">
        <f t="shared" si="33"/>
        <v>25.6</v>
      </c>
      <c r="J770">
        <f t="shared" si="34"/>
        <v>-100.9</v>
      </c>
      <c r="K770">
        <f t="shared" si="35"/>
        <v>100</v>
      </c>
    </row>
    <row r="771" spans="1:11">
      <c r="A771">
        <v>25.673</v>
      </c>
      <c r="B771">
        <v>-297.8</v>
      </c>
      <c r="C771">
        <v>161.7</v>
      </c>
      <c r="E771">
        <v>25.639</v>
      </c>
      <c r="F771">
        <v>-301.3</v>
      </c>
      <c r="G771">
        <v>151</v>
      </c>
      <c r="I771">
        <f t="shared" si="33"/>
        <v>25.6</v>
      </c>
      <c r="J771">
        <f t="shared" si="34"/>
        <v>-98.3</v>
      </c>
      <c r="K771">
        <f t="shared" si="35"/>
        <v>-150</v>
      </c>
    </row>
    <row r="772" spans="1:11">
      <c r="A772">
        <v>25.706</v>
      </c>
      <c r="B772">
        <v>-294.1</v>
      </c>
      <c r="C772">
        <v>160.7</v>
      </c>
      <c r="E772">
        <v>25.673</v>
      </c>
      <c r="F772">
        <v>-297.8</v>
      </c>
      <c r="G772">
        <v>161.7</v>
      </c>
      <c r="I772">
        <f t="shared" ref="I772:I835" si="36">FLOOR(E772,0.05)</f>
        <v>25.65</v>
      </c>
      <c r="J772">
        <f t="shared" ref="J772:J835" si="37">F772+203</f>
        <v>-94.8</v>
      </c>
      <c r="K772">
        <f t="shared" si="35"/>
        <v>-150</v>
      </c>
    </row>
    <row r="773" spans="1:11">
      <c r="A773">
        <v>25.74</v>
      </c>
      <c r="B773">
        <v>-289.8</v>
      </c>
      <c r="C773">
        <v>159.6</v>
      </c>
      <c r="E773">
        <v>25.706</v>
      </c>
      <c r="F773">
        <v>-294.1</v>
      </c>
      <c r="G773">
        <v>160.7</v>
      </c>
      <c r="I773">
        <f t="shared" si="36"/>
        <v>25.7</v>
      </c>
      <c r="J773">
        <f t="shared" si="37"/>
        <v>-91.1</v>
      </c>
      <c r="K773">
        <f t="shared" ref="K773:K836" si="38">IF(G773&lt;230,-150,100)</f>
        <v>-150</v>
      </c>
    </row>
    <row r="774" spans="1:11">
      <c r="A774">
        <v>25.773</v>
      </c>
      <c r="B774">
        <v>-286</v>
      </c>
      <c r="C774">
        <v>157.2</v>
      </c>
      <c r="E774">
        <v>25.74</v>
      </c>
      <c r="F774">
        <v>-289.8</v>
      </c>
      <c r="G774">
        <v>159.6</v>
      </c>
      <c r="I774">
        <f t="shared" si="36"/>
        <v>25.7</v>
      </c>
      <c r="J774">
        <f t="shared" si="37"/>
        <v>-86.8</v>
      </c>
      <c r="K774">
        <f t="shared" si="38"/>
        <v>-150</v>
      </c>
    </row>
    <row r="775" spans="1:11">
      <c r="A775">
        <v>25.806</v>
      </c>
      <c r="B775">
        <v>-281.8</v>
      </c>
      <c r="C775">
        <v>156</v>
      </c>
      <c r="E775">
        <v>25.773</v>
      </c>
      <c r="F775">
        <v>-286</v>
      </c>
      <c r="G775">
        <v>157.2</v>
      </c>
      <c r="I775">
        <f t="shared" si="36"/>
        <v>25.75</v>
      </c>
      <c r="J775">
        <f t="shared" si="37"/>
        <v>-83</v>
      </c>
      <c r="K775">
        <f t="shared" si="38"/>
        <v>-150</v>
      </c>
    </row>
    <row r="776" spans="1:11">
      <c r="A776">
        <v>25.84</v>
      </c>
      <c r="B776">
        <v>-275.8</v>
      </c>
      <c r="C776">
        <v>153.5</v>
      </c>
      <c r="E776">
        <v>25.806</v>
      </c>
      <c r="F776">
        <v>-281.8</v>
      </c>
      <c r="G776">
        <v>156</v>
      </c>
      <c r="I776">
        <f t="shared" si="36"/>
        <v>25.8</v>
      </c>
      <c r="J776">
        <f t="shared" si="37"/>
        <v>-78.8</v>
      </c>
      <c r="K776">
        <f t="shared" si="38"/>
        <v>-150</v>
      </c>
    </row>
    <row r="777" spans="1:11">
      <c r="A777">
        <v>25.873</v>
      </c>
      <c r="B777">
        <v>-271.1</v>
      </c>
      <c r="C777">
        <v>152.9</v>
      </c>
      <c r="E777">
        <v>25.84</v>
      </c>
      <c r="F777">
        <v>-275.8</v>
      </c>
      <c r="G777">
        <v>153.5</v>
      </c>
      <c r="I777">
        <f t="shared" si="36"/>
        <v>25.8</v>
      </c>
      <c r="J777">
        <f t="shared" si="37"/>
        <v>-72.8</v>
      </c>
      <c r="K777">
        <f t="shared" si="38"/>
        <v>-150</v>
      </c>
    </row>
    <row r="778" spans="1:11">
      <c r="A778">
        <v>25.907</v>
      </c>
      <c r="B778">
        <v>-266</v>
      </c>
      <c r="C778">
        <v>150.2</v>
      </c>
      <c r="E778">
        <v>25.873</v>
      </c>
      <c r="F778">
        <v>-271.1</v>
      </c>
      <c r="G778">
        <v>152.9</v>
      </c>
      <c r="I778">
        <f t="shared" si="36"/>
        <v>25.85</v>
      </c>
      <c r="J778">
        <f t="shared" si="37"/>
        <v>-68.1</v>
      </c>
      <c r="K778">
        <f t="shared" si="38"/>
        <v>-150</v>
      </c>
    </row>
    <row r="779" spans="1:11">
      <c r="A779">
        <v>25.94</v>
      </c>
      <c r="B779">
        <v>-260.5</v>
      </c>
      <c r="C779">
        <v>149.4</v>
      </c>
      <c r="E779">
        <v>25.907</v>
      </c>
      <c r="F779">
        <v>-266</v>
      </c>
      <c r="G779">
        <v>150.2</v>
      </c>
      <c r="I779">
        <f t="shared" si="36"/>
        <v>25.9</v>
      </c>
      <c r="J779">
        <f t="shared" si="37"/>
        <v>-63</v>
      </c>
      <c r="K779">
        <f t="shared" si="38"/>
        <v>-150</v>
      </c>
    </row>
    <row r="780" spans="1:11">
      <c r="A780">
        <v>25.974</v>
      </c>
      <c r="B780">
        <v>-256</v>
      </c>
      <c r="C780">
        <v>147.8</v>
      </c>
      <c r="E780">
        <v>25.94</v>
      </c>
      <c r="F780">
        <v>-260.5</v>
      </c>
      <c r="G780">
        <v>149.4</v>
      </c>
      <c r="I780">
        <f t="shared" si="36"/>
        <v>25.9</v>
      </c>
      <c r="J780">
        <f t="shared" si="37"/>
        <v>-57.5</v>
      </c>
      <c r="K780">
        <f t="shared" si="38"/>
        <v>-150</v>
      </c>
    </row>
    <row r="781" spans="1:11">
      <c r="A781">
        <v>26.007</v>
      </c>
      <c r="B781">
        <v>-250.8</v>
      </c>
      <c r="C781">
        <v>145.7</v>
      </c>
      <c r="E781">
        <v>25.974</v>
      </c>
      <c r="F781">
        <v>-256</v>
      </c>
      <c r="G781">
        <v>147.8</v>
      </c>
      <c r="I781">
        <f t="shared" si="36"/>
        <v>25.95</v>
      </c>
      <c r="J781">
        <f t="shared" si="37"/>
        <v>-53</v>
      </c>
      <c r="K781">
        <f t="shared" si="38"/>
        <v>-150</v>
      </c>
    </row>
    <row r="782" spans="1:11">
      <c r="A782">
        <v>26.04</v>
      </c>
      <c r="B782">
        <v>-246.1</v>
      </c>
      <c r="C782">
        <v>144.2</v>
      </c>
      <c r="E782">
        <v>26.007</v>
      </c>
      <c r="F782">
        <v>-250.8</v>
      </c>
      <c r="G782">
        <v>145.7</v>
      </c>
      <c r="I782">
        <f t="shared" si="36"/>
        <v>26</v>
      </c>
      <c r="J782">
        <f t="shared" si="37"/>
        <v>-47.8</v>
      </c>
      <c r="K782">
        <f t="shared" si="38"/>
        <v>-150</v>
      </c>
    </row>
    <row r="783" spans="1:11">
      <c r="A783">
        <v>26.074</v>
      </c>
      <c r="B783">
        <v>-242</v>
      </c>
      <c r="C783">
        <v>141.8</v>
      </c>
      <c r="E783">
        <v>26.04</v>
      </c>
      <c r="F783">
        <v>-246.1</v>
      </c>
      <c r="G783">
        <v>144.2</v>
      </c>
      <c r="I783">
        <f t="shared" si="36"/>
        <v>26</v>
      </c>
      <c r="J783">
        <f t="shared" si="37"/>
        <v>-43.1</v>
      </c>
      <c r="K783">
        <f t="shared" si="38"/>
        <v>-150</v>
      </c>
    </row>
    <row r="784" spans="1:11">
      <c r="A784">
        <v>26.107</v>
      </c>
      <c r="B784">
        <v>-238.3</v>
      </c>
      <c r="C784">
        <v>140.6</v>
      </c>
      <c r="E784">
        <v>26.074</v>
      </c>
      <c r="F784">
        <v>-242</v>
      </c>
      <c r="G784">
        <v>141.8</v>
      </c>
      <c r="I784">
        <f t="shared" si="36"/>
        <v>26.05</v>
      </c>
      <c r="J784">
        <f t="shared" si="37"/>
        <v>-39</v>
      </c>
      <c r="K784">
        <f t="shared" si="38"/>
        <v>-150</v>
      </c>
    </row>
    <row r="785" spans="1:11">
      <c r="A785">
        <v>26.141</v>
      </c>
      <c r="B785">
        <v>-234.8</v>
      </c>
      <c r="C785">
        <v>138.2</v>
      </c>
      <c r="E785">
        <v>26.107</v>
      </c>
      <c r="F785">
        <v>-238.3</v>
      </c>
      <c r="G785">
        <v>140.6</v>
      </c>
      <c r="I785">
        <f t="shared" si="36"/>
        <v>26.1</v>
      </c>
      <c r="J785">
        <f t="shared" si="37"/>
        <v>-35.3</v>
      </c>
      <c r="K785">
        <f t="shared" si="38"/>
        <v>-150</v>
      </c>
    </row>
    <row r="786" spans="1:11">
      <c r="A786">
        <v>26.174</v>
      </c>
      <c r="B786">
        <v>-231.7</v>
      </c>
      <c r="C786">
        <v>136.4</v>
      </c>
      <c r="E786">
        <v>26.141</v>
      </c>
      <c r="F786">
        <v>-234.8</v>
      </c>
      <c r="G786">
        <v>138.2</v>
      </c>
      <c r="I786">
        <f t="shared" si="36"/>
        <v>26.1</v>
      </c>
      <c r="J786">
        <f t="shared" si="37"/>
        <v>-31.8</v>
      </c>
      <c r="K786">
        <f t="shared" si="38"/>
        <v>-150</v>
      </c>
    </row>
    <row r="787" spans="1:11">
      <c r="A787">
        <v>26.208</v>
      </c>
      <c r="B787">
        <v>-229.2</v>
      </c>
      <c r="C787">
        <v>135.1</v>
      </c>
      <c r="E787">
        <v>26.174</v>
      </c>
      <c r="F787">
        <v>-231.7</v>
      </c>
      <c r="G787">
        <v>136.4</v>
      </c>
      <c r="I787">
        <f t="shared" si="36"/>
        <v>26.15</v>
      </c>
      <c r="J787">
        <f t="shared" si="37"/>
        <v>-28.7</v>
      </c>
      <c r="K787">
        <f t="shared" si="38"/>
        <v>-150</v>
      </c>
    </row>
    <row r="788" spans="1:11">
      <c r="A788">
        <v>26.241</v>
      </c>
      <c r="B788">
        <v>-226.8</v>
      </c>
      <c r="C788">
        <v>132.5</v>
      </c>
      <c r="E788">
        <v>26.208</v>
      </c>
      <c r="F788">
        <v>-229.2</v>
      </c>
      <c r="G788">
        <v>135.1</v>
      </c>
      <c r="I788">
        <f t="shared" si="36"/>
        <v>26.2</v>
      </c>
      <c r="J788">
        <f t="shared" si="37"/>
        <v>-26.2</v>
      </c>
      <c r="K788">
        <f t="shared" si="38"/>
        <v>-150</v>
      </c>
    </row>
    <row r="789" spans="1:11">
      <c r="A789">
        <v>26.274</v>
      </c>
      <c r="B789">
        <v>-225.6</v>
      </c>
      <c r="C789">
        <v>131</v>
      </c>
      <c r="E789">
        <v>26.241</v>
      </c>
      <c r="F789">
        <v>-226.8</v>
      </c>
      <c r="G789">
        <v>132.5</v>
      </c>
      <c r="I789">
        <f t="shared" si="36"/>
        <v>26.2</v>
      </c>
      <c r="J789">
        <f t="shared" si="37"/>
        <v>-23.8</v>
      </c>
      <c r="K789">
        <f t="shared" si="38"/>
        <v>-150</v>
      </c>
    </row>
    <row r="790" spans="1:11">
      <c r="A790">
        <v>26.308</v>
      </c>
      <c r="B790">
        <v>-224.8</v>
      </c>
      <c r="C790">
        <v>129.4</v>
      </c>
      <c r="E790">
        <v>26.274</v>
      </c>
      <c r="F790">
        <v>-225.6</v>
      </c>
      <c r="G790">
        <v>131</v>
      </c>
      <c r="I790">
        <f t="shared" si="36"/>
        <v>26.25</v>
      </c>
      <c r="J790">
        <f t="shared" si="37"/>
        <v>-22.6</v>
      </c>
      <c r="K790">
        <f t="shared" si="38"/>
        <v>-150</v>
      </c>
    </row>
    <row r="791" spans="1:11">
      <c r="A791">
        <v>26.341</v>
      </c>
      <c r="B791">
        <v>-223.7</v>
      </c>
      <c r="C791">
        <v>225.2</v>
      </c>
      <c r="E791">
        <v>26.308</v>
      </c>
      <c r="F791">
        <v>-224.8</v>
      </c>
      <c r="G791">
        <v>129.4</v>
      </c>
      <c r="I791">
        <f t="shared" si="36"/>
        <v>26.3</v>
      </c>
      <c r="J791">
        <f t="shared" si="37"/>
        <v>-21.8</v>
      </c>
      <c r="K791">
        <f t="shared" si="38"/>
        <v>-150</v>
      </c>
    </row>
    <row r="792" spans="1:11">
      <c r="A792">
        <v>26.375</v>
      </c>
      <c r="B792">
        <v>-223.6</v>
      </c>
      <c r="C792">
        <v>238.3</v>
      </c>
      <c r="E792">
        <v>26.341</v>
      </c>
      <c r="F792">
        <v>-223.7</v>
      </c>
      <c r="G792">
        <v>225.2</v>
      </c>
      <c r="I792">
        <f t="shared" si="36"/>
        <v>26.3</v>
      </c>
      <c r="J792">
        <f t="shared" si="37"/>
        <v>-20.7</v>
      </c>
      <c r="K792">
        <f t="shared" si="38"/>
        <v>-150</v>
      </c>
    </row>
    <row r="793" spans="1:11">
      <c r="A793">
        <v>26.408</v>
      </c>
      <c r="B793">
        <v>-224</v>
      </c>
      <c r="C793">
        <v>238.3</v>
      </c>
      <c r="E793">
        <v>26.375</v>
      </c>
      <c r="F793">
        <v>-223.6</v>
      </c>
      <c r="G793">
        <v>238.3</v>
      </c>
      <c r="I793">
        <f t="shared" si="36"/>
        <v>26.35</v>
      </c>
      <c r="J793">
        <f t="shared" si="37"/>
        <v>-20.6</v>
      </c>
      <c r="K793">
        <f t="shared" si="38"/>
        <v>100</v>
      </c>
    </row>
    <row r="794" spans="1:11">
      <c r="A794">
        <v>26.442</v>
      </c>
      <c r="B794">
        <v>-225</v>
      </c>
      <c r="C794">
        <v>238.3</v>
      </c>
      <c r="E794">
        <v>26.408</v>
      </c>
      <c r="F794">
        <v>-224</v>
      </c>
      <c r="G794">
        <v>238.3</v>
      </c>
      <c r="I794">
        <f t="shared" si="36"/>
        <v>26.4</v>
      </c>
      <c r="J794">
        <f t="shared" si="37"/>
        <v>-21</v>
      </c>
      <c r="K794">
        <f t="shared" si="38"/>
        <v>100</v>
      </c>
    </row>
    <row r="795" spans="1:11">
      <c r="A795">
        <v>26.475</v>
      </c>
      <c r="B795">
        <v>-226</v>
      </c>
      <c r="C795">
        <v>238.3</v>
      </c>
      <c r="E795">
        <v>26.442</v>
      </c>
      <c r="F795">
        <v>-225</v>
      </c>
      <c r="G795">
        <v>238.3</v>
      </c>
      <c r="I795">
        <f t="shared" si="36"/>
        <v>26.4</v>
      </c>
      <c r="J795">
        <f t="shared" si="37"/>
        <v>-22</v>
      </c>
      <c r="K795">
        <f t="shared" si="38"/>
        <v>100</v>
      </c>
    </row>
    <row r="796" spans="1:11">
      <c r="A796">
        <v>26.508</v>
      </c>
      <c r="B796">
        <v>-227.7</v>
      </c>
      <c r="C796">
        <v>238.3</v>
      </c>
      <c r="E796">
        <v>26.475</v>
      </c>
      <c r="F796">
        <v>-226</v>
      </c>
      <c r="G796">
        <v>238.3</v>
      </c>
      <c r="I796">
        <f t="shared" si="36"/>
        <v>26.45</v>
      </c>
      <c r="J796">
        <f t="shared" si="37"/>
        <v>-23</v>
      </c>
      <c r="K796">
        <f t="shared" si="38"/>
        <v>100</v>
      </c>
    </row>
    <row r="797" spans="1:11">
      <c r="A797">
        <v>26.542</v>
      </c>
      <c r="B797">
        <v>-229.9</v>
      </c>
      <c r="C797">
        <v>238.3</v>
      </c>
      <c r="E797">
        <v>26.508</v>
      </c>
      <c r="F797">
        <v>-227.7</v>
      </c>
      <c r="G797">
        <v>238.3</v>
      </c>
      <c r="I797">
        <f t="shared" si="36"/>
        <v>26.5</v>
      </c>
      <c r="J797">
        <f t="shared" si="37"/>
        <v>-24.7</v>
      </c>
      <c r="K797">
        <f t="shared" si="38"/>
        <v>100</v>
      </c>
    </row>
    <row r="798" spans="1:11">
      <c r="A798">
        <v>26.575</v>
      </c>
      <c r="B798">
        <v>-232.7</v>
      </c>
      <c r="C798">
        <v>238.3</v>
      </c>
      <c r="E798">
        <v>26.542</v>
      </c>
      <c r="F798">
        <v>-229.9</v>
      </c>
      <c r="G798">
        <v>238.3</v>
      </c>
      <c r="I798">
        <f t="shared" si="36"/>
        <v>26.5</v>
      </c>
      <c r="J798">
        <f t="shared" si="37"/>
        <v>-26.9</v>
      </c>
      <c r="K798">
        <f t="shared" si="38"/>
        <v>100</v>
      </c>
    </row>
    <row r="799" spans="1:11">
      <c r="A799">
        <v>26.609</v>
      </c>
      <c r="B799">
        <v>-236.1</v>
      </c>
      <c r="C799">
        <v>238.3</v>
      </c>
      <c r="E799">
        <v>26.575</v>
      </c>
      <c r="F799">
        <v>-232.7</v>
      </c>
      <c r="G799">
        <v>238.3</v>
      </c>
      <c r="I799">
        <f t="shared" si="36"/>
        <v>26.55</v>
      </c>
      <c r="J799">
        <f t="shared" si="37"/>
        <v>-29.7</v>
      </c>
      <c r="K799">
        <f t="shared" si="38"/>
        <v>100</v>
      </c>
    </row>
    <row r="800" spans="1:11">
      <c r="A800">
        <v>26.642</v>
      </c>
      <c r="B800">
        <v>-239.6</v>
      </c>
      <c r="C800">
        <v>238.3</v>
      </c>
      <c r="E800">
        <v>26.609</v>
      </c>
      <c r="F800">
        <v>-236.1</v>
      </c>
      <c r="G800">
        <v>238.3</v>
      </c>
      <c r="I800">
        <f t="shared" si="36"/>
        <v>26.6</v>
      </c>
      <c r="J800">
        <f t="shared" si="37"/>
        <v>-33.1</v>
      </c>
      <c r="K800">
        <f t="shared" si="38"/>
        <v>100</v>
      </c>
    </row>
    <row r="801" spans="1:11">
      <c r="A801">
        <v>26.676</v>
      </c>
      <c r="B801">
        <v>-243.3</v>
      </c>
      <c r="C801">
        <v>238.3</v>
      </c>
      <c r="E801">
        <v>26.642</v>
      </c>
      <c r="F801">
        <v>-239.6</v>
      </c>
      <c r="G801">
        <v>238.3</v>
      </c>
      <c r="I801">
        <f t="shared" si="36"/>
        <v>26.6</v>
      </c>
      <c r="J801">
        <f t="shared" si="37"/>
        <v>-36.6</v>
      </c>
      <c r="K801">
        <f t="shared" si="38"/>
        <v>100</v>
      </c>
    </row>
    <row r="802" spans="1:11">
      <c r="A802">
        <v>26.709</v>
      </c>
      <c r="B802">
        <v>-246.8</v>
      </c>
      <c r="C802">
        <v>238.3</v>
      </c>
      <c r="E802">
        <v>26.676</v>
      </c>
      <c r="F802">
        <v>-243.3</v>
      </c>
      <c r="G802">
        <v>238.3</v>
      </c>
      <c r="I802">
        <f t="shared" si="36"/>
        <v>26.65</v>
      </c>
      <c r="J802">
        <f t="shared" si="37"/>
        <v>-40.3</v>
      </c>
      <c r="K802">
        <f t="shared" si="38"/>
        <v>100</v>
      </c>
    </row>
    <row r="803" spans="1:11">
      <c r="A803">
        <v>26.742</v>
      </c>
      <c r="B803">
        <v>-251.4</v>
      </c>
      <c r="C803">
        <v>238.3</v>
      </c>
      <c r="E803">
        <v>26.709</v>
      </c>
      <c r="F803">
        <v>-246.8</v>
      </c>
      <c r="G803">
        <v>238.3</v>
      </c>
      <c r="I803">
        <f t="shared" si="36"/>
        <v>26.7</v>
      </c>
      <c r="J803">
        <f t="shared" si="37"/>
        <v>-43.8</v>
      </c>
      <c r="K803">
        <f t="shared" si="38"/>
        <v>100</v>
      </c>
    </row>
    <row r="804" spans="1:11">
      <c r="A804">
        <v>26.776</v>
      </c>
      <c r="B804">
        <v>-256.5</v>
      </c>
      <c r="C804">
        <v>238.3</v>
      </c>
      <c r="E804">
        <v>26.742</v>
      </c>
      <c r="F804">
        <v>-251.4</v>
      </c>
      <c r="G804">
        <v>238.3</v>
      </c>
      <c r="I804">
        <f t="shared" si="36"/>
        <v>26.7</v>
      </c>
      <c r="J804">
        <f t="shared" si="37"/>
        <v>-48.4</v>
      </c>
      <c r="K804">
        <f t="shared" si="38"/>
        <v>100</v>
      </c>
    </row>
    <row r="805" spans="1:11">
      <c r="A805">
        <v>26.809</v>
      </c>
      <c r="B805">
        <v>-261</v>
      </c>
      <c r="C805">
        <v>238.3</v>
      </c>
      <c r="E805">
        <v>26.776</v>
      </c>
      <c r="F805">
        <v>-256.5</v>
      </c>
      <c r="G805">
        <v>238.3</v>
      </c>
      <c r="I805">
        <f t="shared" si="36"/>
        <v>26.75</v>
      </c>
      <c r="J805">
        <f t="shared" si="37"/>
        <v>-53.5</v>
      </c>
      <c r="K805">
        <f t="shared" si="38"/>
        <v>100</v>
      </c>
    </row>
    <row r="806" spans="1:11">
      <c r="A806">
        <v>26.843</v>
      </c>
      <c r="B806">
        <v>-265.9</v>
      </c>
      <c r="C806">
        <v>238.3</v>
      </c>
      <c r="E806">
        <v>26.809</v>
      </c>
      <c r="F806">
        <v>-261</v>
      </c>
      <c r="G806">
        <v>238.3</v>
      </c>
      <c r="I806">
        <f t="shared" si="36"/>
        <v>26.8</v>
      </c>
      <c r="J806">
        <f t="shared" si="37"/>
        <v>-58</v>
      </c>
      <c r="K806">
        <f t="shared" si="38"/>
        <v>100</v>
      </c>
    </row>
    <row r="807" spans="1:11">
      <c r="A807">
        <v>26.876</v>
      </c>
      <c r="B807">
        <v>-270.3</v>
      </c>
      <c r="C807">
        <v>238.3</v>
      </c>
      <c r="E807">
        <v>26.843</v>
      </c>
      <c r="F807">
        <v>-265.9</v>
      </c>
      <c r="G807">
        <v>238.3</v>
      </c>
      <c r="I807">
        <f t="shared" si="36"/>
        <v>26.8</v>
      </c>
      <c r="J807">
        <f t="shared" si="37"/>
        <v>-62.9</v>
      </c>
      <c r="K807">
        <f t="shared" si="38"/>
        <v>100</v>
      </c>
    </row>
    <row r="808" spans="1:11">
      <c r="A808">
        <v>26.91</v>
      </c>
      <c r="B808">
        <v>-275.4</v>
      </c>
      <c r="C808">
        <v>238.3</v>
      </c>
      <c r="E808">
        <v>26.876</v>
      </c>
      <c r="F808">
        <v>-270.3</v>
      </c>
      <c r="G808">
        <v>238.3</v>
      </c>
      <c r="I808">
        <f t="shared" si="36"/>
        <v>26.85</v>
      </c>
      <c r="J808">
        <f t="shared" si="37"/>
        <v>-67.3</v>
      </c>
      <c r="K808">
        <f t="shared" si="38"/>
        <v>100</v>
      </c>
    </row>
    <row r="809" spans="1:11">
      <c r="A809">
        <v>26.943</v>
      </c>
      <c r="B809">
        <v>-280.8</v>
      </c>
      <c r="C809">
        <v>238.2</v>
      </c>
      <c r="E809">
        <v>26.91</v>
      </c>
      <c r="F809">
        <v>-275.4</v>
      </c>
      <c r="G809">
        <v>238.3</v>
      </c>
      <c r="I809">
        <f t="shared" si="36"/>
        <v>26.9</v>
      </c>
      <c r="J809">
        <f t="shared" si="37"/>
        <v>-72.4</v>
      </c>
      <c r="K809">
        <f t="shared" si="38"/>
        <v>100</v>
      </c>
    </row>
    <row r="810" spans="1:11">
      <c r="A810">
        <v>26.976</v>
      </c>
      <c r="B810">
        <v>-285</v>
      </c>
      <c r="C810">
        <v>238.2</v>
      </c>
      <c r="E810">
        <v>26.943</v>
      </c>
      <c r="F810">
        <v>-280.8</v>
      </c>
      <c r="G810">
        <v>238.2</v>
      </c>
      <c r="I810">
        <f t="shared" si="36"/>
        <v>26.9</v>
      </c>
      <c r="J810">
        <f t="shared" si="37"/>
        <v>-77.8</v>
      </c>
      <c r="K810">
        <f t="shared" si="38"/>
        <v>100</v>
      </c>
    </row>
    <row r="811" spans="1:11">
      <c r="A811">
        <v>27.01</v>
      </c>
      <c r="B811">
        <v>-289</v>
      </c>
      <c r="C811">
        <v>238.2</v>
      </c>
      <c r="E811">
        <v>26.976</v>
      </c>
      <c r="F811">
        <v>-285</v>
      </c>
      <c r="G811">
        <v>238.2</v>
      </c>
      <c r="I811">
        <f t="shared" si="36"/>
        <v>26.95</v>
      </c>
      <c r="J811">
        <f t="shared" si="37"/>
        <v>-82</v>
      </c>
      <c r="K811">
        <f t="shared" si="38"/>
        <v>100</v>
      </c>
    </row>
    <row r="812" spans="1:11">
      <c r="A812">
        <v>27.043</v>
      </c>
      <c r="B812">
        <v>-293.2</v>
      </c>
      <c r="C812">
        <v>238.2</v>
      </c>
      <c r="E812">
        <v>27.01</v>
      </c>
      <c r="F812">
        <v>-289</v>
      </c>
      <c r="G812">
        <v>238.2</v>
      </c>
      <c r="I812">
        <f t="shared" si="36"/>
        <v>27</v>
      </c>
      <c r="J812">
        <f t="shared" si="37"/>
        <v>-86</v>
      </c>
      <c r="K812">
        <f t="shared" si="38"/>
        <v>100</v>
      </c>
    </row>
    <row r="813" spans="1:11">
      <c r="A813">
        <v>27.077</v>
      </c>
      <c r="B813">
        <v>-297.2</v>
      </c>
      <c r="C813">
        <v>238.2</v>
      </c>
      <c r="E813">
        <v>27.043</v>
      </c>
      <c r="F813">
        <v>-293.2</v>
      </c>
      <c r="G813">
        <v>238.2</v>
      </c>
      <c r="I813">
        <f t="shared" si="36"/>
        <v>27</v>
      </c>
      <c r="J813">
        <f t="shared" si="37"/>
        <v>-90.2</v>
      </c>
      <c r="K813">
        <f t="shared" si="38"/>
        <v>100</v>
      </c>
    </row>
    <row r="814" spans="1:11">
      <c r="A814">
        <v>27.11</v>
      </c>
      <c r="B814">
        <v>-299.9</v>
      </c>
      <c r="C814">
        <v>223.7</v>
      </c>
      <c r="E814">
        <v>27.077</v>
      </c>
      <c r="F814">
        <v>-297.2</v>
      </c>
      <c r="G814">
        <v>238.2</v>
      </c>
      <c r="I814">
        <f t="shared" si="36"/>
        <v>27.05</v>
      </c>
      <c r="J814">
        <f t="shared" si="37"/>
        <v>-94.2</v>
      </c>
      <c r="K814">
        <f t="shared" si="38"/>
        <v>100</v>
      </c>
    </row>
    <row r="815" spans="1:11">
      <c r="A815">
        <v>27.144</v>
      </c>
      <c r="B815">
        <v>-302.7</v>
      </c>
      <c r="C815">
        <v>152.6</v>
      </c>
      <c r="E815">
        <v>27.11</v>
      </c>
      <c r="F815">
        <v>-299.9</v>
      </c>
      <c r="G815">
        <v>223.7</v>
      </c>
      <c r="I815">
        <f t="shared" si="36"/>
        <v>27.1</v>
      </c>
      <c r="J815">
        <f t="shared" si="37"/>
        <v>-96.9</v>
      </c>
      <c r="K815">
        <f t="shared" si="38"/>
        <v>-150</v>
      </c>
    </row>
    <row r="816" spans="1:11">
      <c r="A816">
        <v>27.177</v>
      </c>
      <c r="B816">
        <v>-305.4</v>
      </c>
      <c r="C816">
        <v>161.6</v>
      </c>
      <c r="E816">
        <v>27.144</v>
      </c>
      <c r="F816">
        <v>-302.7</v>
      </c>
      <c r="G816">
        <v>152.6</v>
      </c>
      <c r="I816">
        <f t="shared" si="36"/>
        <v>27.1</v>
      </c>
      <c r="J816">
        <f t="shared" si="37"/>
        <v>-99.7</v>
      </c>
      <c r="K816">
        <f t="shared" si="38"/>
        <v>-150</v>
      </c>
    </row>
    <row r="817" spans="1:11">
      <c r="A817">
        <v>27.21</v>
      </c>
      <c r="B817">
        <v>-306.8</v>
      </c>
      <c r="C817">
        <v>160.6</v>
      </c>
      <c r="E817">
        <v>27.177</v>
      </c>
      <c r="F817">
        <v>-305.4</v>
      </c>
      <c r="G817">
        <v>161.6</v>
      </c>
      <c r="I817">
        <f t="shared" si="36"/>
        <v>27.15</v>
      </c>
      <c r="J817">
        <f t="shared" si="37"/>
        <v>-102.4</v>
      </c>
      <c r="K817">
        <f t="shared" si="38"/>
        <v>-150</v>
      </c>
    </row>
    <row r="818" spans="1:11">
      <c r="A818">
        <v>27.244</v>
      </c>
      <c r="B818">
        <v>-307.8</v>
      </c>
      <c r="C818">
        <v>158.9</v>
      </c>
      <c r="E818">
        <v>27.21</v>
      </c>
      <c r="F818">
        <v>-306.8</v>
      </c>
      <c r="G818">
        <v>160.6</v>
      </c>
      <c r="I818">
        <f t="shared" si="36"/>
        <v>27.2</v>
      </c>
      <c r="J818">
        <f t="shared" si="37"/>
        <v>-103.8</v>
      </c>
      <c r="K818">
        <f t="shared" si="38"/>
        <v>-150</v>
      </c>
    </row>
    <row r="819" spans="1:11">
      <c r="A819">
        <v>27.277</v>
      </c>
      <c r="B819">
        <v>-308.6</v>
      </c>
      <c r="C819">
        <v>157.9</v>
      </c>
      <c r="E819">
        <v>27.244</v>
      </c>
      <c r="F819">
        <v>-307.8</v>
      </c>
      <c r="G819">
        <v>158.9</v>
      </c>
      <c r="I819">
        <f t="shared" si="36"/>
        <v>27.2</v>
      </c>
      <c r="J819">
        <f t="shared" si="37"/>
        <v>-104.8</v>
      </c>
      <c r="K819">
        <f t="shared" si="38"/>
        <v>-150</v>
      </c>
    </row>
    <row r="820" spans="1:11">
      <c r="A820">
        <v>27.311</v>
      </c>
      <c r="B820">
        <v>-308.2</v>
      </c>
      <c r="C820">
        <v>155.4</v>
      </c>
      <c r="E820">
        <v>27.277</v>
      </c>
      <c r="F820">
        <v>-308.6</v>
      </c>
      <c r="G820">
        <v>157.9</v>
      </c>
      <c r="I820">
        <f t="shared" si="36"/>
        <v>27.25</v>
      </c>
      <c r="J820">
        <f t="shared" si="37"/>
        <v>-105.6</v>
      </c>
      <c r="K820">
        <f t="shared" si="38"/>
        <v>-150</v>
      </c>
    </row>
    <row r="821" spans="1:11">
      <c r="A821">
        <v>27.344</v>
      </c>
      <c r="B821">
        <v>-307.6</v>
      </c>
      <c r="C821">
        <v>153.1</v>
      </c>
      <c r="E821">
        <v>27.311</v>
      </c>
      <c r="F821">
        <v>-308.2</v>
      </c>
      <c r="G821">
        <v>155.4</v>
      </c>
      <c r="I821">
        <f t="shared" si="36"/>
        <v>27.3</v>
      </c>
      <c r="J821">
        <f t="shared" si="37"/>
        <v>-105.2</v>
      </c>
      <c r="K821">
        <f t="shared" si="38"/>
        <v>-150</v>
      </c>
    </row>
    <row r="822" spans="1:11">
      <c r="A822">
        <v>27.378</v>
      </c>
      <c r="B822">
        <v>-306.2</v>
      </c>
      <c r="C822">
        <v>152.1</v>
      </c>
      <c r="E822">
        <v>27.344</v>
      </c>
      <c r="F822">
        <v>-307.6</v>
      </c>
      <c r="G822">
        <v>153.1</v>
      </c>
      <c r="I822">
        <f t="shared" si="36"/>
        <v>27.3</v>
      </c>
      <c r="J822">
        <f t="shared" si="37"/>
        <v>-104.6</v>
      </c>
      <c r="K822">
        <f t="shared" si="38"/>
        <v>-150</v>
      </c>
    </row>
    <row r="823" spans="1:11">
      <c r="A823">
        <v>27.411</v>
      </c>
      <c r="B823">
        <v>-304.2</v>
      </c>
      <c r="C823">
        <v>149.6</v>
      </c>
      <c r="E823">
        <v>27.378</v>
      </c>
      <c r="F823">
        <v>-306.2</v>
      </c>
      <c r="G823">
        <v>152.1</v>
      </c>
      <c r="I823">
        <f t="shared" si="36"/>
        <v>27.35</v>
      </c>
      <c r="J823">
        <f t="shared" si="37"/>
        <v>-103.2</v>
      </c>
      <c r="K823">
        <f t="shared" si="38"/>
        <v>-150</v>
      </c>
    </row>
    <row r="824" spans="1:11">
      <c r="A824">
        <v>27.444</v>
      </c>
      <c r="B824">
        <v>-301.7</v>
      </c>
      <c r="C824">
        <v>148.7</v>
      </c>
      <c r="E824">
        <v>27.411</v>
      </c>
      <c r="F824">
        <v>-304.2</v>
      </c>
      <c r="G824">
        <v>149.6</v>
      </c>
      <c r="I824">
        <f t="shared" si="36"/>
        <v>27.4</v>
      </c>
      <c r="J824">
        <f t="shared" si="37"/>
        <v>-101.2</v>
      </c>
      <c r="K824">
        <f t="shared" si="38"/>
        <v>-150</v>
      </c>
    </row>
    <row r="825" spans="1:11">
      <c r="A825">
        <v>27.478</v>
      </c>
      <c r="B825">
        <v>-298.6</v>
      </c>
      <c r="C825">
        <v>146.4</v>
      </c>
      <c r="E825">
        <v>27.444</v>
      </c>
      <c r="F825">
        <v>-301.7</v>
      </c>
      <c r="G825">
        <v>148.7</v>
      </c>
      <c r="I825">
        <f t="shared" si="36"/>
        <v>27.4</v>
      </c>
      <c r="J825">
        <f t="shared" si="37"/>
        <v>-98.7</v>
      </c>
      <c r="K825">
        <f t="shared" si="38"/>
        <v>-150</v>
      </c>
    </row>
    <row r="826" spans="1:11">
      <c r="A826">
        <v>27.511</v>
      </c>
      <c r="B826">
        <v>-295.5</v>
      </c>
      <c r="C826">
        <v>145.2</v>
      </c>
      <c r="E826">
        <v>27.478</v>
      </c>
      <c r="F826">
        <v>-298.6</v>
      </c>
      <c r="G826">
        <v>146.4</v>
      </c>
      <c r="I826">
        <f t="shared" si="36"/>
        <v>27.45</v>
      </c>
      <c r="J826">
        <f t="shared" si="37"/>
        <v>-95.6</v>
      </c>
      <c r="K826">
        <f t="shared" si="38"/>
        <v>-150</v>
      </c>
    </row>
    <row r="827" spans="1:11">
      <c r="A827">
        <v>27.545</v>
      </c>
      <c r="B827">
        <v>-291.1</v>
      </c>
      <c r="C827">
        <v>142.7</v>
      </c>
      <c r="E827">
        <v>27.511</v>
      </c>
      <c r="F827">
        <v>-295.5</v>
      </c>
      <c r="G827">
        <v>145.2</v>
      </c>
      <c r="I827">
        <f t="shared" si="36"/>
        <v>27.5</v>
      </c>
      <c r="J827">
        <f t="shared" si="37"/>
        <v>-92.5</v>
      </c>
      <c r="K827">
        <f t="shared" si="38"/>
        <v>-150</v>
      </c>
    </row>
    <row r="828" spans="1:11">
      <c r="A828">
        <v>27.578</v>
      </c>
      <c r="B828">
        <v>-286.9</v>
      </c>
      <c r="C828">
        <v>141.8</v>
      </c>
      <c r="E828">
        <v>27.545</v>
      </c>
      <c r="F828">
        <v>-291.1</v>
      </c>
      <c r="G828">
        <v>142.7</v>
      </c>
      <c r="I828">
        <f t="shared" si="36"/>
        <v>27.5</v>
      </c>
      <c r="J828">
        <f t="shared" si="37"/>
        <v>-88.1</v>
      </c>
      <c r="K828">
        <f t="shared" si="38"/>
        <v>-150</v>
      </c>
    </row>
    <row r="829" spans="1:11">
      <c r="A829">
        <v>27.612</v>
      </c>
      <c r="B829">
        <v>-282.5</v>
      </c>
      <c r="C829">
        <v>139.9</v>
      </c>
      <c r="E829">
        <v>27.578</v>
      </c>
      <c r="F829">
        <v>-286.9</v>
      </c>
      <c r="G829">
        <v>141.8</v>
      </c>
      <c r="I829">
        <f t="shared" si="36"/>
        <v>27.55</v>
      </c>
      <c r="J829">
        <f t="shared" si="37"/>
        <v>-83.9</v>
      </c>
      <c r="K829">
        <f t="shared" si="38"/>
        <v>-150</v>
      </c>
    </row>
    <row r="830" spans="1:11">
      <c r="A830">
        <v>27.645</v>
      </c>
      <c r="B830">
        <v>-277.3</v>
      </c>
      <c r="C830">
        <v>137.1</v>
      </c>
      <c r="E830">
        <v>27.612</v>
      </c>
      <c r="F830">
        <v>-282.5</v>
      </c>
      <c r="G830">
        <v>139.9</v>
      </c>
      <c r="I830">
        <f t="shared" si="36"/>
        <v>27.6</v>
      </c>
      <c r="J830">
        <f t="shared" si="37"/>
        <v>-79.5</v>
      </c>
      <c r="K830">
        <f t="shared" si="38"/>
        <v>-150</v>
      </c>
    </row>
    <row r="831" spans="1:11">
      <c r="A831">
        <v>27.678</v>
      </c>
      <c r="B831">
        <v>-272.5</v>
      </c>
      <c r="C831">
        <v>135.7</v>
      </c>
      <c r="E831">
        <v>27.645</v>
      </c>
      <c r="F831">
        <v>-277.3</v>
      </c>
      <c r="G831">
        <v>137.1</v>
      </c>
      <c r="I831">
        <f t="shared" si="36"/>
        <v>27.6</v>
      </c>
      <c r="J831">
        <f t="shared" si="37"/>
        <v>-74.3</v>
      </c>
      <c r="K831">
        <f t="shared" si="38"/>
        <v>-150</v>
      </c>
    </row>
    <row r="832" spans="1:11">
      <c r="A832">
        <v>27.712</v>
      </c>
      <c r="B832">
        <v>-267.3</v>
      </c>
      <c r="C832">
        <v>133.4</v>
      </c>
      <c r="E832">
        <v>27.678</v>
      </c>
      <c r="F832">
        <v>-272.5</v>
      </c>
      <c r="G832">
        <v>135.7</v>
      </c>
      <c r="I832">
        <f t="shared" si="36"/>
        <v>27.65</v>
      </c>
      <c r="J832">
        <f t="shared" si="37"/>
        <v>-69.5</v>
      </c>
      <c r="K832">
        <f t="shared" si="38"/>
        <v>-150</v>
      </c>
    </row>
    <row r="833" spans="1:11">
      <c r="A833">
        <v>27.745</v>
      </c>
      <c r="B833">
        <v>-261.8</v>
      </c>
      <c r="C833">
        <v>131.7</v>
      </c>
      <c r="E833">
        <v>27.712</v>
      </c>
      <c r="F833">
        <v>-267.3</v>
      </c>
      <c r="G833">
        <v>133.4</v>
      </c>
      <c r="I833">
        <f t="shared" si="36"/>
        <v>27.7</v>
      </c>
      <c r="J833">
        <f t="shared" si="37"/>
        <v>-64.3</v>
      </c>
      <c r="K833">
        <f t="shared" si="38"/>
        <v>-150</v>
      </c>
    </row>
    <row r="834" spans="1:11">
      <c r="A834">
        <v>27.779</v>
      </c>
      <c r="B834">
        <v>-257</v>
      </c>
      <c r="C834">
        <v>129.2</v>
      </c>
      <c r="E834">
        <v>27.745</v>
      </c>
      <c r="F834">
        <v>-261.8</v>
      </c>
      <c r="G834">
        <v>131.7</v>
      </c>
      <c r="I834">
        <f t="shared" si="36"/>
        <v>27.7</v>
      </c>
      <c r="J834">
        <f t="shared" si="37"/>
        <v>-58.8</v>
      </c>
      <c r="K834">
        <f t="shared" si="38"/>
        <v>-150</v>
      </c>
    </row>
    <row r="835" spans="1:11">
      <c r="A835">
        <v>27.812</v>
      </c>
      <c r="B835">
        <v>-252.2</v>
      </c>
      <c r="C835">
        <v>128.3</v>
      </c>
      <c r="E835">
        <v>27.779</v>
      </c>
      <c r="F835">
        <v>-257</v>
      </c>
      <c r="G835">
        <v>129.2</v>
      </c>
      <c r="I835">
        <f t="shared" si="36"/>
        <v>27.75</v>
      </c>
      <c r="J835">
        <f t="shared" si="37"/>
        <v>-54</v>
      </c>
      <c r="K835">
        <f t="shared" si="38"/>
        <v>-150</v>
      </c>
    </row>
    <row r="836" spans="1:11">
      <c r="A836">
        <v>27.845</v>
      </c>
      <c r="B836">
        <v>-248</v>
      </c>
      <c r="C836">
        <v>234.8</v>
      </c>
      <c r="E836">
        <v>27.812</v>
      </c>
      <c r="F836">
        <v>-252.2</v>
      </c>
      <c r="G836">
        <v>128.3</v>
      </c>
      <c r="I836">
        <f t="shared" ref="I836:I899" si="39">FLOOR(E836,0.05)</f>
        <v>27.8</v>
      </c>
      <c r="J836">
        <f t="shared" ref="J836:J899" si="40">F836+203</f>
        <v>-49.2</v>
      </c>
      <c r="K836">
        <f t="shared" si="38"/>
        <v>-150</v>
      </c>
    </row>
    <row r="837" spans="1:11">
      <c r="A837">
        <v>27.879</v>
      </c>
      <c r="B837">
        <v>-243.5</v>
      </c>
      <c r="C837">
        <v>238.5</v>
      </c>
      <c r="E837">
        <v>27.845</v>
      </c>
      <c r="F837">
        <v>-248</v>
      </c>
      <c r="G837">
        <v>234.8</v>
      </c>
      <c r="I837">
        <f t="shared" si="39"/>
        <v>27.8</v>
      </c>
      <c r="J837">
        <f t="shared" si="40"/>
        <v>-45</v>
      </c>
      <c r="K837">
        <f t="shared" ref="K837:K900" si="41">IF(G837&lt;230,-150,100)</f>
        <v>100</v>
      </c>
    </row>
    <row r="838" spans="1:11">
      <c r="A838">
        <v>27.912</v>
      </c>
      <c r="B838">
        <v>-240</v>
      </c>
      <c r="C838">
        <v>238.5</v>
      </c>
      <c r="E838">
        <v>27.879</v>
      </c>
      <c r="F838">
        <v>-243.5</v>
      </c>
      <c r="G838">
        <v>238.5</v>
      </c>
      <c r="I838">
        <f t="shared" si="39"/>
        <v>27.85</v>
      </c>
      <c r="J838">
        <f t="shared" si="40"/>
        <v>-40.5</v>
      </c>
      <c r="K838">
        <f t="shared" si="41"/>
        <v>100</v>
      </c>
    </row>
    <row r="839" spans="1:11">
      <c r="A839">
        <v>27.946</v>
      </c>
      <c r="B839">
        <v>-236.5</v>
      </c>
      <c r="C839">
        <v>238.5</v>
      </c>
      <c r="E839">
        <v>27.912</v>
      </c>
      <c r="F839">
        <v>-240</v>
      </c>
      <c r="G839">
        <v>238.5</v>
      </c>
      <c r="I839">
        <f t="shared" si="39"/>
        <v>27.9</v>
      </c>
      <c r="J839">
        <f t="shared" si="40"/>
        <v>-37</v>
      </c>
      <c r="K839">
        <f t="shared" si="41"/>
        <v>100</v>
      </c>
    </row>
    <row r="840" spans="1:11">
      <c r="A840">
        <v>27.979</v>
      </c>
      <c r="B840">
        <v>-232.9</v>
      </c>
      <c r="C840">
        <v>238.5</v>
      </c>
      <c r="E840">
        <v>27.946</v>
      </c>
      <c r="F840">
        <v>-236.5</v>
      </c>
      <c r="G840">
        <v>238.5</v>
      </c>
      <c r="I840">
        <f t="shared" si="39"/>
        <v>27.9</v>
      </c>
      <c r="J840">
        <f t="shared" si="40"/>
        <v>-33.5</v>
      </c>
      <c r="K840">
        <f t="shared" si="41"/>
        <v>100</v>
      </c>
    </row>
    <row r="841" spans="1:11">
      <c r="A841">
        <v>28.013</v>
      </c>
      <c r="B841">
        <v>-230.2</v>
      </c>
      <c r="C841">
        <v>238.5</v>
      </c>
      <c r="E841">
        <v>27.979</v>
      </c>
      <c r="F841">
        <v>-232.9</v>
      </c>
      <c r="G841">
        <v>238.5</v>
      </c>
      <c r="I841">
        <f t="shared" si="39"/>
        <v>27.95</v>
      </c>
      <c r="J841">
        <f t="shared" si="40"/>
        <v>-29.9</v>
      </c>
      <c r="K841">
        <f t="shared" si="41"/>
        <v>100</v>
      </c>
    </row>
    <row r="842" spans="1:11">
      <c r="A842">
        <v>28.046</v>
      </c>
      <c r="B842">
        <v>-228.4</v>
      </c>
      <c r="C842">
        <v>238.5</v>
      </c>
      <c r="E842">
        <v>28.013</v>
      </c>
      <c r="F842">
        <v>-230.2</v>
      </c>
      <c r="G842">
        <v>238.5</v>
      </c>
      <c r="I842">
        <f t="shared" si="39"/>
        <v>28</v>
      </c>
      <c r="J842">
        <f t="shared" si="40"/>
        <v>-27.2</v>
      </c>
      <c r="K842">
        <f t="shared" si="41"/>
        <v>100</v>
      </c>
    </row>
    <row r="843" spans="1:11">
      <c r="A843">
        <v>28.079</v>
      </c>
      <c r="B843">
        <v>-226.1</v>
      </c>
      <c r="C843">
        <v>238.2</v>
      </c>
      <c r="E843">
        <v>28.046</v>
      </c>
      <c r="F843">
        <v>-228.4</v>
      </c>
      <c r="G843">
        <v>238.5</v>
      </c>
      <c r="I843">
        <f t="shared" si="39"/>
        <v>28</v>
      </c>
      <c r="J843">
        <f t="shared" si="40"/>
        <v>-25.4</v>
      </c>
      <c r="K843">
        <f t="shared" si="41"/>
        <v>100</v>
      </c>
    </row>
    <row r="844" spans="1:11">
      <c r="A844">
        <v>28.113</v>
      </c>
      <c r="B844">
        <v>-225.1</v>
      </c>
      <c r="C844">
        <v>238.2</v>
      </c>
      <c r="E844">
        <v>28.079</v>
      </c>
      <c r="F844">
        <v>-226.1</v>
      </c>
      <c r="G844">
        <v>238.2</v>
      </c>
      <c r="I844">
        <f t="shared" si="39"/>
        <v>28.05</v>
      </c>
      <c r="J844">
        <f t="shared" si="40"/>
        <v>-23.1</v>
      </c>
      <c r="K844">
        <f t="shared" si="41"/>
        <v>100</v>
      </c>
    </row>
    <row r="845" spans="1:11">
      <c r="A845">
        <v>28.146</v>
      </c>
      <c r="B845">
        <v>-224.6</v>
      </c>
      <c r="C845">
        <v>238.2</v>
      </c>
      <c r="E845">
        <v>28.113</v>
      </c>
      <c r="F845">
        <v>-225.1</v>
      </c>
      <c r="G845">
        <v>238.2</v>
      </c>
      <c r="I845">
        <f t="shared" si="39"/>
        <v>28.1</v>
      </c>
      <c r="J845">
        <f t="shared" si="40"/>
        <v>-22.1</v>
      </c>
      <c r="K845">
        <f t="shared" si="41"/>
        <v>100</v>
      </c>
    </row>
    <row r="846" spans="1:11">
      <c r="A846">
        <v>28.18</v>
      </c>
      <c r="B846">
        <v>-223.9</v>
      </c>
      <c r="C846">
        <v>238.2</v>
      </c>
      <c r="E846">
        <v>28.146</v>
      </c>
      <c r="F846">
        <v>-224.6</v>
      </c>
      <c r="G846">
        <v>238.2</v>
      </c>
      <c r="I846">
        <f t="shared" si="39"/>
        <v>28.1</v>
      </c>
      <c r="J846">
        <f t="shared" si="40"/>
        <v>-21.6</v>
      </c>
      <c r="K846">
        <f t="shared" si="41"/>
        <v>100</v>
      </c>
    </row>
    <row r="847" spans="1:11">
      <c r="A847">
        <v>28.213</v>
      </c>
      <c r="B847">
        <v>-223.9</v>
      </c>
      <c r="C847">
        <v>238.2</v>
      </c>
      <c r="E847">
        <v>28.18</v>
      </c>
      <c r="F847">
        <v>-223.9</v>
      </c>
      <c r="G847">
        <v>238.2</v>
      </c>
      <c r="I847">
        <f t="shared" si="39"/>
        <v>28.15</v>
      </c>
      <c r="J847">
        <f t="shared" si="40"/>
        <v>-20.9</v>
      </c>
      <c r="K847">
        <f t="shared" si="41"/>
        <v>100</v>
      </c>
    </row>
    <row r="848" spans="1:11">
      <c r="A848">
        <v>28.247</v>
      </c>
      <c r="B848">
        <v>-224.5</v>
      </c>
      <c r="C848">
        <v>238.2</v>
      </c>
      <c r="E848">
        <v>28.213</v>
      </c>
      <c r="F848">
        <v>-223.9</v>
      </c>
      <c r="G848">
        <v>238.2</v>
      </c>
      <c r="I848">
        <f t="shared" si="39"/>
        <v>28.2</v>
      </c>
      <c r="J848">
        <f t="shared" si="40"/>
        <v>-20.9</v>
      </c>
      <c r="K848">
        <f t="shared" si="41"/>
        <v>100</v>
      </c>
    </row>
    <row r="849" spans="1:11">
      <c r="A849">
        <v>28.28</v>
      </c>
      <c r="B849">
        <v>-225.2</v>
      </c>
      <c r="C849">
        <v>238.2</v>
      </c>
      <c r="E849">
        <v>28.247</v>
      </c>
      <c r="F849">
        <v>-224.5</v>
      </c>
      <c r="G849">
        <v>238.2</v>
      </c>
      <c r="I849">
        <f t="shared" si="39"/>
        <v>28.2</v>
      </c>
      <c r="J849">
        <f t="shared" si="40"/>
        <v>-21.5</v>
      </c>
      <c r="K849">
        <f t="shared" si="41"/>
        <v>100</v>
      </c>
    </row>
    <row r="850" spans="1:11">
      <c r="A850">
        <v>28.313</v>
      </c>
      <c r="B850">
        <v>-226.5</v>
      </c>
      <c r="C850">
        <v>238.2</v>
      </c>
      <c r="E850">
        <v>28.28</v>
      </c>
      <c r="F850">
        <v>-225.2</v>
      </c>
      <c r="G850">
        <v>238.2</v>
      </c>
      <c r="I850">
        <f t="shared" si="39"/>
        <v>28.25</v>
      </c>
      <c r="J850">
        <f t="shared" si="40"/>
        <v>-22.2</v>
      </c>
      <c r="K850">
        <f t="shared" si="41"/>
        <v>100</v>
      </c>
    </row>
    <row r="851" spans="1:11">
      <c r="A851">
        <v>28.347</v>
      </c>
      <c r="B851">
        <v>-228.5</v>
      </c>
      <c r="C851">
        <v>238.2</v>
      </c>
      <c r="E851">
        <v>28.313</v>
      </c>
      <c r="F851">
        <v>-226.5</v>
      </c>
      <c r="G851">
        <v>238.2</v>
      </c>
      <c r="I851">
        <f t="shared" si="39"/>
        <v>28.3</v>
      </c>
      <c r="J851">
        <f t="shared" si="40"/>
        <v>-23.5</v>
      </c>
      <c r="K851">
        <f t="shared" si="41"/>
        <v>100</v>
      </c>
    </row>
    <row r="852" spans="1:11">
      <c r="A852">
        <v>28.38</v>
      </c>
      <c r="B852">
        <v>-230.5</v>
      </c>
      <c r="C852">
        <v>238.2</v>
      </c>
      <c r="E852">
        <v>28.347</v>
      </c>
      <c r="F852">
        <v>-228.5</v>
      </c>
      <c r="G852">
        <v>238.2</v>
      </c>
      <c r="I852">
        <f t="shared" si="39"/>
        <v>28.3</v>
      </c>
      <c r="J852">
        <f t="shared" si="40"/>
        <v>-25.5</v>
      </c>
      <c r="K852">
        <f t="shared" si="41"/>
        <v>100</v>
      </c>
    </row>
    <row r="853" spans="1:11">
      <c r="A853">
        <v>28.414</v>
      </c>
      <c r="B853">
        <v>-233.7</v>
      </c>
      <c r="C853">
        <v>238.2</v>
      </c>
      <c r="E853">
        <v>28.38</v>
      </c>
      <c r="F853">
        <v>-230.5</v>
      </c>
      <c r="G853">
        <v>238.2</v>
      </c>
      <c r="I853">
        <f t="shared" si="39"/>
        <v>28.35</v>
      </c>
      <c r="J853">
        <f t="shared" si="40"/>
        <v>-27.5</v>
      </c>
      <c r="K853">
        <f t="shared" si="41"/>
        <v>100</v>
      </c>
    </row>
    <row r="854" spans="1:11">
      <c r="A854">
        <v>28.447</v>
      </c>
      <c r="B854">
        <v>-236.7</v>
      </c>
      <c r="C854">
        <v>238.2</v>
      </c>
      <c r="E854">
        <v>28.414</v>
      </c>
      <c r="F854">
        <v>-233.7</v>
      </c>
      <c r="G854">
        <v>238.2</v>
      </c>
      <c r="I854">
        <f t="shared" si="39"/>
        <v>28.4</v>
      </c>
      <c r="J854">
        <f t="shared" si="40"/>
        <v>-30.7</v>
      </c>
      <c r="K854">
        <f t="shared" si="41"/>
        <v>100</v>
      </c>
    </row>
    <row r="855" spans="1:11">
      <c r="A855">
        <v>28.481</v>
      </c>
      <c r="B855">
        <v>-240.5</v>
      </c>
      <c r="C855">
        <v>238.2</v>
      </c>
      <c r="E855">
        <v>28.447</v>
      </c>
      <c r="F855">
        <v>-236.7</v>
      </c>
      <c r="G855">
        <v>238.2</v>
      </c>
      <c r="I855">
        <f t="shared" si="39"/>
        <v>28.4</v>
      </c>
      <c r="J855">
        <f t="shared" si="40"/>
        <v>-33.7</v>
      </c>
      <c r="K855">
        <f t="shared" si="41"/>
        <v>100</v>
      </c>
    </row>
    <row r="856" spans="1:11">
      <c r="A856">
        <v>28.514</v>
      </c>
      <c r="B856">
        <v>-244.2</v>
      </c>
      <c r="C856">
        <v>238.2</v>
      </c>
      <c r="E856">
        <v>28.481</v>
      </c>
      <c r="F856">
        <v>-240.5</v>
      </c>
      <c r="G856">
        <v>238.2</v>
      </c>
      <c r="I856">
        <f t="shared" si="39"/>
        <v>28.45</v>
      </c>
      <c r="J856">
        <f t="shared" si="40"/>
        <v>-37.5</v>
      </c>
      <c r="K856">
        <f t="shared" si="41"/>
        <v>100</v>
      </c>
    </row>
    <row r="857" spans="1:11">
      <c r="A857">
        <v>28.547</v>
      </c>
      <c r="B857">
        <v>-248.2</v>
      </c>
      <c r="C857">
        <v>238.2</v>
      </c>
      <c r="E857">
        <v>28.514</v>
      </c>
      <c r="F857">
        <v>-244.2</v>
      </c>
      <c r="G857">
        <v>238.2</v>
      </c>
      <c r="I857">
        <f t="shared" si="39"/>
        <v>28.5</v>
      </c>
      <c r="J857">
        <f t="shared" si="40"/>
        <v>-41.2</v>
      </c>
      <c r="K857">
        <f t="shared" si="41"/>
        <v>100</v>
      </c>
    </row>
    <row r="858" spans="1:11">
      <c r="A858">
        <v>28.581</v>
      </c>
      <c r="B858">
        <v>-252.4</v>
      </c>
      <c r="C858">
        <v>238.2</v>
      </c>
      <c r="E858">
        <v>28.547</v>
      </c>
      <c r="F858">
        <v>-248.2</v>
      </c>
      <c r="G858">
        <v>238.2</v>
      </c>
      <c r="I858">
        <f t="shared" si="39"/>
        <v>28.5</v>
      </c>
      <c r="J858">
        <f t="shared" si="40"/>
        <v>-45.2</v>
      </c>
      <c r="K858">
        <f t="shared" si="41"/>
        <v>100</v>
      </c>
    </row>
    <row r="859" spans="1:11">
      <c r="A859">
        <v>28.614</v>
      </c>
      <c r="B859">
        <v>-257</v>
      </c>
      <c r="C859">
        <v>190.4</v>
      </c>
      <c r="E859">
        <v>28.581</v>
      </c>
      <c r="F859">
        <v>-252.4</v>
      </c>
      <c r="G859">
        <v>238.2</v>
      </c>
      <c r="I859">
        <f t="shared" si="39"/>
        <v>28.55</v>
      </c>
      <c r="J859">
        <f t="shared" si="40"/>
        <v>-49.4</v>
      </c>
      <c r="K859">
        <f t="shared" si="41"/>
        <v>100</v>
      </c>
    </row>
    <row r="860" spans="1:11">
      <c r="A860">
        <v>28.648</v>
      </c>
      <c r="B860">
        <v>-261.9</v>
      </c>
      <c r="C860">
        <v>156.1</v>
      </c>
      <c r="E860">
        <v>28.614</v>
      </c>
      <c r="F860">
        <v>-257</v>
      </c>
      <c r="G860">
        <v>190.4</v>
      </c>
      <c r="I860">
        <f t="shared" si="39"/>
        <v>28.6</v>
      </c>
      <c r="J860">
        <f t="shared" si="40"/>
        <v>-54</v>
      </c>
      <c r="K860">
        <f t="shared" si="41"/>
        <v>-150</v>
      </c>
    </row>
    <row r="861" spans="1:11">
      <c r="A861">
        <v>28.681</v>
      </c>
      <c r="B861">
        <v>-266.5</v>
      </c>
      <c r="C861">
        <v>160.7</v>
      </c>
      <c r="E861">
        <v>28.648</v>
      </c>
      <c r="F861">
        <v>-261.9</v>
      </c>
      <c r="G861">
        <v>156.1</v>
      </c>
      <c r="I861">
        <f t="shared" si="39"/>
        <v>28.6</v>
      </c>
      <c r="J861">
        <f t="shared" si="40"/>
        <v>-58.9</v>
      </c>
      <c r="K861">
        <f t="shared" si="41"/>
        <v>-150</v>
      </c>
    </row>
    <row r="862" spans="1:11">
      <c r="A862">
        <v>28.715</v>
      </c>
      <c r="B862">
        <v>-271.2</v>
      </c>
      <c r="C862">
        <v>159.4</v>
      </c>
      <c r="E862">
        <v>28.681</v>
      </c>
      <c r="F862">
        <v>-266.5</v>
      </c>
      <c r="G862">
        <v>160.7</v>
      </c>
      <c r="I862">
        <f t="shared" si="39"/>
        <v>28.65</v>
      </c>
      <c r="J862">
        <f t="shared" si="40"/>
        <v>-63.5</v>
      </c>
      <c r="K862">
        <f t="shared" si="41"/>
        <v>-150</v>
      </c>
    </row>
    <row r="863" spans="1:11">
      <c r="A863">
        <v>28.748</v>
      </c>
      <c r="B863">
        <v>-275.8</v>
      </c>
      <c r="C863">
        <v>158.3</v>
      </c>
      <c r="E863">
        <v>28.715</v>
      </c>
      <c r="F863">
        <v>-271.2</v>
      </c>
      <c r="G863">
        <v>159.4</v>
      </c>
      <c r="I863">
        <f t="shared" si="39"/>
        <v>28.7</v>
      </c>
      <c r="J863">
        <f t="shared" si="40"/>
        <v>-68.2</v>
      </c>
      <c r="K863">
        <f t="shared" si="41"/>
        <v>-150</v>
      </c>
    </row>
    <row r="864" spans="1:11">
      <c r="A864">
        <v>28.781</v>
      </c>
      <c r="B864">
        <v>-280.9</v>
      </c>
      <c r="C864">
        <v>157.4</v>
      </c>
      <c r="E864">
        <v>28.748</v>
      </c>
      <c r="F864">
        <v>-275.8</v>
      </c>
      <c r="G864">
        <v>158.3</v>
      </c>
      <c r="I864">
        <f t="shared" si="39"/>
        <v>28.7</v>
      </c>
      <c r="J864">
        <f t="shared" si="40"/>
        <v>-72.8</v>
      </c>
      <c r="K864">
        <f t="shared" si="41"/>
        <v>-150</v>
      </c>
    </row>
    <row r="865" spans="1:11">
      <c r="A865">
        <v>28.815</v>
      </c>
      <c r="B865">
        <v>-284.8</v>
      </c>
      <c r="C865">
        <v>154.8</v>
      </c>
      <c r="E865">
        <v>28.781</v>
      </c>
      <c r="F865">
        <v>-280.9</v>
      </c>
      <c r="G865">
        <v>157.4</v>
      </c>
      <c r="I865">
        <f t="shared" si="39"/>
        <v>28.75</v>
      </c>
      <c r="J865">
        <f t="shared" si="40"/>
        <v>-77.9</v>
      </c>
      <c r="K865">
        <f t="shared" si="41"/>
        <v>-150</v>
      </c>
    </row>
    <row r="866" spans="1:11">
      <c r="A866">
        <v>28.848</v>
      </c>
      <c r="B866">
        <v>-288.5</v>
      </c>
      <c r="C866">
        <v>153.6</v>
      </c>
      <c r="E866">
        <v>28.815</v>
      </c>
      <c r="F866">
        <v>-284.8</v>
      </c>
      <c r="G866">
        <v>154.8</v>
      </c>
      <c r="I866">
        <f t="shared" si="39"/>
        <v>28.8</v>
      </c>
      <c r="J866">
        <f t="shared" si="40"/>
        <v>-81.8</v>
      </c>
      <c r="K866">
        <f t="shared" si="41"/>
        <v>-150</v>
      </c>
    </row>
    <row r="867" spans="1:11">
      <c r="A867">
        <v>28.882</v>
      </c>
      <c r="B867">
        <v>-292.2</v>
      </c>
      <c r="C867">
        <v>151.4</v>
      </c>
      <c r="E867">
        <v>28.848</v>
      </c>
      <c r="F867">
        <v>-288.5</v>
      </c>
      <c r="G867">
        <v>153.6</v>
      </c>
      <c r="I867">
        <f t="shared" si="39"/>
        <v>28.8</v>
      </c>
      <c r="J867">
        <f t="shared" si="40"/>
        <v>-85.5</v>
      </c>
      <c r="K867">
        <f t="shared" si="41"/>
        <v>-150</v>
      </c>
    </row>
    <row r="868" spans="1:11">
      <c r="A868">
        <v>28.915</v>
      </c>
      <c r="B868">
        <v>-295.6</v>
      </c>
      <c r="C868">
        <v>150</v>
      </c>
      <c r="E868">
        <v>28.882</v>
      </c>
      <c r="F868">
        <v>-292.2</v>
      </c>
      <c r="G868">
        <v>151.4</v>
      </c>
      <c r="I868">
        <f t="shared" si="39"/>
        <v>28.85</v>
      </c>
      <c r="J868">
        <f t="shared" si="40"/>
        <v>-89.2</v>
      </c>
      <c r="K868">
        <f t="shared" si="41"/>
        <v>-150</v>
      </c>
    </row>
    <row r="869" spans="1:11">
      <c r="A869">
        <v>28.949</v>
      </c>
      <c r="B869">
        <v>-297.9</v>
      </c>
      <c r="C869">
        <v>148</v>
      </c>
      <c r="E869">
        <v>28.915</v>
      </c>
      <c r="F869">
        <v>-295.6</v>
      </c>
      <c r="G869">
        <v>150</v>
      </c>
      <c r="I869">
        <f t="shared" si="39"/>
        <v>28.9</v>
      </c>
      <c r="J869">
        <f t="shared" si="40"/>
        <v>-92.6</v>
      </c>
      <c r="K869">
        <f t="shared" si="41"/>
        <v>-150</v>
      </c>
    </row>
    <row r="870" spans="1:11">
      <c r="A870">
        <v>28.982</v>
      </c>
      <c r="B870">
        <v>-299.9</v>
      </c>
      <c r="C870">
        <v>146.4</v>
      </c>
      <c r="E870">
        <v>28.949</v>
      </c>
      <c r="F870">
        <v>-297.9</v>
      </c>
      <c r="G870">
        <v>148</v>
      </c>
      <c r="I870">
        <f t="shared" si="39"/>
        <v>28.9</v>
      </c>
      <c r="J870">
        <f t="shared" si="40"/>
        <v>-94.9</v>
      </c>
      <c r="K870">
        <f t="shared" si="41"/>
        <v>-150</v>
      </c>
    </row>
    <row r="871" spans="1:11">
      <c r="A871">
        <v>29.015</v>
      </c>
      <c r="B871">
        <v>-301.4</v>
      </c>
      <c r="C871">
        <v>144.8</v>
      </c>
      <c r="E871">
        <v>28.982</v>
      </c>
      <c r="F871">
        <v>-299.9</v>
      </c>
      <c r="G871">
        <v>146.4</v>
      </c>
      <c r="I871">
        <f t="shared" si="39"/>
        <v>28.95</v>
      </c>
      <c r="J871">
        <f t="shared" si="40"/>
        <v>-96.9</v>
      </c>
      <c r="K871">
        <f t="shared" si="41"/>
        <v>-150</v>
      </c>
    </row>
    <row r="872" spans="1:11">
      <c r="A872">
        <v>29.049</v>
      </c>
      <c r="B872">
        <v>-302.4</v>
      </c>
      <c r="C872">
        <v>142.9</v>
      </c>
      <c r="E872">
        <v>29.015</v>
      </c>
      <c r="F872">
        <v>-301.4</v>
      </c>
      <c r="G872">
        <v>144.8</v>
      </c>
      <c r="I872">
        <f t="shared" si="39"/>
        <v>29</v>
      </c>
      <c r="J872">
        <f t="shared" si="40"/>
        <v>-98.4</v>
      </c>
      <c r="K872">
        <f t="shared" si="41"/>
        <v>-150</v>
      </c>
    </row>
    <row r="873" spans="1:11">
      <c r="A873">
        <v>29.082</v>
      </c>
      <c r="B873">
        <v>-302.9</v>
      </c>
      <c r="C873">
        <v>141.6</v>
      </c>
      <c r="E873">
        <v>29.049</v>
      </c>
      <c r="F873">
        <v>-302.4</v>
      </c>
      <c r="G873">
        <v>142.9</v>
      </c>
      <c r="I873">
        <f t="shared" si="39"/>
        <v>29</v>
      </c>
      <c r="J873">
        <f t="shared" si="40"/>
        <v>-99.4</v>
      </c>
      <c r="K873">
        <f t="shared" si="41"/>
        <v>-150</v>
      </c>
    </row>
    <row r="874" spans="1:11">
      <c r="A874">
        <v>29.116</v>
      </c>
      <c r="B874">
        <v>-303.1</v>
      </c>
      <c r="C874">
        <v>138.9</v>
      </c>
      <c r="E874">
        <v>29.082</v>
      </c>
      <c r="F874">
        <v>-302.9</v>
      </c>
      <c r="G874">
        <v>141.6</v>
      </c>
      <c r="I874">
        <f t="shared" si="39"/>
        <v>29.05</v>
      </c>
      <c r="J874">
        <f t="shared" si="40"/>
        <v>-99.9</v>
      </c>
      <c r="K874">
        <f t="shared" si="41"/>
        <v>-150</v>
      </c>
    </row>
    <row r="875" spans="1:11">
      <c r="A875">
        <v>29.149</v>
      </c>
      <c r="B875">
        <v>-302.4</v>
      </c>
      <c r="C875">
        <v>136.7</v>
      </c>
      <c r="E875">
        <v>29.116</v>
      </c>
      <c r="F875">
        <v>-303.1</v>
      </c>
      <c r="G875">
        <v>138.9</v>
      </c>
      <c r="I875">
        <f t="shared" si="39"/>
        <v>29.1</v>
      </c>
      <c r="J875">
        <f t="shared" si="40"/>
        <v>-100.1</v>
      </c>
      <c r="K875">
        <f t="shared" si="41"/>
        <v>-150</v>
      </c>
    </row>
    <row r="876" spans="1:11">
      <c r="A876">
        <v>29.183</v>
      </c>
      <c r="B876">
        <v>-301.6</v>
      </c>
      <c r="C876">
        <v>135.7</v>
      </c>
      <c r="E876">
        <v>29.149</v>
      </c>
      <c r="F876">
        <v>-302.4</v>
      </c>
      <c r="G876">
        <v>136.7</v>
      </c>
      <c r="I876">
        <f t="shared" si="39"/>
        <v>29.1</v>
      </c>
      <c r="J876">
        <f t="shared" si="40"/>
        <v>-99.4</v>
      </c>
      <c r="K876">
        <f t="shared" si="41"/>
        <v>-150</v>
      </c>
    </row>
    <row r="877" spans="1:11">
      <c r="A877">
        <v>29.216</v>
      </c>
      <c r="B877">
        <v>-300.1</v>
      </c>
      <c r="C877">
        <v>132.9</v>
      </c>
      <c r="E877">
        <v>29.183</v>
      </c>
      <c r="F877">
        <v>-301.6</v>
      </c>
      <c r="G877">
        <v>135.7</v>
      </c>
      <c r="I877">
        <f t="shared" si="39"/>
        <v>29.15</v>
      </c>
      <c r="J877">
        <f t="shared" si="40"/>
        <v>-98.6</v>
      </c>
      <c r="K877">
        <f t="shared" si="41"/>
        <v>-150</v>
      </c>
    </row>
    <row r="878" spans="1:11">
      <c r="A878">
        <v>29.249</v>
      </c>
      <c r="B878">
        <v>-298.2</v>
      </c>
      <c r="C878">
        <v>131.9</v>
      </c>
      <c r="E878">
        <v>29.216</v>
      </c>
      <c r="F878">
        <v>-300.1</v>
      </c>
      <c r="G878">
        <v>132.9</v>
      </c>
      <c r="I878">
        <f t="shared" si="39"/>
        <v>29.2</v>
      </c>
      <c r="J878">
        <f t="shared" si="40"/>
        <v>-97.1</v>
      </c>
      <c r="K878">
        <f t="shared" si="41"/>
        <v>-150</v>
      </c>
    </row>
    <row r="879" spans="1:11">
      <c r="A879">
        <v>29.283</v>
      </c>
      <c r="B879">
        <v>-295.8</v>
      </c>
      <c r="C879">
        <v>129.4</v>
      </c>
      <c r="E879">
        <v>29.249</v>
      </c>
      <c r="F879">
        <v>-298.2</v>
      </c>
      <c r="G879">
        <v>131.9</v>
      </c>
      <c r="I879">
        <f t="shared" si="39"/>
        <v>29.2</v>
      </c>
      <c r="J879">
        <f t="shared" si="40"/>
        <v>-95.2</v>
      </c>
      <c r="K879">
        <f t="shared" si="41"/>
        <v>-150</v>
      </c>
    </row>
    <row r="880" spans="1:11">
      <c r="A880">
        <v>29.316</v>
      </c>
      <c r="B880">
        <v>-292.8</v>
      </c>
      <c r="C880">
        <v>126.3</v>
      </c>
      <c r="E880">
        <v>29.283</v>
      </c>
      <c r="F880">
        <v>-295.8</v>
      </c>
      <c r="G880">
        <v>129.4</v>
      </c>
      <c r="I880">
        <f t="shared" si="39"/>
        <v>29.25</v>
      </c>
      <c r="J880">
        <f t="shared" si="40"/>
        <v>-92.8</v>
      </c>
      <c r="K880">
        <f t="shared" si="41"/>
        <v>-150</v>
      </c>
    </row>
    <row r="881" spans="1:11">
      <c r="A881">
        <v>29.35</v>
      </c>
      <c r="B881">
        <v>-289.1</v>
      </c>
      <c r="C881">
        <v>237.4</v>
      </c>
      <c r="E881">
        <v>29.316</v>
      </c>
      <c r="F881">
        <v>-292.8</v>
      </c>
      <c r="G881">
        <v>126.3</v>
      </c>
      <c r="I881">
        <f t="shared" si="39"/>
        <v>29.3</v>
      </c>
      <c r="J881">
        <f t="shared" si="40"/>
        <v>-89.8</v>
      </c>
      <c r="K881">
        <f t="shared" si="41"/>
        <v>-150</v>
      </c>
    </row>
    <row r="882" spans="1:11">
      <c r="A882">
        <v>29.383</v>
      </c>
      <c r="B882">
        <v>-285.8</v>
      </c>
      <c r="C882">
        <v>238.3</v>
      </c>
      <c r="E882">
        <v>29.35</v>
      </c>
      <c r="F882">
        <v>-289.1</v>
      </c>
      <c r="G882">
        <v>237.4</v>
      </c>
      <c r="I882">
        <f t="shared" si="39"/>
        <v>29.35</v>
      </c>
      <c r="J882">
        <f t="shared" si="40"/>
        <v>-86.1</v>
      </c>
      <c r="K882">
        <f t="shared" si="41"/>
        <v>100</v>
      </c>
    </row>
    <row r="883" spans="1:11">
      <c r="A883">
        <v>29.417</v>
      </c>
      <c r="B883">
        <v>-282</v>
      </c>
      <c r="C883">
        <v>238.3</v>
      </c>
      <c r="E883">
        <v>29.383</v>
      </c>
      <c r="F883">
        <v>-285.8</v>
      </c>
      <c r="G883">
        <v>238.3</v>
      </c>
      <c r="I883">
        <f t="shared" si="39"/>
        <v>29.35</v>
      </c>
      <c r="J883">
        <f t="shared" si="40"/>
        <v>-82.8</v>
      </c>
      <c r="K883">
        <f t="shared" si="41"/>
        <v>100</v>
      </c>
    </row>
    <row r="884" spans="1:11">
      <c r="A884">
        <v>29.45</v>
      </c>
      <c r="B884">
        <v>-277.9</v>
      </c>
      <c r="C884">
        <v>238.3</v>
      </c>
      <c r="E884">
        <v>29.417</v>
      </c>
      <c r="F884">
        <v>-282</v>
      </c>
      <c r="G884">
        <v>238.3</v>
      </c>
      <c r="I884">
        <f t="shared" si="39"/>
        <v>29.4</v>
      </c>
      <c r="J884">
        <f t="shared" si="40"/>
        <v>-79</v>
      </c>
      <c r="K884">
        <f t="shared" si="41"/>
        <v>100</v>
      </c>
    </row>
    <row r="885" spans="1:11">
      <c r="A885">
        <v>29.483</v>
      </c>
      <c r="B885">
        <v>-273.4</v>
      </c>
      <c r="C885">
        <v>238.3</v>
      </c>
      <c r="E885">
        <v>29.45</v>
      </c>
      <c r="F885">
        <v>-277.9</v>
      </c>
      <c r="G885">
        <v>238.3</v>
      </c>
      <c r="I885">
        <f t="shared" si="39"/>
        <v>29.45</v>
      </c>
      <c r="J885">
        <f t="shared" si="40"/>
        <v>-74.9</v>
      </c>
      <c r="K885">
        <f t="shared" si="41"/>
        <v>100</v>
      </c>
    </row>
    <row r="886" spans="1:11">
      <c r="A886">
        <v>29.517</v>
      </c>
      <c r="B886">
        <v>-269.1</v>
      </c>
      <c r="C886">
        <v>238.3</v>
      </c>
      <c r="E886">
        <v>29.483</v>
      </c>
      <c r="F886">
        <v>-273.4</v>
      </c>
      <c r="G886">
        <v>238.3</v>
      </c>
      <c r="I886">
        <f t="shared" si="39"/>
        <v>29.45</v>
      </c>
      <c r="J886">
        <f t="shared" si="40"/>
        <v>-70.4</v>
      </c>
      <c r="K886">
        <f t="shared" si="41"/>
        <v>100</v>
      </c>
    </row>
    <row r="887" spans="1:11">
      <c r="A887">
        <v>29.55</v>
      </c>
      <c r="B887">
        <v>-265.1</v>
      </c>
      <c r="C887">
        <v>238.3</v>
      </c>
      <c r="E887">
        <v>29.517</v>
      </c>
      <c r="F887">
        <v>-269.1</v>
      </c>
      <c r="G887">
        <v>238.3</v>
      </c>
      <c r="I887">
        <f t="shared" si="39"/>
        <v>29.5</v>
      </c>
      <c r="J887">
        <f t="shared" si="40"/>
        <v>-66.1</v>
      </c>
      <c r="K887">
        <f t="shared" si="41"/>
        <v>100</v>
      </c>
    </row>
    <row r="888" spans="1:11">
      <c r="A888">
        <v>29.584</v>
      </c>
      <c r="B888">
        <v>-260.7</v>
      </c>
      <c r="C888">
        <v>238.3</v>
      </c>
      <c r="E888">
        <v>29.55</v>
      </c>
      <c r="F888">
        <v>-265.1</v>
      </c>
      <c r="G888">
        <v>238.3</v>
      </c>
      <c r="I888">
        <f t="shared" si="39"/>
        <v>29.55</v>
      </c>
      <c r="J888">
        <f t="shared" si="40"/>
        <v>-62.1</v>
      </c>
      <c r="K888">
        <f t="shared" si="41"/>
        <v>100</v>
      </c>
    </row>
    <row r="889" spans="1:11">
      <c r="A889">
        <v>29.617</v>
      </c>
      <c r="B889">
        <v>-257.1</v>
      </c>
      <c r="C889">
        <v>238.3</v>
      </c>
      <c r="E889">
        <v>29.584</v>
      </c>
      <c r="F889">
        <v>-260.7</v>
      </c>
      <c r="G889">
        <v>238.3</v>
      </c>
      <c r="I889">
        <f t="shared" si="39"/>
        <v>29.55</v>
      </c>
      <c r="J889">
        <f t="shared" si="40"/>
        <v>-57.7</v>
      </c>
      <c r="K889">
        <f t="shared" si="41"/>
        <v>100</v>
      </c>
    </row>
    <row r="890" spans="1:11">
      <c r="A890">
        <v>29.651</v>
      </c>
      <c r="B890">
        <v>-253.2</v>
      </c>
      <c r="C890">
        <v>238.3</v>
      </c>
      <c r="E890">
        <v>29.617</v>
      </c>
      <c r="F890">
        <v>-257.1</v>
      </c>
      <c r="G890">
        <v>238.3</v>
      </c>
      <c r="I890">
        <f t="shared" si="39"/>
        <v>29.6</v>
      </c>
      <c r="J890">
        <f t="shared" si="40"/>
        <v>-54.1</v>
      </c>
      <c r="K890">
        <f t="shared" si="41"/>
        <v>100</v>
      </c>
    </row>
    <row r="891" spans="1:11">
      <c r="A891">
        <v>29.684</v>
      </c>
      <c r="B891">
        <v>-249.4</v>
      </c>
      <c r="C891">
        <v>238.3</v>
      </c>
      <c r="E891">
        <v>29.651</v>
      </c>
      <c r="F891">
        <v>-253.2</v>
      </c>
      <c r="G891">
        <v>238.3</v>
      </c>
      <c r="I891">
        <f t="shared" si="39"/>
        <v>29.65</v>
      </c>
      <c r="J891">
        <f t="shared" si="40"/>
        <v>-50.2</v>
      </c>
      <c r="K891">
        <f t="shared" si="41"/>
        <v>100</v>
      </c>
    </row>
    <row r="892" spans="1:11">
      <c r="A892">
        <v>29.717</v>
      </c>
      <c r="B892">
        <v>-246.1</v>
      </c>
      <c r="C892">
        <v>238.3</v>
      </c>
      <c r="E892">
        <v>29.684</v>
      </c>
      <c r="F892">
        <v>-249.4</v>
      </c>
      <c r="G892">
        <v>238.3</v>
      </c>
      <c r="I892">
        <f t="shared" si="39"/>
        <v>29.65</v>
      </c>
      <c r="J892">
        <f t="shared" si="40"/>
        <v>-46.4</v>
      </c>
      <c r="K892">
        <f t="shared" si="41"/>
        <v>100</v>
      </c>
    </row>
    <row r="893" spans="1:11">
      <c r="A893">
        <v>29.751</v>
      </c>
      <c r="B893">
        <v>-243.3</v>
      </c>
      <c r="C893">
        <v>238.3</v>
      </c>
      <c r="E893">
        <v>29.717</v>
      </c>
      <c r="F893">
        <v>-246.1</v>
      </c>
      <c r="G893">
        <v>238.3</v>
      </c>
      <c r="I893">
        <f t="shared" si="39"/>
        <v>29.7</v>
      </c>
      <c r="J893">
        <f t="shared" si="40"/>
        <v>-43.1</v>
      </c>
      <c r="K893">
        <f t="shared" si="41"/>
        <v>100</v>
      </c>
    </row>
    <row r="894" spans="1:11">
      <c r="A894">
        <v>29.784</v>
      </c>
      <c r="B894">
        <v>-240.7</v>
      </c>
      <c r="C894">
        <v>238.3</v>
      </c>
      <c r="E894">
        <v>29.751</v>
      </c>
      <c r="F894">
        <v>-243.3</v>
      </c>
      <c r="G894">
        <v>238.3</v>
      </c>
      <c r="I894">
        <f t="shared" si="39"/>
        <v>29.75</v>
      </c>
      <c r="J894">
        <f t="shared" si="40"/>
        <v>-40.3</v>
      </c>
      <c r="K894">
        <f t="shared" si="41"/>
        <v>100</v>
      </c>
    </row>
    <row r="895" spans="1:11">
      <c r="A895">
        <v>29.818</v>
      </c>
      <c r="B895">
        <v>-238</v>
      </c>
      <c r="C895">
        <v>238.3</v>
      </c>
      <c r="E895">
        <v>29.784</v>
      </c>
      <c r="F895">
        <v>-240.7</v>
      </c>
      <c r="G895">
        <v>238.3</v>
      </c>
      <c r="I895">
        <f t="shared" si="39"/>
        <v>29.75</v>
      </c>
      <c r="J895">
        <f t="shared" si="40"/>
        <v>-37.7</v>
      </c>
      <c r="K895">
        <f t="shared" si="41"/>
        <v>100</v>
      </c>
    </row>
    <row r="896" spans="1:11">
      <c r="A896">
        <v>29.851</v>
      </c>
      <c r="B896">
        <v>-236.3</v>
      </c>
      <c r="C896">
        <v>238.3</v>
      </c>
      <c r="E896">
        <v>29.818</v>
      </c>
      <c r="F896">
        <v>-238</v>
      </c>
      <c r="G896">
        <v>238.3</v>
      </c>
      <c r="I896">
        <f t="shared" si="39"/>
        <v>29.8</v>
      </c>
      <c r="J896">
        <f t="shared" si="40"/>
        <v>-35</v>
      </c>
      <c r="K896">
        <f t="shared" si="41"/>
        <v>100</v>
      </c>
    </row>
    <row r="897" spans="1:11">
      <c r="A897">
        <v>29.885</v>
      </c>
      <c r="B897">
        <v>-234.6</v>
      </c>
      <c r="C897">
        <v>238.2</v>
      </c>
      <c r="E897">
        <v>29.851</v>
      </c>
      <c r="F897">
        <v>-236.3</v>
      </c>
      <c r="G897">
        <v>238.3</v>
      </c>
      <c r="I897">
        <f t="shared" si="39"/>
        <v>29.85</v>
      </c>
      <c r="J897">
        <f t="shared" si="40"/>
        <v>-33.3</v>
      </c>
      <c r="K897">
        <f t="shared" si="41"/>
        <v>100</v>
      </c>
    </row>
    <row r="898" spans="1:11">
      <c r="A898">
        <v>29.918</v>
      </c>
      <c r="B898">
        <v>-233.1</v>
      </c>
      <c r="C898">
        <v>238.2</v>
      </c>
      <c r="E898">
        <v>29.885</v>
      </c>
      <c r="F898">
        <v>-234.6</v>
      </c>
      <c r="G898">
        <v>238.2</v>
      </c>
      <c r="I898">
        <f t="shared" si="39"/>
        <v>29.85</v>
      </c>
      <c r="J898">
        <f t="shared" si="40"/>
        <v>-31.6</v>
      </c>
      <c r="K898">
        <f t="shared" si="41"/>
        <v>100</v>
      </c>
    </row>
    <row r="899" spans="1:11">
      <c r="A899">
        <v>29.951</v>
      </c>
      <c r="B899">
        <v>-232</v>
      </c>
      <c r="C899">
        <v>238.2</v>
      </c>
      <c r="E899">
        <v>29.918</v>
      </c>
      <c r="F899">
        <v>-233.1</v>
      </c>
      <c r="G899">
        <v>238.2</v>
      </c>
      <c r="I899">
        <f t="shared" si="39"/>
        <v>29.9</v>
      </c>
      <c r="J899">
        <f t="shared" si="40"/>
        <v>-30.1</v>
      </c>
      <c r="K899">
        <f t="shared" si="41"/>
        <v>100</v>
      </c>
    </row>
    <row r="900" spans="1:11">
      <c r="A900">
        <v>29.985</v>
      </c>
      <c r="B900">
        <v>-231.6</v>
      </c>
      <c r="C900">
        <v>238.2</v>
      </c>
      <c r="E900">
        <v>29.951</v>
      </c>
      <c r="F900">
        <v>-232</v>
      </c>
      <c r="G900">
        <v>238.2</v>
      </c>
      <c r="I900">
        <f t="shared" ref="I900:I963" si="42">FLOOR(E900,0.05)</f>
        <v>29.95</v>
      </c>
      <c r="J900">
        <f t="shared" ref="J900:J963" si="43">F900+203</f>
        <v>-29</v>
      </c>
      <c r="K900">
        <f t="shared" si="41"/>
        <v>100</v>
      </c>
    </row>
    <row r="901" spans="1:11">
      <c r="A901">
        <v>30.018</v>
      </c>
      <c r="B901">
        <v>-231.5</v>
      </c>
      <c r="C901">
        <v>238.2</v>
      </c>
      <c r="E901">
        <v>29.985</v>
      </c>
      <c r="F901">
        <v>-231.6</v>
      </c>
      <c r="G901">
        <v>238.2</v>
      </c>
      <c r="I901">
        <f t="shared" si="42"/>
        <v>29.95</v>
      </c>
      <c r="J901">
        <f t="shared" si="43"/>
        <v>-28.6</v>
      </c>
      <c r="K901">
        <f t="shared" ref="K901:K964" si="44">IF(G901&lt;230,-150,100)</f>
        <v>100</v>
      </c>
    </row>
    <row r="902" spans="1:11">
      <c r="A902">
        <v>30.052</v>
      </c>
      <c r="B902">
        <v>-231.7</v>
      </c>
      <c r="C902">
        <v>238.3</v>
      </c>
      <c r="E902">
        <v>30.018</v>
      </c>
      <c r="F902">
        <v>-231.5</v>
      </c>
      <c r="G902">
        <v>238.2</v>
      </c>
      <c r="I902">
        <f t="shared" si="42"/>
        <v>30</v>
      </c>
      <c r="J902">
        <f t="shared" si="43"/>
        <v>-28.5</v>
      </c>
      <c r="K902">
        <f t="shared" si="44"/>
        <v>100</v>
      </c>
    </row>
    <row r="903" spans="1:11">
      <c r="A903">
        <v>30.085</v>
      </c>
      <c r="B903">
        <v>-232.7</v>
      </c>
      <c r="C903">
        <v>238.3</v>
      </c>
      <c r="E903">
        <v>30.052</v>
      </c>
      <c r="F903">
        <v>-231.7</v>
      </c>
      <c r="G903">
        <v>238.3</v>
      </c>
      <c r="I903">
        <f t="shared" si="42"/>
        <v>30.05</v>
      </c>
      <c r="J903">
        <f t="shared" si="43"/>
        <v>-28.7</v>
      </c>
      <c r="K903">
        <f t="shared" si="44"/>
        <v>100</v>
      </c>
    </row>
    <row r="904" spans="1:11">
      <c r="A904">
        <v>30.119</v>
      </c>
      <c r="B904">
        <v>-233.8</v>
      </c>
      <c r="C904">
        <v>147.7</v>
      </c>
      <c r="E904">
        <v>30.085</v>
      </c>
      <c r="F904">
        <v>-232.7</v>
      </c>
      <c r="G904">
        <v>238.3</v>
      </c>
      <c r="I904">
        <f t="shared" si="42"/>
        <v>30.05</v>
      </c>
      <c r="J904">
        <f t="shared" si="43"/>
        <v>-29.7</v>
      </c>
      <c r="K904">
        <f t="shared" si="44"/>
        <v>100</v>
      </c>
    </row>
    <row r="905" spans="1:11">
      <c r="A905">
        <v>30.152</v>
      </c>
      <c r="B905">
        <v>-235.8</v>
      </c>
      <c r="C905">
        <v>161.8</v>
      </c>
      <c r="E905">
        <v>30.119</v>
      </c>
      <c r="F905">
        <v>-233.8</v>
      </c>
      <c r="G905">
        <v>147.7</v>
      </c>
      <c r="I905">
        <f t="shared" si="42"/>
        <v>30.1</v>
      </c>
      <c r="J905">
        <f t="shared" si="43"/>
        <v>-30.8</v>
      </c>
      <c r="K905">
        <f t="shared" si="44"/>
        <v>-150</v>
      </c>
    </row>
    <row r="906" spans="1:11">
      <c r="A906">
        <v>30.185</v>
      </c>
      <c r="B906">
        <v>-237.5</v>
      </c>
      <c r="C906">
        <v>161.6</v>
      </c>
      <c r="E906">
        <v>30.152</v>
      </c>
      <c r="F906">
        <v>-235.8</v>
      </c>
      <c r="G906">
        <v>161.8</v>
      </c>
      <c r="I906">
        <f t="shared" si="42"/>
        <v>30.15</v>
      </c>
      <c r="J906">
        <f t="shared" si="43"/>
        <v>-32.8</v>
      </c>
      <c r="K906">
        <f t="shared" si="44"/>
        <v>-150</v>
      </c>
    </row>
    <row r="907" spans="1:11">
      <c r="A907">
        <v>30.219</v>
      </c>
      <c r="B907">
        <v>-240.1</v>
      </c>
      <c r="C907">
        <v>157.8</v>
      </c>
      <c r="E907">
        <v>30.185</v>
      </c>
      <c r="F907">
        <v>-237.5</v>
      </c>
      <c r="G907">
        <v>161.6</v>
      </c>
      <c r="I907">
        <f t="shared" si="42"/>
        <v>30.15</v>
      </c>
      <c r="J907">
        <f t="shared" si="43"/>
        <v>-34.5</v>
      </c>
      <c r="K907">
        <f t="shared" si="44"/>
        <v>-150</v>
      </c>
    </row>
    <row r="908" spans="1:11">
      <c r="A908">
        <v>30.252</v>
      </c>
      <c r="B908">
        <v>-242.8</v>
      </c>
      <c r="C908">
        <v>157.2</v>
      </c>
      <c r="E908">
        <v>30.219</v>
      </c>
      <c r="F908">
        <v>-240.1</v>
      </c>
      <c r="G908">
        <v>157.8</v>
      </c>
      <c r="I908">
        <f t="shared" si="42"/>
        <v>30.2</v>
      </c>
      <c r="J908">
        <f t="shared" si="43"/>
        <v>-37.1</v>
      </c>
      <c r="K908">
        <f t="shared" si="44"/>
        <v>-150</v>
      </c>
    </row>
    <row r="909" spans="1:11">
      <c r="A909">
        <v>30.286</v>
      </c>
      <c r="B909">
        <v>-245.5</v>
      </c>
      <c r="C909">
        <v>156</v>
      </c>
      <c r="E909">
        <v>30.252</v>
      </c>
      <c r="F909">
        <v>-242.8</v>
      </c>
      <c r="G909">
        <v>157.2</v>
      </c>
      <c r="I909">
        <f t="shared" si="42"/>
        <v>30.25</v>
      </c>
      <c r="J909">
        <f t="shared" si="43"/>
        <v>-39.8</v>
      </c>
      <c r="K909">
        <f t="shared" si="44"/>
        <v>-150</v>
      </c>
    </row>
    <row r="910" spans="1:11">
      <c r="A910">
        <v>30.319</v>
      </c>
      <c r="B910">
        <v>-248.8</v>
      </c>
      <c r="C910">
        <v>153.2</v>
      </c>
      <c r="E910">
        <v>30.286</v>
      </c>
      <c r="F910">
        <v>-245.5</v>
      </c>
      <c r="G910">
        <v>156</v>
      </c>
      <c r="I910">
        <f t="shared" si="42"/>
        <v>30.25</v>
      </c>
      <c r="J910">
        <f t="shared" si="43"/>
        <v>-42.5</v>
      </c>
      <c r="K910">
        <f t="shared" si="44"/>
        <v>-150</v>
      </c>
    </row>
    <row r="911" spans="1:11">
      <c r="A911">
        <v>30.353</v>
      </c>
      <c r="B911">
        <v>-251.9</v>
      </c>
      <c r="C911">
        <v>152.5</v>
      </c>
      <c r="E911">
        <v>30.319</v>
      </c>
      <c r="F911">
        <v>-248.8</v>
      </c>
      <c r="G911">
        <v>153.2</v>
      </c>
      <c r="I911">
        <f t="shared" si="42"/>
        <v>30.3</v>
      </c>
      <c r="J911">
        <f t="shared" si="43"/>
        <v>-45.8</v>
      </c>
      <c r="K911">
        <f t="shared" si="44"/>
        <v>-150</v>
      </c>
    </row>
    <row r="912" spans="1:11">
      <c r="A912">
        <v>30.386</v>
      </c>
      <c r="B912">
        <v>-256.1</v>
      </c>
      <c r="C912">
        <v>150.5</v>
      </c>
      <c r="E912">
        <v>30.353</v>
      </c>
      <c r="F912">
        <v>-251.9</v>
      </c>
      <c r="G912">
        <v>152.5</v>
      </c>
      <c r="I912">
        <f t="shared" si="42"/>
        <v>30.35</v>
      </c>
      <c r="J912">
        <f t="shared" si="43"/>
        <v>-48.9</v>
      </c>
      <c r="K912">
        <f t="shared" si="44"/>
        <v>-150</v>
      </c>
    </row>
    <row r="913" spans="1:11">
      <c r="A913">
        <v>30.419</v>
      </c>
      <c r="B913">
        <v>-259.6</v>
      </c>
      <c r="C913">
        <v>148.9</v>
      </c>
      <c r="E913">
        <v>30.386</v>
      </c>
      <c r="F913">
        <v>-256.1</v>
      </c>
      <c r="G913">
        <v>150.5</v>
      </c>
      <c r="I913">
        <f t="shared" si="42"/>
        <v>30.35</v>
      </c>
      <c r="J913">
        <f t="shared" si="43"/>
        <v>-53.1</v>
      </c>
      <c r="K913">
        <f t="shared" si="44"/>
        <v>-150</v>
      </c>
    </row>
    <row r="914" spans="1:11">
      <c r="A914">
        <v>30.453</v>
      </c>
      <c r="B914">
        <v>-263.3</v>
      </c>
      <c r="C914">
        <v>146.5</v>
      </c>
      <c r="E914">
        <v>30.419</v>
      </c>
      <c r="F914">
        <v>-259.6</v>
      </c>
      <c r="G914">
        <v>148.9</v>
      </c>
      <c r="I914">
        <f t="shared" si="42"/>
        <v>30.4</v>
      </c>
      <c r="J914">
        <f t="shared" si="43"/>
        <v>-56.6</v>
      </c>
      <c r="K914">
        <f t="shared" si="44"/>
        <v>-150</v>
      </c>
    </row>
    <row r="915" spans="1:11">
      <c r="A915">
        <v>30.486</v>
      </c>
      <c r="B915">
        <v>-267.5</v>
      </c>
      <c r="C915">
        <v>145</v>
      </c>
      <c r="E915">
        <v>30.453</v>
      </c>
      <c r="F915">
        <v>-263.3</v>
      </c>
      <c r="G915">
        <v>146.5</v>
      </c>
      <c r="I915">
        <f t="shared" si="42"/>
        <v>30.45</v>
      </c>
      <c r="J915">
        <f t="shared" si="43"/>
        <v>-60.3</v>
      </c>
      <c r="K915">
        <f t="shared" si="44"/>
        <v>-150</v>
      </c>
    </row>
    <row r="916" spans="1:11">
      <c r="A916">
        <v>30.52</v>
      </c>
      <c r="B916">
        <v>-271.2</v>
      </c>
      <c r="C916">
        <v>143.1</v>
      </c>
      <c r="E916">
        <v>30.486</v>
      </c>
      <c r="F916">
        <v>-267.5</v>
      </c>
      <c r="G916">
        <v>145</v>
      </c>
      <c r="I916">
        <f t="shared" si="42"/>
        <v>30.45</v>
      </c>
      <c r="J916">
        <f t="shared" si="43"/>
        <v>-64.5</v>
      </c>
      <c r="K916">
        <f t="shared" si="44"/>
        <v>-150</v>
      </c>
    </row>
    <row r="917" spans="1:11">
      <c r="A917">
        <v>30.553</v>
      </c>
      <c r="B917">
        <v>-275.3</v>
      </c>
      <c r="C917">
        <v>141.5</v>
      </c>
      <c r="E917">
        <v>30.52</v>
      </c>
      <c r="F917">
        <v>-271.2</v>
      </c>
      <c r="G917">
        <v>143.1</v>
      </c>
      <c r="I917">
        <f t="shared" si="42"/>
        <v>30.5</v>
      </c>
      <c r="J917">
        <f t="shared" si="43"/>
        <v>-68.2</v>
      </c>
      <c r="K917">
        <f t="shared" si="44"/>
        <v>-150</v>
      </c>
    </row>
    <row r="918" spans="1:11">
      <c r="A918">
        <v>30.587</v>
      </c>
      <c r="B918">
        <v>-279.2</v>
      </c>
      <c r="C918">
        <v>139.3</v>
      </c>
      <c r="E918">
        <v>30.553</v>
      </c>
      <c r="F918">
        <v>-275.3</v>
      </c>
      <c r="G918">
        <v>141.5</v>
      </c>
      <c r="I918">
        <f t="shared" si="42"/>
        <v>30.55</v>
      </c>
      <c r="J918">
        <f t="shared" si="43"/>
        <v>-72.3</v>
      </c>
      <c r="K918">
        <f t="shared" si="44"/>
        <v>-150</v>
      </c>
    </row>
    <row r="919" spans="1:11">
      <c r="A919">
        <v>30.62</v>
      </c>
      <c r="B919">
        <v>-282.8</v>
      </c>
      <c r="C919">
        <v>137.9</v>
      </c>
      <c r="E919">
        <v>30.587</v>
      </c>
      <c r="F919">
        <v>-279.2</v>
      </c>
      <c r="G919">
        <v>139.3</v>
      </c>
      <c r="I919">
        <f t="shared" si="42"/>
        <v>30.55</v>
      </c>
      <c r="J919">
        <f t="shared" si="43"/>
        <v>-76.2</v>
      </c>
      <c r="K919">
        <f t="shared" si="44"/>
        <v>-150</v>
      </c>
    </row>
    <row r="920" spans="1:11">
      <c r="A920">
        <v>30.653</v>
      </c>
      <c r="B920">
        <v>-286</v>
      </c>
      <c r="C920">
        <v>136.3</v>
      </c>
      <c r="E920">
        <v>30.62</v>
      </c>
      <c r="F920">
        <v>-282.8</v>
      </c>
      <c r="G920">
        <v>137.9</v>
      </c>
      <c r="I920">
        <f t="shared" si="42"/>
        <v>30.6</v>
      </c>
      <c r="J920">
        <f t="shared" si="43"/>
        <v>-79.8</v>
      </c>
      <c r="K920">
        <f t="shared" si="44"/>
        <v>-150</v>
      </c>
    </row>
    <row r="921" spans="1:11">
      <c r="A921">
        <v>30.687</v>
      </c>
      <c r="B921">
        <v>-288.8</v>
      </c>
      <c r="C921">
        <v>133.9</v>
      </c>
      <c r="E921">
        <v>30.653</v>
      </c>
      <c r="F921">
        <v>-286</v>
      </c>
      <c r="G921">
        <v>136.3</v>
      </c>
      <c r="I921">
        <f t="shared" si="42"/>
        <v>30.65</v>
      </c>
      <c r="J921">
        <f t="shared" si="43"/>
        <v>-83</v>
      </c>
      <c r="K921">
        <f t="shared" si="44"/>
        <v>-150</v>
      </c>
    </row>
    <row r="922" spans="1:11">
      <c r="A922">
        <v>30.72</v>
      </c>
      <c r="B922">
        <v>-291.5</v>
      </c>
      <c r="C922">
        <v>131.5</v>
      </c>
      <c r="E922">
        <v>30.687</v>
      </c>
      <c r="F922">
        <v>-288.8</v>
      </c>
      <c r="G922">
        <v>133.9</v>
      </c>
      <c r="I922">
        <f t="shared" si="42"/>
        <v>30.65</v>
      </c>
      <c r="J922">
        <f t="shared" si="43"/>
        <v>-85.8</v>
      </c>
      <c r="K922">
        <f t="shared" si="44"/>
        <v>-150</v>
      </c>
    </row>
    <row r="923" spans="1:11">
      <c r="A923">
        <v>30.754</v>
      </c>
      <c r="B923">
        <v>-293.8</v>
      </c>
      <c r="C923">
        <v>130</v>
      </c>
      <c r="E923">
        <v>30.72</v>
      </c>
      <c r="F923">
        <v>-291.5</v>
      </c>
      <c r="G923">
        <v>131.5</v>
      </c>
      <c r="I923">
        <f t="shared" si="42"/>
        <v>30.7</v>
      </c>
      <c r="J923">
        <f t="shared" si="43"/>
        <v>-88.5</v>
      </c>
      <c r="K923">
        <f t="shared" si="44"/>
        <v>-150</v>
      </c>
    </row>
    <row r="924" spans="1:11">
      <c r="A924">
        <v>30.787</v>
      </c>
      <c r="B924">
        <v>-295.7</v>
      </c>
      <c r="C924">
        <v>127.8</v>
      </c>
      <c r="E924">
        <v>30.754</v>
      </c>
      <c r="F924">
        <v>-293.8</v>
      </c>
      <c r="G924">
        <v>130</v>
      </c>
      <c r="I924">
        <f t="shared" si="42"/>
        <v>30.75</v>
      </c>
      <c r="J924">
        <f t="shared" si="43"/>
        <v>-90.8</v>
      </c>
      <c r="K924">
        <f t="shared" si="44"/>
        <v>-150</v>
      </c>
    </row>
    <row r="925" spans="1:11">
      <c r="A925">
        <v>30.821</v>
      </c>
      <c r="B925">
        <v>-297.2</v>
      </c>
      <c r="C925">
        <v>126</v>
      </c>
      <c r="E925">
        <v>30.787</v>
      </c>
      <c r="F925">
        <v>-295.7</v>
      </c>
      <c r="G925">
        <v>127.8</v>
      </c>
      <c r="I925">
        <f t="shared" si="42"/>
        <v>30.75</v>
      </c>
      <c r="J925">
        <f t="shared" si="43"/>
        <v>-92.7</v>
      </c>
      <c r="K925">
        <f t="shared" si="44"/>
        <v>-150</v>
      </c>
    </row>
    <row r="926" spans="1:11">
      <c r="A926">
        <v>30.854</v>
      </c>
      <c r="B926">
        <v>-297.9</v>
      </c>
      <c r="C926">
        <v>238.2</v>
      </c>
      <c r="E926">
        <v>30.821</v>
      </c>
      <c r="F926">
        <v>-297.2</v>
      </c>
      <c r="G926">
        <v>126</v>
      </c>
      <c r="I926">
        <f t="shared" si="42"/>
        <v>30.8</v>
      </c>
      <c r="J926">
        <f t="shared" si="43"/>
        <v>-94.2</v>
      </c>
      <c r="K926">
        <f t="shared" si="44"/>
        <v>-150</v>
      </c>
    </row>
    <row r="927" spans="1:11">
      <c r="A927">
        <v>30.887</v>
      </c>
      <c r="B927">
        <v>-298.3</v>
      </c>
      <c r="C927">
        <v>238.4</v>
      </c>
      <c r="E927">
        <v>30.854</v>
      </c>
      <c r="F927">
        <v>-297.9</v>
      </c>
      <c r="G927">
        <v>238.2</v>
      </c>
      <c r="I927">
        <f t="shared" si="42"/>
        <v>30.85</v>
      </c>
      <c r="J927">
        <f t="shared" si="43"/>
        <v>-94.9</v>
      </c>
      <c r="K927">
        <f t="shared" si="44"/>
        <v>100</v>
      </c>
    </row>
    <row r="928" spans="1:11">
      <c r="A928">
        <v>30.921</v>
      </c>
      <c r="B928">
        <v>-298.5</v>
      </c>
      <c r="C928">
        <v>238.4</v>
      </c>
      <c r="E928">
        <v>30.887</v>
      </c>
      <c r="F928">
        <v>-298.3</v>
      </c>
      <c r="G928">
        <v>238.4</v>
      </c>
      <c r="I928">
        <f t="shared" si="42"/>
        <v>30.85</v>
      </c>
      <c r="J928">
        <f t="shared" si="43"/>
        <v>-95.3</v>
      </c>
      <c r="K928">
        <f t="shared" si="44"/>
        <v>100</v>
      </c>
    </row>
    <row r="929" spans="1:11">
      <c r="A929">
        <v>30.954</v>
      </c>
      <c r="B929">
        <v>-298.2</v>
      </c>
      <c r="C929">
        <v>238.4</v>
      </c>
      <c r="E929">
        <v>30.921</v>
      </c>
      <c r="F929">
        <v>-298.5</v>
      </c>
      <c r="G929">
        <v>238.4</v>
      </c>
      <c r="I929">
        <f t="shared" si="42"/>
        <v>30.9</v>
      </c>
      <c r="J929">
        <f t="shared" si="43"/>
        <v>-95.5</v>
      </c>
      <c r="K929">
        <f t="shared" si="44"/>
        <v>100</v>
      </c>
    </row>
    <row r="930" spans="1:11">
      <c r="A930">
        <v>30.988</v>
      </c>
      <c r="B930">
        <v>-297.9</v>
      </c>
      <c r="C930">
        <v>238.4</v>
      </c>
      <c r="E930">
        <v>30.954</v>
      </c>
      <c r="F930">
        <v>-298.2</v>
      </c>
      <c r="G930">
        <v>238.4</v>
      </c>
      <c r="I930">
        <f t="shared" si="42"/>
        <v>30.95</v>
      </c>
      <c r="J930">
        <f t="shared" si="43"/>
        <v>-95.2</v>
      </c>
      <c r="K930">
        <f t="shared" si="44"/>
        <v>100</v>
      </c>
    </row>
    <row r="931" spans="1:11">
      <c r="A931">
        <v>31.021</v>
      </c>
      <c r="B931">
        <v>-297.3</v>
      </c>
      <c r="C931">
        <v>238.4</v>
      </c>
      <c r="E931">
        <v>30.988</v>
      </c>
      <c r="F931">
        <v>-297.9</v>
      </c>
      <c r="G931">
        <v>238.4</v>
      </c>
      <c r="I931">
        <f t="shared" si="42"/>
        <v>30.95</v>
      </c>
      <c r="J931">
        <f t="shared" si="43"/>
        <v>-94.9</v>
      </c>
      <c r="K931">
        <f t="shared" si="44"/>
        <v>100</v>
      </c>
    </row>
    <row r="932" spans="1:11">
      <c r="A932">
        <v>31.055</v>
      </c>
      <c r="B932">
        <v>-296</v>
      </c>
      <c r="C932">
        <v>238.4</v>
      </c>
      <c r="E932">
        <v>31.021</v>
      </c>
      <c r="F932">
        <v>-297.3</v>
      </c>
      <c r="G932">
        <v>238.4</v>
      </c>
      <c r="I932">
        <f t="shared" si="42"/>
        <v>31</v>
      </c>
      <c r="J932">
        <f t="shared" si="43"/>
        <v>-94.3</v>
      </c>
      <c r="K932">
        <f t="shared" si="44"/>
        <v>100</v>
      </c>
    </row>
    <row r="933" spans="1:11">
      <c r="A933">
        <v>31.088</v>
      </c>
      <c r="B933">
        <v>-294.3</v>
      </c>
      <c r="C933">
        <v>238.4</v>
      </c>
      <c r="E933">
        <v>31.055</v>
      </c>
      <c r="F933">
        <v>-296</v>
      </c>
      <c r="G933">
        <v>238.4</v>
      </c>
      <c r="I933">
        <f t="shared" si="42"/>
        <v>31.05</v>
      </c>
      <c r="J933">
        <f t="shared" si="43"/>
        <v>-93</v>
      </c>
      <c r="K933">
        <f t="shared" si="44"/>
        <v>100</v>
      </c>
    </row>
    <row r="934" spans="1:11">
      <c r="A934">
        <v>31.121</v>
      </c>
      <c r="B934">
        <v>-292.5</v>
      </c>
      <c r="C934">
        <v>238.4</v>
      </c>
      <c r="E934">
        <v>31.088</v>
      </c>
      <c r="F934">
        <v>-294.3</v>
      </c>
      <c r="G934">
        <v>238.4</v>
      </c>
      <c r="I934">
        <f t="shared" si="42"/>
        <v>31.05</v>
      </c>
      <c r="J934">
        <f t="shared" si="43"/>
        <v>-91.3</v>
      </c>
      <c r="K934">
        <f t="shared" si="44"/>
        <v>100</v>
      </c>
    </row>
    <row r="935" spans="1:11">
      <c r="A935">
        <v>31.155</v>
      </c>
      <c r="B935">
        <v>-290</v>
      </c>
      <c r="C935">
        <v>238.4</v>
      </c>
      <c r="E935">
        <v>31.121</v>
      </c>
      <c r="F935">
        <v>-292.5</v>
      </c>
      <c r="G935">
        <v>238.4</v>
      </c>
      <c r="I935">
        <f t="shared" si="42"/>
        <v>31.1</v>
      </c>
      <c r="J935">
        <f t="shared" si="43"/>
        <v>-89.5</v>
      </c>
      <c r="K935">
        <f t="shared" si="44"/>
        <v>100</v>
      </c>
    </row>
    <row r="936" spans="1:11">
      <c r="A936">
        <v>31.188</v>
      </c>
      <c r="B936">
        <v>-288.1</v>
      </c>
      <c r="C936">
        <v>238.4</v>
      </c>
      <c r="E936">
        <v>31.155</v>
      </c>
      <c r="F936">
        <v>-290</v>
      </c>
      <c r="G936">
        <v>238.4</v>
      </c>
      <c r="I936">
        <f t="shared" si="42"/>
        <v>31.15</v>
      </c>
      <c r="J936">
        <f t="shared" si="43"/>
        <v>-87</v>
      </c>
      <c r="K936">
        <f t="shared" si="44"/>
        <v>100</v>
      </c>
    </row>
    <row r="937" spans="1:11">
      <c r="A937">
        <v>31.222</v>
      </c>
      <c r="B937">
        <v>-285.3</v>
      </c>
      <c r="C937">
        <v>238.4</v>
      </c>
      <c r="E937">
        <v>31.188</v>
      </c>
      <c r="F937">
        <v>-288.1</v>
      </c>
      <c r="G937">
        <v>238.4</v>
      </c>
      <c r="I937">
        <f t="shared" si="42"/>
        <v>31.15</v>
      </c>
      <c r="J937">
        <f t="shared" si="43"/>
        <v>-85.1</v>
      </c>
      <c r="K937">
        <f t="shared" si="44"/>
        <v>100</v>
      </c>
    </row>
    <row r="938" spans="1:11">
      <c r="A938">
        <v>31.255</v>
      </c>
      <c r="B938">
        <v>-282.8</v>
      </c>
      <c r="C938">
        <v>238.4</v>
      </c>
      <c r="E938">
        <v>31.222</v>
      </c>
      <c r="F938">
        <v>-285.3</v>
      </c>
      <c r="G938">
        <v>238.4</v>
      </c>
      <c r="I938">
        <f t="shared" si="42"/>
        <v>31.2</v>
      </c>
      <c r="J938">
        <f t="shared" si="43"/>
        <v>-82.3</v>
      </c>
      <c r="K938">
        <f t="shared" si="44"/>
        <v>100</v>
      </c>
    </row>
    <row r="939" spans="1:11">
      <c r="A939">
        <v>31.289</v>
      </c>
      <c r="B939">
        <v>-279.8</v>
      </c>
      <c r="C939">
        <v>238.4</v>
      </c>
      <c r="E939">
        <v>31.255</v>
      </c>
      <c r="F939">
        <v>-282.8</v>
      </c>
      <c r="G939">
        <v>238.4</v>
      </c>
      <c r="I939">
        <f t="shared" si="42"/>
        <v>31.25</v>
      </c>
      <c r="J939">
        <f t="shared" si="43"/>
        <v>-79.8</v>
      </c>
      <c r="K939">
        <f t="shared" si="44"/>
        <v>100</v>
      </c>
    </row>
    <row r="940" spans="1:11">
      <c r="A940">
        <v>31.322</v>
      </c>
      <c r="B940">
        <v>-276.3</v>
      </c>
      <c r="C940">
        <v>238.4</v>
      </c>
      <c r="E940">
        <v>31.289</v>
      </c>
      <c r="F940">
        <v>-279.8</v>
      </c>
      <c r="G940">
        <v>238.4</v>
      </c>
      <c r="I940">
        <f t="shared" si="42"/>
        <v>31.25</v>
      </c>
      <c r="J940">
        <f t="shared" si="43"/>
        <v>-76.8</v>
      </c>
      <c r="K940">
        <f t="shared" si="44"/>
        <v>100</v>
      </c>
    </row>
    <row r="941" spans="1:11">
      <c r="A941">
        <v>31.355</v>
      </c>
      <c r="B941">
        <v>-273.5</v>
      </c>
      <c r="C941">
        <v>238.4</v>
      </c>
      <c r="E941">
        <v>31.322</v>
      </c>
      <c r="F941">
        <v>-276.3</v>
      </c>
      <c r="G941">
        <v>238.4</v>
      </c>
      <c r="I941">
        <f t="shared" si="42"/>
        <v>31.3</v>
      </c>
      <c r="J941">
        <f t="shared" si="43"/>
        <v>-73.3</v>
      </c>
      <c r="K941">
        <f t="shared" si="44"/>
        <v>100</v>
      </c>
    </row>
    <row r="942" spans="1:11">
      <c r="A942">
        <v>31.389</v>
      </c>
      <c r="B942">
        <v>-269.9</v>
      </c>
      <c r="C942">
        <v>238.4</v>
      </c>
      <c r="E942">
        <v>31.355</v>
      </c>
      <c r="F942">
        <v>-273.5</v>
      </c>
      <c r="G942">
        <v>238.4</v>
      </c>
      <c r="I942">
        <f t="shared" si="42"/>
        <v>31.35</v>
      </c>
      <c r="J942">
        <f t="shared" si="43"/>
        <v>-70.5</v>
      </c>
      <c r="K942">
        <f t="shared" si="44"/>
        <v>100</v>
      </c>
    </row>
    <row r="943" spans="1:11">
      <c r="A943">
        <v>31.422</v>
      </c>
      <c r="B943">
        <v>-266.7</v>
      </c>
      <c r="C943">
        <v>238.4</v>
      </c>
      <c r="E943">
        <v>31.389</v>
      </c>
      <c r="F943">
        <v>-269.9</v>
      </c>
      <c r="G943">
        <v>238.4</v>
      </c>
      <c r="I943">
        <f t="shared" si="42"/>
        <v>31.35</v>
      </c>
      <c r="J943">
        <f t="shared" si="43"/>
        <v>-66.9</v>
      </c>
      <c r="K943">
        <f t="shared" si="44"/>
        <v>100</v>
      </c>
    </row>
    <row r="944" spans="1:11">
      <c r="A944">
        <v>31.456</v>
      </c>
      <c r="B944">
        <v>-263.6</v>
      </c>
      <c r="C944">
        <v>238.4</v>
      </c>
      <c r="E944">
        <v>31.422</v>
      </c>
      <c r="F944">
        <v>-266.7</v>
      </c>
      <c r="G944">
        <v>238.4</v>
      </c>
      <c r="I944">
        <f t="shared" si="42"/>
        <v>31.4</v>
      </c>
      <c r="J944">
        <f t="shared" si="43"/>
        <v>-63.7</v>
      </c>
      <c r="K944">
        <f t="shared" si="44"/>
        <v>100</v>
      </c>
    </row>
    <row r="945" spans="1:11">
      <c r="A945">
        <v>31.489</v>
      </c>
      <c r="B945">
        <v>-260.5</v>
      </c>
      <c r="C945">
        <v>238.4</v>
      </c>
      <c r="E945">
        <v>31.456</v>
      </c>
      <c r="F945">
        <v>-263.6</v>
      </c>
      <c r="G945">
        <v>238.4</v>
      </c>
      <c r="I945">
        <f t="shared" si="42"/>
        <v>31.45</v>
      </c>
      <c r="J945">
        <f t="shared" si="43"/>
        <v>-60.6</v>
      </c>
      <c r="K945">
        <f t="shared" si="44"/>
        <v>100</v>
      </c>
    </row>
    <row r="946" spans="1:11">
      <c r="A946">
        <v>31.523</v>
      </c>
      <c r="B946">
        <v>-257.4</v>
      </c>
      <c r="C946">
        <v>238.4</v>
      </c>
      <c r="E946">
        <v>31.489</v>
      </c>
      <c r="F946">
        <v>-260.5</v>
      </c>
      <c r="G946">
        <v>238.4</v>
      </c>
      <c r="I946">
        <f t="shared" si="42"/>
        <v>31.45</v>
      </c>
      <c r="J946">
        <f t="shared" si="43"/>
        <v>-57.5</v>
      </c>
      <c r="K946">
        <f t="shared" si="44"/>
        <v>100</v>
      </c>
    </row>
    <row r="947" spans="1:11">
      <c r="A947">
        <v>31.556</v>
      </c>
      <c r="B947">
        <v>-254.2</v>
      </c>
      <c r="C947">
        <v>238.4</v>
      </c>
      <c r="E947">
        <v>31.523</v>
      </c>
      <c r="F947">
        <v>-257.4</v>
      </c>
      <c r="G947">
        <v>238.4</v>
      </c>
      <c r="I947">
        <f t="shared" si="42"/>
        <v>31.5</v>
      </c>
      <c r="J947">
        <f t="shared" si="43"/>
        <v>-54.4</v>
      </c>
      <c r="K947">
        <f t="shared" si="44"/>
        <v>100</v>
      </c>
    </row>
    <row r="948" spans="1:11">
      <c r="A948">
        <v>31.589</v>
      </c>
      <c r="B948">
        <v>-251</v>
      </c>
      <c r="C948">
        <v>238.3</v>
      </c>
      <c r="E948">
        <v>31.556</v>
      </c>
      <c r="F948">
        <v>-254.2</v>
      </c>
      <c r="G948">
        <v>238.4</v>
      </c>
      <c r="I948">
        <f t="shared" si="42"/>
        <v>31.55</v>
      </c>
      <c r="J948">
        <f t="shared" si="43"/>
        <v>-51.2</v>
      </c>
      <c r="K948">
        <f t="shared" si="44"/>
        <v>100</v>
      </c>
    </row>
    <row r="949" spans="1:11">
      <c r="A949">
        <v>31.623</v>
      </c>
      <c r="B949">
        <v>-249.1</v>
      </c>
      <c r="C949">
        <v>146.4</v>
      </c>
      <c r="E949">
        <v>31.589</v>
      </c>
      <c r="F949">
        <v>-251</v>
      </c>
      <c r="G949">
        <v>238.3</v>
      </c>
      <c r="I949">
        <f t="shared" si="42"/>
        <v>31.55</v>
      </c>
      <c r="J949">
        <f t="shared" si="43"/>
        <v>-48</v>
      </c>
      <c r="K949">
        <f t="shared" si="44"/>
        <v>100</v>
      </c>
    </row>
    <row r="950" spans="1:11">
      <c r="A950">
        <v>31.656</v>
      </c>
      <c r="B950">
        <v>-247.4</v>
      </c>
      <c r="C950">
        <v>161.2</v>
      </c>
      <c r="E950">
        <v>31.623</v>
      </c>
      <c r="F950">
        <v>-249.1</v>
      </c>
      <c r="G950">
        <v>146.4</v>
      </c>
      <c r="I950">
        <f t="shared" si="42"/>
        <v>31.6</v>
      </c>
      <c r="J950">
        <f t="shared" si="43"/>
        <v>-46.1</v>
      </c>
      <c r="K950">
        <f t="shared" si="44"/>
        <v>-150</v>
      </c>
    </row>
    <row r="951" spans="1:11">
      <c r="A951">
        <v>31.69</v>
      </c>
      <c r="B951">
        <v>-245</v>
      </c>
      <c r="C951">
        <v>159.9</v>
      </c>
      <c r="E951">
        <v>31.656</v>
      </c>
      <c r="F951">
        <v>-247.4</v>
      </c>
      <c r="G951">
        <v>161.2</v>
      </c>
      <c r="I951">
        <f t="shared" si="42"/>
        <v>31.65</v>
      </c>
      <c r="J951">
        <f t="shared" si="43"/>
        <v>-44.4</v>
      </c>
      <c r="K951">
        <f t="shared" si="44"/>
        <v>-150</v>
      </c>
    </row>
    <row r="952" spans="1:11">
      <c r="A952">
        <v>31.723</v>
      </c>
      <c r="B952">
        <v>-243.3</v>
      </c>
      <c r="C952">
        <v>158.1</v>
      </c>
      <c r="E952">
        <v>31.69</v>
      </c>
      <c r="F952">
        <v>-245</v>
      </c>
      <c r="G952">
        <v>159.9</v>
      </c>
      <c r="I952">
        <f t="shared" si="42"/>
        <v>31.65</v>
      </c>
      <c r="J952">
        <f t="shared" si="43"/>
        <v>-42</v>
      </c>
      <c r="K952">
        <f t="shared" si="44"/>
        <v>-150</v>
      </c>
    </row>
    <row r="953" spans="1:11">
      <c r="A953">
        <v>31.757</v>
      </c>
      <c r="B953">
        <v>-242</v>
      </c>
      <c r="C953">
        <v>157</v>
      </c>
      <c r="E953">
        <v>31.723</v>
      </c>
      <c r="F953">
        <v>-243.3</v>
      </c>
      <c r="G953">
        <v>158.1</v>
      </c>
      <c r="I953">
        <f t="shared" si="42"/>
        <v>31.7</v>
      </c>
      <c r="J953">
        <f t="shared" si="43"/>
        <v>-40.3</v>
      </c>
      <c r="K953">
        <f t="shared" si="44"/>
        <v>-150</v>
      </c>
    </row>
    <row r="954" spans="1:11">
      <c r="A954">
        <v>31.79</v>
      </c>
      <c r="B954">
        <v>-240.8</v>
      </c>
      <c r="C954">
        <v>155.4</v>
      </c>
      <c r="E954">
        <v>31.757</v>
      </c>
      <c r="F954">
        <v>-242</v>
      </c>
      <c r="G954">
        <v>157</v>
      </c>
      <c r="I954">
        <f t="shared" si="42"/>
        <v>31.75</v>
      </c>
      <c r="J954">
        <f t="shared" si="43"/>
        <v>-39</v>
      </c>
      <c r="K954">
        <f t="shared" si="44"/>
        <v>-150</v>
      </c>
    </row>
    <row r="955" spans="1:11">
      <c r="A955">
        <v>31.823</v>
      </c>
      <c r="B955">
        <v>-240.3</v>
      </c>
      <c r="C955">
        <v>153.3</v>
      </c>
      <c r="E955">
        <v>31.79</v>
      </c>
      <c r="F955">
        <v>-240.8</v>
      </c>
      <c r="G955">
        <v>155.4</v>
      </c>
      <c r="I955">
        <f t="shared" si="42"/>
        <v>31.75</v>
      </c>
      <c r="J955">
        <f t="shared" si="43"/>
        <v>-37.8</v>
      </c>
      <c r="K955">
        <f t="shared" si="44"/>
        <v>-150</v>
      </c>
    </row>
    <row r="956" spans="1:11">
      <c r="A956">
        <v>31.857</v>
      </c>
      <c r="B956">
        <v>-240</v>
      </c>
      <c r="C956">
        <v>151</v>
      </c>
      <c r="E956">
        <v>31.823</v>
      </c>
      <c r="F956">
        <v>-240.3</v>
      </c>
      <c r="G956">
        <v>153.3</v>
      </c>
      <c r="I956">
        <f t="shared" si="42"/>
        <v>31.8</v>
      </c>
      <c r="J956">
        <f t="shared" si="43"/>
        <v>-37.3</v>
      </c>
      <c r="K956">
        <f t="shared" si="44"/>
        <v>-150</v>
      </c>
    </row>
    <row r="957" spans="1:11">
      <c r="A957">
        <v>31.89</v>
      </c>
      <c r="B957">
        <v>-239.9</v>
      </c>
      <c r="C957">
        <v>151.3</v>
      </c>
      <c r="E957">
        <v>31.857</v>
      </c>
      <c r="F957">
        <v>-240</v>
      </c>
      <c r="G957">
        <v>151</v>
      </c>
      <c r="I957">
        <f t="shared" si="42"/>
        <v>31.85</v>
      </c>
      <c r="J957">
        <f t="shared" si="43"/>
        <v>-37</v>
      </c>
      <c r="K957">
        <f t="shared" si="44"/>
        <v>-150</v>
      </c>
    </row>
    <row r="958" spans="1:11">
      <c r="A958">
        <v>31.924</v>
      </c>
      <c r="B958">
        <v>-240</v>
      </c>
      <c r="C958">
        <v>148.2</v>
      </c>
      <c r="E958">
        <v>31.89</v>
      </c>
      <c r="F958">
        <v>-239.9</v>
      </c>
      <c r="G958">
        <v>151.3</v>
      </c>
      <c r="I958">
        <f t="shared" si="42"/>
        <v>31.85</v>
      </c>
      <c r="J958">
        <f t="shared" si="43"/>
        <v>-36.9</v>
      </c>
      <c r="K958">
        <f t="shared" si="44"/>
        <v>-150</v>
      </c>
    </row>
    <row r="959" spans="1:11">
      <c r="A959">
        <v>31.957</v>
      </c>
      <c r="B959">
        <v>-240.4</v>
      </c>
      <c r="C959">
        <v>146.5</v>
      </c>
      <c r="E959">
        <v>31.924</v>
      </c>
      <c r="F959">
        <v>-240</v>
      </c>
      <c r="G959">
        <v>148.2</v>
      </c>
      <c r="I959">
        <f t="shared" si="42"/>
        <v>31.9</v>
      </c>
      <c r="J959">
        <f t="shared" si="43"/>
        <v>-37</v>
      </c>
      <c r="K959">
        <f t="shared" si="44"/>
        <v>-150</v>
      </c>
    </row>
    <row r="960" spans="1:11">
      <c r="A960">
        <v>31.991</v>
      </c>
      <c r="B960">
        <v>-240.9</v>
      </c>
      <c r="C960">
        <v>145</v>
      </c>
      <c r="E960">
        <v>31.957</v>
      </c>
      <c r="F960">
        <v>-240.4</v>
      </c>
      <c r="G960">
        <v>146.5</v>
      </c>
      <c r="I960">
        <f t="shared" si="42"/>
        <v>31.95</v>
      </c>
      <c r="J960">
        <f t="shared" si="43"/>
        <v>-37.4</v>
      </c>
      <c r="K960">
        <f t="shared" si="44"/>
        <v>-150</v>
      </c>
    </row>
    <row r="961" spans="1:11">
      <c r="A961">
        <v>32.024</v>
      </c>
      <c r="B961">
        <v>-242.4</v>
      </c>
      <c r="C961">
        <v>142.3</v>
      </c>
      <c r="E961">
        <v>31.991</v>
      </c>
      <c r="F961">
        <v>-240.9</v>
      </c>
      <c r="G961">
        <v>145</v>
      </c>
      <c r="I961">
        <f t="shared" si="42"/>
        <v>31.95</v>
      </c>
      <c r="J961">
        <f t="shared" si="43"/>
        <v>-37.9</v>
      </c>
      <c r="K961">
        <f t="shared" si="44"/>
        <v>-150</v>
      </c>
    </row>
    <row r="962" spans="1:11">
      <c r="A962">
        <v>32.057</v>
      </c>
      <c r="B962">
        <v>-243.6</v>
      </c>
      <c r="C962">
        <v>140.8</v>
      </c>
      <c r="E962">
        <v>32.024</v>
      </c>
      <c r="F962">
        <v>-242.4</v>
      </c>
      <c r="G962">
        <v>142.3</v>
      </c>
      <c r="I962">
        <f t="shared" si="42"/>
        <v>32</v>
      </c>
      <c r="J962">
        <f t="shared" si="43"/>
        <v>-39.4</v>
      </c>
      <c r="K962">
        <f t="shared" si="44"/>
        <v>-150</v>
      </c>
    </row>
    <row r="963" spans="1:11">
      <c r="A963">
        <v>32.091</v>
      </c>
      <c r="B963">
        <v>-245.1</v>
      </c>
      <c r="C963">
        <v>139</v>
      </c>
      <c r="E963">
        <v>32.057</v>
      </c>
      <c r="F963">
        <v>-243.6</v>
      </c>
      <c r="G963">
        <v>140.8</v>
      </c>
      <c r="I963">
        <f t="shared" si="42"/>
        <v>32.05</v>
      </c>
      <c r="J963">
        <f t="shared" si="43"/>
        <v>-40.6</v>
      </c>
      <c r="K963">
        <f t="shared" si="44"/>
        <v>-150</v>
      </c>
    </row>
    <row r="964" spans="1:11">
      <c r="A964">
        <v>32.124</v>
      </c>
      <c r="B964">
        <v>-247.7</v>
      </c>
      <c r="C964">
        <v>136.1</v>
      </c>
      <c r="E964">
        <v>32.091</v>
      </c>
      <c r="F964">
        <v>-245.1</v>
      </c>
      <c r="G964">
        <v>139</v>
      </c>
      <c r="I964">
        <f t="shared" ref="I964:I1027" si="45">FLOOR(E964,0.05)</f>
        <v>32.05</v>
      </c>
      <c r="J964">
        <f t="shared" ref="J964:J1027" si="46">F964+203</f>
        <v>-42.1</v>
      </c>
      <c r="K964">
        <f t="shared" si="44"/>
        <v>-150</v>
      </c>
    </row>
    <row r="965" spans="1:11">
      <c r="A965">
        <v>32.158</v>
      </c>
      <c r="B965">
        <v>-249.4</v>
      </c>
      <c r="C965">
        <v>136.1</v>
      </c>
      <c r="E965">
        <v>32.124</v>
      </c>
      <c r="F965">
        <v>-247.7</v>
      </c>
      <c r="G965">
        <v>136.1</v>
      </c>
      <c r="I965">
        <f t="shared" si="45"/>
        <v>32.1</v>
      </c>
      <c r="J965">
        <f t="shared" si="46"/>
        <v>-44.7</v>
      </c>
      <c r="K965">
        <f t="shared" ref="K965:K1028" si="47">IF(G965&lt;230,-150,100)</f>
        <v>-150</v>
      </c>
    </row>
    <row r="966" spans="1:11">
      <c r="A966">
        <v>32.191</v>
      </c>
      <c r="B966">
        <v>-251.5</v>
      </c>
      <c r="C966">
        <v>133.2</v>
      </c>
      <c r="E966">
        <v>32.158</v>
      </c>
      <c r="F966">
        <v>-249.4</v>
      </c>
      <c r="G966">
        <v>136.1</v>
      </c>
      <c r="I966">
        <f t="shared" si="45"/>
        <v>32.15</v>
      </c>
      <c r="J966">
        <f t="shared" si="46"/>
        <v>-46.4</v>
      </c>
      <c r="K966">
        <f t="shared" si="47"/>
        <v>-150</v>
      </c>
    </row>
    <row r="967" spans="1:11">
      <c r="A967">
        <v>32.225</v>
      </c>
      <c r="B967">
        <v>-254.3</v>
      </c>
      <c r="C967">
        <v>132.4</v>
      </c>
      <c r="E967">
        <v>32.191</v>
      </c>
      <c r="F967">
        <v>-251.5</v>
      </c>
      <c r="G967">
        <v>133.2</v>
      </c>
      <c r="I967">
        <f t="shared" si="45"/>
        <v>32.15</v>
      </c>
      <c r="J967">
        <f t="shared" si="46"/>
        <v>-48.5</v>
      </c>
      <c r="K967">
        <f t="shared" si="47"/>
        <v>-150</v>
      </c>
    </row>
    <row r="968" spans="1:11">
      <c r="A968">
        <v>32.258</v>
      </c>
      <c r="B968">
        <v>-257.4</v>
      </c>
      <c r="C968">
        <v>128.6</v>
      </c>
      <c r="E968">
        <v>32.225</v>
      </c>
      <c r="F968">
        <v>-254.3</v>
      </c>
      <c r="G968">
        <v>132.4</v>
      </c>
      <c r="I968">
        <f t="shared" si="45"/>
        <v>32.2</v>
      </c>
      <c r="J968">
        <f t="shared" si="46"/>
        <v>-51.3</v>
      </c>
      <c r="K968">
        <f t="shared" si="47"/>
        <v>-150</v>
      </c>
    </row>
    <row r="969" spans="1:11">
      <c r="A969">
        <v>32.291</v>
      </c>
      <c r="B969">
        <v>-260.2</v>
      </c>
      <c r="C969">
        <v>126.2</v>
      </c>
      <c r="E969">
        <v>32.258</v>
      </c>
      <c r="F969">
        <v>-257.4</v>
      </c>
      <c r="G969">
        <v>128.6</v>
      </c>
      <c r="I969">
        <f t="shared" si="45"/>
        <v>32.25</v>
      </c>
      <c r="J969">
        <f t="shared" si="46"/>
        <v>-54.4</v>
      </c>
      <c r="K969">
        <f t="shared" si="47"/>
        <v>-150</v>
      </c>
    </row>
    <row r="970" spans="1:11">
      <c r="A970">
        <v>32.325</v>
      </c>
      <c r="B970">
        <v>-263.2</v>
      </c>
      <c r="C970">
        <v>125.2</v>
      </c>
      <c r="E970">
        <v>32.291</v>
      </c>
      <c r="F970">
        <v>-260.2</v>
      </c>
      <c r="G970">
        <v>126.2</v>
      </c>
      <c r="I970">
        <f t="shared" si="45"/>
        <v>32.25</v>
      </c>
      <c r="J970">
        <f t="shared" si="46"/>
        <v>-57.2</v>
      </c>
      <c r="K970">
        <f t="shared" si="47"/>
        <v>-150</v>
      </c>
    </row>
    <row r="971" spans="1:11">
      <c r="A971">
        <v>32.358</v>
      </c>
      <c r="B971">
        <v>-266.1</v>
      </c>
      <c r="C971">
        <v>238.2</v>
      </c>
      <c r="E971">
        <v>32.325</v>
      </c>
      <c r="F971">
        <v>-263.2</v>
      </c>
      <c r="G971">
        <v>125.2</v>
      </c>
      <c r="I971">
        <f t="shared" si="45"/>
        <v>32.3</v>
      </c>
      <c r="J971">
        <f t="shared" si="46"/>
        <v>-60.2</v>
      </c>
      <c r="K971">
        <f t="shared" si="47"/>
        <v>-150</v>
      </c>
    </row>
    <row r="972" spans="1:11">
      <c r="A972">
        <v>32.392</v>
      </c>
      <c r="B972">
        <v>-269.1</v>
      </c>
      <c r="C972">
        <v>238.4</v>
      </c>
      <c r="E972">
        <v>32.358</v>
      </c>
      <c r="F972">
        <v>-266.1</v>
      </c>
      <c r="G972">
        <v>238.2</v>
      </c>
      <c r="I972">
        <f t="shared" si="45"/>
        <v>32.35</v>
      </c>
      <c r="J972">
        <f t="shared" si="46"/>
        <v>-63.1</v>
      </c>
      <c r="K972">
        <f t="shared" si="47"/>
        <v>100</v>
      </c>
    </row>
    <row r="973" spans="1:11">
      <c r="A973">
        <v>32.425</v>
      </c>
      <c r="B973">
        <v>-272</v>
      </c>
      <c r="C973">
        <v>238.4</v>
      </c>
      <c r="E973">
        <v>32.392</v>
      </c>
      <c r="F973">
        <v>-269.1</v>
      </c>
      <c r="G973">
        <v>238.4</v>
      </c>
      <c r="I973">
        <f t="shared" si="45"/>
        <v>32.35</v>
      </c>
      <c r="J973">
        <f t="shared" si="46"/>
        <v>-66.1</v>
      </c>
      <c r="K973">
        <f t="shared" si="47"/>
        <v>100</v>
      </c>
    </row>
    <row r="974" spans="1:11">
      <c r="A974">
        <v>32.459</v>
      </c>
      <c r="B974">
        <v>-275.1</v>
      </c>
      <c r="C974">
        <v>238.4</v>
      </c>
      <c r="E974">
        <v>32.425</v>
      </c>
      <c r="F974">
        <v>-272</v>
      </c>
      <c r="G974">
        <v>238.4</v>
      </c>
      <c r="I974">
        <f t="shared" si="45"/>
        <v>32.4</v>
      </c>
      <c r="J974">
        <f t="shared" si="46"/>
        <v>-69</v>
      </c>
      <c r="K974">
        <f t="shared" si="47"/>
        <v>100</v>
      </c>
    </row>
    <row r="975" spans="1:11">
      <c r="A975">
        <v>32.492</v>
      </c>
      <c r="B975">
        <v>-277.9</v>
      </c>
      <c r="C975">
        <v>238.4</v>
      </c>
      <c r="E975">
        <v>32.459</v>
      </c>
      <c r="F975">
        <v>-275.1</v>
      </c>
      <c r="G975">
        <v>238.4</v>
      </c>
      <c r="I975">
        <f t="shared" si="45"/>
        <v>32.45</v>
      </c>
      <c r="J975">
        <f t="shared" si="46"/>
        <v>-72.1</v>
      </c>
      <c r="K975">
        <f t="shared" si="47"/>
        <v>100</v>
      </c>
    </row>
    <row r="976" spans="1:11">
      <c r="A976">
        <v>32.525</v>
      </c>
      <c r="B976">
        <v>-280.9</v>
      </c>
      <c r="C976">
        <v>238.4</v>
      </c>
      <c r="E976">
        <v>32.492</v>
      </c>
      <c r="F976">
        <v>-277.9</v>
      </c>
      <c r="G976">
        <v>238.4</v>
      </c>
      <c r="I976">
        <f t="shared" si="45"/>
        <v>32.45</v>
      </c>
      <c r="J976">
        <f t="shared" si="46"/>
        <v>-74.9</v>
      </c>
      <c r="K976">
        <f t="shared" si="47"/>
        <v>100</v>
      </c>
    </row>
    <row r="977" spans="1:11">
      <c r="A977">
        <v>32.559</v>
      </c>
      <c r="B977">
        <v>-283.3</v>
      </c>
      <c r="C977">
        <v>238.4</v>
      </c>
      <c r="E977">
        <v>32.525</v>
      </c>
      <c r="F977">
        <v>-280.9</v>
      </c>
      <c r="G977">
        <v>238.4</v>
      </c>
      <c r="I977">
        <f t="shared" si="45"/>
        <v>32.5</v>
      </c>
      <c r="J977">
        <f t="shared" si="46"/>
        <v>-77.9</v>
      </c>
      <c r="K977">
        <f t="shared" si="47"/>
        <v>100</v>
      </c>
    </row>
    <row r="978" spans="1:11">
      <c r="A978">
        <v>32.592</v>
      </c>
      <c r="B978">
        <v>-285.8</v>
      </c>
      <c r="C978">
        <v>238.4</v>
      </c>
      <c r="E978">
        <v>32.559</v>
      </c>
      <c r="F978">
        <v>-283.3</v>
      </c>
      <c r="G978">
        <v>238.4</v>
      </c>
      <c r="I978">
        <f t="shared" si="45"/>
        <v>32.55</v>
      </c>
      <c r="J978">
        <f t="shared" si="46"/>
        <v>-80.3</v>
      </c>
      <c r="K978">
        <f t="shared" si="47"/>
        <v>100</v>
      </c>
    </row>
    <row r="979" spans="1:11">
      <c r="A979">
        <v>32.626</v>
      </c>
      <c r="B979">
        <v>-288.1</v>
      </c>
      <c r="C979">
        <v>238.4</v>
      </c>
      <c r="E979">
        <v>32.592</v>
      </c>
      <c r="F979">
        <v>-285.8</v>
      </c>
      <c r="G979">
        <v>238.4</v>
      </c>
      <c r="I979">
        <f t="shared" si="45"/>
        <v>32.55</v>
      </c>
      <c r="J979">
        <f t="shared" si="46"/>
        <v>-82.8</v>
      </c>
      <c r="K979">
        <f t="shared" si="47"/>
        <v>100</v>
      </c>
    </row>
    <row r="980" spans="1:11">
      <c r="A980">
        <v>32.659</v>
      </c>
      <c r="B980">
        <v>-289.5</v>
      </c>
      <c r="C980">
        <v>238.4</v>
      </c>
      <c r="E980">
        <v>32.626</v>
      </c>
      <c r="F980">
        <v>-288.1</v>
      </c>
      <c r="G980">
        <v>238.4</v>
      </c>
      <c r="I980">
        <f t="shared" si="45"/>
        <v>32.6</v>
      </c>
      <c r="J980">
        <f t="shared" si="46"/>
        <v>-85.1</v>
      </c>
      <c r="K980">
        <f t="shared" si="47"/>
        <v>100</v>
      </c>
    </row>
    <row r="981" spans="1:11">
      <c r="A981">
        <v>32.693</v>
      </c>
      <c r="B981">
        <v>-291.1</v>
      </c>
      <c r="C981">
        <v>238.4</v>
      </c>
      <c r="E981">
        <v>32.659</v>
      </c>
      <c r="F981">
        <v>-289.5</v>
      </c>
      <c r="G981">
        <v>238.4</v>
      </c>
      <c r="I981">
        <f t="shared" si="45"/>
        <v>32.65</v>
      </c>
      <c r="J981">
        <f t="shared" si="46"/>
        <v>-86.5</v>
      </c>
      <c r="K981">
        <f t="shared" si="47"/>
        <v>100</v>
      </c>
    </row>
    <row r="982" spans="1:11">
      <c r="A982">
        <v>32.726</v>
      </c>
      <c r="B982">
        <v>-292.6</v>
      </c>
      <c r="C982">
        <v>238.4</v>
      </c>
      <c r="E982">
        <v>32.693</v>
      </c>
      <c r="F982">
        <v>-291.1</v>
      </c>
      <c r="G982">
        <v>238.4</v>
      </c>
      <c r="I982">
        <f t="shared" si="45"/>
        <v>32.65</v>
      </c>
      <c r="J982">
        <f t="shared" si="46"/>
        <v>-88.1</v>
      </c>
      <c r="K982">
        <f t="shared" si="47"/>
        <v>100</v>
      </c>
    </row>
    <row r="983" spans="1:11">
      <c r="A983">
        <v>32.759</v>
      </c>
      <c r="B983">
        <v>-293.7</v>
      </c>
      <c r="C983">
        <v>238.4</v>
      </c>
      <c r="E983">
        <v>32.726</v>
      </c>
      <c r="F983">
        <v>-292.6</v>
      </c>
      <c r="G983">
        <v>238.4</v>
      </c>
      <c r="I983">
        <f t="shared" si="45"/>
        <v>32.7</v>
      </c>
      <c r="J983">
        <f t="shared" si="46"/>
        <v>-89.6</v>
      </c>
      <c r="K983">
        <f t="shared" si="47"/>
        <v>100</v>
      </c>
    </row>
    <row r="984" spans="1:11">
      <c r="A984">
        <v>32.793</v>
      </c>
      <c r="B984">
        <v>-294.5</v>
      </c>
      <c r="C984">
        <v>238.4</v>
      </c>
      <c r="E984">
        <v>32.759</v>
      </c>
      <c r="F984">
        <v>-293.7</v>
      </c>
      <c r="G984">
        <v>238.4</v>
      </c>
      <c r="I984">
        <f t="shared" si="45"/>
        <v>32.75</v>
      </c>
      <c r="J984">
        <f t="shared" si="46"/>
        <v>-90.7</v>
      </c>
      <c r="K984">
        <f t="shared" si="47"/>
        <v>100</v>
      </c>
    </row>
    <row r="985" spans="1:11">
      <c r="A985">
        <v>32.826</v>
      </c>
      <c r="B985">
        <v>-294.8</v>
      </c>
      <c r="C985">
        <v>238.4</v>
      </c>
      <c r="E985">
        <v>32.793</v>
      </c>
      <c r="F985">
        <v>-294.5</v>
      </c>
      <c r="G985">
        <v>238.4</v>
      </c>
      <c r="I985">
        <f t="shared" si="45"/>
        <v>32.75</v>
      </c>
      <c r="J985">
        <f t="shared" si="46"/>
        <v>-91.5</v>
      </c>
      <c r="K985">
        <f t="shared" si="47"/>
        <v>100</v>
      </c>
    </row>
    <row r="986" spans="1:11">
      <c r="A986">
        <v>32.86</v>
      </c>
      <c r="B986">
        <v>-295</v>
      </c>
      <c r="C986">
        <v>238.4</v>
      </c>
      <c r="E986">
        <v>32.826</v>
      </c>
      <c r="F986">
        <v>-294.8</v>
      </c>
      <c r="G986">
        <v>238.4</v>
      </c>
      <c r="I986">
        <f t="shared" si="45"/>
        <v>32.8</v>
      </c>
      <c r="J986">
        <f t="shared" si="46"/>
        <v>-91.8</v>
      </c>
      <c r="K986">
        <f t="shared" si="47"/>
        <v>100</v>
      </c>
    </row>
    <row r="987" spans="1:11">
      <c r="A987">
        <v>32.893</v>
      </c>
      <c r="B987">
        <v>-294.6</v>
      </c>
      <c r="C987">
        <v>238.4</v>
      </c>
      <c r="E987">
        <v>32.86</v>
      </c>
      <c r="F987">
        <v>-295</v>
      </c>
      <c r="G987">
        <v>238.4</v>
      </c>
      <c r="I987">
        <f t="shared" si="45"/>
        <v>32.85</v>
      </c>
      <c r="J987">
        <f t="shared" si="46"/>
        <v>-92</v>
      </c>
      <c r="K987">
        <f t="shared" si="47"/>
        <v>100</v>
      </c>
    </row>
    <row r="988" spans="1:11">
      <c r="A988">
        <v>32.927</v>
      </c>
      <c r="B988">
        <v>-294.4</v>
      </c>
      <c r="C988">
        <v>238.4</v>
      </c>
      <c r="E988">
        <v>32.893</v>
      </c>
      <c r="F988">
        <v>-294.6</v>
      </c>
      <c r="G988">
        <v>238.4</v>
      </c>
      <c r="I988">
        <f t="shared" si="45"/>
        <v>32.85</v>
      </c>
      <c r="J988">
        <f t="shared" si="46"/>
        <v>-91.6</v>
      </c>
      <c r="K988">
        <f t="shared" si="47"/>
        <v>100</v>
      </c>
    </row>
    <row r="989" spans="1:11">
      <c r="A989">
        <v>32.96</v>
      </c>
      <c r="B989">
        <v>-293.4</v>
      </c>
      <c r="C989">
        <v>238.4</v>
      </c>
      <c r="E989">
        <v>32.927</v>
      </c>
      <c r="F989">
        <v>-294.4</v>
      </c>
      <c r="G989">
        <v>238.4</v>
      </c>
      <c r="I989">
        <f t="shared" si="45"/>
        <v>32.9</v>
      </c>
      <c r="J989">
        <f t="shared" si="46"/>
        <v>-91.4</v>
      </c>
      <c r="K989">
        <f t="shared" si="47"/>
        <v>100</v>
      </c>
    </row>
    <row r="990" spans="1:11">
      <c r="A990">
        <v>32.993</v>
      </c>
      <c r="B990">
        <v>-291.8</v>
      </c>
      <c r="C990">
        <v>238.4</v>
      </c>
      <c r="E990">
        <v>32.96</v>
      </c>
      <c r="F990">
        <v>-293.4</v>
      </c>
      <c r="G990">
        <v>238.4</v>
      </c>
      <c r="I990">
        <f t="shared" si="45"/>
        <v>32.95</v>
      </c>
      <c r="J990">
        <f t="shared" si="46"/>
        <v>-90.4</v>
      </c>
      <c r="K990">
        <f t="shared" si="47"/>
        <v>100</v>
      </c>
    </row>
    <row r="991" spans="1:11">
      <c r="A991">
        <v>33.027</v>
      </c>
      <c r="B991">
        <v>-290.3</v>
      </c>
      <c r="C991">
        <v>238.4</v>
      </c>
      <c r="E991">
        <v>32.993</v>
      </c>
      <c r="F991">
        <v>-291.8</v>
      </c>
      <c r="G991">
        <v>238.4</v>
      </c>
      <c r="I991">
        <f t="shared" si="45"/>
        <v>32.95</v>
      </c>
      <c r="J991">
        <f t="shared" si="46"/>
        <v>-88.8</v>
      </c>
      <c r="K991">
        <f t="shared" si="47"/>
        <v>100</v>
      </c>
    </row>
    <row r="992" spans="1:11">
      <c r="A992">
        <v>33.06</v>
      </c>
      <c r="B992">
        <v>-288.5</v>
      </c>
      <c r="C992">
        <v>238.4</v>
      </c>
      <c r="E992">
        <v>33.027</v>
      </c>
      <c r="F992">
        <v>-290.3</v>
      </c>
      <c r="G992">
        <v>238.4</v>
      </c>
      <c r="I992">
        <f t="shared" si="45"/>
        <v>33</v>
      </c>
      <c r="J992">
        <f t="shared" si="46"/>
        <v>-87.3</v>
      </c>
      <c r="K992">
        <f t="shared" si="47"/>
        <v>100</v>
      </c>
    </row>
    <row r="993" spans="1:11">
      <c r="A993">
        <v>33.094</v>
      </c>
      <c r="B993">
        <v>-286.9</v>
      </c>
      <c r="C993">
        <v>238.1</v>
      </c>
      <c r="E993">
        <v>33.06</v>
      </c>
      <c r="F993">
        <v>-288.5</v>
      </c>
      <c r="G993">
        <v>238.4</v>
      </c>
      <c r="I993">
        <f t="shared" si="45"/>
        <v>33.05</v>
      </c>
      <c r="J993">
        <f t="shared" si="46"/>
        <v>-85.5</v>
      </c>
      <c r="K993">
        <f t="shared" si="47"/>
        <v>100</v>
      </c>
    </row>
    <row r="994" spans="1:11">
      <c r="A994">
        <v>33.127</v>
      </c>
      <c r="B994">
        <v>-284.7</v>
      </c>
      <c r="C994">
        <v>144.9</v>
      </c>
      <c r="E994">
        <v>33.094</v>
      </c>
      <c r="F994">
        <v>-286.9</v>
      </c>
      <c r="G994">
        <v>238.1</v>
      </c>
      <c r="I994">
        <f t="shared" si="45"/>
        <v>33.05</v>
      </c>
      <c r="J994">
        <f t="shared" si="46"/>
        <v>-83.9</v>
      </c>
      <c r="K994">
        <f t="shared" si="47"/>
        <v>100</v>
      </c>
    </row>
    <row r="995" spans="1:11">
      <c r="A995">
        <v>33.161</v>
      </c>
      <c r="B995">
        <v>-282.4</v>
      </c>
      <c r="C995">
        <v>161.6</v>
      </c>
      <c r="E995">
        <v>33.127</v>
      </c>
      <c r="F995">
        <v>-284.7</v>
      </c>
      <c r="G995">
        <v>144.9</v>
      </c>
      <c r="I995">
        <f t="shared" si="45"/>
        <v>33.1</v>
      </c>
      <c r="J995">
        <f t="shared" si="46"/>
        <v>-81.7</v>
      </c>
      <c r="K995">
        <f t="shared" si="47"/>
        <v>-150</v>
      </c>
    </row>
    <row r="996" spans="1:11">
      <c r="A996">
        <v>33.194</v>
      </c>
      <c r="B996">
        <v>-279.6</v>
      </c>
      <c r="C996">
        <v>159.6</v>
      </c>
      <c r="E996">
        <v>33.161</v>
      </c>
      <c r="F996">
        <v>-282.4</v>
      </c>
      <c r="G996">
        <v>161.6</v>
      </c>
      <c r="I996">
        <f t="shared" si="45"/>
        <v>33.15</v>
      </c>
      <c r="J996">
        <f t="shared" si="46"/>
        <v>-79.4</v>
      </c>
      <c r="K996">
        <f t="shared" si="47"/>
        <v>-150</v>
      </c>
    </row>
    <row r="997" spans="1:11">
      <c r="A997">
        <v>33.227</v>
      </c>
      <c r="B997">
        <v>-276.2</v>
      </c>
      <c r="C997">
        <v>156.9</v>
      </c>
      <c r="E997">
        <v>33.194</v>
      </c>
      <c r="F997">
        <v>-279.6</v>
      </c>
      <c r="G997">
        <v>159.6</v>
      </c>
      <c r="I997">
        <f t="shared" si="45"/>
        <v>33.15</v>
      </c>
      <c r="J997">
        <f t="shared" si="46"/>
        <v>-76.6</v>
      </c>
      <c r="K997">
        <f t="shared" si="47"/>
        <v>-150</v>
      </c>
    </row>
    <row r="998" spans="1:11">
      <c r="A998">
        <v>33.261</v>
      </c>
      <c r="B998">
        <v>-273.7</v>
      </c>
      <c r="C998">
        <v>156.2</v>
      </c>
      <c r="E998">
        <v>33.227</v>
      </c>
      <c r="F998">
        <v>-276.2</v>
      </c>
      <c r="G998">
        <v>156.9</v>
      </c>
      <c r="I998">
        <f t="shared" si="45"/>
        <v>33.2</v>
      </c>
      <c r="J998">
        <f t="shared" si="46"/>
        <v>-73.2</v>
      </c>
      <c r="K998">
        <f t="shared" si="47"/>
        <v>-150</v>
      </c>
    </row>
    <row r="999" spans="1:11">
      <c r="A999">
        <v>33.294</v>
      </c>
      <c r="B999">
        <v>-270.5</v>
      </c>
      <c r="C999">
        <v>155.1</v>
      </c>
      <c r="E999">
        <v>33.261</v>
      </c>
      <c r="F999">
        <v>-273.7</v>
      </c>
      <c r="G999">
        <v>156.2</v>
      </c>
      <c r="I999">
        <f t="shared" si="45"/>
        <v>33.25</v>
      </c>
      <c r="J999">
        <f t="shared" si="46"/>
        <v>-70.7</v>
      </c>
      <c r="K999">
        <f t="shared" si="47"/>
        <v>-150</v>
      </c>
    </row>
    <row r="1000" spans="1:11">
      <c r="A1000">
        <v>33.328</v>
      </c>
      <c r="B1000">
        <v>-267.3</v>
      </c>
      <c r="C1000">
        <v>152.5</v>
      </c>
      <c r="E1000">
        <v>33.294</v>
      </c>
      <c r="F1000">
        <v>-270.5</v>
      </c>
      <c r="G1000">
        <v>155.1</v>
      </c>
      <c r="I1000">
        <f t="shared" si="45"/>
        <v>33.25</v>
      </c>
      <c r="J1000">
        <f t="shared" si="46"/>
        <v>-67.5</v>
      </c>
      <c r="K1000">
        <f t="shared" si="47"/>
        <v>-150</v>
      </c>
    </row>
    <row r="1001" spans="1:11">
      <c r="A1001">
        <v>33.361</v>
      </c>
      <c r="B1001">
        <v>-264.3</v>
      </c>
      <c r="C1001">
        <v>152.1</v>
      </c>
      <c r="E1001">
        <v>33.328</v>
      </c>
      <c r="F1001">
        <v>-267.3</v>
      </c>
      <c r="G1001">
        <v>152.5</v>
      </c>
      <c r="I1001">
        <f t="shared" si="45"/>
        <v>33.3</v>
      </c>
      <c r="J1001">
        <f t="shared" si="46"/>
        <v>-64.3</v>
      </c>
      <c r="K1001">
        <f t="shared" si="47"/>
        <v>-150</v>
      </c>
    </row>
    <row r="1002" spans="1:11">
      <c r="A1002">
        <v>33.395</v>
      </c>
      <c r="B1002">
        <v>-261.4</v>
      </c>
      <c r="C1002">
        <v>148.9</v>
      </c>
      <c r="E1002">
        <v>33.361</v>
      </c>
      <c r="F1002">
        <v>-264.3</v>
      </c>
      <c r="G1002">
        <v>152.1</v>
      </c>
      <c r="I1002">
        <f t="shared" si="45"/>
        <v>33.35</v>
      </c>
      <c r="J1002">
        <f t="shared" si="46"/>
        <v>-61.3</v>
      </c>
      <c r="K1002">
        <f t="shared" si="47"/>
        <v>-150</v>
      </c>
    </row>
    <row r="1003" spans="1:11">
      <c r="A1003">
        <v>33.428</v>
      </c>
      <c r="B1003">
        <v>-258.4</v>
      </c>
      <c r="C1003">
        <v>147.1</v>
      </c>
      <c r="E1003">
        <v>33.395</v>
      </c>
      <c r="F1003">
        <v>-261.4</v>
      </c>
      <c r="G1003">
        <v>148.9</v>
      </c>
      <c r="I1003">
        <f t="shared" si="45"/>
        <v>33.35</v>
      </c>
      <c r="J1003">
        <f t="shared" si="46"/>
        <v>-58.4</v>
      </c>
      <c r="K1003">
        <f t="shared" si="47"/>
        <v>-150</v>
      </c>
    </row>
    <row r="1004" spans="1:11">
      <c r="A1004">
        <v>33.461</v>
      </c>
      <c r="B1004">
        <v>-256</v>
      </c>
      <c r="C1004">
        <v>145.7</v>
      </c>
      <c r="E1004">
        <v>33.428</v>
      </c>
      <c r="F1004">
        <v>-258.4</v>
      </c>
      <c r="G1004">
        <v>147.1</v>
      </c>
      <c r="I1004">
        <f t="shared" si="45"/>
        <v>33.4</v>
      </c>
      <c r="J1004">
        <f t="shared" si="46"/>
        <v>-55.4</v>
      </c>
      <c r="K1004">
        <f t="shared" si="47"/>
        <v>-150</v>
      </c>
    </row>
    <row r="1005" spans="1:11">
      <c r="A1005">
        <v>33.495</v>
      </c>
      <c r="B1005">
        <v>-253.4</v>
      </c>
      <c r="C1005">
        <v>143.8</v>
      </c>
      <c r="E1005">
        <v>33.461</v>
      </c>
      <c r="F1005">
        <v>-256</v>
      </c>
      <c r="G1005">
        <v>145.7</v>
      </c>
      <c r="I1005">
        <f t="shared" si="45"/>
        <v>33.45</v>
      </c>
      <c r="J1005">
        <f t="shared" si="46"/>
        <v>-53</v>
      </c>
      <c r="K1005">
        <f t="shared" si="47"/>
        <v>-150</v>
      </c>
    </row>
    <row r="1006" spans="1:11">
      <c r="A1006">
        <v>33.528</v>
      </c>
      <c r="B1006">
        <v>-250.4</v>
      </c>
      <c r="C1006">
        <v>141.7</v>
      </c>
      <c r="E1006">
        <v>33.495</v>
      </c>
      <c r="F1006">
        <v>-253.4</v>
      </c>
      <c r="G1006">
        <v>143.8</v>
      </c>
      <c r="I1006">
        <f t="shared" si="45"/>
        <v>33.45</v>
      </c>
      <c r="J1006">
        <f t="shared" si="46"/>
        <v>-50.4</v>
      </c>
      <c r="K1006">
        <f t="shared" si="47"/>
        <v>-150</v>
      </c>
    </row>
    <row r="1007" spans="1:11">
      <c r="A1007">
        <v>33.562</v>
      </c>
      <c r="B1007">
        <v>-248.5</v>
      </c>
      <c r="C1007">
        <v>140.2</v>
      </c>
      <c r="E1007">
        <v>33.528</v>
      </c>
      <c r="F1007">
        <v>-250.4</v>
      </c>
      <c r="G1007">
        <v>141.7</v>
      </c>
      <c r="I1007">
        <f t="shared" si="45"/>
        <v>33.5</v>
      </c>
      <c r="J1007">
        <f t="shared" si="46"/>
        <v>-47.4</v>
      </c>
      <c r="K1007">
        <f t="shared" si="47"/>
        <v>-150</v>
      </c>
    </row>
    <row r="1008" spans="1:11">
      <c r="A1008">
        <v>33.595</v>
      </c>
      <c r="B1008">
        <v>-246.9</v>
      </c>
      <c r="C1008">
        <v>137.8</v>
      </c>
      <c r="E1008">
        <v>33.562</v>
      </c>
      <c r="F1008">
        <v>-248.5</v>
      </c>
      <c r="G1008">
        <v>140.2</v>
      </c>
      <c r="I1008">
        <f t="shared" si="45"/>
        <v>33.55</v>
      </c>
      <c r="J1008">
        <f t="shared" si="46"/>
        <v>-45.5</v>
      </c>
      <c r="K1008">
        <f t="shared" si="47"/>
        <v>-150</v>
      </c>
    </row>
    <row r="1009" spans="1:11">
      <c r="A1009">
        <v>33.629</v>
      </c>
      <c r="B1009">
        <v>-245.2</v>
      </c>
      <c r="C1009">
        <v>135.7</v>
      </c>
      <c r="E1009">
        <v>33.595</v>
      </c>
      <c r="F1009">
        <v>-246.9</v>
      </c>
      <c r="G1009">
        <v>137.8</v>
      </c>
      <c r="I1009">
        <f t="shared" si="45"/>
        <v>33.55</v>
      </c>
      <c r="J1009">
        <f t="shared" si="46"/>
        <v>-43.9</v>
      </c>
      <c r="K1009">
        <f t="shared" si="47"/>
        <v>-150</v>
      </c>
    </row>
    <row r="1010" spans="1:11">
      <c r="A1010">
        <v>33.662</v>
      </c>
      <c r="B1010">
        <v>-243.9</v>
      </c>
      <c r="C1010">
        <v>133.8</v>
      </c>
      <c r="E1010">
        <v>33.629</v>
      </c>
      <c r="F1010">
        <v>-245.2</v>
      </c>
      <c r="G1010">
        <v>135.7</v>
      </c>
      <c r="I1010">
        <f t="shared" si="45"/>
        <v>33.6</v>
      </c>
      <c r="J1010">
        <f t="shared" si="46"/>
        <v>-42.2</v>
      </c>
      <c r="K1010">
        <f t="shared" si="47"/>
        <v>-150</v>
      </c>
    </row>
    <row r="1011" spans="1:11">
      <c r="A1011">
        <v>33.695</v>
      </c>
      <c r="B1011">
        <v>-243.2</v>
      </c>
      <c r="C1011">
        <v>132.1</v>
      </c>
      <c r="E1011">
        <v>33.662</v>
      </c>
      <c r="F1011">
        <v>-243.9</v>
      </c>
      <c r="G1011">
        <v>133.8</v>
      </c>
      <c r="I1011">
        <f t="shared" si="45"/>
        <v>33.65</v>
      </c>
      <c r="J1011">
        <f t="shared" si="46"/>
        <v>-40.9</v>
      </c>
      <c r="K1011">
        <f t="shared" si="47"/>
        <v>-150</v>
      </c>
    </row>
    <row r="1012" spans="1:11">
      <c r="A1012">
        <v>33.729</v>
      </c>
      <c r="B1012">
        <v>-242.8</v>
      </c>
      <c r="C1012">
        <v>130</v>
      </c>
      <c r="E1012">
        <v>33.695</v>
      </c>
      <c r="F1012">
        <v>-243.2</v>
      </c>
      <c r="G1012">
        <v>132.1</v>
      </c>
      <c r="I1012">
        <f t="shared" si="45"/>
        <v>33.65</v>
      </c>
      <c r="J1012">
        <f t="shared" si="46"/>
        <v>-40.2</v>
      </c>
      <c r="K1012">
        <f t="shared" si="47"/>
        <v>-150</v>
      </c>
    </row>
    <row r="1013" spans="1:11">
      <c r="A1013">
        <v>33.762</v>
      </c>
      <c r="B1013">
        <v>-242.6</v>
      </c>
      <c r="C1013">
        <v>127.8</v>
      </c>
      <c r="E1013">
        <v>33.729</v>
      </c>
      <c r="F1013">
        <v>-242.8</v>
      </c>
      <c r="G1013">
        <v>130</v>
      </c>
      <c r="I1013">
        <f t="shared" si="45"/>
        <v>33.7</v>
      </c>
      <c r="J1013">
        <f t="shared" si="46"/>
        <v>-39.8</v>
      </c>
      <c r="K1013">
        <f t="shared" si="47"/>
        <v>-150</v>
      </c>
    </row>
    <row r="1014" spans="1:11">
      <c r="A1014">
        <v>33.796</v>
      </c>
      <c r="B1014">
        <v>-242.6</v>
      </c>
      <c r="C1014">
        <v>125.8</v>
      </c>
      <c r="E1014">
        <v>33.762</v>
      </c>
      <c r="F1014">
        <v>-242.6</v>
      </c>
      <c r="G1014">
        <v>127.8</v>
      </c>
      <c r="I1014">
        <f t="shared" si="45"/>
        <v>33.75</v>
      </c>
      <c r="J1014">
        <f t="shared" si="46"/>
        <v>-39.6</v>
      </c>
      <c r="K1014">
        <f t="shared" si="47"/>
        <v>-150</v>
      </c>
    </row>
    <row r="1015" spans="1:11">
      <c r="A1015">
        <v>33.829</v>
      </c>
      <c r="B1015">
        <v>-242.7</v>
      </c>
      <c r="C1015">
        <v>124.9</v>
      </c>
      <c r="E1015">
        <v>33.796</v>
      </c>
      <c r="F1015">
        <v>-242.6</v>
      </c>
      <c r="G1015">
        <v>125.8</v>
      </c>
      <c r="I1015">
        <f t="shared" si="45"/>
        <v>33.75</v>
      </c>
      <c r="J1015">
        <f t="shared" si="46"/>
        <v>-39.6</v>
      </c>
      <c r="K1015">
        <f t="shared" si="47"/>
        <v>-150</v>
      </c>
    </row>
    <row r="1016" spans="1:11">
      <c r="A1016">
        <v>33.863</v>
      </c>
      <c r="B1016">
        <v>-243.2</v>
      </c>
      <c r="C1016">
        <v>123</v>
      </c>
      <c r="E1016">
        <v>33.829</v>
      </c>
      <c r="F1016">
        <v>-242.7</v>
      </c>
      <c r="G1016">
        <v>124.9</v>
      </c>
      <c r="I1016">
        <f t="shared" si="45"/>
        <v>33.8</v>
      </c>
      <c r="J1016">
        <f t="shared" si="46"/>
        <v>-39.7</v>
      </c>
      <c r="K1016">
        <f t="shared" si="47"/>
        <v>-150</v>
      </c>
    </row>
    <row r="1017" spans="1:11">
      <c r="A1017">
        <v>33.896</v>
      </c>
      <c r="B1017">
        <v>-243.9</v>
      </c>
      <c r="C1017">
        <v>119.5</v>
      </c>
      <c r="E1017">
        <v>33.863</v>
      </c>
      <c r="F1017">
        <v>-243.2</v>
      </c>
      <c r="G1017">
        <v>123</v>
      </c>
      <c r="I1017">
        <f t="shared" si="45"/>
        <v>33.85</v>
      </c>
      <c r="J1017">
        <f t="shared" si="46"/>
        <v>-40.2</v>
      </c>
      <c r="K1017">
        <f t="shared" si="47"/>
        <v>-150</v>
      </c>
    </row>
    <row r="1018" spans="1:11">
      <c r="A1018">
        <v>33.929</v>
      </c>
      <c r="B1018">
        <v>-245.3</v>
      </c>
      <c r="C1018">
        <v>117.8</v>
      </c>
      <c r="E1018">
        <v>33.896</v>
      </c>
      <c r="F1018">
        <v>-243.9</v>
      </c>
      <c r="G1018">
        <v>119.5</v>
      </c>
      <c r="I1018">
        <f t="shared" si="45"/>
        <v>33.85</v>
      </c>
      <c r="J1018">
        <f t="shared" si="46"/>
        <v>-40.9</v>
      </c>
      <c r="K1018">
        <f t="shared" si="47"/>
        <v>-150</v>
      </c>
    </row>
    <row r="1019" spans="1:11">
      <c r="A1019">
        <v>33.963</v>
      </c>
      <c r="B1019">
        <v>-247.2</v>
      </c>
      <c r="C1019">
        <v>114.6</v>
      </c>
      <c r="E1019">
        <v>33.929</v>
      </c>
      <c r="F1019">
        <v>-245.3</v>
      </c>
      <c r="G1019">
        <v>117.8</v>
      </c>
      <c r="I1019">
        <f t="shared" si="45"/>
        <v>33.9</v>
      </c>
      <c r="J1019">
        <f t="shared" si="46"/>
        <v>-42.3</v>
      </c>
      <c r="K1019">
        <f t="shared" si="47"/>
        <v>-150</v>
      </c>
    </row>
    <row r="1020" spans="1:11">
      <c r="A1020">
        <v>33.996</v>
      </c>
      <c r="B1020">
        <v>-249</v>
      </c>
      <c r="C1020">
        <v>112.6</v>
      </c>
      <c r="E1020">
        <v>33.963</v>
      </c>
      <c r="F1020">
        <v>-247.2</v>
      </c>
      <c r="G1020">
        <v>114.6</v>
      </c>
      <c r="I1020">
        <f t="shared" si="45"/>
        <v>33.95</v>
      </c>
      <c r="J1020">
        <f t="shared" si="46"/>
        <v>-44.2</v>
      </c>
      <c r="K1020">
        <f t="shared" si="47"/>
        <v>-150</v>
      </c>
    </row>
    <row r="1021" spans="1:11">
      <c r="A1021">
        <v>34.03</v>
      </c>
      <c r="B1021">
        <v>-251.1</v>
      </c>
      <c r="C1021">
        <v>110.4</v>
      </c>
      <c r="E1021">
        <v>33.996</v>
      </c>
      <c r="F1021">
        <v>-249</v>
      </c>
      <c r="G1021">
        <v>112.6</v>
      </c>
      <c r="I1021">
        <f t="shared" si="45"/>
        <v>33.95</v>
      </c>
      <c r="J1021">
        <f t="shared" si="46"/>
        <v>-46</v>
      </c>
      <c r="K1021">
        <f t="shared" si="47"/>
        <v>-150</v>
      </c>
    </row>
    <row r="1022" spans="1:11">
      <c r="A1022">
        <v>34.063</v>
      </c>
      <c r="B1022">
        <v>-254</v>
      </c>
      <c r="C1022">
        <v>107.6</v>
      </c>
      <c r="E1022">
        <v>34.03</v>
      </c>
      <c r="F1022">
        <v>-251.1</v>
      </c>
      <c r="G1022">
        <v>110.4</v>
      </c>
      <c r="I1022">
        <f t="shared" si="45"/>
        <v>34</v>
      </c>
      <c r="J1022">
        <f t="shared" si="46"/>
        <v>-48.1</v>
      </c>
      <c r="K1022">
        <f t="shared" si="47"/>
        <v>-150</v>
      </c>
    </row>
    <row r="1023" spans="1:11">
      <c r="A1023">
        <v>34.097</v>
      </c>
      <c r="B1023">
        <v>-256.4</v>
      </c>
      <c r="C1023">
        <v>104.8</v>
      </c>
      <c r="E1023">
        <v>34.063</v>
      </c>
      <c r="F1023">
        <v>-254</v>
      </c>
      <c r="G1023">
        <v>107.6</v>
      </c>
      <c r="I1023">
        <f t="shared" si="45"/>
        <v>34.05</v>
      </c>
      <c r="J1023">
        <f t="shared" si="46"/>
        <v>-51</v>
      </c>
      <c r="K1023">
        <f t="shared" si="47"/>
        <v>-150</v>
      </c>
    </row>
    <row r="1024" spans="1:11">
      <c r="A1024">
        <v>34.13</v>
      </c>
      <c r="B1024">
        <v>-258.8</v>
      </c>
      <c r="C1024">
        <v>102.6</v>
      </c>
      <c r="E1024">
        <v>34.097</v>
      </c>
      <c r="F1024">
        <v>-256.4</v>
      </c>
      <c r="G1024">
        <v>104.8</v>
      </c>
      <c r="I1024">
        <f t="shared" si="45"/>
        <v>34.05</v>
      </c>
      <c r="J1024">
        <f t="shared" si="46"/>
        <v>-53.4</v>
      </c>
      <c r="K1024">
        <f t="shared" si="47"/>
        <v>-150</v>
      </c>
    </row>
    <row r="1025" spans="1:11">
      <c r="A1025">
        <v>34.163</v>
      </c>
      <c r="B1025">
        <v>-261.7</v>
      </c>
      <c r="C1025">
        <v>100</v>
      </c>
      <c r="E1025">
        <v>34.13</v>
      </c>
      <c r="F1025">
        <v>-258.8</v>
      </c>
      <c r="G1025">
        <v>102.6</v>
      </c>
      <c r="I1025">
        <f t="shared" si="45"/>
        <v>34.1</v>
      </c>
      <c r="J1025">
        <f t="shared" si="46"/>
        <v>-55.8</v>
      </c>
      <c r="K1025">
        <f t="shared" si="47"/>
        <v>-150</v>
      </c>
    </row>
    <row r="1026" spans="1:11">
      <c r="A1026">
        <v>34.197</v>
      </c>
      <c r="B1026">
        <v>-264.9</v>
      </c>
      <c r="C1026">
        <v>96.9</v>
      </c>
      <c r="E1026">
        <v>34.163</v>
      </c>
      <c r="F1026">
        <v>-261.7</v>
      </c>
      <c r="G1026">
        <v>100</v>
      </c>
      <c r="I1026">
        <f t="shared" si="45"/>
        <v>34.15</v>
      </c>
      <c r="J1026">
        <f t="shared" si="46"/>
        <v>-58.7</v>
      </c>
      <c r="K1026">
        <f t="shared" si="47"/>
        <v>-150</v>
      </c>
    </row>
    <row r="1027" spans="1:11">
      <c r="A1027">
        <v>34.23</v>
      </c>
      <c r="B1027">
        <v>-267.9</v>
      </c>
      <c r="C1027">
        <v>94.8</v>
      </c>
      <c r="E1027">
        <v>34.197</v>
      </c>
      <c r="F1027">
        <v>-264.9</v>
      </c>
      <c r="G1027">
        <v>96.9</v>
      </c>
      <c r="I1027">
        <f t="shared" si="45"/>
        <v>34.15</v>
      </c>
      <c r="J1027">
        <f t="shared" si="46"/>
        <v>-61.9</v>
      </c>
      <c r="K1027">
        <f t="shared" si="47"/>
        <v>-150</v>
      </c>
    </row>
    <row r="1028" spans="1:11">
      <c r="A1028">
        <v>34.264</v>
      </c>
      <c r="B1028">
        <v>-271</v>
      </c>
      <c r="C1028">
        <v>92.4</v>
      </c>
      <c r="E1028">
        <v>34.23</v>
      </c>
      <c r="F1028">
        <v>-267.9</v>
      </c>
      <c r="G1028">
        <v>94.8</v>
      </c>
      <c r="I1028">
        <f t="shared" ref="I1028:I1091" si="48">FLOOR(E1028,0.05)</f>
        <v>34.2</v>
      </c>
      <c r="J1028">
        <f t="shared" ref="J1028:J1091" si="49">F1028+203</f>
        <v>-64.9</v>
      </c>
      <c r="K1028">
        <f t="shared" si="47"/>
        <v>-150</v>
      </c>
    </row>
    <row r="1029" spans="1:11">
      <c r="A1029">
        <v>34.297</v>
      </c>
      <c r="B1029">
        <v>-274</v>
      </c>
      <c r="C1029">
        <v>88.7</v>
      </c>
      <c r="E1029">
        <v>34.264</v>
      </c>
      <c r="F1029">
        <v>-271</v>
      </c>
      <c r="G1029">
        <v>92.4</v>
      </c>
      <c r="I1029">
        <f t="shared" si="48"/>
        <v>34.25</v>
      </c>
      <c r="J1029">
        <f t="shared" si="49"/>
        <v>-68</v>
      </c>
      <c r="K1029">
        <f t="shared" ref="K1029:K1092" si="50">IF(G1029&lt;230,-150,100)</f>
        <v>-150</v>
      </c>
    </row>
    <row r="1030" spans="1:11">
      <c r="A1030">
        <v>34.331</v>
      </c>
      <c r="B1030">
        <v>-276.7</v>
      </c>
      <c r="C1030">
        <v>87.1</v>
      </c>
      <c r="E1030">
        <v>34.297</v>
      </c>
      <c r="F1030">
        <v>-274</v>
      </c>
      <c r="G1030">
        <v>88.7</v>
      </c>
      <c r="I1030">
        <f t="shared" si="48"/>
        <v>34.25</v>
      </c>
      <c r="J1030">
        <f t="shared" si="49"/>
        <v>-71</v>
      </c>
      <c r="K1030">
        <f t="shared" si="50"/>
        <v>-150</v>
      </c>
    </row>
    <row r="1031" spans="1:11">
      <c r="A1031">
        <v>34.364</v>
      </c>
      <c r="B1031">
        <v>-280.2</v>
      </c>
      <c r="C1031">
        <v>84.1</v>
      </c>
      <c r="E1031">
        <v>34.331</v>
      </c>
      <c r="F1031">
        <v>-276.7</v>
      </c>
      <c r="G1031">
        <v>87.1</v>
      </c>
      <c r="I1031">
        <f t="shared" si="48"/>
        <v>34.3</v>
      </c>
      <c r="J1031">
        <f t="shared" si="49"/>
        <v>-73.7</v>
      </c>
      <c r="K1031">
        <f t="shared" si="50"/>
        <v>-150</v>
      </c>
    </row>
    <row r="1032" spans="1:11">
      <c r="A1032">
        <v>34.397</v>
      </c>
      <c r="B1032">
        <v>-282.5</v>
      </c>
      <c r="C1032">
        <v>81.4</v>
      </c>
      <c r="E1032">
        <v>34.364</v>
      </c>
      <c r="F1032">
        <v>-280.2</v>
      </c>
      <c r="G1032">
        <v>84.1</v>
      </c>
      <c r="I1032">
        <f t="shared" si="48"/>
        <v>34.35</v>
      </c>
      <c r="J1032">
        <f t="shared" si="49"/>
        <v>-77.2</v>
      </c>
      <c r="K1032">
        <f t="shared" si="50"/>
        <v>-150</v>
      </c>
    </row>
    <row r="1033" spans="1:11">
      <c r="A1033">
        <v>34.431</v>
      </c>
      <c r="B1033">
        <v>-284.6</v>
      </c>
      <c r="C1033">
        <v>78</v>
      </c>
      <c r="E1033">
        <v>34.397</v>
      </c>
      <c r="F1033">
        <v>-282.5</v>
      </c>
      <c r="G1033">
        <v>81.4</v>
      </c>
      <c r="I1033">
        <f t="shared" si="48"/>
        <v>34.35</v>
      </c>
      <c r="J1033">
        <f t="shared" si="49"/>
        <v>-79.5</v>
      </c>
      <c r="K1033">
        <f t="shared" si="50"/>
        <v>-150</v>
      </c>
    </row>
    <row r="1034" spans="1:11">
      <c r="A1034">
        <v>34.464</v>
      </c>
      <c r="B1034">
        <v>-286.8</v>
      </c>
      <c r="C1034">
        <v>75.6</v>
      </c>
      <c r="E1034">
        <v>34.431</v>
      </c>
      <c r="F1034">
        <v>-284.6</v>
      </c>
      <c r="G1034">
        <v>78</v>
      </c>
      <c r="I1034">
        <f t="shared" si="48"/>
        <v>34.4</v>
      </c>
      <c r="J1034">
        <f t="shared" si="49"/>
        <v>-81.6</v>
      </c>
      <c r="K1034">
        <f t="shared" si="50"/>
        <v>-150</v>
      </c>
    </row>
    <row r="1035" spans="1:11">
      <c r="A1035">
        <v>34.498</v>
      </c>
      <c r="B1035">
        <v>-288.4</v>
      </c>
      <c r="C1035">
        <v>74.1</v>
      </c>
      <c r="E1035">
        <v>34.464</v>
      </c>
      <c r="F1035">
        <v>-286.8</v>
      </c>
      <c r="G1035">
        <v>75.6</v>
      </c>
      <c r="I1035">
        <f t="shared" si="48"/>
        <v>34.45</v>
      </c>
      <c r="J1035">
        <f t="shared" si="49"/>
        <v>-83.8</v>
      </c>
      <c r="K1035">
        <f t="shared" si="50"/>
        <v>-150</v>
      </c>
    </row>
    <row r="1036" spans="1:11">
      <c r="A1036">
        <v>34.531</v>
      </c>
      <c r="B1036">
        <v>-289.8</v>
      </c>
      <c r="C1036">
        <v>71.6</v>
      </c>
      <c r="E1036">
        <v>34.498</v>
      </c>
      <c r="F1036">
        <v>-288.4</v>
      </c>
      <c r="G1036">
        <v>74.1</v>
      </c>
      <c r="I1036">
        <f t="shared" si="48"/>
        <v>34.45</v>
      </c>
      <c r="J1036">
        <f t="shared" si="49"/>
        <v>-85.4</v>
      </c>
      <c r="K1036">
        <f t="shared" si="50"/>
        <v>-150</v>
      </c>
    </row>
    <row r="1037" spans="1:11">
      <c r="A1037">
        <v>34.565</v>
      </c>
      <c r="B1037">
        <v>-291.1</v>
      </c>
      <c r="C1037">
        <v>70.9</v>
      </c>
      <c r="E1037">
        <v>34.531</v>
      </c>
      <c r="F1037">
        <v>-289.8</v>
      </c>
      <c r="G1037">
        <v>71.6</v>
      </c>
      <c r="I1037">
        <f t="shared" si="48"/>
        <v>34.5</v>
      </c>
      <c r="J1037">
        <f t="shared" si="49"/>
        <v>-86.8</v>
      </c>
      <c r="K1037">
        <f t="shared" si="50"/>
        <v>-150</v>
      </c>
    </row>
    <row r="1038" spans="1:11">
      <c r="A1038">
        <v>34.598</v>
      </c>
      <c r="B1038">
        <v>-291.9</v>
      </c>
      <c r="C1038">
        <v>69.3</v>
      </c>
      <c r="E1038">
        <v>34.565</v>
      </c>
      <c r="F1038">
        <v>-291.1</v>
      </c>
      <c r="G1038">
        <v>70.9</v>
      </c>
      <c r="I1038">
        <f t="shared" si="48"/>
        <v>34.55</v>
      </c>
      <c r="J1038">
        <f t="shared" si="49"/>
        <v>-88.1</v>
      </c>
      <c r="K1038">
        <f t="shared" si="50"/>
        <v>-150</v>
      </c>
    </row>
    <row r="1039" spans="1:11">
      <c r="A1039">
        <v>34.631</v>
      </c>
      <c r="B1039">
        <v>-292.3</v>
      </c>
      <c r="C1039">
        <v>68.6</v>
      </c>
      <c r="E1039">
        <v>34.598</v>
      </c>
      <c r="F1039">
        <v>-291.9</v>
      </c>
      <c r="G1039">
        <v>69.3</v>
      </c>
      <c r="I1039">
        <f t="shared" si="48"/>
        <v>34.55</v>
      </c>
      <c r="J1039">
        <f t="shared" si="49"/>
        <v>-88.9</v>
      </c>
      <c r="K1039">
        <f t="shared" si="50"/>
        <v>-150</v>
      </c>
    </row>
    <row r="1040" spans="1:11">
      <c r="A1040">
        <v>34.665</v>
      </c>
      <c r="B1040">
        <v>-292.2</v>
      </c>
      <c r="C1040">
        <v>67.1</v>
      </c>
      <c r="E1040">
        <v>34.631</v>
      </c>
      <c r="F1040">
        <v>-292.3</v>
      </c>
      <c r="G1040">
        <v>68.6</v>
      </c>
      <c r="I1040">
        <f t="shared" si="48"/>
        <v>34.6</v>
      </c>
      <c r="J1040">
        <f t="shared" si="49"/>
        <v>-89.3</v>
      </c>
      <c r="K1040">
        <f t="shared" si="50"/>
        <v>-150</v>
      </c>
    </row>
    <row r="1041" spans="1:11">
      <c r="A1041">
        <v>34.698</v>
      </c>
      <c r="B1041">
        <v>-291.9</v>
      </c>
      <c r="C1041">
        <v>66.4</v>
      </c>
      <c r="E1041">
        <v>34.665</v>
      </c>
      <c r="F1041">
        <v>-292.2</v>
      </c>
      <c r="G1041">
        <v>67.1</v>
      </c>
      <c r="I1041">
        <f t="shared" si="48"/>
        <v>34.65</v>
      </c>
      <c r="J1041">
        <f t="shared" si="49"/>
        <v>-89.2</v>
      </c>
      <c r="K1041">
        <f t="shared" si="50"/>
        <v>-150</v>
      </c>
    </row>
    <row r="1042" spans="1:11">
      <c r="A1042">
        <v>34.732</v>
      </c>
      <c r="B1042">
        <v>-291.2</v>
      </c>
      <c r="C1042">
        <v>65.5</v>
      </c>
      <c r="E1042">
        <v>34.698</v>
      </c>
      <c r="F1042">
        <v>-291.9</v>
      </c>
      <c r="G1042">
        <v>66.4</v>
      </c>
      <c r="I1042">
        <f t="shared" si="48"/>
        <v>34.65</v>
      </c>
      <c r="J1042">
        <f t="shared" si="49"/>
        <v>-88.9</v>
      </c>
      <c r="K1042">
        <f t="shared" si="50"/>
        <v>-150</v>
      </c>
    </row>
    <row r="1043" spans="1:11">
      <c r="A1043">
        <v>34.765</v>
      </c>
      <c r="B1043">
        <v>-290.1</v>
      </c>
      <c r="C1043">
        <v>64.3</v>
      </c>
      <c r="E1043">
        <v>34.732</v>
      </c>
      <c r="F1043">
        <v>-291.2</v>
      </c>
      <c r="G1043">
        <v>65.5</v>
      </c>
      <c r="I1043">
        <f t="shared" si="48"/>
        <v>34.7</v>
      </c>
      <c r="J1043">
        <f t="shared" si="49"/>
        <v>-88.2</v>
      </c>
      <c r="K1043">
        <f t="shared" si="50"/>
        <v>-150</v>
      </c>
    </row>
    <row r="1044" spans="1:11">
      <c r="A1044">
        <v>34.799</v>
      </c>
      <c r="B1044">
        <v>-288.7</v>
      </c>
      <c r="C1044">
        <v>63.4</v>
      </c>
      <c r="E1044">
        <v>34.765</v>
      </c>
      <c r="F1044">
        <v>-290.1</v>
      </c>
      <c r="G1044">
        <v>64.3</v>
      </c>
      <c r="I1044">
        <f t="shared" si="48"/>
        <v>34.75</v>
      </c>
      <c r="J1044">
        <f t="shared" si="49"/>
        <v>-87.1</v>
      </c>
      <c r="K1044">
        <f t="shared" si="50"/>
        <v>-150</v>
      </c>
    </row>
    <row r="1045" spans="1:11">
      <c r="A1045">
        <v>34.832</v>
      </c>
      <c r="B1045">
        <v>-287.4</v>
      </c>
      <c r="C1045">
        <v>62.6</v>
      </c>
      <c r="E1045">
        <v>34.799</v>
      </c>
      <c r="F1045">
        <v>-288.7</v>
      </c>
      <c r="G1045">
        <v>63.4</v>
      </c>
      <c r="I1045">
        <f t="shared" si="48"/>
        <v>34.75</v>
      </c>
      <c r="J1045">
        <f t="shared" si="49"/>
        <v>-85.7</v>
      </c>
      <c r="K1045">
        <f t="shared" si="50"/>
        <v>-150</v>
      </c>
    </row>
    <row r="1046" spans="1:11">
      <c r="A1046">
        <v>34.865</v>
      </c>
      <c r="B1046">
        <v>-285.1</v>
      </c>
      <c r="C1046">
        <v>61.6</v>
      </c>
      <c r="E1046">
        <v>34.832</v>
      </c>
      <c r="F1046">
        <v>-287.4</v>
      </c>
      <c r="G1046">
        <v>62.6</v>
      </c>
      <c r="I1046">
        <f t="shared" si="48"/>
        <v>34.8</v>
      </c>
      <c r="J1046">
        <f t="shared" si="49"/>
        <v>-84.4</v>
      </c>
      <c r="K1046">
        <f t="shared" si="50"/>
        <v>-150</v>
      </c>
    </row>
    <row r="1047" spans="1:11">
      <c r="A1047">
        <v>34.899</v>
      </c>
      <c r="B1047">
        <v>-283</v>
      </c>
      <c r="C1047">
        <v>61.1</v>
      </c>
      <c r="E1047">
        <v>34.865</v>
      </c>
      <c r="F1047">
        <v>-285.1</v>
      </c>
      <c r="G1047">
        <v>61.6</v>
      </c>
      <c r="I1047">
        <f t="shared" si="48"/>
        <v>34.85</v>
      </c>
      <c r="J1047">
        <f t="shared" si="49"/>
        <v>-82.1</v>
      </c>
      <c r="K1047">
        <f t="shared" si="50"/>
        <v>-150</v>
      </c>
    </row>
    <row r="1048" spans="1:11">
      <c r="A1048">
        <v>34.932</v>
      </c>
      <c r="B1048">
        <v>-280.8</v>
      </c>
      <c r="C1048">
        <v>60.8</v>
      </c>
      <c r="E1048">
        <v>34.899</v>
      </c>
      <c r="F1048">
        <v>-283</v>
      </c>
      <c r="G1048">
        <v>61.1</v>
      </c>
      <c r="I1048">
        <f t="shared" si="48"/>
        <v>34.85</v>
      </c>
      <c r="J1048">
        <f t="shared" si="49"/>
        <v>-80</v>
      </c>
      <c r="K1048">
        <f t="shared" si="50"/>
        <v>-150</v>
      </c>
    </row>
    <row r="1049" spans="1:11">
      <c r="A1049">
        <v>34.966</v>
      </c>
      <c r="B1049">
        <v>-277.6</v>
      </c>
      <c r="C1049">
        <v>60.5</v>
      </c>
      <c r="E1049">
        <v>34.932</v>
      </c>
      <c r="F1049">
        <v>-280.8</v>
      </c>
      <c r="G1049">
        <v>60.8</v>
      </c>
      <c r="I1049">
        <f t="shared" si="48"/>
        <v>34.9</v>
      </c>
      <c r="J1049">
        <f t="shared" si="49"/>
        <v>-77.8</v>
      </c>
      <c r="K1049">
        <f t="shared" si="50"/>
        <v>-150</v>
      </c>
    </row>
    <row r="1050" spans="1:11">
      <c r="A1050">
        <v>34.999</v>
      </c>
      <c r="B1050">
        <v>-275.3</v>
      </c>
      <c r="C1050">
        <v>60.3</v>
      </c>
      <c r="E1050">
        <v>34.966</v>
      </c>
      <c r="F1050">
        <v>-277.6</v>
      </c>
      <c r="G1050">
        <v>60.5</v>
      </c>
      <c r="I1050">
        <f t="shared" si="48"/>
        <v>34.95</v>
      </c>
      <c r="J1050">
        <f t="shared" si="49"/>
        <v>-74.6</v>
      </c>
      <c r="K1050">
        <f t="shared" si="50"/>
        <v>-150</v>
      </c>
    </row>
    <row r="1051" spans="1:11">
      <c r="A1051">
        <v>35.033</v>
      </c>
      <c r="B1051">
        <v>-272.2</v>
      </c>
      <c r="C1051">
        <v>60.5</v>
      </c>
      <c r="E1051">
        <v>34.999</v>
      </c>
      <c r="F1051">
        <v>-275.3</v>
      </c>
      <c r="G1051">
        <v>60.3</v>
      </c>
      <c r="I1051">
        <f t="shared" si="48"/>
        <v>34.95</v>
      </c>
      <c r="J1051">
        <f t="shared" si="49"/>
        <v>-72.3</v>
      </c>
      <c r="K1051">
        <f t="shared" si="50"/>
        <v>-150</v>
      </c>
    </row>
    <row r="1052" spans="1:11">
      <c r="A1052">
        <v>35.066</v>
      </c>
      <c r="B1052">
        <v>-269.1</v>
      </c>
      <c r="C1052">
        <v>60.3</v>
      </c>
      <c r="E1052">
        <v>35.033</v>
      </c>
      <c r="F1052">
        <v>-272.2</v>
      </c>
      <c r="G1052">
        <v>60.5</v>
      </c>
      <c r="I1052">
        <f t="shared" si="48"/>
        <v>35</v>
      </c>
      <c r="J1052">
        <f t="shared" si="49"/>
        <v>-69.2</v>
      </c>
      <c r="K1052">
        <f t="shared" si="50"/>
        <v>-150</v>
      </c>
    </row>
    <row r="1053" spans="1:11">
      <c r="A1053">
        <v>35.099</v>
      </c>
      <c r="B1053">
        <v>-266.3</v>
      </c>
      <c r="C1053">
        <v>60.5</v>
      </c>
      <c r="E1053">
        <v>35.066</v>
      </c>
      <c r="F1053">
        <v>-269.1</v>
      </c>
      <c r="G1053">
        <v>60.3</v>
      </c>
      <c r="I1053">
        <f t="shared" si="48"/>
        <v>35.05</v>
      </c>
      <c r="J1053">
        <f t="shared" si="49"/>
        <v>-66.1</v>
      </c>
      <c r="K1053">
        <f t="shared" si="50"/>
        <v>-150</v>
      </c>
    </row>
    <row r="1054" spans="1:11">
      <c r="A1054">
        <v>35.133</v>
      </c>
      <c r="B1054">
        <v>-263.1</v>
      </c>
      <c r="C1054">
        <v>60.4</v>
      </c>
      <c r="E1054">
        <v>35.099</v>
      </c>
      <c r="F1054">
        <v>-266.3</v>
      </c>
      <c r="G1054">
        <v>60.5</v>
      </c>
      <c r="I1054">
        <f t="shared" si="48"/>
        <v>35.05</v>
      </c>
      <c r="J1054">
        <f t="shared" si="49"/>
        <v>-63.3</v>
      </c>
      <c r="K1054">
        <f t="shared" si="50"/>
        <v>-150</v>
      </c>
    </row>
    <row r="1055" spans="1:11">
      <c r="A1055">
        <v>35.166</v>
      </c>
      <c r="B1055">
        <v>-260.5</v>
      </c>
      <c r="C1055">
        <v>60.4</v>
      </c>
      <c r="E1055">
        <v>35.133</v>
      </c>
      <c r="F1055">
        <v>-263.1</v>
      </c>
      <c r="G1055">
        <v>60.4</v>
      </c>
      <c r="I1055">
        <f t="shared" si="48"/>
        <v>35.1</v>
      </c>
      <c r="J1055">
        <f t="shared" si="49"/>
        <v>-60.1</v>
      </c>
      <c r="K1055">
        <f t="shared" si="50"/>
        <v>-150</v>
      </c>
    </row>
    <row r="1056" spans="1:11">
      <c r="A1056">
        <v>35.2</v>
      </c>
      <c r="B1056">
        <v>-257.9</v>
      </c>
      <c r="C1056">
        <v>60.3</v>
      </c>
      <c r="E1056">
        <v>35.166</v>
      </c>
      <c r="F1056">
        <v>-260.5</v>
      </c>
      <c r="G1056">
        <v>60.4</v>
      </c>
      <c r="I1056">
        <f t="shared" si="48"/>
        <v>35.15</v>
      </c>
      <c r="J1056">
        <f t="shared" si="49"/>
        <v>-57.5</v>
      </c>
      <c r="K1056">
        <f t="shared" si="50"/>
        <v>-150</v>
      </c>
    </row>
    <row r="1057" spans="1:11">
      <c r="A1057">
        <v>35.233</v>
      </c>
      <c r="B1057">
        <v>-255.5</v>
      </c>
      <c r="C1057">
        <v>60.2</v>
      </c>
      <c r="E1057">
        <v>35.2</v>
      </c>
      <c r="F1057">
        <v>-257.9</v>
      </c>
      <c r="G1057">
        <v>60.3</v>
      </c>
      <c r="I1057">
        <f t="shared" si="48"/>
        <v>35.2</v>
      </c>
      <c r="J1057">
        <f t="shared" si="49"/>
        <v>-54.9</v>
      </c>
      <c r="K1057">
        <f t="shared" si="50"/>
        <v>-150</v>
      </c>
    </row>
    <row r="1058" spans="1:11">
      <c r="A1058">
        <v>35.267</v>
      </c>
      <c r="B1058">
        <v>-253</v>
      </c>
      <c r="C1058">
        <v>60</v>
      </c>
      <c r="E1058">
        <v>35.233</v>
      </c>
      <c r="F1058">
        <v>-255.5</v>
      </c>
      <c r="G1058">
        <v>60.2</v>
      </c>
      <c r="I1058">
        <f t="shared" si="48"/>
        <v>35.2</v>
      </c>
      <c r="J1058">
        <f t="shared" si="49"/>
        <v>-52.5</v>
      </c>
      <c r="K1058">
        <f t="shared" si="50"/>
        <v>-150</v>
      </c>
    </row>
    <row r="1059" spans="1:11">
      <c r="A1059">
        <v>35.3</v>
      </c>
      <c r="B1059">
        <v>-250.8</v>
      </c>
      <c r="C1059">
        <v>60.4</v>
      </c>
      <c r="E1059">
        <v>35.267</v>
      </c>
      <c r="F1059">
        <v>-253</v>
      </c>
      <c r="G1059">
        <v>60</v>
      </c>
      <c r="I1059">
        <f t="shared" si="48"/>
        <v>35.25</v>
      </c>
      <c r="J1059">
        <f t="shared" si="49"/>
        <v>-50</v>
      </c>
      <c r="K1059">
        <f t="shared" si="50"/>
        <v>-150</v>
      </c>
    </row>
    <row r="1060" spans="1:11">
      <c r="A1060">
        <v>35.333</v>
      </c>
      <c r="B1060">
        <v>-249.2</v>
      </c>
      <c r="C1060">
        <v>59.9</v>
      </c>
      <c r="E1060">
        <v>35.3</v>
      </c>
      <c r="F1060">
        <v>-250.8</v>
      </c>
      <c r="G1060">
        <v>60.4</v>
      </c>
      <c r="I1060">
        <f t="shared" si="48"/>
        <v>35.3</v>
      </c>
      <c r="J1060">
        <f t="shared" si="49"/>
        <v>-47.8</v>
      </c>
      <c r="K1060">
        <f t="shared" si="50"/>
        <v>-150</v>
      </c>
    </row>
    <row r="1061" spans="1:11">
      <c r="A1061">
        <v>35.367</v>
      </c>
      <c r="B1061">
        <v>-247.9</v>
      </c>
      <c r="C1061">
        <v>60.4</v>
      </c>
      <c r="E1061">
        <v>35.333</v>
      </c>
      <c r="F1061">
        <v>-249.2</v>
      </c>
      <c r="G1061">
        <v>59.9</v>
      </c>
      <c r="I1061">
        <f t="shared" si="48"/>
        <v>35.3</v>
      </c>
      <c r="J1061">
        <f t="shared" si="49"/>
        <v>-46.2</v>
      </c>
      <c r="K1061">
        <f t="shared" si="50"/>
        <v>-150</v>
      </c>
    </row>
    <row r="1062" spans="1:11">
      <c r="A1062">
        <v>35.4</v>
      </c>
      <c r="B1062">
        <v>-247</v>
      </c>
      <c r="C1062">
        <v>60.1</v>
      </c>
      <c r="E1062">
        <v>35.367</v>
      </c>
      <c r="F1062">
        <v>-247.9</v>
      </c>
      <c r="G1062">
        <v>60.4</v>
      </c>
      <c r="I1062">
        <f t="shared" si="48"/>
        <v>35.35</v>
      </c>
      <c r="J1062">
        <f t="shared" si="49"/>
        <v>-44.9</v>
      </c>
      <c r="K1062">
        <f t="shared" si="50"/>
        <v>-150</v>
      </c>
    </row>
    <row r="1063" spans="1:11">
      <c r="A1063">
        <v>35.434</v>
      </c>
      <c r="B1063">
        <v>-245.7</v>
      </c>
      <c r="C1063">
        <v>60.3</v>
      </c>
      <c r="E1063">
        <v>35.4</v>
      </c>
      <c r="F1063">
        <v>-247</v>
      </c>
      <c r="G1063">
        <v>60.1</v>
      </c>
      <c r="I1063">
        <f t="shared" si="48"/>
        <v>35.4</v>
      </c>
      <c r="J1063">
        <f t="shared" si="49"/>
        <v>-44</v>
      </c>
      <c r="K1063">
        <f t="shared" si="50"/>
        <v>-150</v>
      </c>
    </row>
    <row r="1064" spans="1:11">
      <c r="A1064">
        <v>35.467</v>
      </c>
      <c r="B1064">
        <v>-245.4</v>
      </c>
      <c r="C1064">
        <v>60.1</v>
      </c>
      <c r="E1064">
        <v>35.434</v>
      </c>
      <c r="F1064">
        <v>-245.7</v>
      </c>
      <c r="G1064">
        <v>60.3</v>
      </c>
      <c r="I1064">
        <f t="shared" si="48"/>
        <v>35.4</v>
      </c>
      <c r="J1064">
        <f t="shared" si="49"/>
        <v>-42.7</v>
      </c>
      <c r="K1064">
        <f t="shared" si="50"/>
        <v>-150</v>
      </c>
    </row>
    <row r="1065" spans="1:11">
      <c r="A1065">
        <v>35.501</v>
      </c>
      <c r="B1065">
        <v>-245</v>
      </c>
      <c r="C1065">
        <v>60.3</v>
      </c>
      <c r="E1065">
        <v>35.467</v>
      </c>
      <c r="F1065">
        <v>-245.4</v>
      </c>
      <c r="G1065">
        <v>60.1</v>
      </c>
      <c r="I1065">
        <f t="shared" si="48"/>
        <v>35.45</v>
      </c>
      <c r="J1065">
        <f t="shared" si="49"/>
        <v>-42.4</v>
      </c>
      <c r="K1065">
        <f t="shared" si="50"/>
        <v>-150</v>
      </c>
    </row>
    <row r="1066" spans="1:11">
      <c r="A1066">
        <v>35.534</v>
      </c>
      <c r="B1066">
        <v>-245</v>
      </c>
      <c r="C1066">
        <v>60.3</v>
      </c>
      <c r="E1066">
        <v>35.501</v>
      </c>
      <c r="F1066">
        <v>-245</v>
      </c>
      <c r="G1066">
        <v>60.3</v>
      </c>
      <c r="I1066">
        <f t="shared" si="48"/>
        <v>35.5</v>
      </c>
      <c r="J1066">
        <f t="shared" si="49"/>
        <v>-42</v>
      </c>
      <c r="K1066">
        <f t="shared" si="50"/>
        <v>-150</v>
      </c>
    </row>
    <row r="1067" spans="1:11">
      <c r="A1067">
        <v>35.567</v>
      </c>
      <c r="B1067">
        <v>-245.3</v>
      </c>
      <c r="C1067">
        <v>60.1</v>
      </c>
      <c r="E1067">
        <v>35.534</v>
      </c>
      <c r="F1067">
        <v>-245</v>
      </c>
      <c r="G1067">
        <v>60.3</v>
      </c>
      <c r="I1067">
        <f t="shared" si="48"/>
        <v>35.5</v>
      </c>
      <c r="J1067">
        <f t="shared" si="49"/>
        <v>-42</v>
      </c>
      <c r="K1067">
        <f t="shared" si="50"/>
        <v>-150</v>
      </c>
    </row>
    <row r="1068" spans="1:11">
      <c r="A1068">
        <v>35.601</v>
      </c>
      <c r="B1068">
        <v>-245.7</v>
      </c>
      <c r="C1068">
        <v>60</v>
      </c>
      <c r="E1068">
        <v>35.567</v>
      </c>
      <c r="F1068">
        <v>-245.3</v>
      </c>
      <c r="G1068">
        <v>60.1</v>
      </c>
      <c r="I1068">
        <f t="shared" si="48"/>
        <v>35.55</v>
      </c>
      <c r="J1068">
        <f t="shared" si="49"/>
        <v>-42.3</v>
      </c>
      <c r="K1068">
        <f t="shared" si="50"/>
        <v>-150</v>
      </c>
    </row>
    <row r="1069" spans="1:11">
      <c r="A1069">
        <v>35.634</v>
      </c>
      <c r="B1069">
        <v>-247.1</v>
      </c>
      <c r="C1069">
        <v>59.6</v>
      </c>
      <c r="E1069">
        <v>35.601</v>
      </c>
      <c r="F1069">
        <v>-245.7</v>
      </c>
      <c r="G1069">
        <v>60</v>
      </c>
      <c r="I1069">
        <f t="shared" si="48"/>
        <v>35.6</v>
      </c>
      <c r="J1069">
        <f t="shared" si="49"/>
        <v>-42.7</v>
      </c>
      <c r="K1069">
        <f t="shared" si="50"/>
        <v>-150</v>
      </c>
    </row>
    <row r="1070" spans="1:11">
      <c r="A1070">
        <v>35.668</v>
      </c>
      <c r="B1070">
        <v>-248.2</v>
      </c>
      <c r="C1070">
        <v>59.3</v>
      </c>
      <c r="E1070">
        <v>35.634</v>
      </c>
      <c r="F1070">
        <v>-247.1</v>
      </c>
      <c r="G1070">
        <v>59.6</v>
      </c>
      <c r="I1070">
        <f t="shared" si="48"/>
        <v>35.6</v>
      </c>
      <c r="J1070">
        <f t="shared" si="49"/>
        <v>-44.1</v>
      </c>
      <c r="K1070">
        <f t="shared" si="50"/>
        <v>-150</v>
      </c>
    </row>
    <row r="1071" spans="1:11">
      <c r="A1071">
        <v>35.701</v>
      </c>
      <c r="B1071">
        <v>-249.5</v>
      </c>
      <c r="C1071">
        <v>58.7</v>
      </c>
      <c r="E1071">
        <v>35.668</v>
      </c>
      <c r="F1071">
        <v>-248.2</v>
      </c>
      <c r="G1071">
        <v>59.3</v>
      </c>
      <c r="I1071">
        <f t="shared" si="48"/>
        <v>35.65</v>
      </c>
      <c r="J1071">
        <f t="shared" si="49"/>
        <v>-45.2</v>
      </c>
      <c r="K1071">
        <f t="shared" si="50"/>
        <v>-150</v>
      </c>
    </row>
    <row r="1072" spans="1:11">
      <c r="A1072">
        <v>35.734</v>
      </c>
      <c r="B1072">
        <v>-250.9</v>
      </c>
      <c r="C1072">
        <v>58.2</v>
      </c>
      <c r="E1072">
        <v>35.701</v>
      </c>
      <c r="F1072">
        <v>-249.5</v>
      </c>
      <c r="G1072">
        <v>58.7</v>
      </c>
      <c r="I1072">
        <f t="shared" si="48"/>
        <v>35.7</v>
      </c>
      <c r="J1072">
        <f t="shared" si="49"/>
        <v>-46.5</v>
      </c>
      <c r="K1072">
        <f t="shared" si="50"/>
        <v>-150</v>
      </c>
    </row>
    <row r="1073" spans="1:11">
      <c r="A1073">
        <v>35.768</v>
      </c>
      <c r="B1073">
        <v>-253.2</v>
      </c>
      <c r="C1073">
        <v>57.6</v>
      </c>
      <c r="E1073">
        <v>35.734</v>
      </c>
      <c r="F1073">
        <v>-250.9</v>
      </c>
      <c r="G1073">
        <v>58.2</v>
      </c>
      <c r="I1073">
        <f t="shared" si="48"/>
        <v>35.7</v>
      </c>
      <c r="J1073">
        <f t="shared" si="49"/>
        <v>-47.9</v>
      </c>
      <c r="K1073">
        <f t="shared" si="50"/>
        <v>-150</v>
      </c>
    </row>
    <row r="1074" spans="1:11">
      <c r="A1074">
        <v>35.801</v>
      </c>
      <c r="B1074">
        <v>-255.8</v>
      </c>
      <c r="C1074">
        <v>56.7</v>
      </c>
      <c r="E1074">
        <v>35.768</v>
      </c>
      <c r="F1074">
        <v>-253.2</v>
      </c>
      <c r="G1074">
        <v>57.6</v>
      </c>
      <c r="I1074">
        <f t="shared" si="48"/>
        <v>35.75</v>
      </c>
      <c r="J1074">
        <f t="shared" si="49"/>
        <v>-50.2</v>
      </c>
      <c r="K1074">
        <f t="shared" si="50"/>
        <v>-150</v>
      </c>
    </row>
    <row r="1075" spans="1:11">
      <c r="A1075">
        <v>35.835</v>
      </c>
      <c r="B1075">
        <v>-258.4</v>
      </c>
      <c r="C1075">
        <v>54.9</v>
      </c>
      <c r="E1075">
        <v>35.801</v>
      </c>
      <c r="F1075">
        <v>-255.8</v>
      </c>
      <c r="G1075">
        <v>56.7</v>
      </c>
      <c r="I1075">
        <f t="shared" si="48"/>
        <v>35.8</v>
      </c>
      <c r="J1075">
        <f t="shared" si="49"/>
        <v>-52.8</v>
      </c>
      <c r="K1075">
        <f t="shared" si="50"/>
        <v>-150</v>
      </c>
    </row>
    <row r="1076" spans="1:11">
      <c r="A1076">
        <v>35.868</v>
      </c>
      <c r="B1076">
        <v>-261.1</v>
      </c>
      <c r="C1076">
        <v>53.7</v>
      </c>
      <c r="E1076">
        <v>35.835</v>
      </c>
      <c r="F1076">
        <v>-258.4</v>
      </c>
      <c r="G1076">
        <v>54.9</v>
      </c>
      <c r="I1076">
        <f t="shared" si="48"/>
        <v>35.8</v>
      </c>
      <c r="J1076">
        <f t="shared" si="49"/>
        <v>-55.4</v>
      </c>
      <c r="K1076">
        <f t="shared" si="50"/>
        <v>-150</v>
      </c>
    </row>
    <row r="1077" spans="1:11">
      <c r="A1077">
        <v>35.902</v>
      </c>
      <c r="B1077">
        <v>-263.6</v>
      </c>
      <c r="C1077">
        <v>52.3</v>
      </c>
      <c r="E1077">
        <v>35.868</v>
      </c>
      <c r="F1077">
        <v>-261.1</v>
      </c>
      <c r="G1077">
        <v>53.7</v>
      </c>
      <c r="I1077">
        <f t="shared" si="48"/>
        <v>35.85</v>
      </c>
      <c r="J1077">
        <f t="shared" si="49"/>
        <v>-58.1</v>
      </c>
      <c r="K1077">
        <f t="shared" si="50"/>
        <v>-150</v>
      </c>
    </row>
    <row r="1078" spans="1:11">
      <c r="A1078">
        <v>35.935</v>
      </c>
      <c r="B1078">
        <v>-266.6</v>
      </c>
      <c r="C1078">
        <v>51.2</v>
      </c>
      <c r="E1078">
        <v>35.902</v>
      </c>
      <c r="F1078">
        <v>-263.6</v>
      </c>
      <c r="G1078">
        <v>52.3</v>
      </c>
      <c r="I1078">
        <f t="shared" si="48"/>
        <v>35.9</v>
      </c>
      <c r="J1078">
        <f t="shared" si="49"/>
        <v>-60.6</v>
      </c>
      <c r="K1078">
        <f t="shared" si="50"/>
        <v>-150</v>
      </c>
    </row>
    <row r="1079" spans="1:11">
      <c r="A1079">
        <v>35.968</v>
      </c>
      <c r="B1079">
        <v>-269.5</v>
      </c>
      <c r="C1079">
        <v>50.2</v>
      </c>
      <c r="E1079">
        <v>35.935</v>
      </c>
      <c r="F1079">
        <v>-266.6</v>
      </c>
      <c r="G1079">
        <v>51.2</v>
      </c>
      <c r="I1079">
        <f t="shared" si="48"/>
        <v>35.9</v>
      </c>
      <c r="J1079">
        <f t="shared" si="49"/>
        <v>-63.6</v>
      </c>
      <c r="K1079">
        <f t="shared" si="50"/>
        <v>-150</v>
      </c>
    </row>
    <row r="1080" spans="1:11">
      <c r="A1080">
        <v>36.002</v>
      </c>
      <c r="B1080">
        <v>-272.2</v>
      </c>
      <c r="C1080">
        <v>48.6</v>
      </c>
      <c r="E1080">
        <v>35.968</v>
      </c>
      <c r="F1080">
        <v>-269.5</v>
      </c>
      <c r="G1080">
        <v>50.2</v>
      </c>
      <c r="I1080">
        <f t="shared" si="48"/>
        <v>35.95</v>
      </c>
      <c r="J1080">
        <f t="shared" si="49"/>
        <v>-66.5</v>
      </c>
      <c r="K1080">
        <f t="shared" si="50"/>
        <v>-150</v>
      </c>
    </row>
    <row r="1081" spans="1:11">
      <c r="A1081">
        <v>36.035</v>
      </c>
      <c r="B1081">
        <v>-275</v>
      </c>
      <c r="C1081">
        <v>47.3</v>
      </c>
      <c r="E1081">
        <v>36.002</v>
      </c>
      <c r="F1081">
        <v>-272.2</v>
      </c>
      <c r="G1081">
        <v>48.6</v>
      </c>
      <c r="I1081">
        <f t="shared" si="48"/>
        <v>36</v>
      </c>
      <c r="J1081">
        <f t="shared" si="49"/>
        <v>-69.2</v>
      </c>
      <c r="K1081">
        <f t="shared" si="50"/>
        <v>-150</v>
      </c>
    </row>
    <row r="1082" spans="1:11">
      <c r="A1082">
        <v>36.069</v>
      </c>
      <c r="B1082">
        <v>-277.9</v>
      </c>
      <c r="C1082">
        <v>46.2</v>
      </c>
      <c r="E1082">
        <v>36.035</v>
      </c>
      <c r="F1082">
        <v>-275</v>
      </c>
      <c r="G1082">
        <v>47.3</v>
      </c>
      <c r="I1082">
        <f t="shared" si="48"/>
        <v>36</v>
      </c>
      <c r="J1082">
        <f t="shared" si="49"/>
        <v>-72</v>
      </c>
      <c r="K1082">
        <f t="shared" si="50"/>
        <v>-150</v>
      </c>
    </row>
    <row r="1083" spans="1:11">
      <c r="A1083">
        <v>36.102</v>
      </c>
      <c r="B1083">
        <v>-280.8</v>
      </c>
      <c r="C1083">
        <v>45.3</v>
      </c>
      <c r="E1083">
        <v>36.069</v>
      </c>
      <c r="F1083">
        <v>-277.9</v>
      </c>
      <c r="G1083">
        <v>46.2</v>
      </c>
      <c r="I1083">
        <f t="shared" si="48"/>
        <v>36.05</v>
      </c>
      <c r="J1083">
        <f t="shared" si="49"/>
        <v>-74.9</v>
      </c>
      <c r="K1083">
        <f t="shared" si="50"/>
        <v>-150</v>
      </c>
    </row>
    <row r="1084" spans="1:11">
      <c r="A1084">
        <v>36.136</v>
      </c>
      <c r="B1084">
        <v>-282.9</v>
      </c>
      <c r="C1084">
        <v>43.6</v>
      </c>
      <c r="E1084">
        <v>36.102</v>
      </c>
      <c r="F1084">
        <v>-280.8</v>
      </c>
      <c r="G1084">
        <v>45.3</v>
      </c>
      <c r="I1084">
        <f t="shared" si="48"/>
        <v>36.1</v>
      </c>
      <c r="J1084">
        <f t="shared" si="49"/>
        <v>-77.8</v>
      </c>
      <c r="K1084">
        <f t="shared" si="50"/>
        <v>-150</v>
      </c>
    </row>
    <row r="1085" spans="1:11">
      <c r="A1085">
        <v>36.169</v>
      </c>
      <c r="B1085">
        <v>-285.3</v>
      </c>
      <c r="C1085">
        <v>42.3</v>
      </c>
      <c r="E1085">
        <v>36.136</v>
      </c>
      <c r="F1085">
        <v>-282.9</v>
      </c>
      <c r="G1085">
        <v>43.6</v>
      </c>
      <c r="I1085">
        <f t="shared" si="48"/>
        <v>36.1</v>
      </c>
      <c r="J1085">
        <f t="shared" si="49"/>
        <v>-79.9</v>
      </c>
      <c r="K1085">
        <f t="shared" si="50"/>
        <v>-150</v>
      </c>
    </row>
    <row r="1086" spans="1:11">
      <c r="A1086">
        <v>36.202</v>
      </c>
      <c r="B1086">
        <v>-287.3</v>
      </c>
      <c r="C1086">
        <v>41.7</v>
      </c>
      <c r="E1086">
        <v>36.169</v>
      </c>
      <c r="F1086">
        <v>-285.3</v>
      </c>
      <c r="G1086">
        <v>42.3</v>
      </c>
      <c r="I1086">
        <f t="shared" si="48"/>
        <v>36.15</v>
      </c>
      <c r="J1086">
        <f t="shared" si="49"/>
        <v>-82.3</v>
      </c>
      <c r="K1086">
        <f t="shared" si="50"/>
        <v>-150</v>
      </c>
    </row>
    <row r="1087" spans="1:11">
      <c r="A1087">
        <v>36.236</v>
      </c>
      <c r="B1087">
        <v>-288.7</v>
      </c>
      <c r="C1087">
        <v>40.1</v>
      </c>
      <c r="E1087">
        <v>36.202</v>
      </c>
      <c r="F1087">
        <v>-287.3</v>
      </c>
      <c r="G1087">
        <v>41.7</v>
      </c>
      <c r="I1087">
        <f t="shared" si="48"/>
        <v>36.2</v>
      </c>
      <c r="J1087">
        <f t="shared" si="49"/>
        <v>-84.3</v>
      </c>
      <c r="K1087">
        <f t="shared" si="50"/>
        <v>-150</v>
      </c>
    </row>
    <row r="1088" spans="1:11">
      <c r="A1088">
        <v>36.269</v>
      </c>
      <c r="B1088">
        <v>-290.5</v>
      </c>
      <c r="C1088">
        <v>40.3</v>
      </c>
      <c r="E1088">
        <v>36.236</v>
      </c>
      <c r="F1088">
        <v>-288.7</v>
      </c>
      <c r="G1088">
        <v>40.1</v>
      </c>
      <c r="I1088">
        <f t="shared" si="48"/>
        <v>36.2</v>
      </c>
      <c r="J1088">
        <f t="shared" si="49"/>
        <v>-85.7</v>
      </c>
      <c r="K1088">
        <f t="shared" si="50"/>
        <v>-150</v>
      </c>
    </row>
    <row r="1089" spans="1:11">
      <c r="A1089">
        <v>36.303</v>
      </c>
      <c r="B1089">
        <v>-291.5</v>
      </c>
      <c r="C1089">
        <v>39.6</v>
      </c>
      <c r="E1089">
        <v>36.269</v>
      </c>
      <c r="F1089">
        <v>-290.5</v>
      </c>
      <c r="G1089">
        <v>40.3</v>
      </c>
      <c r="I1089">
        <f t="shared" si="48"/>
        <v>36.25</v>
      </c>
      <c r="J1089">
        <f t="shared" si="49"/>
        <v>-87.5</v>
      </c>
      <c r="K1089">
        <f t="shared" si="50"/>
        <v>-150</v>
      </c>
    </row>
    <row r="1090" spans="1:11">
      <c r="A1090">
        <v>36.336</v>
      </c>
      <c r="B1090">
        <v>-292</v>
      </c>
      <c r="C1090">
        <v>38.9</v>
      </c>
      <c r="E1090">
        <v>36.303</v>
      </c>
      <c r="F1090">
        <v>-291.5</v>
      </c>
      <c r="G1090">
        <v>39.6</v>
      </c>
      <c r="I1090">
        <f t="shared" si="48"/>
        <v>36.3</v>
      </c>
      <c r="J1090">
        <f t="shared" si="49"/>
        <v>-88.5</v>
      </c>
      <c r="K1090">
        <f t="shared" si="50"/>
        <v>-150</v>
      </c>
    </row>
    <row r="1091" spans="1:11">
      <c r="A1091">
        <v>36.37</v>
      </c>
      <c r="B1091">
        <v>-292.3</v>
      </c>
      <c r="C1091">
        <v>38.7</v>
      </c>
      <c r="E1091">
        <v>36.336</v>
      </c>
      <c r="F1091">
        <v>-292</v>
      </c>
      <c r="G1091">
        <v>38.9</v>
      </c>
      <c r="I1091">
        <f t="shared" si="48"/>
        <v>36.3</v>
      </c>
      <c r="J1091">
        <f t="shared" si="49"/>
        <v>-89</v>
      </c>
      <c r="K1091">
        <f t="shared" si="50"/>
        <v>-150</v>
      </c>
    </row>
    <row r="1092" spans="1:11">
      <c r="A1092">
        <v>36.403</v>
      </c>
      <c r="B1092">
        <v>-292.2</v>
      </c>
      <c r="C1092">
        <v>37.6</v>
      </c>
      <c r="E1092">
        <v>36.37</v>
      </c>
      <c r="F1092">
        <v>-292.3</v>
      </c>
      <c r="G1092">
        <v>38.7</v>
      </c>
      <c r="I1092">
        <f t="shared" ref="I1092:I1155" si="51">FLOOR(E1092,0.05)</f>
        <v>36.35</v>
      </c>
      <c r="J1092">
        <f t="shared" ref="J1092:J1155" si="52">F1092+203</f>
        <v>-89.3</v>
      </c>
      <c r="K1092">
        <f t="shared" si="50"/>
        <v>-150</v>
      </c>
    </row>
    <row r="1093" spans="1:11">
      <c r="A1093">
        <v>36.436</v>
      </c>
      <c r="B1093">
        <v>-292</v>
      </c>
      <c r="C1093">
        <v>37.5</v>
      </c>
      <c r="E1093">
        <v>36.403</v>
      </c>
      <c r="F1093">
        <v>-292.2</v>
      </c>
      <c r="G1093">
        <v>37.6</v>
      </c>
      <c r="I1093">
        <f t="shared" si="51"/>
        <v>36.4</v>
      </c>
      <c r="J1093">
        <f t="shared" si="52"/>
        <v>-89.2</v>
      </c>
      <c r="K1093">
        <f t="shared" ref="K1093:K1144" si="53">IF(G1093&lt;230,-150,100)</f>
        <v>-150</v>
      </c>
    </row>
    <row r="1094" spans="1:11">
      <c r="A1094">
        <v>36.47</v>
      </c>
      <c r="B1094">
        <v>-291.4</v>
      </c>
      <c r="C1094">
        <v>36.9</v>
      </c>
      <c r="E1094">
        <v>36.436</v>
      </c>
      <c r="F1094">
        <v>-292</v>
      </c>
      <c r="G1094">
        <v>37.5</v>
      </c>
      <c r="I1094">
        <f t="shared" si="51"/>
        <v>36.4</v>
      </c>
      <c r="J1094">
        <f t="shared" si="52"/>
        <v>-89</v>
      </c>
      <c r="K1094">
        <f t="shared" si="53"/>
        <v>-150</v>
      </c>
    </row>
    <row r="1095" spans="1:11">
      <c r="A1095">
        <v>36.503</v>
      </c>
      <c r="B1095">
        <v>-290.3</v>
      </c>
      <c r="C1095">
        <v>37.1</v>
      </c>
      <c r="E1095">
        <v>36.47</v>
      </c>
      <c r="F1095">
        <v>-291.4</v>
      </c>
      <c r="G1095">
        <v>36.9</v>
      </c>
      <c r="I1095">
        <f t="shared" si="51"/>
        <v>36.45</v>
      </c>
      <c r="J1095">
        <f t="shared" si="52"/>
        <v>-88.4</v>
      </c>
      <c r="K1095">
        <f t="shared" si="53"/>
        <v>-150</v>
      </c>
    </row>
    <row r="1096" spans="1:11">
      <c r="A1096">
        <v>36.537</v>
      </c>
      <c r="B1096">
        <v>-288.9</v>
      </c>
      <c r="C1096">
        <v>37.4</v>
      </c>
      <c r="E1096">
        <v>36.503</v>
      </c>
      <c r="F1096">
        <v>-290.3</v>
      </c>
      <c r="G1096">
        <v>37.1</v>
      </c>
      <c r="I1096">
        <f t="shared" si="51"/>
        <v>36.5</v>
      </c>
      <c r="J1096">
        <f t="shared" si="52"/>
        <v>-87.3</v>
      </c>
      <c r="K1096">
        <f t="shared" si="53"/>
        <v>-150</v>
      </c>
    </row>
    <row r="1097" spans="1:11">
      <c r="A1097">
        <v>36.57</v>
      </c>
      <c r="B1097">
        <v>-287.4</v>
      </c>
      <c r="C1097">
        <v>36.3</v>
      </c>
      <c r="E1097">
        <v>36.537</v>
      </c>
      <c r="F1097">
        <v>-288.9</v>
      </c>
      <c r="G1097">
        <v>37.4</v>
      </c>
      <c r="I1097">
        <f t="shared" si="51"/>
        <v>36.5</v>
      </c>
      <c r="J1097">
        <f t="shared" si="52"/>
        <v>-85.9</v>
      </c>
      <c r="K1097">
        <f t="shared" si="53"/>
        <v>-150</v>
      </c>
    </row>
    <row r="1098" spans="1:11">
      <c r="A1098">
        <v>36.604</v>
      </c>
      <c r="B1098">
        <v>-285.5</v>
      </c>
      <c r="C1098">
        <v>36.4</v>
      </c>
      <c r="E1098">
        <v>36.57</v>
      </c>
      <c r="F1098">
        <v>-287.4</v>
      </c>
      <c r="G1098">
        <v>36.3</v>
      </c>
      <c r="I1098">
        <f t="shared" si="51"/>
        <v>36.55</v>
      </c>
      <c r="J1098">
        <f t="shared" si="52"/>
        <v>-84.4</v>
      </c>
      <c r="K1098">
        <f t="shared" si="53"/>
        <v>-150</v>
      </c>
    </row>
    <row r="1099" spans="1:11">
      <c r="A1099">
        <v>36.637</v>
      </c>
      <c r="B1099">
        <v>-282.8</v>
      </c>
      <c r="C1099">
        <v>36.7</v>
      </c>
      <c r="E1099">
        <v>36.604</v>
      </c>
      <c r="F1099">
        <v>-285.5</v>
      </c>
      <c r="G1099">
        <v>36.4</v>
      </c>
      <c r="I1099">
        <f t="shared" si="51"/>
        <v>36.6</v>
      </c>
      <c r="J1099">
        <f t="shared" si="52"/>
        <v>-82.5</v>
      </c>
      <c r="K1099">
        <f t="shared" si="53"/>
        <v>-150</v>
      </c>
    </row>
    <row r="1100" spans="1:11">
      <c r="A1100">
        <v>36.67</v>
      </c>
      <c r="B1100">
        <v>-280.8</v>
      </c>
      <c r="C1100">
        <v>36.3</v>
      </c>
      <c r="E1100">
        <v>36.637</v>
      </c>
      <c r="F1100">
        <v>-282.8</v>
      </c>
      <c r="G1100">
        <v>36.7</v>
      </c>
      <c r="I1100">
        <f t="shared" si="51"/>
        <v>36.6</v>
      </c>
      <c r="J1100">
        <f t="shared" si="52"/>
        <v>-79.8</v>
      </c>
      <c r="K1100">
        <f t="shared" si="53"/>
        <v>-150</v>
      </c>
    </row>
    <row r="1101" spans="1:11">
      <c r="A1101">
        <v>36.704</v>
      </c>
      <c r="B1101">
        <v>-278.2</v>
      </c>
      <c r="C1101">
        <v>35.6</v>
      </c>
      <c r="E1101">
        <v>36.67</v>
      </c>
      <c r="F1101">
        <v>-280.8</v>
      </c>
      <c r="G1101">
        <v>36.3</v>
      </c>
      <c r="I1101">
        <f t="shared" si="51"/>
        <v>36.65</v>
      </c>
      <c r="J1101">
        <f t="shared" si="52"/>
        <v>-77.8</v>
      </c>
      <c r="K1101">
        <f t="shared" si="53"/>
        <v>-150</v>
      </c>
    </row>
    <row r="1102" spans="1:11">
      <c r="A1102">
        <v>36.737</v>
      </c>
      <c r="B1102">
        <v>-275.3</v>
      </c>
      <c r="C1102">
        <v>36.5</v>
      </c>
      <c r="E1102">
        <v>36.704</v>
      </c>
      <c r="F1102">
        <v>-278.2</v>
      </c>
      <c r="G1102">
        <v>35.6</v>
      </c>
      <c r="I1102">
        <f t="shared" si="51"/>
        <v>36.7</v>
      </c>
      <c r="J1102">
        <f t="shared" si="52"/>
        <v>-75.2</v>
      </c>
      <c r="K1102">
        <f t="shared" si="53"/>
        <v>-150</v>
      </c>
    </row>
    <row r="1103" spans="1:11">
      <c r="A1103">
        <v>36.771</v>
      </c>
      <c r="B1103">
        <v>-272.5</v>
      </c>
      <c r="C1103">
        <v>36.4</v>
      </c>
      <c r="E1103">
        <v>36.737</v>
      </c>
      <c r="F1103">
        <v>-275.3</v>
      </c>
      <c r="G1103">
        <v>36.5</v>
      </c>
      <c r="I1103">
        <f t="shared" si="51"/>
        <v>36.7</v>
      </c>
      <c r="J1103">
        <f t="shared" si="52"/>
        <v>-72.3</v>
      </c>
      <c r="K1103">
        <f t="shared" si="53"/>
        <v>-150</v>
      </c>
    </row>
    <row r="1104" spans="1:11">
      <c r="A1104">
        <v>36.804</v>
      </c>
      <c r="B1104">
        <v>-269.1</v>
      </c>
      <c r="C1104">
        <v>37.1</v>
      </c>
      <c r="E1104">
        <v>36.771</v>
      </c>
      <c r="F1104">
        <v>-272.5</v>
      </c>
      <c r="G1104">
        <v>36.4</v>
      </c>
      <c r="I1104">
        <f t="shared" si="51"/>
        <v>36.75</v>
      </c>
      <c r="J1104">
        <f t="shared" si="52"/>
        <v>-69.5</v>
      </c>
      <c r="K1104">
        <f t="shared" si="53"/>
        <v>-150</v>
      </c>
    </row>
    <row r="1105" spans="1:11">
      <c r="A1105">
        <v>36.838</v>
      </c>
      <c r="B1105">
        <v>-266.4</v>
      </c>
      <c r="C1105">
        <v>36.4</v>
      </c>
      <c r="E1105">
        <v>36.804</v>
      </c>
      <c r="F1105">
        <v>-269.1</v>
      </c>
      <c r="G1105">
        <v>37.1</v>
      </c>
      <c r="I1105">
        <f t="shared" si="51"/>
        <v>36.8</v>
      </c>
      <c r="J1105">
        <f t="shared" si="52"/>
        <v>-66.1</v>
      </c>
      <c r="K1105">
        <f t="shared" si="53"/>
        <v>-150</v>
      </c>
    </row>
    <row r="1106" spans="1:11">
      <c r="A1106">
        <v>36.871</v>
      </c>
      <c r="B1106">
        <v>-263.5</v>
      </c>
      <c r="C1106">
        <v>36.2</v>
      </c>
      <c r="E1106">
        <v>36.838</v>
      </c>
      <c r="F1106">
        <v>-266.4</v>
      </c>
      <c r="G1106">
        <v>36.4</v>
      </c>
      <c r="I1106">
        <f t="shared" si="51"/>
        <v>36.8</v>
      </c>
      <c r="J1106">
        <f t="shared" si="52"/>
        <v>-63.4</v>
      </c>
      <c r="K1106">
        <f t="shared" si="53"/>
        <v>-150</v>
      </c>
    </row>
    <row r="1107" spans="1:11">
      <c r="A1107">
        <v>36.904</v>
      </c>
      <c r="B1107">
        <v>-261</v>
      </c>
      <c r="C1107">
        <v>36.4</v>
      </c>
      <c r="E1107">
        <v>36.871</v>
      </c>
      <c r="F1107">
        <v>-263.5</v>
      </c>
      <c r="G1107">
        <v>36.2</v>
      </c>
      <c r="I1107">
        <f t="shared" si="51"/>
        <v>36.85</v>
      </c>
      <c r="J1107">
        <f t="shared" si="52"/>
        <v>-60.5</v>
      </c>
      <c r="K1107">
        <f t="shared" si="53"/>
        <v>-150</v>
      </c>
    </row>
    <row r="1108" spans="1:11">
      <c r="A1108">
        <v>36.938</v>
      </c>
      <c r="B1108">
        <v>-258.4</v>
      </c>
      <c r="C1108">
        <v>36.5</v>
      </c>
      <c r="E1108">
        <v>36.904</v>
      </c>
      <c r="F1108">
        <v>-261</v>
      </c>
      <c r="G1108">
        <v>36.4</v>
      </c>
      <c r="I1108">
        <f t="shared" si="51"/>
        <v>36.9</v>
      </c>
      <c r="J1108">
        <f t="shared" si="52"/>
        <v>-58</v>
      </c>
      <c r="K1108">
        <f t="shared" si="53"/>
        <v>-150</v>
      </c>
    </row>
    <row r="1109" spans="1:11">
      <c r="A1109">
        <v>36.971</v>
      </c>
      <c r="B1109">
        <v>-255.9</v>
      </c>
      <c r="C1109">
        <v>37.1</v>
      </c>
      <c r="E1109">
        <v>36.938</v>
      </c>
      <c r="F1109">
        <v>-258.4</v>
      </c>
      <c r="G1109">
        <v>36.5</v>
      </c>
      <c r="I1109">
        <f t="shared" si="51"/>
        <v>36.9</v>
      </c>
      <c r="J1109">
        <f t="shared" si="52"/>
        <v>-55.4</v>
      </c>
      <c r="K1109">
        <f t="shared" si="53"/>
        <v>-150</v>
      </c>
    </row>
    <row r="1110" spans="1:11">
      <c r="A1110">
        <v>37.005</v>
      </c>
      <c r="B1110">
        <v>-253.5</v>
      </c>
      <c r="C1110">
        <v>37</v>
      </c>
      <c r="E1110">
        <v>36.971</v>
      </c>
      <c r="F1110">
        <v>-255.9</v>
      </c>
      <c r="G1110">
        <v>37.1</v>
      </c>
      <c r="I1110">
        <f t="shared" si="51"/>
        <v>36.95</v>
      </c>
      <c r="J1110">
        <f t="shared" si="52"/>
        <v>-52.9</v>
      </c>
      <c r="K1110">
        <f t="shared" si="53"/>
        <v>-150</v>
      </c>
    </row>
    <row r="1111" spans="1:11">
      <c r="A1111">
        <v>37.038</v>
      </c>
      <c r="B1111">
        <v>-251.2</v>
      </c>
      <c r="C1111">
        <v>36.5</v>
      </c>
      <c r="E1111">
        <v>37.005</v>
      </c>
      <c r="F1111">
        <v>-253.5</v>
      </c>
      <c r="G1111">
        <v>37</v>
      </c>
      <c r="I1111">
        <f t="shared" si="51"/>
        <v>37</v>
      </c>
      <c r="J1111">
        <f t="shared" si="52"/>
        <v>-50.5</v>
      </c>
      <c r="K1111">
        <f t="shared" si="53"/>
        <v>-150</v>
      </c>
    </row>
    <row r="1112" spans="1:11">
      <c r="A1112">
        <v>37.072</v>
      </c>
      <c r="B1112">
        <v>-249.8</v>
      </c>
      <c r="C1112">
        <v>36.8</v>
      </c>
      <c r="E1112">
        <v>37.038</v>
      </c>
      <c r="F1112">
        <v>-251.2</v>
      </c>
      <c r="G1112">
        <v>36.5</v>
      </c>
      <c r="I1112">
        <f t="shared" si="51"/>
        <v>37</v>
      </c>
      <c r="J1112">
        <f t="shared" si="52"/>
        <v>-48.2</v>
      </c>
      <c r="K1112">
        <f t="shared" si="53"/>
        <v>-150</v>
      </c>
    </row>
    <row r="1113" spans="1:11">
      <c r="A1113">
        <v>37.105</v>
      </c>
      <c r="B1113">
        <v>-248.4</v>
      </c>
      <c r="C1113">
        <v>36.2</v>
      </c>
      <c r="E1113">
        <v>37.072</v>
      </c>
      <c r="F1113">
        <v>-249.8</v>
      </c>
      <c r="G1113">
        <v>36.8</v>
      </c>
      <c r="I1113">
        <f t="shared" si="51"/>
        <v>37.05</v>
      </c>
      <c r="J1113">
        <f t="shared" si="52"/>
        <v>-46.8</v>
      </c>
      <c r="K1113">
        <f t="shared" si="53"/>
        <v>-150</v>
      </c>
    </row>
    <row r="1114" spans="1:11">
      <c r="A1114">
        <v>37.138</v>
      </c>
      <c r="B1114">
        <v>-247.4</v>
      </c>
      <c r="C1114">
        <v>36.5</v>
      </c>
      <c r="E1114">
        <v>37.105</v>
      </c>
      <c r="F1114">
        <v>-248.4</v>
      </c>
      <c r="G1114">
        <v>36.2</v>
      </c>
      <c r="I1114">
        <f t="shared" si="51"/>
        <v>37.1</v>
      </c>
      <c r="J1114">
        <f t="shared" si="52"/>
        <v>-45.4</v>
      </c>
      <c r="K1114">
        <f t="shared" si="53"/>
        <v>-150</v>
      </c>
    </row>
    <row r="1115" spans="1:11">
      <c r="A1115">
        <v>37.172</v>
      </c>
      <c r="B1115">
        <v>-246.5</v>
      </c>
      <c r="C1115">
        <v>36.6</v>
      </c>
      <c r="E1115">
        <v>37.138</v>
      </c>
      <c r="F1115">
        <v>-247.4</v>
      </c>
      <c r="G1115">
        <v>36.5</v>
      </c>
      <c r="I1115">
        <f t="shared" si="51"/>
        <v>37.1</v>
      </c>
      <c r="J1115">
        <f t="shared" si="52"/>
        <v>-44.4</v>
      </c>
      <c r="K1115">
        <f t="shared" si="53"/>
        <v>-150</v>
      </c>
    </row>
    <row r="1116" spans="1:11">
      <c r="A1116">
        <v>37.205</v>
      </c>
      <c r="B1116">
        <v>-245.9</v>
      </c>
      <c r="C1116">
        <v>36.8</v>
      </c>
      <c r="E1116">
        <v>37.172</v>
      </c>
      <c r="F1116">
        <v>-246.5</v>
      </c>
      <c r="G1116">
        <v>36.6</v>
      </c>
      <c r="I1116">
        <f t="shared" si="51"/>
        <v>37.15</v>
      </c>
      <c r="J1116">
        <f t="shared" si="52"/>
        <v>-43.5</v>
      </c>
      <c r="K1116">
        <f t="shared" si="53"/>
        <v>-150</v>
      </c>
    </row>
    <row r="1117" spans="1:11">
      <c r="A1117">
        <v>37.239</v>
      </c>
      <c r="B1117">
        <v>-245.7</v>
      </c>
      <c r="C1117">
        <v>36.3</v>
      </c>
      <c r="E1117">
        <v>37.205</v>
      </c>
      <c r="F1117">
        <v>-245.9</v>
      </c>
      <c r="G1117">
        <v>36.8</v>
      </c>
      <c r="I1117">
        <f t="shared" si="51"/>
        <v>37.2</v>
      </c>
      <c r="J1117">
        <f t="shared" si="52"/>
        <v>-42.9</v>
      </c>
      <c r="K1117">
        <f t="shared" si="53"/>
        <v>-150</v>
      </c>
    </row>
    <row r="1118" spans="1:11">
      <c r="A1118">
        <v>37.272</v>
      </c>
      <c r="B1118">
        <v>-245.9</v>
      </c>
      <c r="C1118">
        <v>36.5</v>
      </c>
      <c r="E1118">
        <v>37.239</v>
      </c>
      <c r="F1118">
        <v>-245.7</v>
      </c>
      <c r="G1118">
        <v>36.3</v>
      </c>
      <c r="I1118">
        <f t="shared" si="51"/>
        <v>37.2</v>
      </c>
      <c r="J1118">
        <f t="shared" si="52"/>
        <v>-42.7</v>
      </c>
      <c r="K1118">
        <f t="shared" si="53"/>
        <v>-150</v>
      </c>
    </row>
    <row r="1119" spans="1:11">
      <c r="A1119">
        <v>37.306</v>
      </c>
      <c r="B1119">
        <v>-246.2</v>
      </c>
      <c r="C1119">
        <v>36.3</v>
      </c>
      <c r="E1119">
        <v>37.272</v>
      </c>
      <c r="F1119">
        <v>-245.9</v>
      </c>
      <c r="G1119">
        <v>36.5</v>
      </c>
      <c r="I1119">
        <f t="shared" si="51"/>
        <v>37.25</v>
      </c>
      <c r="J1119">
        <f t="shared" si="52"/>
        <v>-42.9</v>
      </c>
      <c r="K1119">
        <f t="shared" si="53"/>
        <v>-150</v>
      </c>
    </row>
    <row r="1120" spans="1:11">
      <c r="A1120">
        <v>37.339</v>
      </c>
      <c r="B1120">
        <v>-246.5</v>
      </c>
      <c r="C1120">
        <v>37.1</v>
      </c>
      <c r="E1120">
        <v>37.306</v>
      </c>
      <c r="F1120">
        <v>-246.2</v>
      </c>
      <c r="G1120">
        <v>36.3</v>
      </c>
      <c r="I1120">
        <f t="shared" si="51"/>
        <v>37.3</v>
      </c>
      <c r="J1120">
        <f t="shared" si="52"/>
        <v>-43.2</v>
      </c>
      <c r="K1120">
        <f t="shared" si="53"/>
        <v>-150</v>
      </c>
    </row>
    <row r="1121" spans="1:11">
      <c r="A1121">
        <v>37.372</v>
      </c>
      <c r="B1121">
        <v>-247.5</v>
      </c>
      <c r="C1121">
        <v>36.1</v>
      </c>
      <c r="E1121">
        <v>37.339</v>
      </c>
      <c r="F1121">
        <v>-246.5</v>
      </c>
      <c r="G1121">
        <v>37.1</v>
      </c>
      <c r="I1121">
        <f t="shared" si="51"/>
        <v>37.3</v>
      </c>
      <c r="J1121">
        <f t="shared" si="52"/>
        <v>-43.5</v>
      </c>
      <c r="K1121">
        <f t="shared" si="53"/>
        <v>-150</v>
      </c>
    </row>
    <row r="1122" spans="1:11">
      <c r="A1122">
        <v>37.406</v>
      </c>
      <c r="B1122">
        <v>-248.4</v>
      </c>
      <c r="C1122">
        <v>36.1</v>
      </c>
      <c r="E1122">
        <v>37.372</v>
      </c>
      <c r="F1122">
        <v>-247.5</v>
      </c>
      <c r="G1122">
        <v>36.1</v>
      </c>
      <c r="I1122">
        <f t="shared" si="51"/>
        <v>37.35</v>
      </c>
      <c r="J1122">
        <f t="shared" si="52"/>
        <v>-44.5</v>
      </c>
      <c r="K1122">
        <f t="shared" si="53"/>
        <v>-150</v>
      </c>
    </row>
    <row r="1123" spans="1:11">
      <c r="A1123">
        <v>37.439</v>
      </c>
      <c r="B1123">
        <v>-249.5</v>
      </c>
      <c r="C1123">
        <v>36.2</v>
      </c>
      <c r="E1123">
        <v>37.406</v>
      </c>
      <c r="F1123">
        <v>-248.4</v>
      </c>
      <c r="G1123">
        <v>36.1</v>
      </c>
      <c r="I1123">
        <f t="shared" si="51"/>
        <v>37.4</v>
      </c>
      <c r="J1123">
        <f t="shared" si="52"/>
        <v>-45.4</v>
      </c>
      <c r="K1123">
        <f t="shared" si="53"/>
        <v>-150</v>
      </c>
    </row>
    <row r="1124" spans="1:11">
      <c r="A1124">
        <v>37.473</v>
      </c>
      <c r="B1124">
        <v>-250.9</v>
      </c>
      <c r="C1124">
        <v>36.2</v>
      </c>
      <c r="E1124">
        <v>37.439</v>
      </c>
      <c r="F1124">
        <v>-249.5</v>
      </c>
      <c r="G1124">
        <v>36.2</v>
      </c>
      <c r="I1124">
        <f t="shared" si="51"/>
        <v>37.4</v>
      </c>
      <c r="J1124">
        <f t="shared" si="52"/>
        <v>-46.5</v>
      </c>
      <c r="K1124">
        <f t="shared" si="53"/>
        <v>-150</v>
      </c>
    </row>
    <row r="1125" spans="1:11">
      <c r="A1125">
        <v>37.506</v>
      </c>
      <c r="B1125">
        <v>-253.3</v>
      </c>
      <c r="C1125">
        <v>36.2</v>
      </c>
      <c r="E1125">
        <v>37.473</v>
      </c>
      <c r="F1125">
        <v>-250.9</v>
      </c>
      <c r="G1125">
        <v>36.2</v>
      </c>
      <c r="I1125">
        <f t="shared" si="51"/>
        <v>37.45</v>
      </c>
      <c r="J1125">
        <f t="shared" si="52"/>
        <v>-47.9</v>
      </c>
      <c r="K1125">
        <f t="shared" si="53"/>
        <v>-150</v>
      </c>
    </row>
    <row r="1126" spans="1:11">
      <c r="A1126">
        <v>37.54</v>
      </c>
      <c r="B1126">
        <v>-255.5</v>
      </c>
      <c r="C1126">
        <v>36.6</v>
      </c>
      <c r="E1126">
        <v>37.506</v>
      </c>
      <c r="F1126">
        <v>-253.3</v>
      </c>
      <c r="G1126">
        <v>36.2</v>
      </c>
      <c r="I1126">
        <f t="shared" si="51"/>
        <v>37.5</v>
      </c>
      <c r="J1126">
        <f t="shared" si="52"/>
        <v>-50.3</v>
      </c>
      <c r="K1126">
        <f t="shared" si="53"/>
        <v>-150</v>
      </c>
    </row>
    <row r="1127" spans="1:11">
      <c r="A1127">
        <v>37.573</v>
      </c>
      <c r="B1127">
        <v>-257.9</v>
      </c>
      <c r="C1127">
        <v>36.2</v>
      </c>
      <c r="E1127">
        <v>37.54</v>
      </c>
      <c r="F1127">
        <v>-255.5</v>
      </c>
      <c r="G1127">
        <v>36.6</v>
      </c>
      <c r="I1127">
        <f t="shared" si="51"/>
        <v>37.5</v>
      </c>
      <c r="J1127">
        <f t="shared" si="52"/>
        <v>-52.5</v>
      </c>
      <c r="K1127">
        <f t="shared" si="53"/>
        <v>-150</v>
      </c>
    </row>
    <row r="1128" spans="1:11">
      <c r="A1128">
        <v>37.606</v>
      </c>
      <c r="B1128">
        <v>-260.4</v>
      </c>
      <c r="C1128">
        <v>36.8</v>
      </c>
      <c r="E1128">
        <v>37.573</v>
      </c>
      <c r="F1128">
        <v>-257.9</v>
      </c>
      <c r="G1128">
        <v>36.2</v>
      </c>
      <c r="I1128">
        <f t="shared" si="51"/>
        <v>37.55</v>
      </c>
      <c r="J1128">
        <f t="shared" si="52"/>
        <v>-54.9</v>
      </c>
      <c r="K1128">
        <f t="shared" si="53"/>
        <v>-150</v>
      </c>
    </row>
    <row r="1129" spans="1:11">
      <c r="A1129">
        <v>37.64</v>
      </c>
      <c r="B1129">
        <v>-263.1</v>
      </c>
      <c r="C1129">
        <v>36.6</v>
      </c>
      <c r="E1129">
        <v>37.606</v>
      </c>
      <c r="F1129">
        <v>-260.4</v>
      </c>
      <c r="G1129">
        <v>36.8</v>
      </c>
      <c r="I1129">
        <f t="shared" si="51"/>
        <v>37.6</v>
      </c>
      <c r="J1129">
        <f t="shared" si="52"/>
        <v>-57.4</v>
      </c>
      <c r="K1129">
        <f t="shared" si="53"/>
        <v>-150</v>
      </c>
    </row>
    <row r="1130" spans="1:11">
      <c r="A1130">
        <v>37.673</v>
      </c>
      <c r="B1130">
        <v>-265.8</v>
      </c>
      <c r="C1130">
        <v>36.5</v>
      </c>
      <c r="E1130">
        <v>37.64</v>
      </c>
      <c r="F1130">
        <v>-263.1</v>
      </c>
      <c r="G1130">
        <v>36.6</v>
      </c>
      <c r="I1130">
        <f t="shared" si="51"/>
        <v>37.6</v>
      </c>
      <c r="J1130">
        <f t="shared" si="52"/>
        <v>-60.1</v>
      </c>
      <c r="K1130">
        <f t="shared" si="53"/>
        <v>-150</v>
      </c>
    </row>
    <row r="1131" spans="1:11">
      <c r="A1131">
        <v>37.707</v>
      </c>
      <c r="B1131">
        <v>-268.8</v>
      </c>
      <c r="C1131">
        <v>36.3</v>
      </c>
      <c r="E1131">
        <v>37.673</v>
      </c>
      <c r="F1131">
        <v>-265.8</v>
      </c>
      <c r="G1131">
        <v>36.5</v>
      </c>
      <c r="I1131">
        <f t="shared" si="51"/>
        <v>37.65</v>
      </c>
      <c r="J1131">
        <f t="shared" si="52"/>
        <v>-62.8</v>
      </c>
      <c r="K1131">
        <f t="shared" si="53"/>
        <v>-150</v>
      </c>
    </row>
    <row r="1132" spans="1:11">
      <c r="A1132">
        <v>37.74</v>
      </c>
      <c r="B1132">
        <v>-272.1</v>
      </c>
      <c r="C1132">
        <v>36.2</v>
      </c>
      <c r="E1132">
        <v>37.707</v>
      </c>
      <c r="F1132">
        <v>-268.8</v>
      </c>
      <c r="G1132">
        <v>36.3</v>
      </c>
      <c r="I1132">
        <f t="shared" si="51"/>
        <v>37.7</v>
      </c>
      <c r="J1132">
        <f t="shared" si="52"/>
        <v>-65.8</v>
      </c>
      <c r="K1132">
        <f t="shared" si="53"/>
        <v>-150</v>
      </c>
    </row>
    <row r="1133" spans="1:11">
      <c r="A1133">
        <v>37.774</v>
      </c>
      <c r="B1133">
        <v>-274.8</v>
      </c>
      <c r="C1133">
        <v>36.8</v>
      </c>
      <c r="E1133">
        <v>37.74</v>
      </c>
      <c r="F1133">
        <v>-272.1</v>
      </c>
      <c r="G1133">
        <v>36.2</v>
      </c>
      <c r="I1133">
        <f t="shared" si="51"/>
        <v>37.7</v>
      </c>
      <c r="J1133">
        <f t="shared" si="52"/>
        <v>-69.1</v>
      </c>
      <c r="K1133">
        <f t="shared" si="53"/>
        <v>-150</v>
      </c>
    </row>
    <row r="1134" spans="1:11">
      <c r="A1134">
        <v>37.807</v>
      </c>
      <c r="B1134">
        <v>-277.6</v>
      </c>
      <c r="C1134">
        <v>36.1</v>
      </c>
      <c r="E1134">
        <v>37.774</v>
      </c>
      <c r="F1134">
        <v>-274.8</v>
      </c>
      <c r="G1134">
        <v>36.8</v>
      </c>
      <c r="I1134">
        <f t="shared" si="51"/>
        <v>37.75</v>
      </c>
      <c r="J1134">
        <f t="shared" si="52"/>
        <v>-71.8</v>
      </c>
      <c r="K1134">
        <f t="shared" si="53"/>
        <v>-150</v>
      </c>
    </row>
    <row r="1135" spans="1:11">
      <c r="A1135">
        <v>37.84</v>
      </c>
      <c r="B1135">
        <v>-280.3</v>
      </c>
      <c r="C1135">
        <v>36.5</v>
      </c>
      <c r="E1135">
        <v>37.807</v>
      </c>
      <c r="F1135">
        <v>-277.6</v>
      </c>
      <c r="G1135">
        <v>36.1</v>
      </c>
      <c r="I1135">
        <f t="shared" si="51"/>
        <v>37.8</v>
      </c>
      <c r="J1135">
        <f t="shared" si="52"/>
        <v>-74.6</v>
      </c>
      <c r="K1135">
        <f t="shared" si="53"/>
        <v>-150</v>
      </c>
    </row>
    <row r="1136" spans="1:11">
      <c r="A1136">
        <v>37.874</v>
      </c>
      <c r="B1136">
        <v>-282.3</v>
      </c>
      <c r="C1136">
        <v>36.1</v>
      </c>
      <c r="E1136">
        <v>37.84</v>
      </c>
      <c r="F1136">
        <v>-280.3</v>
      </c>
      <c r="G1136">
        <v>36.5</v>
      </c>
      <c r="I1136">
        <f t="shared" si="51"/>
        <v>37.8</v>
      </c>
      <c r="J1136">
        <f t="shared" si="52"/>
        <v>-77.3</v>
      </c>
      <c r="K1136">
        <f t="shared" si="53"/>
        <v>-150</v>
      </c>
    </row>
    <row r="1137" spans="1:11">
      <c r="A1137">
        <v>37.907</v>
      </c>
      <c r="B1137">
        <v>-284.7</v>
      </c>
      <c r="C1137">
        <v>36.4</v>
      </c>
      <c r="E1137">
        <v>37.874</v>
      </c>
      <c r="F1137">
        <v>-282.3</v>
      </c>
      <c r="G1137">
        <v>36.1</v>
      </c>
      <c r="I1137">
        <f t="shared" si="51"/>
        <v>37.85</v>
      </c>
      <c r="J1137">
        <f t="shared" si="52"/>
        <v>-79.3</v>
      </c>
      <c r="K1137">
        <f t="shared" si="53"/>
        <v>-150</v>
      </c>
    </row>
    <row r="1138" spans="1:11">
      <c r="A1138">
        <v>37.941</v>
      </c>
      <c r="B1138">
        <v>-286.5</v>
      </c>
      <c r="C1138">
        <v>36.1</v>
      </c>
      <c r="E1138">
        <v>37.907</v>
      </c>
      <c r="F1138">
        <v>-284.7</v>
      </c>
      <c r="G1138">
        <v>36.4</v>
      </c>
      <c r="I1138">
        <f t="shared" si="51"/>
        <v>37.9</v>
      </c>
      <c r="J1138">
        <f t="shared" si="52"/>
        <v>-81.7</v>
      </c>
      <c r="K1138">
        <f t="shared" si="53"/>
        <v>-150</v>
      </c>
    </row>
    <row r="1139" spans="1:11">
      <c r="A1139">
        <v>37.974</v>
      </c>
      <c r="B1139">
        <v>-288.2</v>
      </c>
      <c r="C1139">
        <v>36.1</v>
      </c>
      <c r="E1139">
        <v>37.941</v>
      </c>
      <c r="F1139">
        <v>-286.5</v>
      </c>
      <c r="G1139">
        <v>36.1</v>
      </c>
      <c r="I1139">
        <f t="shared" si="51"/>
        <v>37.9</v>
      </c>
      <c r="J1139">
        <f t="shared" si="52"/>
        <v>-83.5</v>
      </c>
      <c r="K1139">
        <f t="shared" si="53"/>
        <v>-150</v>
      </c>
    </row>
    <row r="1140" spans="1:11">
      <c r="A1140">
        <v>38.008</v>
      </c>
      <c r="B1140">
        <v>-289.9</v>
      </c>
      <c r="C1140">
        <v>37</v>
      </c>
      <c r="E1140">
        <v>37.974</v>
      </c>
      <c r="F1140">
        <v>-288.2</v>
      </c>
      <c r="G1140">
        <v>36.1</v>
      </c>
      <c r="I1140">
        <f t="shared" si="51"/>
        <v>37.95</v>
      </c>
      <c r="J1140">
        <f t="shared" si="52"/>
        <v>-85.2</v>
      </c>
      <c r="K1140">
        <f t="shared" si="53"/>
        <v>-150</v>
      </c>
    </row>
    <row r="1141" spans="1:11">
      <c r="A1141">
        <v>38.041</v>
      </c>
      <c r="B1141">
        <v>-290.7</v>
      </c>
      <c r="C1141">
        <v>36.2</v>
      </c>
      <c r="E1141">
        <v>38.008</v>
      </c>
      <c r="F1141">
        <v>-289.9</v>
      </c>
      <c r="G1141">
        <v>37</v>
      </c>
      <c r="I1141">
        <f t="shared" si="51"/>
        <v>38</v>
      </c>
      <c r="J1141">
        <f t="shared" si="52"/>
        <v>-86.9</v>
      </c>
      <c r="K1141">
        <f t="shared" si="53"/>
        <v>-150</v>
      </c>
    </row>
    <row r="1142" spans="1:11">
      <c r="A1142">
        <v>38.074</v>
      </c>
      <c r="B1142">
        <v>-291.4</v>
      </c>
      <c r="C1142">
        <v>36.4</v>
      </c>
      <c r="E1142">
        <v>38.041</v>
      </c>
      <c r="F1142">
        <v>-290.7</v>
      </c>
      <c r="G1142">
        <v>36.2</v>
      </c>
      <c r="I1142">
        <f t="shared" si="51"/>
        <v>38</v>
      </c>
      <c r="J1142">
        <f t="shared" si="52"/>
        <v>-87.7</v>
      </c>
      <c r="K1142">
        <f t="shared" si="53"/>
        <v>-150</v>
      </c>
    </row>
    <row r="1143" spans="1:11">
      <c r="A1143">
        <v>38.108</v>
      </c>
      <c r="B1143">
        <v>-291.5</v>
      </c>
      <c r="C1143">
        <v>36.1</v>
      </c>
      <c r="E1143">
        <v>38.074</v>
      </c>
      <c r="F1143">
        <v>-291.4</v>
      </c>
      <c r="G1143">
        <v>36.4</v>
      </c>
      <c r="I1143">
        <f t="shared" si="51"/>
        <v>38.05</v>
      </c>
      <c r="J1143">
        <f t="shared" si="52"/>
        <v>-88.4</v>
      </c>
      <c r="K1143">
        <f t="shared" si="53"/>
        <v>-150</v>
      </c>
    </row>
    <row r="1144" spans="1:11">
      <c r="A1144">
        <v>38.141</v>
      </c>
      <c r="B1144">
        <v>-291.3</v>
      </c>
      <c r="C1144">
        <v>35.9</v>
      </c>
      <c r="E1144">
        <v>38.108</v>
      </c>
      <c r="F1144">
        <v>-291.5</v>
      </c>
      <c r="G1144">
        <v>36.1</v>
      </c>
      <c r="I1144">
        <f t="shared" si="51"/>
        <v>38.1</v>
      </c>
      <c r="J1144">
        <f t="shared" si="52"/>
        <v>-88.5</v>
      </c>
      <c r="K1144">
        <f t="shared" si="53"/>
        <v>-150</v>
      </c>
    </row>
  </sheetData>
  <mergeCells count="2">
    <mergeCell ref="E1:G1"/>
    <mergeCell ref="I1:K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低压_0.4s_10周期01</vt:lpstr>
      <vt:lpstr>常压阻尼温差01</vt:lpstr>
      <vt:lpstr>常压静止01</vt:lpstr>
      <vt:lpstr>常压阻尼温差01 (2)</vt:lpstr>
      <vt:lpstr>100低压_阻尼温差01 (3)</vt:lpstr>
      <vt:lpstr>300低压_阻尼温差01 (4)</vt:lpstr>
      <vt:lpstr>常压_a_20</vt:lpstr>
      <vt:lpstr>常压_a_20 (2)</vt:lpstr>
      <vt:lpstr>常压_b_20 (1)</vt:lpstr>
      <vt:lpstr>常压_b_20 (2)</vt:lpstr>
      <vt:lpstr>常压_b_20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maco0tai</dc:creator>
  <cp:lastModifiedBy>胡运涛</cp:lastModifiedBy>
  <dcterms:created xsi:type="dcterms:W3CDTF">2026-03-27T09:17:00Z</dcterms:created>
  <dcterms:modified xsi:type="dcterms:W3CDTF">2026-04-24T08:07:16Z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0978C86623BE42DCAE5F4693CF3D6732_11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